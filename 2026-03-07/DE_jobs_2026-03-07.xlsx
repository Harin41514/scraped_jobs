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in-0bf92d2da23582ed</t>
        </is>
      </c>
      <c r="B2" t="inlineStr">
        <is>
          <t>Senior Lead Data Engineer (Intelligent Foundations and Experiences)</t>
        </is>
      </c>
      <c r="C2" t="inlineStr">
        <is>
          <t>Capital One</t>
        </is>
      </c>
      <c r="D2" t="inlineStr">
        <is>
          <t>indeed</t>
        </is>
      </c>
      <c r="E2" t="inlineStr"/>
      <c r="F2" t="inlineStr"/>
      <c r="G2" t="inlineStr">
        <is>
          <t>McLean, VA, US</t>
        </is>
      </c>
      <c r="H2" s="1" t="n">
        <v>46087</v>
      </c>
      <c r="I2" t="inlineStr">
        <is>
          <t>Senior Lead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Plano, TX: $209,000 \- $238,500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in-408237f52a032a75</t>
        </is>
      </c>
      <c r="B3" t="inlineStr">
        <is>
          <t>Senior Manager, Data Engineering (Intelligent Foundations and Experiences)</t>
        </is>
      </c>
      <c r="C3" t="inlineStr">
        <is>
          <t>Capital One</t>
        </is>
      </c>
      <c r="D3" t="inlineStr">
        <is>
          <t>indeed</t>
        </is>
      </c>
      <c r="E3" t="inlineStr"/>
      <c r="F3" t="inlineStr"/>
      <c r="G3" t="inlineStr">
        <is>
          <t>McLean, VA, US</t>
        </is>
      </c>
      <c r="H3" s="1" t="n">
        <v>46087</v>
      </c>
      <c r="I3" t="inlineStr">
        <is>
          <t>Senior Manager, Data Engineering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Plano, TX: $209,000 \- $238,500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in-de1c1e8c1f767d2c</t>
        </is>
      </c>
      <c r="B4" t="inlineStr">
        <is>
          <t>Senior Data Engineer (Intelligent Foundations and Experiences)</t>
        </is>
      </c>
      <c r="C4" t="inlineStr">
        <is>
          <t>Capital One</t>
        </is>
      </c>
      <c r="D4" t="inlineStr">
        <is>
          <t>indeed</t>
        </is>
      </c>
      <c r="E4" t="inlineStr"/>
      <c r="F4" t="inlineStr"/>
      <c r="G4" t="inlineStr">
        <is>
          <t>McLean, VA, US</t>
        </is>
      </c>
      <c r="H4" s="1" t="n">
        <v>46087</v>
      </c>
      <c r="I4" t="inlineStr">
        <is>
          <t>Senior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in-161bd6dccdb7d510</t>
        </is>
      </c>
      <c r="B5" t="inlineStr">
        <is>
          <t>Lead Data Engineer (Intelligent Foundations and Experiences)</t>
        </is>
      </c>
      <c r="C5" t="inlineStr">
        <is>
          <t>Capital One</t>
        </is>
      </c>
      <c r="D5" t="inlineStr">
        <is>
          <t>indeed</t>
        </is>
      </c>
      <c r="E5" t="inlineStr"/>
      <c r="F5" t="inlineStr"/>
      <c r="G5" t="inlineStr">
        <is>
          <t>McLean, VA, US</t>
        </is>
      </c>
      <c r="H5" s="1" t="n">
        <v>46087</v>
      </c>
      <c r="I5" t="inlineStr">
        <is>
          <t>Lead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in-05cbdfb59f677080</t>
        </is>
      </c>
      <c r="B6" t="inlineStr">
        <is>
          <t>Data Engineer</t>
        </is>
      </c>
      <c r="C6" t="inlineStr">
        <is>
          <t>Guidehouse</t>
        </is>
      </c>
      <c r="D6" t="inlineStr">
        <is>
          <t>indeed</t>
        </is>
      </c>
      <c r="E6" t="inlineStr"/>
      <c r="F6" t="inlineStr"/>
      <c r="G6" t="inlineStr">
        <is>
          <t>Fairview Heights, IL, US</t>
        </is>
      </c>
      <c r="H6" s="1" t="n">
        <v>46087</v>
      </c>
      <c r="I6" t="inlineStr">
        <is>
          <t>Job Family:
Data Science \&amp; Analysis  
Travel Required:
None  
Clearance Required:
Ability to Obtain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Must be able to OBTAIN and MAINTAIN a Federal or DoD "SECRET" security clearance; candidates must obtain approved adjudication of clearance prior to onboarding with Guidehouse. Candidates with an ACTIVE "SECRET" or higher\-level clearance are preferred.
* Bachelor’s degree is required
* THREE (3\) or more years of experience in data engineering and dashboard development.
What Would Be Nice To Have:
* Experience with ADVANA.
* Proven experience with Databricks, business intelligence tools, and cloud platforms (AWS, Azure.)
* Strong proficiency in SQL, Python, and Spark.
* Experience building ETL pipelines and integrating data sources into reporting platforms.
* Familiarity with data governance, metadata, and compliance frameworks.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
      <c r="A7" t="inlineStr">
        <is>
          <t>in-4c5fdaa01d2547f8</t>
        </is>
      </c>
      <c r="B7" t="inlineStr">
        <is>
          <t>Cleared Data Engineer</t>
        </is>
      </c>
      <c r="C7" t="inlineStr">
        <is>
          <t>Guidehouse</t>
        </is>
      </c>
      <c r="D7" t="inlineStr">
        <is>
          <t>indeed</t>
        </is>
      </c>
      <c r="E7" t="inlineStr"/>
      <c r="F7" t="inlineStr"/>
      <c r="G7" t="inlineStr">
        <is>
          <t>Washington, DC, US</t>
        </is>
      </c>
      <c r="H7" s="1" t="n">
        <v>46087</v>
      </c>
      <c r="I7" t="inlineStr">
        <is>
          <t>Job Family:
Data Science Consulting  
Travel Required:
None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Our services enable our clients to define their information strategy, enable mission critical insights and data\-driven decision making, reduce cost and complexity, increase trust, and improve operational effectiveness. The position will be supporting the Chief Information Security Officer with the development of Data Quality monitoring tools for the State Department’s Master User Record (MUR) Zero Trust Cybersecurity effort.
* Build and maintain ETL/ELT pipelines in Python, including new scripts for data quality, performance, and health scoring.
* Optimize data workflows for scalability, performance, and cost across batch and streaming processes.
* Implement and automate data quality rules, checks, and monitoring Identity Management attributes.
* Monitor data freshness, completeness, quality, and pipeline health; investigate and resolve incidents.
* Document data lineage, schema changes, and transformations; support schema evolution.
* Maintain clear documentation and collaborate with governance, analytics, and application teams; participate in code reviews.
What You Will Need:
* An ACTIVE and MAINTAINED "SECRET" Federal or DoD security clearance
* Bachelor's degree
* THREE (3\) or more years of experience in data engineering, data analysis or data science OR 2 years of data engineering, data analysis or data science experience with a Master's degree
* Experience in Python, SQ, Splunk and Databricks.
* Experience with Tableau dashboard development
* Ability to support on\-site and hybrid projects in the DC metro area
What Would Be Nice To Have:
* Competencies in IT Risk and/or Cyber domains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design data modeling processes, create algorithms and predictive models, as well as perform custom analysis
* Quality control experience including debugging and conducting Quality Assurance of new features and enhancements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
      <c r="A8" t="inlineStr">
        <is>
          <t>in-63f5125fa509fe86</t>
        </is>
      </c>
      <c r="B8" t="inlineStr">
        <is>
          <t>Analytics Engineer (AJC)</t>
        </is>
      </c>
      <c r="C8" t="inlineStr">
        <is>
          <t>Cox Enterprises</t>
        </is>
      </c>
      <c r="D8" t="inlineStr">
        <is>
          <t>indeed</t>
        </is>
      </c>
      <c r="E8" t="inlineStr"/>
      <c r="F8" t="inlineStr"/>
      <c r="G8" t="inlineStr">
        <is>
          <t>Atlanta, GA, US</t>
        </is>
      </c>
      <c r="H8" s="1" t="n">
        <v>46086</v>
      </c>
      <c r="I8" t="inlineStr">
        <is>
          <t>We are looking for a skilled Analytics Engineer to help structure, transform, and optimize our data to support analytics and reporting across the company. In this role, you will build and maintain data pipelines, develop high\-quality data models, and ensure our data is accurate, consistent, and ready for use. Our team works primarily in Snowflake with dbt, alongside AWS, GCP, and other modern data tools. This role is a great opportunity to grow your technical expertise in a fast\-paced environment and contribute to data solutions that support key business decisions.  
At The Atlanta Journal\-Constitution (AJC), our mission is to be the most essential and engaging source of news for the people of Atlanta, Georgia and the South. As we transition from a historic daily newspaper to a dynamic modern media company, we are seeking a talented Analytics Engineerto join our team. The AJC believes that when you cover the South, you uncover the nation. It's a belief that's produced award\-winning journalism, elevated our community, and captured the substance and soul of our hometown.  
If you're ready to make headlines with your talent and drive, we want you on our team. Apply now and be a part of the next chapter in the AJC's transformation.  
**WHAT YOU'LL DO**  
**Key Responsibilities:**  
* Develop and maintain scalable dbt models, following best practices for modularity and performance.
* Apply Kimball\-style dimensional modeling techniques (star schema, slowly changing dimensions, fact and dimension tables) to structure data for analysis and reporting.
* Explore, analyze, and validate data to ensure accuracy, consistency, and completeness of dbt models.
* Implement and maintain automated dbt tests to ensure data quality, including checks for anomalies, nulls, duplicates, and referential integrity.
* Investigate and troubleshoot data anomalies, pipeline errors, and model discrepancies, collaborating with teams to resolve issues promptly.
* Partner closely with data analysts to build reliable reporting models and ensure the data feeding reports is accurate, actionable, and aligned with business needs.
* Ensure the availability, consistency, and accessibility of data for analytics teams working with Tableau and other BI tools.
* Participate in **code and PR reviews** to maintain high\-quality, consistent dbt models and data pipeline code.
* Monitor and optimize data pipeline performance, leveraging tools on AWS such as Lambda, SQS, Athena, EC2, and Kinesis.
* Follow data governance standards to ensure data integrity, security, and compliance.
**WHO YOU ARE**  
**Required Qualifications:**  
* REQUIRED\- must live within a commutable distance to AJC Midtown Atlanta office.
* Applicants must currently be authorized to work in the United States for any employer without current or future sponsorship. No OPT, CPT, STEM/OPT or visa sponsorship now or in future.
* 2\-4 years of experience as an Analytics Engineer or in a related role.
* Bachelor's degree in Computer Science, Data Science, Statistics, or a related field with 2\+ years experience or 14 years equivalent working experience
* Good understanding of data quality, validation, and governance practices.
* Experience working with data analysts or BI teams to build accurate reporting datasets.
* Proficiency with Snowflake or similar cloud data warehouse technologies
* Solid understanding of dimensional modeling concepts (star schemas, fact and dimension tables, slowly changing dimensions).
**Preferred Qualifications**  
* Experience using dbt for building, testing, and maintaining data models.
* Experience collaborating with data analysts to build accurate, actionable reporting models.
* Proficiency with Snowflake and building scalable data warehouses.
* Familiarity with AWS services (Lambda, SQS, Athena, EC2, Kinesis) and cloud\-based data pipelines.
* Understanding of event and web analytics data from tools like Amplitude and Google Analytics.
* Experience with real\-time data streams and troubleshooting data pipeline issues.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9">
      <c r="A9" t="inlineStr">
        <is>
          <t>in-b5f4d600520d0e96</t>
        </is>
      </c>
      <c r="B9" t="inlineStr">
        <is>
          <t>Senior Data Engineer (AWS, Spark, Python, SQL)</t>
        </is>
      </c>
      <c r="C9" t="inlineStr">
        <is>
          <t>Capital One</t>
        </is>
      </c>
      <c r="D9" t="inlineStr">
        <is>
          <t>indeed</t>
        </is>
      </c>
      <c r="E9" t="inlineStr"/>
      <c r="F9" t="inlineStr"/>
      <c r="G9" t="inlineStr">
        <is>
          <t>New York, NY, US</t>
        </is>
      </c>
      <c r="H9" s="1" t="n">
        <v>46086</v>
      </c>
      <c r="I9" t="inlineStr">
        <is>
          <t>Senior Data Engineer (AWS, Spark, Python, 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in-418b09b41502f7df</t>
        </is>
      </c>
      <c r="B10" t="inlineStr">
        <is>
          <t>Senior Data Engineer (AWS, Spark, Python, SQL)</t>
        </is>
      </c>
      <c r="C10" t="inlineStr">
        <is>
          <t>Capital One</t>
        </is>
      </c>
      <c r="D10" t="inlineStr">
        <is>
          <t>indeed</t>
        </is>
      </c>
      <c r="E10" t="inlineStr"/>
      <c r="F10" t="inlineStr"/>
      <c r="G10" t="inlineStr">
        <is>
          <t>New York, NY, US</t>
        </is>
      </c>
      <c r="H10" s="1" t="n">
        <v>46086</v>
      </c>
      <c r="I10" t="inlineStr">
        <is>
          <t>Senior Data Engineer (AWS, Spark, Python, 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in-bb72574c70f03af3</t>
        </is>
      </c>
      <c r="B11" t="inlineStr">
        <is>
          <t>Distinguished Data Engineer</t>
        </is>
      </c>
      <c r="C11" t="inlineStr">
        <is>
          <t>Capital One</t>
        </is>
      </c>
      <c r="D11" t="inlineStr">
        <is>
          <t>indeed</t>
        </is>
      </c>
      <c r="E11" t="inlineStr"/>
      <c r="F11" t="inlineStr"/>
      <c r="G11" t="inlineStr">
        <is>
          <t>McLean, VA, US</t>
        </is>
      </c>
      <c r="H11" s="1" t="n">
        <v>46086</v>
      </c>
      <c r="I11" t="inlineStr">
        <is>
          <t>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Be responsible for defining the strategic vision, overseeing the development, and managing the growth of an organization's autonomous AI systems and platforms. This position requires a combination of strategic thinking, technical expertise in AI/ML, and strong leadership to align the platform with business goals, build and manage teams, and drive innovation.
* Provide technical leadership for the design, development, testing and deployment of agentic workflows across Capital One
* Develop and execute the strategic vision and roadmap for the agentic AI platform, ensuring it aligns with organizational priorities.
* Guide technical teams, set best practices for AI orchestration, MLOps, and application development, and ensure platform scalability and reliability.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(e.g. Hadoop, AWS, Snowflake)
* At least 3 years of experience in data architecture
* At least 2 years of experience building applications in AWS
* At least 5 years of experience of Python, SQL or Scala
* At least 3 years of experience developing AI and ML algorithms or technologies
 **Preferred Qualifications:**
* Masters’ Degree
* 5\+ years of experience in Data Governance, Data Governance Platforms, Data Standardization, and Data Modeling
* Experience developing AI and ML algorithms or technologies (e.g. LLM Inference, Similarity Search and VectorDBs, Guardrails, Memory) using Python, C\+\+, C\#, Java, or Golang
* 3\+ years of experience deploying scalable and responsible AI solutions on cloud platforms (e.g. AWS, Google Cloud, Azure, or equivalent private cloud)
* 3\+ years of experience implementing big data processing solutions on AWS or any Hadoop environments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in-bdf06b4eac448e55</t>
        </is>
      </c>
      <c r="B12" t="inlineStr">
        <is>
          <t>Data Engineer II, AWS Commerce Platform-ADC</t>
        </is>
      </c>
      <c r="C12" t="inlineStr">
        <is>
          <t>Amazon Web Services</t>
        </is>
      </c>
      <c r="D12" t="inlineStr">
        <is>
          <t>indeed</t>
        </is>
      </c>
      <c r="E12" t="inlineStr"/>
      <c r="F12" t="inlineStr"/>
      <c r="G12" t="inlineStr">
        <is>
          <t>Jessup, MD, US</t>
        </is>
      </c>
      <c r="H12" s="1" t="n">
        <v>46078</v>
      </c>
      <c r="I12"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3">
      <c r="A13" t="inlineStr">
        <is>
          <t>in-d5c62664049621ee</t>
        </is>
      </c>
      <c r="B13" t="inlineStr">
        <is>
          <t>Data Engineer II, AWS Commerce Platform-ADC</t>
        </is>
      </c>
      <c r="C13" t="inlineStr">
        <is>
          <t>Amazon Web Services</t>
        </is>
      </c>
      <c r="D13" t="inlineStr">
        <is>
          <t>indeed</t>
        </is>
      </c>
      <c r="E13" t="inlineStr"/>
      <c r="F13" t="inlineStr"/>
      <c r="G13" t="inlineStr">
        <is>
          <t>Arlington, VA, US</t>
        </is>
      </c>
      <c r="H13" s="1" t="n">
        <v>46078</v>
      </c>
      <c r="I13"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4">
      <c r="A14" t="inlineStr">
        <is>
          <t>in-8deae4ca3921c079</t>
        </is>
      </c>
      <c r="B14" t="inlineStr">
        <is>
          <t>Data Engineer II, AWS Commerce Platform-ADC</t>
        </is>
      </c>
      <c r="C14" t="inlineStr">
        <is>
          <t>Amazon Web Services</t>
        </is>
      </c>
      <c r="D14" t="inlineStr">
        <is>
          <t>indeed</t>
        </is>
      </c>
      <c r="E14" t="inlineStr"/>
      <c r="F14" t="inlineStr"/>
      <c r="G14" t="inlineStr">
        <is>
          <t>Herndon, VA, US</t>
        </is>
      </c>
      <c r="H14" s="1" t="n">
        <v>46078</v>
      </c>
      <c r="I14"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5">
      <c r="A15" t="inlineStr">
        <is>
          <t>in-0fe92580ef494f03</t>
        </is>
      </c>
      <c r="B15" t="inlineStr">
        <is>
          <t>Data Engineer II, AWS Commerce Platform-ADC</t>
        </is>
      </c>
      <c r="C15" t="inlineStr">
        <is>
          <t>Amazon Web Services</t>
        </is>
      </c>
      <c r="D15" t="inlineStr">
        <is>
          <t>indeed</t>
        </is>
      </c>
      <c r="E15" t="inlineStr"/>
      <c r="F15" t="inlineStr"/>
      <c r="G15" t="inlineStr">
        <is>
          <t>Seattle, WA, US</t>
        </is>
      </c>
      <c r="H15" s="1" t="n">
        <v>46078</v>
      </c>
      <c r="I15"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6">
      <c r="A16" t="inlineStr">
        <is>
          <t>in-b39d7b01b2a223e6</t>
        </is>
      </c>
      <c r="B16" t="inlineStr">
        <is>
          <t>Data Engineer II, AWS Commerce Platform-ADC</t>
        </is>
      </c>
      <c r="C16" t="inlineStr">
        <is>
          <t>Amazon Web Services</t>
        </is>
      </c>
      <c r="D16" t="inlineStr">
        <is>
          <t>indeed</t>
        </is>
      </c>
      <c r="E16" t="inlineStr"/>
      <c r="F16" t="inlineStr"/>
      <c r="G16" t="inlineStr">
        <is>
          <t>Denver, CO, US</t>
        </is>
      </c>
      <c r="H16" s="1" t="n">
        <v>46078</v>
      </c>
      <c r="I16"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7">
      <c r="A17" t="inlineStr">
        <is>
          <t>in-97b55d8b07b2c0f0</t>
        </is>
      </c>
      <c r="B17" t="inlineStr">
        <is>
          <t>Sr. Data Engineer, GO-AI Technology &amp; Development Team</t>
        </is>
      </c>
      <c r="C17" t="inlineStr">
        <is>
          <t>Amazon.com</t>
        </is>
      </c>
      <c r="D17" t="inlineStr">
        <is>
          <t>indeed</t>
        </is>
      </c>
      <c r="E17" t="inlineStr"/>
      <c r="F17" t="inlineStr"/>
      <c r="G17" t="inlineStr">
        <is>
          <t>Boston, MA, US</t>
        </is>
      </c>
      <c r="H17" s="1" t="n">
        <v>46077</v>
      </c>
      <c r="I1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18">
      <c r="A18" t="inlineStr">
        <is>
          <t>in-5f5d89d9ef34ab84</t>
        </is>
      </c>
      <c r="B18" t="inlineStr">
        <is>
          <t>Sr. Data Engineer, GO-AI Technology &amp; Development Team</t>
        </is>
      </c>
      <c r="C18" t="inlineStr">
        <is>
          <t>Amazon.com</t>
        </is>
      </c>
      <c r="D18" t="inlineStr">
        <is>
          <t>indeed</t>
        </is>
      </c>
      <c r="E18" t="inlineStr"/>
      <c r="F18" t="inlineStr"/>
      <c r="G18" t="inlineStr">
        <is>
          <t>Seattle, WA, US</t>
        </is>
      </c>
      <c r="H18" s="1" t="n">
        <v>46077</v>
      </c>
      <c r="I1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19">
      <c r="A19" t="inlineStr">
        <is>
          <t>in-50bc04fe1ad72d12</t>
        </is>
      </c>
      <c r="B19" t="inlineStr">
        <is>
          <t>Sr. Data Engineer, GO-AI Technology &amp; Development Team</t>
        </is>
      </c>
      <c r="C19" t="inlineStr">
        <is>
          <t>Amazon.com</t>
        </is>
      </c>
      <c r="D19" t="inlineStr">
        <is>
          <t>indeed</t>
        </is>
      </c>
      <c r="E19" t="inlineStr"/>
      <c r="F19" t="inlineStr"/>
      <c r="G19" t="inlineStr">
        <is>
          <t>Westborough, MA, US</t>
        </is>
      </c>
      <c r="H19" s="1" t="n">
        <v>46077</v>
      </c>
      <c r="I1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20">
      <c r="A20" t="inlineStr">
        <is>
          <t>in-44fd1af9135c7ab4</t>
        </is>
      </c>
      <c r="B20" t="inlineStr">
        <is>
          <t>Sr. Data Engineer, GO-AI Technology &amp; Development Team</t>
        </is>
      </c>
      <c r="C20" t="inlineStr">
        <is>
          <t>Amazon.com</t>
        </is>
      </c>
      <c r="D20" t="inlineStr">
        <is>
          <t>indeed</t>
        </is>
      </c>
      <c r="E20" t="inlineStr"/>
      <c r="F20" t="inlineStr"/>
      <c r="G20" t="inlineStr">
        <is>
          <t>Reading, MA, US</t>
        </is>
      </c>
      <c r="H20" s="1" t="n">
        <v>46077</v>
      </c>
      <c r="I2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21">
      <c r="A21" t="inlineStr">
        <is>
          <t>in-5b19797f54a8cac2</t>
        </is>
      </c>
      <c r="B21" t="inlineStr">
        <is>
          <t>Data Engineer II , UTR PLanning Tech</t>
        </is>
      </c>
      <c r="C21" t="inlineStr">
        <is>
          <t>Amazon.com</t>
        </is>
      </c>
      <c r="D21" t="inlineStr">
        <is>
          <t>indeed</t>
        </is>
      </c>
      <c r="E21" t="inlineStr"/>
      <c r="F21" t="inlineStr"/>
      <c r="G21" t="inlineStr">
        <is>
          <t>Bellevue, WA, US</t>
        </is>
      </c>
      <c r="H21" s="1" t="n">
        <v>46070</v>
      </c>
      <c r="I2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2">
      <c r="A22" t="inlineStr">
        <is>
          <t>in-1fca8bf75c935866</t>
        </is>
      </c>
      <c r="B22" t="inlineStr">
        <is>
          <t>Data Engineer II , UTR PLanning Tech</t>
        </is>
      </c>
      <c r="C22" t="inlineStr">
        <is>
          <t>Amazon.com</t>
        </is>
      </c>
      <c r="D22" t="inlineStr">
        <is>
          <t>indeed</t>
        </is>
      </c>
      <c r="E22" t="inlineStr"/>
      <c r="F22" t="inlineStr"/>
      <c r="G22" t="inlineStr">
        <is>
          <t>Austin, TX, US</t>
        </is>
      </c>
      <c r="H22" s="1" t="n">
        <v>46070</v>
      </c>
      <c r="I2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3">
      <c r="A23" t="inlineStr">
        <is>
          <t>in-cbd08ec6094a4aa9</t>
        </is>
      </c>
      <c r="B23" t="inlineStr">
        <is>
          <t>Data Engineer II , UTR PLanning Tech</t>
        </is>
      </c>
      <c r="C23" t="inlineStr">
        <is>
          <t>Amazon.com</t>
        </is>
      </c>
      <c r="D23" t="inlineStr">
        <is>
          <t>indeed</t>
        </is>
      </c>
      <c r="E23" t="inlineStr"/>
      <c r="F23" t="inlineStr"/>
      <c r="G23" t="inlineStr">
        <is>
          <t>Nashville, TN, US</t>
        </is>
      </c>
      <c r="H23" s="1" t="n">
        <v>46070</v>
      </c>
      <c r="I2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4">
      <c r="A24" t="inlineStr">
        <is>
          <t>in-b75061dad689284f</t>
        </is>
      </c>
      <c r="B24" t="inlineStr">
        <is>
          <t>Data Engineer II, UTR PLanning Tech</t>
        </is>
      </c>
      <c r="C24" t="inlineStr">
        <is>
          <t>Amazon.com</t>
        </is>
      </c>
      <c r="D24" t="inlineStr">
        <is>
          <t>indeed</t>
        </is>
      </c>
      <c r="E24" t="inlineStr"/>
      <c r="F24" t="inlineStr"/>
      <c r="G24" t="inlineStr">
        <is>
          <t>Nashville, TN, US</t>
        </is>
      </c>
      <c r="H24" s="1" t="n">
        <v>46065</v>
      </c>
      <c r="I2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5">
      <c r="A25" t="inlineStr">
        <is>
          <t>in-8ee5c4ee130e4e5e</t>
        </is>
      </c>
      <c r="B25" t="inlineStr">
        <is>
          <t>Data Engineer II, UTR PLanning Tech</t>
        </is>
      </c>
      <c r="C25" t="inlineStr">
        <is>
          <t>Amazon.com</t>
        </is>
      </c>
      <c r="D25" t="inlineStr">
        <is>
          <t>indeed</t>
        </is>
      </c>
      <c r="E25" t="inlineStr"/>
      <c r="F25" t="inlineStr"/>
      <c r="G25" t="inlineStr">
        <is>
          <t>Bellevue, WA, US</t>
        </is>
      </c>
      <c r="H25" s="1" t="n">
        <v>46065</v>
      </c>
      <c r="I2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6">
      <c r="A26" t="inlineStr">
        <is>
          <t>in-2aa0d1049c0a15ed</t>
        </is>
      </c>
      <c r="B26" t="inlineStr">
        <is>
          <t>Data Engineer II, UTR PLanning Tech</t>
        </is>
      </c>
      <c r="C26" t="inlineStr">
        <is>
          <t>Amazon.com</t>
        </is>
      </c>
      <c r="D26" t="inlineStr">
        <is>
          <t>indeed</t>
        </is>
      </c>
      <c r="E26" t="inlineStr"/>
      <c r="F26" t="inlineStr"/>
      <c r="G26" t="inlineStr">
        <is>
          <t>Austin, TX, US</t>
        </is>
      </c>
      <c r="H26" s="1" t="n">
        <v>46065</v>
      </c>
      <c r="I2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7">
      <c r="A27" t="inlineStr">
        <is>
          <t>in-f36268a182e46c04</t>
        </is>
      </c>
      <c r="B27" t="inlineStr">
        <is>
          <t>Senior Big Data Engineer, IDEAS - D&amp;A - Revenue</t>
        </is>
      </c>
      <c r="C27" t="inlineStr">
        <is>
          <t>Amazon Web Services</t>
        </is>
      </c>
      <c r="D27" t="inlineStr">
        <is>
          <t>indeed</t>
        </is>
      </c>
      <c r="E27" t="inlineStr"/>
      <c r="F27" t="inlineStr"/>
      <c r="G27" t="inlineStr">
        <is>
          <t>Dallas, TX, US</t>
        </is>
      </c>
      <c r="H27" s="1" t="n">
        <v>46064</v>
      </c>
      <c r="I27"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28">
      <c r="A28" t="inlineStr">
        <is>
          <t>in-56ac936e83a4ff83</t>
        </is>
      </c>
      <c r="B28" t="inlineStr">
        <is>
          <t>Senior Big Data Engineer, IDEAS - D&amp;A - Revenue</t>
        </is>
      </c>
      <c r="C28" t="inlineStr">
        <is>
          <t>Amazon Web Services</t>
        </is>
      </c>
      <c r="D28" t="inlineStr">
        <is>
          <t>indeed</t>
        </is>
      </c>
      <c r="E28" t="inlineStr"/>
      <c r="F28" t="inlineStr"/>
      <c r="G28" t="inlineStr">
        <is>
          <t>Seattle, WA, US</t>
        </is>
      </c>
      <c r="H28" s="1" t="n">
        <v>46064</v>
      </c>
      <c r="I28"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29">
      <c r="A29" t="inlineStr">
        <is>
          <t>in-02fc74520d7d48e9</t>
        </is>
      </c>
      <c r="B29" t="inlineStr">
        <is>
          <t>Software Development Manager, Amazon Security Data Engineering</t>
        </is>
      </c>
      <c r="C29" t="inlineStr">
        <is>
          <t>Amazon.com</t>
        </is>
      </c>
      <c r="D29" t="inlineStr">
        <is>
          <t>indeed</t>
        </is>
      </c>
      <c r="E29" t="inlineStr"/>
      <c r="F29" t="inlineStr"/>
      <c r="G29" t="inlineStr">
        <is>
          <t>San Diego, CA, US</t>
        </is>
      </c>
      <c r="H29" s="1" t="n">
        <v>46063</v>
      </c>
      <c r="I29"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30">
      <c r="A30" t="inlineStr">
        <is>
          <t>in-47a116f1d9d82ea9</t>
        </is>
      </c>
      <c r="B30" t="inlineStr">
        <is>
          <t>Software Development Manager, Amazon Security Data Engineering</t>
        </is>
      </c>
      <c r="C30" t="inlineStr">
        <is>
          <t>Amazon.com</t>
        </is>
      </c>
      <c r="D30" t="inlineStr">
        <is>
          <t>indeed</t>
        </is>
      </c>
      <c r="E30" t="inlineStr"/>
      <c r="F30" t="inlineStr"/>
      <c r="G30" t="inlineStr">
        <is>
          <t>Herndon, VA, US</t>
        </is>
      </c>
      <c r="H30" s="1" t="n">
        <v>46063</v>
      </c>
      <c r="I30"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31">
      <c r="A31" t="inlineStr">
        <is>
          <t>in-c09c97a77d5e336b</t>
        </is>
      </c>
      <c r="B31" t="inlineStr">
        <is>
          <t>Data Engineer, AMZL Orbit Data Engineering</t>
        </is>
      </c>
      <c r="C31" t="inlineStr">
        <is>
          <t>Amazon.com</t>
        </is>
      </c>
      <c r="D31" t="inlineStr">
        <is>
          <t>indeed</t>
        </is>
      </c>
      <c r="E31" t="inlineStr"/>
      <c r="F31" t="inlineStr"/>
      <c r="G31" t="inlineStr">
        <is>
          <t>Austin, TX, US</t>
        </is>
      </c>
      <c r="H31" s="1" t="n">
        <v>46054</v>
      </c>
      <c r="I3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2">
      <c r="A32" t="inlineStr">
        <is>
          <t>in-5f98ae6dd865208a</t>
        </is>
      </c>
      <c r="B32" t="inlineStr">
        <is>
          <t>Data Engineer, AMZL Orbit Data Engineering</t>
        </is>
      </c>
      <c r="C32" t="inlineStr">
        <is>
          <t>Amazon.com</t>
        </is>
      </c>
      <c r="D32" t="inlineStr">
        <is>
          <t>indeed</t>
        </is>
      </c>
      <c r="E32" t="inlineStr"/>
      <c r="F32" t="inlineStr"/>
      <c r="G32" t="inlineStr">
        <is>
          <t>Bellevue, WA, US</t>
        </is>
      </c>
      <c r="H32" s="1" t="n">
        <v>46054</v>
      </c>
      <c r="I3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3">
      <c r="A33" t="inlineStr">
        <is>
          <t>in-6c13ddebc43c1486</t>
        </is>
      </c>
      <c r="B33" t="inlineStr">
        <is>
          <t>Data Engineer, AMZL Orbit Data Engineering</t>
        </is>
      </c>
      <c r="C33" t="inlineStr">
        <is>
          <t>Amazon.com</t>
        </is>
      </c>
      <c r="D33" t="inlineStr">
        <is>
          <t>indeed</t>
        </is>
      </c>
      <c r="E33" t="inlineStr"/>
      <c r="F33" t="inlineStr"/>
      <c r="G33" t="inlineStr">
        <is>
          <t>Nashville, TN, US</t>
        </is>
      </c>
      <c r="H33" s="1" t="n">
        <v>46054</v>
      </c>
      <c r="I3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4">
      <c r="A34" t="inlineStr">
        <is>
          <t>in-090903081ef04e79</t>
        </is>
      </c>
      <c r="B34" t="inlineStr">
        <is>
          <t>Data Engineer, Denied Party Screening, AWS Compliance &amp; Security Assurance</t>
        </is>
      </c>
      <c r="C34" t="inlineStr">
        <is>
          <t>Amazon.com</t>
        </is>
      </c>
      <c r="D34" t="inlineStr">
        <is>
          <t>indeed</t>
        </is>
      </c>
      <c r="E34" t="inlineStr"/>
      <c r="F34" t="inlineStr"/>
      <c r="G34" t="inlineStr">
        <is>
          <t>Dallas, TX, US</t>
        </is>
      </c>
      <c r="H34" s="1" t="n">
        <v>46029</v>
      </c>
      <c r="I3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5">
      <c r="A35" t="inlineStr">
        <is>
          <t>in-df8bb250f963539f</t>
        </is>
      </c>
      <c r="B35" t="inlineStr">
        <is>
          <t>Data Engineer, Denied Party Screening, AWS Compliance &amp; Security Assurance</t>
        </is>
      </c>
      <c r="C35" t="inlineStr">
        <is>
          <t>Amazon.com</t>
        </is>
      </c>
      <c r="D35" t="inlineStr">
        <is>
          <t>indeed</t>
        </is>
      </c>
      <c r="E35" t="inlineStr"/>
      <c r="F35" t="inlineStr"/>
      <c r="G35" t="inlineStr">
        <is>
          <t>Seattle, WA, US</t>
        </is>
      </c>
      <c r="H35" s="1" t="n">
        <v>46029</v>
      </c>
      <c r="I3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6">
      <c r="A36" t="inlineStr">
        <is>
          <t>in-0bf92d2da23582ed</t>
        </is>
      </c>
      <c r="B36" t="inlineStr">
        <is>
          <t>Senior Lead Data Engineer (Intelligent Foundations and Experiences)</t>
        </is>
      </c>
      <c r="C36" t="inlineStr">
        <is>
          <t>Capital One</t>
        </is>
      </c>
      <c r="D36" t="inlineStr">
        <is>
          <t>indeed</t>
        </is>
      </c>
      <c r="E36">
        <f>HYPERLINK("https://www.indeed.com/viewjob?jk=0bf92d2da23582ed", "https://www.indeed.com/viewjob?jk=0bf92d2da23582ed")</f>
        <v/>
      </c>
      <c r="F36">
        <f>HYPERLINK("https://www.capitalonecareers.com/job/-/-/1732/92479263088", "https://www.capitalonecareers.com/job/-/-/1732/92479263088")</f>
        <v/>
      </c>
      <c r="G36" t="inlineStr">
        <is>
          <t>McLean, VA, US</t>
        </is>
      </c>
      <c r="H36" s="2" t="n">
        <v>46087</v>
      </c>
      <c r="I36" t="inlineStr">
        <is>
          <t>Senior Lead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Plano, TX: $209,000 \- $238,500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7">
      <c r="A37" t="inlineStr">
        <is>
          <t>in-408237f52a032a75</t>
        </is>
      </c>
      <c r="B37" t="inlineStr">
        <is>
          <t>Senior Manager, Data Engineering (Intelligent Foundations and Experiences)</t>
        </is>
      </c>
      <c r="C37" t="inlineStr">
        <is>
          <t>Capital One</t>
        </is>
      </c>
      <c r="D37" t="inlineStr">
        <is>
          <t>indeed</t>
        </is>
      </c>
      <c r="E37">
        <f>HYPERLINK("https://www.indeed.com/viewjob?jk=408237f52a032a75", "https://www.indeed.com/viewjob?jk=408237f52a032a75")</f>
        <v/>
      </c>
      <c r="F37">
        <f>HYPERLINK("https://www.capitalonecareers.com/job/-/-/1732/92479262160", "https://www.capitalonecareers.com/job/-/-/1732/92479262160")</f>
        <v/>
      </c>
      <c r="G37" t="inlineStr">
        <is>
          <t>McLean, VA, US</t>
        </is>
      </c>
      <c r="H37" s="2" t="n">
        <v>46087</v>
      </c>
      <c r="I37" t="inlineStr">
        <is>
          <t>Senior Manager, Data Engineering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Plano, TX: $209,000 \- $238,500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8">
      <c r="A38" t="inlineStr">
        <is>
          <t>in-de1c1e8c1f767d2c</t>
        </is>
      </c>
      <c r="B38" t="inlineStr">
        <is>
          <t>Senior Data Engineer (Intelligent Foundations and Experiences)</t>
        </is>
      </c>
      <c r="C38" t="inlineStr">
        <is>
          <t>Capital One</t>
        </is>
      </c>
      <c r="D38" t="inlineStr">
        <is>
          <t>indeed</t>
        </is>
      </c>
      <c r="E38">
        <f>HYPERLINK("https://www.indeed.com/viewjob?jk=de1c1e8c1f767d2c", "https://www.indeed.com/viewjob?jk=de1c1e8c1f767d2c")</f>
        <v/>
      </c>
      <c r="F38">
        <f>HYPERLINK("https://www.capitalonecareers.com/job/-/-/1732/92479263312", "https://www.capitalonecareers.com/job/-/-/1732/92479263312")</f>
        <v/>
      </c>
      <c r="G38" t="inlineStr">
        <is>
          <t>McLean, VA, US</t>
        </is>
      </c>
      <c r="H38" s="2" t="n">
        <v>46087</v>
      </c>
      <c r="I38" t="inlineStr">
        <is>
          <t>Senior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9">
      <c r="A39" t="inlineStr">
        <is>
          <t>in-161bd6dccdb7d510</t>
        </is>
      </c>
      <c r="B39" t="inlineStr">
        <is>
          <t>Lead Data Engineer (Intelligent Foundations and Experiences)</t>
        </is>
      </c>
      <c r="C39" t="inlineStr">
        <is>
          <t>Capital One</t>
        </is>
      </c>
      <c r="D39" t="inlineStr">
        <is>
          <t>indeed</t>
        </is>
      </c>
      <c r="E39">
        <f>HYPERLINK("https://www.indeed.com/viewjob?jk=161bd6dccdb7d510", "https://www.indeed.com/viewjob?jk=161bd6dccdb7d510")</f>
        <v/>
      </c>
      <c r="F39">
        <f>HYPERLINK("https://www.capitalonecareers.com/job/-/-/1732/92479263040", "https://www.capitalonecareers.com/job/-/-/1732/92479263040")</f>
        <v/>
      </c>
      <c r="G39" t="inlineStr">
        <is>
          <t>McLean, VA, US</t>
        </is>
      </c>
      <c r="H39" s="2" t="n">
        <v>46087</v>
      </c>
      <c r="I39" t="inlineStr">
        <is>
          <t>Lead Data Engineer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0">
      <c r="A40" t="inlineStr">
        <is>
          <t>in-05cbdfb59f677080</t>
        </is>
      </c>
      <c r="B40" t="inlineStr">
        <is>
          <t>Data Engineer</t>
        </is>
      </c>
      <c r="C40" t="inlineStr">
        <is>
          <t>Guidehouse</t>
        </is>
      </c>
      <c r="D40" t="inlineStr">
        <is>
          <t>indeed</t>
        </is>
      </c>
      <c r="E40">
        <f>HYPERLINK("https://www.indeed.com/viewjob?jk=05cbdfb59f677080", "https://www.indeed.com/viewjob?jk=05cbdfb59f677080")</f>
        <v/>
      </c>
      <c r="F40">
        <f>HYPERLINK("https://guidehouse.searchgreatcareers.com/job/fairview-heights/data-engineer/25181/92487264768", "https://guidehouse.searchgreatcareers.com/job/fairview-heights/data-engineer/25181/92487264768")</f>
        <v/>
      </c>
      <c r="G40" t="inlineStr">
        <is>
          <t>Fairview Heights, IL, US</t>
        </is>
      </c>
      <c r="H40" s="2" t="n">
        <v>46087</v>
      </c>
      <c r="I40" t="inlineStr">
        <is>
          <t>Job Family:
Data Science \&amp; Analysis  
Travel Required:
None  
Clearance Required:
Ability to Obtain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Must be able to OBTAIN and MAINTAIN a Federal or DoD "SECRET" security clearance; candidates must obtain approved adjudication of clearance prior to onboarding with Guidehouse. Candidates with an ACTIVE "SECRET" or higher\-level clearance are preferred.
* Bachelor’s degree is required
* THREE (3\) or more years of experience in data engineering and dashboard development.
What Would Be Nice To Have:
* Experience with ADVANA.
* Proven experience with Databricks, business intelligence tools, and cloud platforms (AWS, Azure.)
* Strong proficiency in SQL, Python, and Spark.
* Experience building ETL pipelines and integrating data sources into reporting platforms.
* Familiarity with data governance, metadata, and compliance frameworks.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41">
      <c r="A41" t="inlineStr">
        <is>
          <t>in-4c5fdaa01d2547f8</t>
        </is>
      </c>
      <c r="B41" t="inlineStr">
        <is>
          <t>Cleared Data Engineer</t>
        </is>
      </c>
      <c r="C41" t="inlineStr">
        <is>
          <t>Guidehouse</t>
        </is>
      </c>
      <c r="D41" t="inlineStr">
        <is>
          <t>indeed</t>
        </is>
      </c>
      <c r="E41">
        <f>HYPERLINK("https://www.indeed.com/viewjob?jk=4c5fdaa01d2547f8", "https://www.indeed.com/viewjob?jk=4c5fdaa01d2547f8")</f>
        <v/>
      </c>
      <c r="F41">
        <f>HYPERLINK("https://guidehouse.searchgreatcareers.com/job/washington/cleared-data-engineer/25181/92487265024", "https://guidehouse.searchgreatcareers.com/job/washington/cleared-data-engineer/25181/92487265024")</f>
        <v/>
      </c>
      <c r="G41" t="inlineStr">
        <is>
          <t>Washington, DC, US</t>
        </is>
      </c>
      <c r="H41" s="2" t="n">
        <v>46087</v>
      </c>
      <c r="I41" t="inlineStr">
        <is>
          <t>Job Family:
Data Science Consulting  
Travel Required:
None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Our services enable our clients to define their information strategy, enable mission critical insights and data\-driven decision making, reduce cost and complexity, increase trust, and improve operational effectiveness. The position will be supporting the Chief Information Security Officer with the development of Data Quality monitoring tools for the State Department’s Master User Record (MUR) Zero Trust Cybersecurity effort.
* Build and maintain ETL/ELT pipelines in Python, including new scripts for data quality, performance, and health scoring.
* Optimize data workflows for scalability, performance, and cost across batch and streaming processes.
* Implement and automate data quality rules, checks, and monitoring Identity Management attributes.
* Monitor data freshness, completeness, quality, and pipeline health; investigate and resolve incidents.
* Document data lineage, schema changes, and transformations; support schema evolution.
* Maintain clear documentation and collaborate with governance, analytics, and application teams; participate in code reviews.
What You Will Need:
* An ACTIVE and MAINTAINED "SECRET" Federal or DoD security clearance
* Bachelor's degree
* THREE (3\) or more years of experience in data engineering, data analysis or data science OR 2 years of data engineering, data analysis or data science experience with a Master's degree
* Experience in Python, SQ, Splunk and Databricks.
* Experience with Tableau dashboard development
* Ability to support on\-site and hybrid projects in the DC metro area
What Would Be Nice To Have:
* Competencies in IT Risk and/or Cyber domains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design data modeling processes, create algorithms and predictive models, as well as perform custom analysis
* Quality control experience including debugging and conducting Quality Assurance of new features and enhancements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42">
      <c r="A42" t="inlineStr">
        <is>
          <t>in-63f5125fa509fe86</t>
        </is>
      </c>
      <c r="B42" t="inlineStr">
        <is>
          <t>Analytics Engineer (AJC)</t>
        </is>
      </c>
      <c r="C42" t="inlineStr">
        <is>
          <t>Cox Enterprises</t>
        </is>
      </c>
      <c r="D42" t="inlineStr">
        <is>
          <t>indeed</t>
        </is>
      </c>
      <c r="E42">
        <f>HYPERLINK("https://www.indeed.com/viewjob?jk=63f5125fa509fe86", "https://www.indeed.com/viewjob?jk=63f5125fa509fe86")</f>
        <v/>
      </c>
      <c r="F42">
        <f>HYPERLINK("https://click.appcast.io/t/0_erJfAUCCJFr5Sz6GirmPZSRZSEC_FopNOqgPop1w0=", "https://click.appcast.io/t/0_erJfAUCCJFr5Sz6GirmPZSRZSEC_FopNOqgPop1w0=")</f>
        <v/>
      </c>
      <c r="G42" t="inlineStr">
        <is>
          <t>Atlanta, GA, US</t>
        </is>
      </c>
      <c r="H42" s="2" t="n">
        <v>46086</v>
      </c>
      <c r="I42" t="inlineStr">
        <is>
          <t>We are looking for a skilled Analytics Engineer to help structure, transform, and optimize our data to support analytics and reporting across the company. In this role, you will build and maintain data pipelines, develop high\-quality data models, and ensure our data is accurate, consistent, and ready for use. Our team works primarily in Snowflake with dbt, alongside AWS, GCP, and other modern data tools. This role is a great opportunity to grow your technical expertise in a fast\-paced environment and contribute to data solutions that support key business decisions.  
At The Atlanta Journal\-Constitution (AJC), our mission is to be the most essential and engaging source of news for the people of Atlanta, Georgia and the South. As we transition from a historic daily newspaper to a dynamic modern media company, we are seeking a talented Analytics Engineerto join our team. The AJC believes that when you cover the South, you uncover the nation. It's a belief that's produced award\-winning journalism, elevated our community, and captured the substance and soul of our hometown.  
If you're ready to make headlines with your talent and drive, we want you on our team. Apply now and be a part of the next chapter in the AJC's transformation.  
**WHAT YOU'LL DO**  
**Key Responsibilities:**  
* Develop and maintain scalable dbt models, following best practices for modularity and performance.
* Apply Kimball\-style dimensional modeling techniques (star schema, slowly changing dimensions, fact and dimension tables) to structure data for analysis and reporting.
* Explore, analyze, and validate data to ensure accuracy, consistency, and completeness of dbt models.
* Implement and maintain automated dbt tests to ensure data quality, including checks for anomalies, nulls, duplicates, and referential integrity.
* Investigate and troubleshoot data anomalies, pipeline errors, and model discrepancies, collaborating with teams to resolve issues promptly.
* Partner closely with data analysts to build reliable reporting models and ensure the data feeding reports is accurate, actionable, and aligned with business needs.
* Ensure the availability, consistency, and accessibility of data for analytics teams working with Tableau and other BI tools.
* Participate in **code and PR reviews** to maintain high\-quality, consistent dbt models and data pipeline code.
* Monitor and optimize data pipeline performance, leveraging tools on AWS such as Lambda, SQS, Athena, EC2, and Kinesis.
* Follow data governance standards to ensure data integrity, security, and compliance.
**WHO YOU ARE**  
**Required Qualifications:**  
* REQUIRED\- must live within a commutable distance to AJC Midtown Atlanta office.
* Applicants must currently be authorized to work in the United States for any employer without current or future sponsorship. No OPT, CPT, STEM/OPT or visa sponsorship now or in future.
* 2\-4 years of experience as an Analytics Engineer or in a related role.
* Bachelor's degree in Computer Science, Data Science, Statistics, or a related field with 2\+ years experience or 14 years equivalent working experience
* Good understanding of data quality, validation, and governance practices.
* Experience working with data analysts or BI teams to build accurate reporting datasets.
* Proficiency with Snowflake or similar cloud data warehouse technologies
* Solid understanding of dimensional modeling concepts (star schemas, fact and dimension tables, slowly changing dimensions).
**Preferred Qualifications**  
* Experience using dbt for building, testing, and maintaining data models.
* Experience collaborating with data analysts to build accurate, actionable reporting models.
* Proficiency with Snowflake and building scalable data warehouses.
* Familiarity with AWS services (Lambda, SQS, Athena, EC2, Kinesis) and cloud\-based data pipelines.
* Understanding of event and web analytics data from tools like Amplitude and Google Analytics.
* Experience with real\-time data streams and troubleshooting data pipeline issues.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43">
      <c r="A43" t="inlineStr">
        <is>
          <t>in-b5f4d600520d0e96</t>
        </is>
      </c>
      <c r="B43" t="inlineStr">
        <is>
          <t>Senior Data Engineer (AWS, Spark, Python, SQL)</t>
        </is>
      </c>
      <c r="C43" t="inlineStr">
        <is>
          <t>Capital One</t>
        </is>
      </c>
      <c r="D43" t="inlineStr">
        <is>
          <t>indeed</t>
        </is>
      </c>
      <c r="E43">
        <f>HYPERLINK("https://www.indeed.com/viewjob?jk=b5f4d600520d0e96", "https://www.indeed.com/viewjob?jk=b5f4d600520d0e96")</f>
        <v/>
      </c>
      <c r="F43">
        <f>HYPERLINK("https://www.capitalonecareers.com/job/-/-/1732/92463057152", "https://www.capitalonecareers.com/job/-/-/1732/92463057152")</f>
        <v/>
      </c>
      <c r="G43" t="inlineStr">
        <is>
          <t>New York, NY, US</t>
        </is>
      </c>
      <c r="H43" s="2" t="n">
        <v>46086</v>
      </c>
      <c r="I43" t="inlineStr">
        <is>
          <t>Senior Data Engineer (AWS, Spark, Python, 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in-418b09b41502f7df</t>
        </is>
      </c>
      <c r="B44" t="inlineStr">
        <is>
          <t>Senior Data Engineer (AWS, Spark, Python, SQL)</t>
        </is>
      </c>
      <c r="C44" t="inlineStr">
        <is>
          <t>Capital One</t>
        </is>
      </c>
      <c r="D44" t="inlineStr">
        <is>
          <t>indeed</t>
        </is>
      </c>
      <c r="E44">
        <f>HYPERLINK("https://www.indeed.com/viewjob?jk=418b09b41502f7df", "https://www.indeed.com/viewjob?jk=418b09b41502f7df")</f>
        <v/>
      </c>
      <c r="F44">
        <f>HYPERLINK("https://www.capitalonecareers.com/job/-/-/1732/92463057104", "https://www.capitalonecareers.com/job/-/-/1732/92463057104")</f>
        <v/>
      </c>
      <c r="G44" t="inlineStr">
        <is>
          <t>New York, NY, US</t>
        </is>
      </c>
      <c r="H44" s="2" t="n">
        <v>46086</v>
      </c>
      <c r="I44" t="inlineStr">
        <is>
          <t>Senior Data Engineer (AWS, Spark, Python, 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in-bb72574c70f03af3</t>
        </is>
      </c>
      <c r="B45" t="inlineStr">
        <is>
          <t>Distinguished Data Engineer</t>
        </is>
      </c>
      <c r="C45" t="inlineStr">
        <is>
          <t>Capital One</t>
        </is>
      </c>
      <c r="D45" t="inlineStr">
        <is>
          <t>indeed</t>
        </is>
      </c>
      <c r="E45">
        <f>HYPERLINK("https://www.indeed.com/viewjob?jk=bb72574c70f03af3", "https://www.indeed.com/viewjob?jk=bb72574c70f03af3")</f>
        <v/>
      </c>
      <c r="F45">
        <f>HYPERLINK("https://www.capitalonecareers.com/job/-/-/1732/92463057280", "https://www.capitalonecareers.com/job/-/-/1732/92463057280")</f>
        <v/>
      </c>
      <c r="G45" t="inlineStr">
        <is>
          <t>McLean, VA, US</t>
        </is>
      </c>
      <c r="H45" s="2" t="n">
        <v>46086</v>
      </c>
      <c r="I45" t="inlineStr">
        <is>
          <t>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Be responsible for defining the strategic vision, overseeing the development, and managing the growth of an organization's autonomous AI systems and platforms. This position requires a combination of strategic thinking, technical expertise in AI/ML, and strong leadership to align the platform with business goals, build and manage teams, and drive innovation.
* Provide technical leadership for the design, development, testing and deployment of agentic workflows across Capital One
* Develop and execute the strategic vision and roadmap for the agentic AI platform, ensuring it aligns with organizational priorities.
* Guide technical teams, set best practices for AI orchestration, MLOps, and application development, and ensure platform scalability and reliability.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(e.g. Hadoop, AWS, Snowflake)
* At least 3 years of experience in data architecture
* At least 2 years of experience building applications in AWS
* At least 5 years of experience of Python, SQL or Scala
* At least 3 years of experience developing AI and ML algorithms or technologies
 **Preferred Qualifications:**
* Masters’ Degree
* 5\+ years of experience in Data Governance, Data Governance Platforms, Data Standardization, and Data Modeling
* Experience developing AI and ML algorithms or technologies (e.g. LLM Inference, Similarity Search and VectorDBs, Guardrails, Memory) using Python, C\+\+, C\#, Java, or Golang
* 3\+ years of experience deploying scalable and responsible AI solutions on cloud platforms (e.g. AWS, Google Cloud, Azure, or equivalent private cloud)
* 3\+ years of experience implementing big data processing solutions on AWS or any Hadoop environments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in-bdf06b4eac448e55</t>
        </is>
      </c>
      <c r="B46" t="inlineStr">
        <is>
          <t>Data Engineer II, AWS Commerce Platform-ADC</t>
        </is>
      </c>
      <c r="C46" t="inlineStr">
        <is>
          <t>Amazon Web Services</t>
        </is>
      </c>
      <c r="D46" t="inlineStr">
        <is>
          <t>indeed</t>
        </is>
      </c>
      <c r="E46">
        <f>HYPERLINK("https://www.indeed.com/viewjob?jk=bdf06b4eac448e55", "https://www.indeed.com/viewjob?jk=bdf06b4eac448e55")</f>
        <v/>
      </c>
      <c r="F46">
        <f>HYPERLINK("https://www.amazon.jobs/jobs/3191228/data-engineer-ii-aws-commerce-platformadc?cmpid=DA_INAD200785B", "https://www.amazon.jobs/jobs/3191228/data-engineer-ii-aws-commerce-platformadc?cmpid=DA_INAD200785B")</f>
        <v/>
      </c>
      <c r="G46" t="inlineStr">
        <is>
          <t>Jessup, MD, US</t>
        </is>
      </c>
      <c r="H46" s="2" t="n">
        <v>46078</v>
      </c>
      <c r="I46"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47">
      <c r="A47" t="inlineStr">
        <is>
          <t>in-d5c62664049621ee</t>
        </is>
      </c>
      <c r="B47" t="inlineStr">
        <is>
          <t>Data Engineer II, AWS Commerce Platform-ADC</t>
        </is>
      </c>
      <c r="C47" t="inlineStr">
        <is>
          <t>Amazon Web Services</t>
        </is>
      </c>
      <c r="D47" t="inlineStr">
        <is>
          <t>indeed</t>
        </is>
      </c>
      <c r="E47">
        <f>HYPERLINK("https://www.indeed.com/viewjob?jk=d5c62664049621ee", "https://www.indeed.com/viewjob?jk=d5c62664049621ee")</f>
        <v/>
      </c>
      <c r="F47">
        <f>HYPERLINK("https://www.amazon.jobs/jobs/3191228/data-engineer-ii-aws-commerce-platformadc?cmpid=DA_INAD200785B", "https://www.amazon.jobs/jobs/3191228/data-engineer-ii-aws-commerce-platformadc?cmpid=DA_INAD200785B")</f>
        <v/>
      </c>
      <c r="G47" t="inlineStr">
        <is>
          <t>Arlington, VA, US</t>
        </is>
      </c>
      <c r="H47" s="2" t="n">
        <v>46078</v>
      </c>
      <c r="I47"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48">
      <c r="A48" t="inlineStr">
        <is>
          <t>in-8deae4ca3921c079</t>
        </is>
      </c>
      <c r="B48" t="inlineStr">
        <is>
          <t>Data Engineer II, AWS Commerce Platform-ADC</t>
        </is>
      </c>
      <c r="C48" t="inlineStr">
        <is>
          <t>Amazon Web Services</t>
        </is>
      </c>
      <c r="D48" t="inlineStr">
        <is>
          <t>indeed</t>
        </is>
      </c>
      <c r="E48">
        <f>HYPERLINK("https://www.indeed.com/viewjob?jk=8deae4ca3921c079", "https://www.indeed.com/viewjob?jk=8deae4ca3921c079")</f>
        <v/>
      </c>
      <c r="F48">
        <f>HYPERLINK("https://www.amazon.jobs/jobs/3191228/data-engineer-ii-aws-commerce-platformadc?cmpid=DA_INAD200785B", "https://www.amazon.jobs/jobs/3191228/data-engineer-ii-aws-commerce-platformadc?cmpid=DA_INAD200785B")</f>
        <v/>
      </c>
      <c r="G48" t="inlineStr">
        <is>
          <t>Herndon, VA, US</t>
        </is>
      </c>
      <c r="H48" s="2" t="n">
        <v>46078</v>
      </c>
      <c r="I48"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49">
      <c r="A49" t="inlineStr">
        <is>
          <t>in-0fe92580ef494f03</t>
        </is>
      </c>
      <c r="B49" t="inlineStr">
        <is>
          <t>Data Engineer II, AWS Commerce Platform-ADC</t>
        </is>
      </c>
      <c r="C49" t="inlineStr">
        <is>
          <t>Amazon Web Services</t>
        </is>
      </c>
      <c r="D49" t="inlineStr">
        <is>
          <t>indeed</t>
        </is>
      </c>
      <c r="E49">
        <f>HYPERLINK("https://www.indeed.com/viewjob?jk=0fe92580ef494f03", "https://www.indeed.com/viewjob?jk=0fe92580ef494f03")</f>
        <v/>
      </c>
      <c r="F49">
        <f>HYPERLINK("https://www.amazon.jobs/jobs/3191228/data-engineer-ii-aws-commerce-platformadc?cmpid=DA_INAD200785B", "https://www.amazon.jobs/jobs/3191228/data-engineer-ii-aws-commerce-platformadc?cmpid=DA_INAD200785B")</f>
        <v/>
      </c>
      <c r="G49" t="inlineStr">
        <is>
          <t>Seattle, WA, US</t>
        </is>
      </c>
      <c r="H49" s="2" t="n">
        <v>46078</v>
      </c>
      <c r="I49"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50">
      <c r="A50" t="inlineStr">
        <is>
          <t>in-b39d7b01b2a223e6</t>
        </is>
      </c>
      <c r="B50" t="inlineStr">
        <is>
          <t>Data Engineer II, AWS Commerce Platform-ADC</t>
        </is>
      </c>
      <c r="C50" t="inlineStr">
        <is>
          <t>Amazon Web Services</t>
        </is>
      </c>
      <c r="D50" t="inlineStr">
        <is>
          <t>indeed</t>
        </is>
      </c>
      <c r="E50">
        <f>HYPERLINK("https://www.indeed.com/viewjob?jk=b39d7b01b2a223e6", "https://www.indeed.com/viewjob?jk=b39d7b01b2a223e6")</f>
        <v/>
      </c>
      <c r="F50">
        <f>HYPERLINK("https://www.amazon.jobs/jobs/3191228/data-engineer-ii-aws-commerce-platformadc?cmpid=DA_INAD200785B", "https://www.amazon.jobs/jobs/3191228/data-engineer-ii-aws-commerce-platformadc?cmpid=DA_INAD200785B")</f>
        <v/>
      </c>
      <c r="G50" t="inlineStr">
        <is>
          <t>Denver, CO, US</t>
        </is>
      </c>
      <c r="H50" s="2" t="n">
        <v>46078</v>
      </c>
      <c r="I50"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51">
      <c r="A51" t="inlineStr">
        <is>
          <t>in-97b55d8b07b2c0f0</t>
        </is>
      </c>
      <c r="B51" t="inlineStr">
        <is>
          <t>Sr. Data Engineer, GO-AI Technology &amp; Development Team</t>
        </is>
      </c>
      <c r="C51" t="inlineStr">
        <is>
          <t>Amazon.com</t>
        </is>
      </c>
      <c r="D51" t="inlineStr">
        <is>
          <t>indeed</t>
        </is>
      </c>
      <c r="E51">
        <f>HYPERLINK("https://www.indeed.com/viewjob?jk=97b55d8b07b2c0f0", "https://www.indeed.com/viewjob?jk=97b55d8b07b2c0f0")</f>
        <v/>
      </c>
      <c r="F51">
        <f>HYPERLINK("https://www.amazon.jobs/jobs/3198663/sr-data-engineer-goai-technology--development-team?cmpid=DA_INAD200785B", "https://www.amazon.jobs/jobs/3198663/sr-data-engineer-goai-technology--development-team?cmpid=DA_INAD200785B")</f>
        <v/>
      </c>
      <c r="G51" t="inlineStr">
        <is>
          <t>Boston, MA, US</t>
        </is>
      </c>
      <c r="H51" s="2" t="n">
        <v>46077</v>
      </c>
      <c r="I5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52">
      <c r="A52" t="inlineStr">
        <is>
          <t>in-5f5d89d9ef34ab84</t>
        </is>
      </c>
      <c r="B52" t="inlineStr">
        <is>
          <t>Sr. Data Engineer, GO-AI Technology &amp; Development Team</t>
        </is>
      </c>
      <c r="C52" t="inlineStr">
        <is>
          <t>Amazon.com</t>
        </is>
      </c>
      <c r="D52" t="inlineStr">
        <is>
          <t>indeed</t>
        </is>
      </c>
      <c r="E52">
        <f>HYPERLINK("https://www.indeed.com/viewjob?jk=5f5d89d9ef34ab84", "https://www.indeed.com/viewjob?jk=5f5d89d9ef34ab84")</f>
        <v/>
      </c>
      <c r="F52">
        <f>HYPERLINK("https://www.amazon.jobs/jobs/3198663/sr-data-engineer-goai-technology--development-team?cmpid=DA_INAD200785B", "https://www.amazon.jobs/jobs/3198663/sr-data-engineer-goai-technology--development-team?cmpid=DA_INAD200785B")</f>
        <v/>
      </c>
      <c r="G52" t="inlineStr">
        <is>
          <t>Seattle, WA, US</t>
        </is>
      </c>
      <c r="H52" s="2" t="n">
        <v>46077</v>
      </c>
      <c r="I5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53">
      <c r="A53" t="inlineStr">
        <is>
          <t>in-50bc04fe1ad72d12</t>
        </is>
      </c>
      <c r="B53" t="inlineStr">
        <is>
          <t>Sr. Data Engineer, GO-AI Technology &amp; Development Team</t>
        </is>
      </c>
      <c r="C53" t="inlineStr">
        <is>
          <t>Amazon.com</t>
        </is>
      </c>
      <c r="D53" t="inlineStr">
        <is>
          <t>indeed</t>
        </is>
      </c>
      <c r="E53">
        <f>HYPERLINK("https://www.indeed.com/viewjob?jk=50bc04fe1ad72d12", "https://www.indeed.com/viewjob?jk=50bc04fe1ad72d12")</f>
        <v/>
      </c>
      <c r="F53">
        <f>HYPERLINK("https://www.amazon.jobs/jobs/3198663/sr-data-engineer-goai-technology--development-team?cmpid=DA_INAD200785B", "https://www.amazon.jobs/jobs/3198663/sr-data-engineer-goai-technology--development-team?cmpid=DA_INAD200785B")</f>
        <v/>
      </c>
      <c r="G53" t="inlineStr">
        <is>
          <t>Westborough, MA, US</t>
        </is>
      </c>
      <c r="H53" s="2" t="n">
        <v>46077</v>
      </c>
      <c r="I5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54">
      <c r="A54" t="inlineStr">
        <is>
          <t>in-44fd1af9135c7ab4</t>
        </is>
      </c>
      <c r="B54" t="inlineStr">
        <is>
          <t>Sr. Data Engineer, GO-AI Technology &amp; Development Team</t>
        </is>
      </c>
      <c r="C54" t="inlineStr">
        <is>
          <t>Amazon.com</t>
        </is>
      </c>
      <c r="D54" t="inlineStr">
        <is>
          <t>indeed</t>
        </is>
      </c>
      <c r="E54">
        <f>HYPERLINK("https://www.indeed.com/viewjob?jk=44fd1af9135c7ab4", "https://www.indeed.com/viewjob?jk=44fd1af9135c7ab4")</f>
        <v/>
      </c>
      <c r="F54">
        <f>HYPERLINK("https://www.amazon.jobs/jobs/3198663/sr-data-engineer-goai-technology--development-team?cmpid=DA_INAD200785B", "https://www.amazon.jobs/jobs/3198663/sr-data-engineer-goai-technology--development-team?cmpid=DA_INAD200785B")</f>
        <v/>
      </c>
      <c r="G54" t="inlineStr">
        <is>
          <t>Reading, MA, US</t>
        </is>
      </c>
      <c r="H54" s="2" t="n">
        <v>46077</v>
      </c>
      <c r="I5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GO\-AI’s Technology \&amp; Development Team is a cross\-functional team of Data Engineers, Software Developers, Applied Scientists, and Business Intelligence Engineers who are responsible for the technical strategy and delivery for GO\-AI.
Key job responsibilities  
* Design, implement, and deploy GO\-AI data solutions that are high quality (e.g., secure, testable, maintainable, low\-defects, efficient, well documented etc.) and incorporate best practices.
* Focus on operational excellence, constructively identifying problems and proposing solutions, taking on projects that improve GO\-AI’s data architecture, making it better and easier to maintain.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Have a solid understanding of data design approaches and how to best use them
* Bachelor's degree in engineering, computer science or relevant field
**PREFERRED QUALIFICATIONS**
----------------------------
* 7\+ years of data engineering experience
* Experience with AWS technologies like Redshift, S3, AWS Glue, EMR, Kinesis, FireHose, Lambda, and IAM roles and permissions
* Experience with relational and non\-relational databases / data stores (object storage, document or key\-value stores, graph databases, column\-family databases)
* Experience coding in Python and typescript
* Experience designing and operating large data warehouses
* Experience writing REST APIs
* Experience working with cross\-functional engineering teams developing artificial intelligence and/or robotic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\- 154,600\.00 \- 209,100\.00 USD annually  
USA, MA, N.Reading \- 154,600\.00 \- 209,100\.00 USD annually  
USA, MA, Westboro \- 154,600\.00 \- 209,100\.00 USD annually  
USA, WA, Seattle \- 154,600\.00 \- 209,100\.00 USD annually</t>
        </is>
      </c>
    </row>
    <row r="55">
      <c r="A55" t="inlineStr">
        <is>
          <t>in-5b19797f54a8cac2</t>
        </is>
      </c>
      <c r="B55" t="inlineStr">
        <is>
          <t>Data Engineer II , UTR PLanning Tech</t>
        </is>
      </c>
      <c r="C55" t="inlineStr">
        <is>
          <t>Amazon.com</t>
        </is>
      </c>
      <c r="D55" t="inlineStr">
        <is>
          <t>indeed</t>
        </is>
      </c>
      <c r="E55">
        <f>HYPERLINK("https://www.indeed.com/viewjob?jk=5b19797f54a8cac2", "https://www.indeed.com/viewjob?jk=5b19797f54a8cac2")</f>
        <v/>
      </c>
      <c r="F55">
        <f>HYPERLINK("https://www.amazon.jobs/jobs/3186425/data-engineer-ii--utr-planning-tech?cmpid=DA_INAD200785B", "https://www.amazon.jobs/jobs/3186425/data-engineer-ii--utr-planning-tech?cmpid=DA_INAD200785B")</f>
        <v/>
      </c>
      <c r="G55" t="inlineStr">
        <is>
          <t>Bellevue, WA, US</t>
        </is>
      </c>
      <c r="H55" s="2" t="n">
        <v>46070</v>
      </c>
      <c r="I5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6">
      <c r="A56" t="inlineStr">
        <is>
          <t>in-1fca8bf75c935866</t>
        </is>
      </c>
      <c r="B56" t="inlineStr">
        <is>
          <t>Data Engineer II , UTR PLanning Tech</t>
        </is>
      </c>
      <c r="C56" t="inlineStr">
        <is>
          <t>Amazon.com</t>
        </is>
      </c>
      <c r="D56" t="inlineStr">
        <is>
          <t>indeed</t>
        </is>
      </c>
      <c r="E56">
        <f>HYPERLINK("https://www.indeed.com/viewjob?jk=1fca8bf75c935866", "https://www.indeed.com/viewjob?jk=1fca8bf75c935866")</f>
        <v/>
      </c>
      <c r="F56">
        <f>HYPERLINK("https://www.amazon.jobs/jobs/3186425/data-engineer-ii--utr-planning-tech?cmpid=DA_INAD200785B", "https://www.amazon.jobs/jobs/3186425/data-engineer-ii--utr-planning-tech?cmpid=DA_INAD200785B")</f>
        <v/>
      </c>
      <c r="G56" t="inlineStr">
        <is>
          <t>Austin, TX, US</t>
        </is>
      </c>
      <c r="H56" s="2" t="n">
        <v>46070</v>
      </c>
      <c r="I5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7">
      <c r="A57" t="inlineStr">
        <is>
          <t>in-cbd08ec6094a4aa9</t>
        </is>
      </c>
      <c r="B57" t="inlineStr">
        <is>
          <t>Data Engineer II , UTR PLanning Tech</t>
        </is>
      </c>
      <c r="C57" t="inlineStr">
        <is>
          <t>Amazon.com</t>
        </is>
      </c>
      <c r="D57" t="inlineStr">
        <is>
          <t>indeed</t>
        </is>
      </c>
      <c r="E57">
        <f>HYPERLINK("https://www.indeed.com/viewjob?jk=cbd08ec6094a4aa9", "https://www.indeed.com/viewjob?jk=cbd08ec6094a4aa9")</f>
        <v/>
      </c>
      <c r="F57">
        <f>HYPERLINK("https://www.amazon.jobs/jobs/3186425/data-engineer-ii--utr-planning-tech?cmpid=DA_INAD200785B", "https://www.amazon.jobs/jobs/3186425/data-engineer-ii--utr-planning-tech?cmpid=DA_INAD200785B")</f>
        <v/>
      </c>
      <c r="G57" t="inlineStr">
        <is>
          <t>Nashville, TN, US</t>
        </is>
      </c>
      <c r="H57" s="2" t="n">
        <v>46070</v>
      </c>
      <c r="I5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8">
      <c r="A58" t="inlineStr">
        <is>
          <t>in-b75061dad689284f</t>
        </is>
      </c>
      <c r="B58" t="inlineStr">
        <is>
          <t>Data Engineer II, UTR PLanning Tech</t>
        </is>
      </c>
      <c r="C58" t="inlineStr">
        <is>
          <t>Amazon.com</t>
        </is>
      </c>
      <c r="D58" t="inlineStr">
        <is>
          <t>indeed</t>
        </is>
      </c>
      <c r="E58">
        <f>HYPERLINK("https://www.indeed.com/viewjob?jk=b75061dad689284f", "https://www.indeed.com/viewjob?jk=b75061dad689284f")</f>
        <v/>
      </c>
      <c r="F58">
        <f>HYPERLINK("https://www.amazon.jobs/jobs/3190311/data-engineer-ii-utr-planning-tech?cmpid=DA_INAD200785B", "https://www.amazon.jobs/jobs/3190311/data-engineer-ii-utr-planning-tech?cmpid=DA_INAD200785B")</f>
        <v/>
      </c>
      <c r="G58" t="inlineStr">
        <is>
          <t>Nashville, TN, US</t>
        </is>
      </c>
      <c r="H58" s="2" t="n">
        <v>46065</v>
      </c>
      <c r="I5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9">
      <c r="A59" t="inlineStr">
        <is>
          <t>in-8ee5c4ee130e4e5e</t>
        </is>
      </c>
      <c r="B59" t="inlineStr">
        <is>
          <t>Data Engineer II, UTR PLanning Tech</t>
        </is>
      </c>
      <c r="C59" t="inlineStr">
        <is>
          <t>Amazon.com</t>
        </is>
      </c>
      <c r="D59" t="inlineStr">
        <is>
          <t>indeed</t>
        </is>
      </c>
      <c r="E59">
        <f>HYPERLINK("https://www.indeed.com/viewjob?jk=8ee5c4ee130e4e5e", "https://www.indeed.com/viewjob?jk=8ee5c4ee130e4e5e")</f>
        <v/>
      </c>
      <c r="F59">
        <f>HYPERLINK("https://www.amazon.jobs/jobs/3190311/data-engineer-ii-utr-planning-tech?cmpid=DA_INAD200785B", "https://www.amazon.jobs/jobs/3190311/data-engineer-ii-utr-planning-tech?cmpid=DA_INAD200785B")</f>
        <v/>
      </c>
      <c r="G59" t="inlineStr">
        <is>
          <t>Bellevue, WA, US</t>
        </is>
      </c>
      <c r="H59" s="2" t="n">
        <v>46065</v>
      </c>
      <c r="I5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60">
      <c r="A60" t="inlineStr">
        <is>
          <t>in-2aa0d1049c0a15ed</t>
        </is>
      </c>
      <c r="B60" t="inlineStr">
        <is>
          <t>Data Engineer II, UTR PLanning Tech</t>
        </is>
      </c>
      <c r="C60" t="inlineStr">
        <is>
          <t>Amazon.com</t>
        </is>
      </c>
      <c r="D60" t="inlineStr">
        <is>
          <t>indeed</t>
        </is>
      </c>
      <c r="E60">
        <f>HYPERLINK("https://www.indeed.com/viewjob?jk=2aa0d1049c0a15ed", "https://www.indeed.com/viewjob?jk=2aa0d1049c0a15ed")</f>
        <v/>
      </c>
      <c r="F60">
        <f>HYPERLINK("https://www.amazon.jobs/jobs/3190311/data-engineer-ii-utr-planning-tech?cmpid=DA_INAD200785B", "https://www.amazon.jobs/jobs/3190311/data-engineer-ii-utr-planning-tech?cmpid=DA_INAD200785B")</f>
        <v/>
      </c>
      <c r="G60" t="inlineStr">
        <is>
          <t>Austin, TX, US</t>
        </is>
      </c>
      <c r="H60" s="2" t="n">
        <v>46065</v>
      </c>
      <c r="I6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61">
      <c r="A61" t="inlineStr">
        <is>
          <t>in-f36268a182e46c04</t>
        </is>
      </c>
      <c r="B61" t="inlineStr">
        <is>
          <t>Senior Big Data Engineer, IDEAS - D&amp;A - Revenue</t>
        </is>
      </c>
      <c r="C61" t="inlineStr">
        <is>
          <t>Amazon Web Services</t>
        </is>
      </c>
      <c r="D61" t="inlineStr">
        <is>
          <t>indeed</t>
        </is>
      </c>
      <c r="E61">
        <f>HYPERLINK("https://www.indeed.com/viewjob?jk=f36268a182e46c04", "https://www.indeed.com/viewjob?jk=f36268a182e46c04")</f>
        <v/>
      </c>
      <c r="F61">
        <f>HYPERLINK("https://www.amazon.jobs/jobs/3188105/senior-big-data-engineer-ideas--da--revenue?cmpid=DA_INAD200785B", "https://www.amazon.jobs/jobs/3188105/senior-big-data-engineer-ideas--da--revenue?cmpid=DA_INAD200785B")</f>
        <v/>
      </c>
      <c r="G61" t="inlineStr">
        <is>
          <t>Dallas, TX, US</t>
        </is>
      </c>
      <c r="H61" s="2" t="n">
        <v>46064</v>
      </c>
      <c r="I61"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62">
      <c r="A62" t="inlineStr">
        <is>
          <t>in-56ac936e83a4ff83</t>
        </is>
      </c>
      <c r="B62" t="inlineStr">
        <is>
          <t>Senior Big Data Engineer, IDEAS - D&amp;A - Revenue</t>
        </is>
      </c>
      <c r="C62" t="inlineStr">
        <is>
          <t>Amazon Web Services</t>
        </is>
      </c>
      <c r="D62" t="inlineStr">
        <is>
          <t>indeed</t>
        </is>
      </c>
      <c r="E62">
        <f>HYPERLINK("https://www.indeed.com/viewjob?jk=56ac936e83a4ff83", "https://www.indeed.com/viewjob?jk=56ac936e83a4ff83")</f>
        <v/>
      </c>
      <c r="F62">
        <f>HYPERLINK("https://www.amazon.jobs/jobs/3188105/senior-big-data-engineer-ideas--da--revenue?cmpid=DA_INAD200785B", "https://www.amazon.jobs/jobs/3188105/senior-big-data-engineer-ideas--da--revenue?cmpid=DA_INAD200785B")</f>
        <v/>
      </c>
      <c r="G62" t="inlineStr">
        <is>
          <t>Seattle, WA, US</t>
        </is>
      </c>
      <c r="H62" s="2" t="n">
        <v>46064</v>
      </c>
      <c r="I62"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63">
      <c r="A63" t="inlineStr">
        <is>
          <t>in-02fc74520d7d48e9</t>
        </is>
      </c>
      <c r="B63" t="inlineStr">
        <is>
          <t>Software Development Manager, Amazon Security Data Engineering</t>
        </is>
      </c>
      <c r="C63" t="inlineStr">
        <is>
          <t>Amazon.com</t>
        </is>
      </c>
      <c r="D63" t="inlineStr">
        <is>
          <t>indeed</t>
        </is>
      </c>
      <c r="E63">
        <f>HYPERLINK("https://www.indeed.com/viewjob?jk=02fc74520d7d48e9", "https://www.indeed.com/viewjob?jk=02fc74520d7d48e9")</f>
        <v/>
      </c>
      <c r="F63">
        <f>HYPERLINK("https://www.amazon.jobs/jobs/3188767/software-development-manager-amazon-security-data-engineering?cmpid=DA_INAD200785B", "https://www.amazon.jobs/jobs/3188767/software-development-manager-amazon-security-data-engineering?cmpid=DA_INAD200785B")</f>
        <v/>
      </c>
      <c r="G63" t="inlineStr">
        <is>
          <t>San Diego, CA, US</t>
        </is>
      </c>
      <c r="H63" s="2" t="n">
        <v>46063</v>
      </c>
      <c r="I63"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64">
      <c r="A64" t="inlineStr">
        <is>
          <t>in-47a116f1d9d82ea9</t>
        </is>
      </c>
      <c r="B64" t="inlineStr">
        <is>
          <t>Software Development Manager, Amazon Security Data Engineering</t>
        </is>
      </c>
      <c r="C64" t="inlineStr">
        <is>
          <t>Amazon.com</t>
        </is>
      </c>
      <c r="D64" t="inlineStr">
        <is>
          <t>indeed</t>
        </is>
      </c>
      <c r="E64">
        <f>HYPERLINK("https://www.indeed.com/viewjob?jk=47a116f1d9d82ea9", "https://www.indeed.com/viewjob?jk=47a116f1d9d82ea9")</f>
        <v/>
      </c>
      <c r="F64">
        <f>HYPERLINK("https://www.amazon.jobs/jobs/3188767/software-development-manager-amazon-security-data-engineering?cmpid=DA_INAD200785B", "https://www.amazon.jobs/jobs/3188767/software-development-manager-amazon-security-data-engineering?cmpid=DA_INAD200785B")</f>
        <v/>
      </c>
      <c r="G64" t="inlineStr">
        <is>
          <t>Herndon, VA, US</t>
        </is>
      </c>
      <c r="H64" s="2" t="n">
        <v>46063</v>
      </c>
      <c r="I64"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65">
      <c r="A65" t="inlineStr">
        <is>
          <t>in-c09c97a77d5e336b</t>
        </is>
      </c>
      <c r="B65" t="inlineStr">
        <is>
          <t>Data Engineer, AMZL Orbit Data Engineering</t>
        </is>
      </c>
      <c r="C65" t="inlineStr">
        <is>
          <t>Amazon.com</t>
        </is>
      </c>
      <c r="D65" t="inlineStr">
        <is>
          <t>indeed</t>
        </is>
      </c>
      <c r="E65">
        <f>HYPERLINK("https://www.indeed.com/viewjob?jk=c09c97a77d5e336b", "https://www.indeed.com/viewjob?jk=c09c97a77d5e336b")</f>
        <v/>
      </c>
      <c r="F65">
        <f>HYPERLINK("https://www.amazon.jobs/jobs/3184381/data-engineer-amzl-orbit-data-engineering?cmpid=DA_INAD200785B", "https://www.amazon.jobs/jobs/3184381/data-engineer-amzl-orbit-data-engineering?cmpid=DA_INAD200785B")</f>
        <v/>
      </c>
      <c r="G65" t="inlineStr">
        <is>
          <t>Austin, TX, US</t>
        </is>
      </c>
      <c r="H65" s="2" t="n">
        <v>46054</v>
      </c>
      <c r="I6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66">
      <c r="A66" t="inlineStr">
        <is>
          <t>in-5f98ae6dd865208a</t>
        </is>
      </c>
      <c r="B66" t="inlineStr">
        <is>
          <t>Data Engineer, AMZL Orbit Data Engineering</t>
        </is>
      </c>
      <c r="C66" t="inlineStr">
        <is>
          <t>Amazon.com</t>
        </is>
      </c>
      <c r="D66" t="inlineStr">
        <is>
          <t>indeed</t>
        </is>
      </c>
      <c r="E66">
        <f>HYPERLINK("https://www.indeed.com/viewjob?jk=5f98ae6dd865208a", "https://www.indeed.com/viewjob?jk=5f98ae6dd865208a")</f>
        <v/>
      </c>
      <c r="F66">
        <f>HYPERLINK("https://www.amazon.jobs/jobs/3184381/data-engineer-amzl-orbit-data-engineering?cmpid=DA_INAD200785B", "https://www.amazon.jobs/jobs/3184381/data-engineer-amzl-orbit-data-engineering?cmpid=DA_INAD200785B")</f>
        <v/>
      </c>
      <c r="G66" t="inlineStr">
        <is>
          <t>Bellevue, WA, US</t>
        </is>
      </c>
      <c r="H66" s="2" t="n">
        <v>46054</v>
      </c>
      <c r="I6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67">
      <c r="A67" t="inlineStr">
        <is>
          <t>in-6c13ddebc43c1486</t>
        </is>
      </c>
      <c r="B67" t="inlineStr">
        <is>
          <t>Data Engineer, AMZL Orbit Data Engineering</t>
        </is>
      </c>
      <c r="C67" t="inlineStr">
        <is>
          <t>Amazon.com</t>
        </is>
      </c>
      <c r="D67" t="inlineStr">
        <is>
          <t>indeed</t>
        </is>
      </c>
      <c r="E67">
        <f>HYPERLINK("https://www.indeed.com/viewjob?jk=6c13ddebc43c1486", "https://www.indeed.com/viewjob?jk=6c13ddebc43c1486")</f>
        <v/>
      </c>
      <c r="F67">
        <f>HYPERLINK("https://www.amazon.jobs/jobs/3184381/data-engineer-amzl-orbit-data-engineering?cmpid=DA_INAD200785B", "https://www.amazon.jobs/jobs/3184381/data-engineer-amzl-orbit-data-engineering?cmpid=DA_INAD200785B")</f>
        <v/>
      </c>
      <c r="G67" t="inlineStr">
        <is>
          <t>Nashville, TN, US</t>
        </is>
      </c>
      <c r="H67" s="2" t="n">
        <v>46054</v>
      </c>
      <c r="I6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68">
      <c r="A68" t="inlineStr">
        <is>
          <t>in-090903081ef04e79</t>
        </is>
      </c>
      <c r="B68" t="inlineStr">
        <is>
          <t>Data Engineer, Denied Party Screening, AWS Compliance &amp; Security Assurance</t>
        </is>
      </c>
      <c r="C68" t="inlineStr">
        <is>
          <t>Amazon.com</t>
        </is>
      </c>
      <c r="D68" t="inlineStr">
        <is>
          <t>indeed</t>
        </is>
      </c>
      <c r="E68">
        <f>HYPERLINK("https://www.indeed.com/viewjob?jk=090903081ef04e79", "https://www.indeed.com/viewjob?jk=090903081ef04e79")</f>
        <v/>
      </c>
      <c r="F68">
        <f>HYPERLINK("https://www.amazon.jobs/jobs/3160403/data-engineer-denied-party-screening-aws-compliance--security-assurance?cmpid=DA_INAD200785B", "https://www.amazon.jobs/jobs/3160403/data-engineer-denied-party-screening-aws-compliance--security-assurance?cmpid=DA_INAD200785B")</f>
        <v/>
      </c>
      <c r="G68" t="inlineStr">
        <is>
          <t>Dallas, TX, US</t>
        </is>
      </c>
      <c r="H68" s="2" t="n">
        <v>46029</v>
      </c>
      <c r="I6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69">
      <c r="A69" t="inlineStr">
        <is>
          <t>in-df8bb250f963539f</t>
        </is>
      </c>
      <c r="B69" t="inlineStr">
        <is>
          <t>Data Engineer, Denied Party Screening, AWS Compliance &amp; Security Assurance</t>
        </is>
      </c>
      <c r="C69" t="inlineStr">
        <is>
          <t>Amazon.com</t>
        </is>
      </c>
      <c r="D69" t="inlineStr">
        <is>
          <t>indeed</t>
        </is>
      </c>
      <c r="E69">
        <f>HYPERLINK("https://www.indeed.com/viewjob?jk=df8bb250f963539f", "https://www.indeed.com/viewjob?jk=df8bb250f963539f")</f>
        <v/>
      </c>
      <c r="F69">
        <f>HYPERLINK("https://www.amazon.jobs/jobs/3160403/data-engineer-denied-party-screening-aws-compliance--security-assurance?cmpid=DA_INAD200785B", "https://www.amazon.jobs/jobs/3160403/data-engineer-denied-party-screening-aws-compliance--security-assurance?cmpid=DA_INAD200785B")</f>
        <v/>
      </c>
      <c r="G69" t="inlineStr">
        <is>
          <t>Seattle, WA, US</t>
        </is>
      </c>
      <c r="H69" s="2" t="n">
        <v>46029</v>
      </c>
      <c r="I6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li-4344927449</t>
        </is>
      </c>
      <c r="B2" t="inlineStr">
        <is>
          <t>Senior Data Engineer / Analytics Engineer</t>
        </is>
      </c>
      <c r="C2" t="inlineStr">
        <is>
          <t>Rivian and Volkswagen Group Technologies</t>
        </is>
      </c>
      <c r="D2" t="inlineStr">
        <is>
          <t>linkedin</t>
        </is>
      </c>
      <c r="E2" t="inlineStr"/>
      <c r="F2" t="inlineStr"/>
      <c r="G2" t="inlineStr">
        <is>
          <t>Palo Alto, CA</t>
        </is>
      </c>
      <c r="H2" t="inlineStr"/>
      <c r="I2"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Rivian and Volkswagen Group Technologies is building a best\-in\-class data platform that empowers the entire organization to make data\-driven decisions. We seek Engineers who excel at Innovation at Scale and are passionate about solving challenging technical problems.
 As a Senior Data Engineer, you will take ownership of the design and implementation of complex, scalable ELT pipelines and data transformation logic. You will architect data models that enable self\-service analytics and serve as a thought leader in driving data quality and engineering best practices within the data community.
**Responsibilities**
* Architect data models and schemas that enable self\-service analytics and ensure data accuracy and consistency across the organization.
* Lead the design, build, and maintenance of scalable ELT pipelines and analytics workflows using advanced tools (Spark, dbt, SQL).
* Champion data quality through validation processes, monitoring frameworks, and automated testing.
* Develop and optimize complex Python and SQL\-based transformation code to process and curate data.
* Monitor and improve the performance and reliability of data pipelines and platform infrastructure.
* Partner with platform engineers to integrate new tools, technologies, and frameworks into the data ecosystem.
* Serve as a mentor and technical leader within the data engineering community.
**Qualifications**
 Minimum Qualifications:
* Bachelor’s degree in Computer Science, Mathematics, a relevant technical field or equivalent practical experience.
* Expertise in Python, Spark, dbt, and SQL for data transformation and pipeline development.
* Experience with modern cloud data platforms, including Databricks Snowflake, and Google BigQuery.
* Proficient in data modeling principles and schema design for analytics.
* Proficient in scalable data pipelines on cloud platforms, preferably AWS, GCP, Azure.
* Experience deploying and maintaining scalable software, reliability, testing, and monitoring.
**Preferred Qualifications**
* 5\+ years of experience in data engineering or analytics engineering.
* Experience with version control systems (e.g., Git) and CI/CD workflows for data engineering projects.
* Experience with Infrastructure as Code tools (Terraform highly preferred).
* Experience with any data quality, data security, and monitoring initiatives.
* Experience with a modern data ingestion tool like Fivetran.
**Pay Disclosure**
**Salary Range/Hourly Rate for Palo Alto, California Based Applicants:** 
 $132,100 \- 165,100 USD (actual compensation will be determined based on experience, location, and other factors permitted by law).
**Salary Range for California (Irvine) Based Applicants** 
 : $121,500\-$151,900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3">
      <c r="A3" t="inlineStr">
        <is>
          <t>li-4355422816</t>
        </is>
      </c>
      <c r="B3" t="inlineStr">
        <is>
          <t>Analytics Engineer</t>
        </is>
      </c>
      <c r="C3" t="inlineStr">
        <is>
          <t>FanDuel</t>
        </is>
      </c>
      <c r="D3" t="inlineStr">
        <is>
          <t>linkedin</t>
        </is>
      </c>
      <c r="E3" t="inlineStr"/>
      <c r="F3" t="inlineStr"/>
      <c r="G3" t="inlineStr">
        <is>
          <t>New York, NY</t>
        </is>
      </c>
      <c r="H3" t="inlineStr"/>
      <c r="I3" t="inlineStr">
        <is>
          <t>**THE POSITION**
 Our roster has an opening with your name on it
 We are looking for an Analytics Engineer to join our Poker Analytics team. You will support the Poker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
 The role will form a key part of the analytics team and as such the successful candidate will help shape the overall strategy for BI \&amp; Analytics. The role will provide critical support to both the operational and commercial teams, as well as the wider analytics team.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Create interactive Tableau dashboards, custom visualizations and reports to visualize customer behavior, drivers of business performance, and support strategic decision making.
* Work in Databricks to create poker analytics specific tables and build pipelines to Tableau.
* Provide engineering support to create new metrics for player value and segmentation.
* Prioritize best practices in design, usability, and scalability to ensure sustainable and quality reporting.
* Communicate technical findings/insights to non\-technical stakeholders to drive strategic success.
* Collaborate with data engineers and data scientists to ensure that data is accurately represented and enable richer analysis.
* Become a key business partner to the analytics team and stakeholders across the Poker business, supporting them in driving insights and key decision making.
**THE STATS**
 What we're looking for in our next teammate
* 2\+ years' experience in an analytics/technical role.
* Bachelor's Degree in a highly numerate major (Mathematics, Statistics, Economics, etc.) or relevant experience in data engineering/analysis.
* Strong personal organizational and time management skills.
* Ability to work in a fast\-paced environment with a lot of ambiguity.
* Proficiency in SQL, Excel and Tableau or another data visualization platforms required.
* Familiarity with programming languages (e.g. Python, R), cloud computing platforms (e.g. Databricks), or ELT/data modeling (e.g. DBT) highly desirable.
* Strong problem\-solving skills, allied with track record of transforming data into actionable business insight.
* Experience collaboratively working with colleagues in other countries and time zones preferred.
* Strong stakeholder management.
* Ability to be independent and lead on projects \- proactive thinking.
* Interest in Poker/Sports/Gaming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4">
      <c r="A4" t="inlineStr">
        <is>
          <t>li-4363465235</t>
        </is>
      </c>
      <c r="B4" t="inlineStr">
        <is>
          <t>Data Engineer III</t>
        </is>
      </c>
      <c r="C4" t="inlineStr">
        <is>
          <t>Taco Bell</t>
        </is>
      </c>
      <c r="D4" t="inlineStr">
        <is>
          <t>linkedin</t>
        </is>
      </c>
      <c r="E4" t="inlineStr"/>
      <c r="F4" t="inlineStr"/>
      <c r="G4" t="inlineStr">
        <is>
          <t>Irvine, CA</t>
        </is>
      </c>
      <c r="H4" t="inlineStr"/>
      <c r="I4" t="inlineStr">
        <is>
          <t>**Job Description**
**Who is Taco Bell?**
 Taco Bell was born and raised in California and has been around since 1962\. We went from selling everyone’s favorite Crunchy Tacos on the West Coast to a global brand with 8,500\+ restaurants, 350 franchise organizations, that serve 42\+ million fans each week around the globe. We’re not only the largest Mexican\-inspired quick service brand (QSR) in the world, we’re also part of the biggest restaurant group in the world: Yum! Brands .
 Much of our fan love and authentic connection with our communities are rooted in being rebels with a cause. From ensuring we use high quality, sustainable ingredients to elevating restaurant technology in ways that hasn’t been done before… we will continue to be inclusive, bold, challenge the status quo and push industry boundaries.
 We’re a company that celebrates and advocates for different, has bold self\-expression, strives for a better future, and brings the fun while we’re at it. We fuel our culture with real people who bring unique experiences. We inspire and enable our teams and the world to Live Más.
 At Taco Bell, we’re Cultural Rebels. Want to join in on the passion\-fueled fun? Learn more about the career below.
**About The Job**
 Taco Bell is seeking to add a savvy Data Engineer to join our growing Data and Analytics team. We are looking for a self\-driven Data Engineer proficient with SQL \&amp; ETL pipelines who is familiar with Cloud technology preferably AWS and has scripting experience. You will work with cross functional partners and third\-party vendors to enrich our customer data assets by acquiring, organizing, and aggregating customer data from various sources to construct a full and accurate 360 view of our customer for use in direct/email marketing, targeted media campaigns and analytics. You will build data pipelines to source, analyze and validate data from internal and external customer data sources. This is a great opportunity to work on state\-of\-the\-art data products in a friendly and fun environment.
**Day To Day**
* Design and develop highly scalable and extensible data pipelines from internal and external sources using cloud technology such as AWS, Airflow, Redshift, Snowflake, EMR, DBT.
* Implement new source of truth datasets, in partnership with analytics and business teams.
* Collaborate with data product managers, data scientists, data analysts, and data engineers to document requirements and data specifications.
* Develop, deploy, and maintain serverless data pipelines using Event Bridge, Kinesis, AWS Lambda, S3, and Glue.
* Focus on performance tuning, optimization and scalability to ensure efficiency.
* Build out a robust big data ingestion framework with automation, self\-heal capabilities and ability to handle data drifts.
* Adopt automated and manual test strategies to ensure data product quality
* Learn and understand how Taco Bell products work and help build end\-to\-end solutions.
* Ensure high operational efficiency and quality of your solutions to meet SLAs.
* Actively participate in code reviews and summarize complex data into usable, digestible datasets.
**Is This You?**
* Bachelor’s degree in analytics, statistics, engineering, math, economics, computer science, information technology or related discipline
* 2\+ years professional experience in cloud technologies
* 2 \- 5 years of experience designing and delivering large scale, 24\-7, mission\-critical data pipelines and features using modern cloud data architectures
* 2\+ years of hands\-on experience in Strong coding skills with Python/Pyspark/Spark and SQL
* 3\+ years of hands\-on experience in ETL pipeline such as Informatica, AWS Glue, DBT etc.
* 3\+ years of experience working in Redshift, Snowflake or other relevant databases.
* Expert knowledge in writing complex SQL and ETL development with experience processing extremely large datasets using batch and real time streaming.
* Demonstrated ability to analyze large data sets to identify gaps and inconsistencies, provide data insights, and advance effective product solutions
* Experience integrating data using streaming technologies such as Kinesis Firehose, Kafka
* Experience with AWS Ecosystem, especially Lambda, Redshift, Athena, DynamoDB, Airflow and S3
* Experience integrating data from multiple data sources and file types such as JSON, Parquet, Iceberg formats.
* Experience supporting and working with cross\-functional teams in a dynamic environment
* Strong quantitative and communication skill
* Experience with CI/CD tools like Gitlab, Terraform
* Good To Have:
* Proficiency with automated testing using tools like pytest
* Experience contributing to full lifecycle deployments with a focus on testing and quality.
* Experience with data quality processes, data quality checks, validations, data quality metrics definition and measurement
* Experience in data quality tools such as Informatica DQ or similar.
**Work\-Hard, Play\-Hard**
* Hybrid work schedule (onsite expectation Tues, Wed, Thurs) and year\-round flex day Friday
* Onsite childcare through Bright Horizons
* Onsite dining center and game room (yes, there is a Taco Bell inside the building)
* Onsite dry cleaning, laundry services, carwash,
* Onsite gym with fitness classes and personal trainer sessions
* Up to 4 weeks of vacation per year plus holidays and time off for volunteering
* Generous parental leave for all new parents and adoption assistance program
* 401(k) with a 6% matching contribution from Yum! Brands with immediate vesting
* Comprehensive medical \&amp; dental including prescription drug benefits and 100% preventive care
* Discounts, free food, swag and… honestly, too many good benefits to name
 Salary Range: $108,300\- $127,500 annually \+ bonus eligibility. This is the expected salary range for this position. Ultimately, in determining pay, we'll consider the successful candidate’s location, experience, and other job\-related factors.
 At Taco Bell, we Live Más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US Job Seekers/Employees \- To view the "Know Your Rights" poster, click here . You may also access Taco Bell’s Pay Transparency Policy Statement.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Employees here .</t>
        </is>
      </c>
    </row>
    <row r="5">
      <c r="A5" t="inlineStr">
        <is>
          <t>li-4363998858</t>
        </is>
      </c>
      <c r="B5" t="inlineStr">
        <is>
          <t>Data Engineer</t>
        </is>
      </c>
      <c r="C5" t="inlineStr">
        <is>
          <t>FanDuel</t>
        </is>
      </c>
      <c r="D5" t="inlineStr">
        <is>
          <t>linkedin</t>
        </is>
      </c>
      <c r="E5" t="inlineStr"/>
      <c r="F5" t="inlineStr"/>
      <c r="G5" t="inlineStr">
        <is>
          <t>Atlanta, GA</t>
        </is>
      </c>
      <c r="H5" t="inlineStr"/>
      <c r="I5"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6">
      <c r="A6" t="inlineStr">
        <is>
          <t>li-4381087249</t>
        </is>
      </c>
      <c r="B6" t="inlineStr">
        <is>
          <t>Data Engineer - Forecasting systems</t>
        </is>
      </c>
      <c r="C6" t="inlineStr">
        <is>
          <t>Talan</t>
        </is>
      </c>
      <c r="D6" t="inlineStr">
        <is>
          <t>linkedin</t>
        </is>
      </c>
      <c r="E6" t="inlineStr"/>
      <c r="F6" t="inlineStr"/>
      <c r="G6" t="inlineStr">
        <is>
          <t>Houston, TX</t>
        </is>
      </c>
      <c r="H6" t="inlineStr"/>
      <c r="I6" t="inlineStr">
        <is>
          <t>Talan is an international consulting and technology expertise group supporting high regulatory industry such as Corporate and Investment Banking, Hedge Funds, and Energy clients through large\-scale transformation programs driven by data, technology, and innovation.
 In North America, Talan delivering high\-value expertise across front\-office, risk, finance, regulatory, and technology domains.
 With over 20 years of experience, a presence across five continents and 21 countries, and Great Place to Work® certification, the Group is on track to reach 8,000 employees worldwide, including 600 in North America.
**Job Description**
*Location: NYC (Hybrid – at least 4 days onsite/week)*
*Visa Sponsorship: We offer sponsorship under specific treaty\-based U.S. work visas, including TN and E\-2 (for eligible Canadian, Mexican, and French citizens). We do not support or transfer other visa types (e.g., H\-1B).*
 We are looking for a Python Data Engineer to join a small team responsible for building and maintaining data pipelines, reporting tools, and forecasting systems. The role focuses on processing large datasets, supporting simulation platforms, and improving the reliability and scalability of data workflows.
**Responsibilities**
* Support and maintain the Dayzer production system to ensure stability and operational reliability
* Manage data transfers between Dayzer and the AWS S3 data lake
* Develop data reporting and visualization tools using Python libraries
* Design scalable data pipeline frameworks across environments
* Implement monitoring and logging to track pipeline performance, health, and errors
* Work with large datasets including historical and weather data for forecasting models
* Collaborate with engineers, data scientists, and stakeholders using Agile methodologies
* Conduct benchmarking and proof of concepts to evaluate new technologies
* Maintain technical documentation and system design specifications
* Participate in code reviews and development best practices
* Provide technical support and guidance to junior developers
**Qualifications**
* Bachelor degree in Computer science, Engineering, Finance or Quantitative finance
* 4\+ years of relevant experience in Python development, data engineering, or data analysis
* Strong analytical and problem solving skills
* Good communication and ability to work in a small collaborative team
* Strong Python development experience
* Experience working with large datasets and data processing
* Familiarity with AWS and S3 or similar cloud environments
* Experience building or supporting data pipelines
 Nice to have
* Experience with forecasting models or simulation systems
* Experience with data visualization tools
* Finance or energy domain knowledge is a plus
 Company’s Benefits
 At Talan, we invest in our employees' well\-being and empower them with benefits, including:
* 💵 Competitive salary
* 💸401(k) retirement plan with company matching
* 🌴15 days of paid vacation per year at hire and up to 27 according to seniority (annual untaken vacation days are cashed out)
* 📴8 paid holidays \+ 5 sick days \+ 2 personal days per year
* ❤️‍🩹Company health, dental, and vision insurance plans \+ FSA
* 🦺Voluntary STD and LTD
* 🚍 Commuter/transit benefits
 All your information will be kept confidential according to EEO guidelines.</t>
        </is>
      </c>
    </row>
    <row r="7">
      <c r="A7" t="inlineStr">
        <is>
          <t>li-4380490101</t>
        </is>
      </c>
      <c r="B7" t="inlineStr">
        <is>
          <t>Data Engineer</t>
        </is>
      </c>
      <c r="C7" t="inlineStr">
        <is>
          <t>BeaconFire Inc.</t>
        </is>
      </c>
      <c r="D7" t="inlineStr">
        <is>
          <t>linkedin</t>
        </is>
      </c>
      <c r="E7" t="inlineStr"/>
      <c r="F7" t="inlineStr"/>
      <c r="G7" t="inlineStr">
        <is>
          <t>Dallas County, TX</t>
        </is>
      </c>
      <c r="H7" t="inlineStr"/>
      <c r="I7"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8">
      <c r="A8" t="inlineStr">
        <is>
          <t>li-4380490000</t>
        </is>
      </c>
      <c r="B8" t="inlineStr">
        <is>
          <t>Data Engineer</t>
        </is>
      </c>
      <c r="C8" t="inlineStr">
        <is>
          <t>BeaconFire Inc.</t>
        </is>
      </c>
      <c r="D8" t="inlineStr">
        <is>
          <t>linkedin</t>
        </is>
      </c>
      <c r="E8" t="inlineStr"/>
      <c r="F8" t="inlineStr"/>
      <c r="G8" t="inlineStr"/>
      <c r="H8" t="inlineStr"/>
      <c r="I8"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9">
      <c r="A9" t="inlineStr">
        <is>
          <t>li-4380475864</t>
        </is>
      </c>
      <c r="B9" t="inlineStr">
        <is>
          <t>Data Engineer</t>
        </is>
      </c>
      <c r="C9" t="inlineStr">
        <is>
          <t>BeaconFire Inc.</t>
        </is>
      </c>
      <c r="D9" t="inlineStr">
        <is>
          <t>linkedin</t>
        </is>
      </c>
      <c r="E9" t="inlineStr"/>
      <c r="F9" t="inlineStr"/>
      <c r="G9" t="inlineStr"/>
      <c r="H9" t="inlineStr"/>
      <c r="I9"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10">
      <c r="A10" t="inlineStr">
        <is>
          <t>li-4282322803</t>
        </is>
      </c>
      <c r="B10" t="inlineStr">
        <is>
          <t>Data Engineer</t>
        </is>
      </c>
      <c r="C10" t="inlineStr">
        <is>
          <t>Versa Networks</t>
        </is>
      </c>
      <c r="D10" t="inlineStr">
        <is>
          <t>linkedin</t>
        </is>
      </c>
      <c r="E10" t="inlineStr"/>
      <c r="F10" t="inlineStr"/>
      <c r="G10" t="inlineStr"/>
      <c r="H10" t="inlineStr"/>
      <c r="I10"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We’re seeking a highly skilled Data Engineer to design, build, and maintain production\-grade data pipelines that process and transform terabytes of data. In this role, you’ll collaborate closely with data scientists and other SWEs to ensure that our data infrastructure is scalable, reliable, and cost\-effective.
**Responsibilities**
* Pipeline Development \&amp; Deployment:
+ Architect, develop, and deploy batch and streaming pipelines using Airflow and containerized workflows for cyber\-security use\-cases.
+ Containerize data\-processing jobs with Docker, orchestrate with Kubernetes, and manage releases with Helm charts.
* Distributed Computing:
+ Build high\-throughput data transformations using Dask or Apache Spark.
+ Maintain training data clusters across hybrid (on\-prem and cloud environments).
+ Optimize training jobs for performance, resiliency, and cost.
* Monitoring \&amp; Reliability:
+ Implement observability (logging, metrics, alerting) to maintain pipeline health and SLA adherence.
+ Troubleshoot, debug, and resolve data\-processing failures in production.
* Collaboration \&amp; Best Practices:
+ Work with cross\-functional teams to define data contracts, schemas, and quality checks.
+ Enforce software engineering best practices: CI/CD, code reviews, automated testing, and documentation.
* Data Modeling \&amp; Storage:
+ Design and maintain data models and schemas for AI/ML continuous training use cases.
+ Load data into cloud storage and lakes, ensuring performance and accessibility.
**Qualifications**
* 3–5 years of professional experience designing and operating production data pipelines at scale.
* Containerization \&amp; Orchestration: Expertise with Docker, Kubernetes, and Helm.
* Workflow Management: Hands\-on experience building DAG\-based pipelines in Apache Airflow.
* Programming: Strong proficiency in Python for data engineering tasks.
* Distributed Frameworks: Practical experience with Dask or Apache Spark for large\-scale data processing.
* Cloud Fundamentals: Familiarity with deploying and managing services in a cloud environment.
* Compiled Languages: Experience writing data services in Go or Rust.
* GCP Proficiency: Hands\-on with Google Cloud services (e.g., Pub/Sub, Big Query, Cloud Storage, GKE). Equivalent experience in other public cloud providers is fine.
* ML Pipelines: Exposure to deploying cross\-cluster model\-training workflows using Ray or similar frameworks.
* Infrastructure as Code: Familiarity with Terraform for deployment.
* Security \&amp; Compliance: Knowledge of data governance, encryption, and role\-based access control.
 Location: United States
* Applicants must be authorized to work in the US
 The pay range for this position at commencement of employment in California, Washington, or New York City is expected in the range of $150,000 to $220,000\.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11">
      <c r="A11" t="inlineStr">
        <is>
          <t>li-4380483369</t>
        </is>
      </c>
      <c r="B11" t="inlineStr">
        <is>
          <t>Data Engineer</t>
        </is>
      </c>
      <c r="C11" t="inlineStr">
        <is>
          <t>BeaconFire Inc.</t>
        </is>
      </c>
      <c r="D11" t="inlineStr">
        <is>
          <t>linkedin</t>
        </is>
      </c>
      <c r="E11" t="inlineStr"/>
      <c r="F11" t="inlineStr"/>
      <c r="G11" t="inlineStr">
        <is>
          <t>Philadelphia, PA</t>
        </is>
      </c>
      <c r="H11" t="inlineStr"/>
      <c r="I11"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Intermediate Python, experience in data processing, experience with relational databases like SQL and strong communication skills.
**Preferred Skills** 
 Experience with Numpy, Pandas, etc.
 If you're currently exploring opportunities or open to learning more, I’d love to connect. Please feel free to share your updated resume or reach out directly at rameezk@beaconfireinc.com.
 Looking forward to hearing from you!
 Best regards,
 Rameez Khan
 Technical Recruiter
 \`\`\`</t>
        </is>
      </c>
    </row>
    <row r="12">
      <c r="A12" t="inlineStr">
        <is>
          <t>li-4382386653</t>
        </is>
      </c>
      <c r="B12" t="inlineStr">
        <is>
          <t>Data Engineer</t>
        </is>
      </c>
      <c r="C12" t="inlineStr">
        <is>
          <t>Robert Half</t>
        </is>
      </c>
      <c r="D12" t="inlineStr">
        <is>
          <t>linkedin</t>
        </is>
      </c>
      <c r="E12" t="inlineStr"/>
      <c r="F12" t="inlineStr"/>
      <c r="G12" t="inlineStr">
        <is>
          <t>Houston, TX</t>
        </is>
      </c>
      <c r="H12" t="inlineStr"/>
      <c r="I12" t="inlineStr">
        <is>
          <t>We are looking for an experienced Data Engineer to join our team in Houston, Texas. In this role, you will design, implement, and optimize data systems that support critical business operations. The ideal candidate will have a strong technical background and a passion for creating efficient, scalable solutions.
 Responsibilities:
 • Develop and maintain scalable data pipelines to ensure efficient processing of large datasets.
 • Design and implement data architectures that support high\-performance data integration and analysis.
 • Collaborate with cross\-functional teams to gather requirements and deliver tailored data solutions.
 • Build and manage ETL workflows to support data transformation and integration processes.
 • Optimize data storage and processing techniques using tools such as Apache Hadoop and Apache Spark.
 • Implement real\-time data streaming solutions using Apache Kafka.
 • Troubleshoot and resolve issues within the data infrastructure to maintain system reliability.
 • Monitor system performance and suggest improvements to enhance data processing efficiency.
 • Document processes and workflows to ensure clarity and consistency in data operations.
 • Stay current with emerging technologies and industry trends to continually improve data engineering practices.
 • Proficiency in Python for developing data solutions and automating workflows.
 • Hands\-on experience with Apache Spark for data processing and analytics.
 • Solid knowledge of Apache Hadoop for distributed storage and computing.
 • Expertise in implementing real\-time data streaming with Apache Kafka.
 • Strong understanding of ETL processes, including data extraction, transformation, and loading.
 • Ability to work with large\-scale datasets and optimize performance.
 • Excellent problem\-solving skills and the ability to troubleshoot complex data systems.
 • Familiarity with best practices in data security and system scalability.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3">
      <c r="A13" t="inlineStr">
        <is>
          <t>li-4364512627</t>
        </is>
      </c>
      <c r="B13" t="inlineStr">
        <is>
          <t>Cloud Data Engineer</t>
        </is>
      </c>
      <c r="C13" t="inlineStr">
        <is>
          <t>ECS</t>
        </is>
      </c>
      <c r="D13" t="inlineStr">
        <is>
          <t>linkedin</t>
        </is>
      </c>
      <c r="E13" t="inlineStr"/>
      <c r="F13" t="inlineStr"/>
      <c r="G13" t="inlineStr">
        <is>
          <t>Fairfax, VA</t>
        </is>
      </c>
      <c r="H13" t="inlineStr"/>
      <c r="I13" t="inlineStr">
        <is>
          <t>**Job Description**
 ECS is seeking a
 ***Cloud Data Engineer***
 to work in a hybrid onsite / remote capacity from our
 ***Fairfax, VA***
 office to work as a member of a team implementing a new cloud\-based application.
 **Please Note:** 
**This position is contingent upon additional funding.**
 The Cloud Data Engineer Will Lead, Together With An Application Developer, The Design And Implementation Of a New Cloud‑based Application That Will Serve As The Foundation For Future Artificial‑intelligence (AI) Capabilities. The Incumbent Will
* Gather and analyze customer requirements, data sources, and workflow needs.
* Leverage deep knowledge of cloud platforms (AWS, Azure) and AI technologies to create a production‑ready solution within a DevSecOps framework.
* Bridge strategy, architecture, and development to help the Department of War (DoW) become more data‑centric and insight‑driven.
* Integrate Commercial‑Off‑The‑Shelf (COTS) products, consume APIs, interact with data repositories, and manage cross‑domain system interfaces.
**Responsibilities**
* Develop a roadmap that links architectural capabilities to the organization’s data challenges.
* Work directly with developers to deliver solutions, provide customer support, and perform solutioning.
* Communicate technical concepts to stakeholders at all levels, building relationships, offering guidance, and articulating business value.
* Mentor data‑engineers, establish best‑practice standards, conduct code reviews, and explain the business impact of solutions.
* Operate in an Agile environment, applying advanced design and engineering best practices.
* Build data‑driven solutions that improve business insight, support operational decisions, and enable performance management.
 Required Skills
* U.S. Citizen.
* Ability to obtain and maintain a Top Secret with SCI security clearance.
* Bachelor’s degree in Computer Science, Engineering, Data Science, or related field.
* Active DoD 8140 IAT Level II or higher (e.g., CompTIA Security\+) and SAA\-C03 AWS Certified Solutions Architect \- Associate certifications.
* 10 \+ years of experience building analytical tools, including AI/ML‑based solutions.
* Proven record of delivering high‑quality software that is accurate, efficient, reliable, maintainable, and scalable.
* Strong foundation in data‑engineering fundamentals \- ingestion, cleaning, transformation, storage, fusion, and visualization.
* Hands‑on experience with cloud‑native data and AI services on AWS and Azure (e.g., S3, Redshift, Athena, Glue, Azure Data Lake, Synapse, Azure Machine Learning, etc.).
* Programming languages: Python (primary), Java, Scala or another language; strong SQL skills.
* Data‑orchestration tools: Apache Airflow, Azure Data Factory, AWS Step Functions, etc.
* Data‑lake/warehouse platforms: Snowflake, Redshift, Synapse, BigQuery, Delta Lake.
* Advanced SQL \+ Python/Scala for ETL, analytics, and model‑serving pipelines.
* Understanding of scaling \&amp; performance for distributed/cloud systems.
* Familiarity with AI/ML concepts, automation, and scripting.
* Experience designing Zero‑Trust data architectures \- encryption, IAM policies, audit logging.
* Professional software‑development practices: version control (Git), automated testing, code review, and modular design.
* Strong technical writing, presentation, and communication skills for reports, proposals, and stakeholder briefings.
* Translate strategic goals into concrete technical roadmaps.
* Partner with developers to prototype, test, and deploy solutions.
* Serve as a liaison between technical teams and business leadership, ensuring alignment on priorities and outcomes.
* Foster a culture of continuous improvement and knowledge sharing.
* Strong problem\-solving and decision\-making capabilities, with a proven ability to weigh the relative costs and benefits of potential actions and identify the most appropriate solution.
* Highly developed interpersonal and oral/written communication skills, with the ability to effectively and professionally interact with a diverse set of stakeholders (from peers to end\-users to executive management).
 Desired Skills
* Active Secret clearance.
* Prior experience in data engineering, data science, data architecture, or database/search technologies.
* Experience processing bulk datasets (e.g., terabyte‑scale ETL jobs).
* Hands‑on work with serverless design patterns (e.g., AWS Lambda, Azure Functions, serverless web apps).
* Strong grasp of federal data policies, metadata standards, and cross‑domain security considerations.
* Familiarity with data‑visualization tools (both open‑source and commercial).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14">
      <c r="A14" t="inlineStr">
        <is>
          <t>li-4349679227</t>
        </is>
      </c>
      <c r="B14" t="inlineStr">
        <is>
          <t>Senior Data Platform Engineer- Weights &amp; Biases</t>
        </is>
      </c>
      <c r="C14" t="inlineStr">
        <is>
          <t>Weights &amp; Biases</t>
        </is>
      </c>
      <c r="D14" t="inlineStr">
        <is>
          <t>linkedin</t>
        </is>
      </c>
      <c r="E14" t="inlineStr"/>
      <c r="F14" t="inlineStr"/>
      <c r="G14" t="inlineStr">
        <is>
          <t>Livingston, NJ</t>
        </is>
      </c>
      <c r="H14" t="inlineStr"/>
      <c r="I14"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5">
      <c r="A15" t="inlineStr">
        <is>
          <t>li-4372033243</t>
        </is>
      </c>
      <c r="B15" t="inlineStr">
        <is>
          <t>Senior Data Engineer</t>
        </is>
      </c>
      <c r="C15" t="inlineStr">
        <is>
          <t>Press Ganey</t>
        </is>
      </c>
      <c r="D15" t="inlineStr">
        <is>
          <t>linkedin</t>
        </is>
      </c>
      <c r="E15" t="inlineStr"/>
      <c r="F15" t="inlineStr"/>
      <c r="G15" t="inlineStr"/>
      <c r="H15" t="inlineStr"/>
      <c r="I15"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Does analytical data flow through your veins? Are you fluent across cloud, on\-premises, platforms, and technologies? Do you have deep healthcare experience? Do you love understanding strategic direction, creating design and direction, then getting fingers on the keyboard? This role is for a Senior Data Engineer with strong data architecture experience. This person will design, develop, and support solutions to transport, store, and analyze our analytical data. They will be key in evolving and maturing our enterprise data strategy and capabilities.
**Duties \&amp; Responsibilities**
**General**
* Create data architecture, pipelines, and analytical solutions to meet software and data science requirements for various PG\-MX Healthcare Products.
* Identify, evaluate, select, and prove out new technologies and toolsets.
* Create and execute Proofs of Concept and Proofs of Technology.
* Lead and direct the work of others in data dependent projects.
**Data Storage Design**
* Collaborate with software development, business teams, analysts, and data scientists to establish data storage, pipeline, and structure requirements.
* Design, develop, and maintain ETL/ELT pipelines using Databricks (PySpark, Delta Lake, SQL).
* Implement Data Lakehouse architecture leveraging Databrick Unity Catalog, Delta Live Tables, and Workflows.
* Build and optimize data ingestion frameworks for structured and unstructured data from diverse sources.
* Identify and plan for data storage performance requirements.
* Optimize Databricks clusters, jobs, and queries for performance and cost efficiency.
**Application Interface and Data Storage Implementation**
* Collaborate with software development, business teams, and data scientists to create and execute implementations.
* Identify impact of implementation on other applications and databases.
* Lead and mentor data engineers on data projects.
* Implement CI/CD for data pipelines using Git, Databricks Repos, and DevOps tools.
* Ensure Data quality, reliability, security compliances across environments.
**Master Data Management and Data Governance**
* Build and evolve Trusted Record systems to manage entities across the enterprise.
* Design, implement, and evolve solutions around person identity management.
* Develop and enforce data governance, lineage, and cataloging standards.
**Mentors Data Engineers**
* Identify areas of development and need.
* Provide targeted training and exploration for team members.
* Train and mentor data engineers on standards and best practices.
**Technical Skills**
* Hands on experience of Azure data technologies (Databricks, Data Factory, Stream Analytics, Data Lake Storage, Synapse), on\-premises Microsoft tools (SQL DB and SSIS), and familiar with AWS data technologies.
* Proficiency in Python, SQL and distributed data processing frameworks (Spark), and familiar with C\#, PowerShell, and APIs.
* Significant experience with analytical solutions in relational databases such as MS SQL Server, Oracle, and DB2 as well as experience with NoSQL databases and solutions such as data lakes, document\-oriented databases, and graph databases.
* Strong understanding of data modeling, schema design, and ETL best practices
* Experience with data lineage, cataloging, and metadata management in Databricks and Unity Catalog.
* Skill in data modeling and experience with tools like ER/Studio or Erwin.
* Familiarity with version control (Git) and DevOps/CI\-CD practices.
* Familiarity with SQL performance tuning and Spark optimization techniques.
* Excellent problem\-solving and communication skills.
**Minimum Qualifications**
* Minimum of 5 years Data Engineering experience in an enterprise environment.
* Bachelor’s degree in technology or like field required.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$100,000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16">
      <c r="A16" t="inlineStr">
        <is>
          <t>li-4372797970</t>
        </is>
      </c>
      <c r="B16" t="inlineStr">
        <is>
          <t>AVP, Senior Data Engineer (Python)</t>
        </is>
      </c>
      <c r="C16" t="inlineStr">
        <is>
          <t>Jefferies</t>
        </is>
      </c>
      <c r="D16" t="inlineStr">
        <is>
          <t>linkedin</t>
        </is>
      </c>
      <c r="E16" t="inlineStr"/>
      <c r="F16" t="inlineStr"/>
      <c r="G16" t="inlineStr">
        <is>
          <t>Jersey City, NJ</t>
        </is>
      </c>
      <c r="H16" t="inlineStr"/>
      <c r="I16" t="inlineStr">
        <is>
          <t>**Job Description**
 The JData team is looking for an experienced Data Engineer with experience in Python and Snowflake to join their team! This is an exciting position within the Jefferies IT landscape as an integral member of the team. The ideal candidate will have the desired requirements shown below, along with a willingness to learn new and exciting technologies.
**Responsibilities Include**
* Developing, overseeing, organizing, storing, and analyzing data and data systems.
* Cloud migrations for data pipelines using AWS and Snowflake,
* Participating in all aspects of the software development lifecycle for AWS and Snowflake solutions, including planning, requirements, development, testing, and quality assurance.
* Collaborating with cross\-functional teams to define, design and ship new features.
* Working in tandem with our engineering team to identify and implement the most optimal cloud\-based solutions.
* Ensuring application performance, uptime, and scale, maintaining high standards for code quality and thoughtful design.
* Troubleshooting incidents, identify root causes, fix and document problems, and implement preventive measures.
**Qualifications**
* Working experience on Snowflake Platform
* Strong SQL and PL/SQL
* Working Cloud knowledge on AWS (Certification preferred)
* Working Snowflake knowledge with Designing data warehouses
* Strong hands\-on experience in Python with ETL concepts
* Good understanding on Metadata and data lineage
**Nice To Have**
* Hands on knowledge on SQL Analytical functions, Views, Materialized Views
* Strong knowledge and hands\-on experience in SQL, Unix shell scripting
 Primary Location Full Time Salary Range of $120,000 \- $160,000\.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17">
      <c r="A17" t="inlineStr">
        <is>
          <t>li-4369743273</t>
        </is>
      </c>
      <c r="B17" t="inlineStr">
        <is>
          <t>Senior Data Engineer</t>
        </is>
      </c>
      <c r="C17" t="inlineStr">
        <is>
          <t>General Motors</t>
        </is>
      </c>
      <c r="D17" t="inlineStr">
        <is>
          <t>linkedin</t>
        </is>
      </c>
      <c r="E17" t="inlineStr"/>
      <c r="F17" t="inlineStr"/>
      <c r="G17" t="inlineStr">
        <is>
          <t>Warren, MI</t>
        </is>
      </c>
      <c r="H17" t="inlineStr"/>
      <c r="I17"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8">
      <c r="A18" t="inlineStr">
        <is>
          <t>li-4372763801</t>
        </is>
      </c>
      <c r="B18" t="inlineStr">
        <is>
          <t>Data Engineer</t>
        </is>
      </c>
      <c r="C18" t="inlineStr">
        <is>
          <t>Motion Recruitment</t>
        </is>
      </c>
      <c r="D18" t="inlineStr">
        <is>
          <t>linkedin</t>
        </is>
      </c>
      <c r="E18" t="inlineStr"/>
      <c r="F18" t="inlineStr"/>
      <c r="G18" t="inlineStr">
        <is>
          <t>Boston, MA</t>
        </is>
      </c>
      <c r="H18" t="inlineStr"/>
      <c r="I18" t="inlineStr">
        <is>
          <t>**Job Description**
 Our client is hiring a Data Engineer to help power a platform that turns millions of public records and government documents into structured, interconnected data that delivers strategic insights for development, planning, and decision\-making.
 The work involves ingesting diverse data sources such as permits, meeting records, environmental data, and regulatory filings, resolving references to the same entities across those sources, and organizing them into usable datasets that support risk evaluation, due diligence, policy tracking, and forward\-looking analysis
 This is a hybrid position based in Boston, MA.
**Required Qualifications**
* Bachelor’s degree in Computer Science, Engineering, or a related technical field
* 3\+ years of experience in data engineering or a closely related role
* Strong SQL skills with experience working with relational datasets
* Experience building, maintaining, and supporting ETL or ELT pipelines
* Working knowledge of data modeling concepts and data quality practices
* Proficiency in Python and familiarity with at least one additional programming language
* Experience working in cloud environments such as AWS, Azure, or GCP
* Familiarity with data warehouses, data lakes, or analytical data stores
* Experience using workflow orchestration or scheduling tools
* Ability to troubleshoot data issues in production systems
* Clear communication skills and comfort collaborating across teams
 Nice to Have
* Experience supporting analytics, reporting, or operational data use cases
* Exposure to metadata\-driven, semantic, or relationship\-based data modeling
* Familiarity with highly connected or graph\-like datasets
* Experience with streaming or incremental data processing
* Exposure to BI or reporting tools
* Experience preparing data for analytical or AI\-driven workflows
* Interest in improving documentation, standards, or shared tooling
 What You Will Work On
* Build and support data pipelines that ingest, transform, and organize diverse datasets
* Maintain existing workflows and contribute improvements focused on reliability and performance
* Help optimize schemas and queries used for analytics and downstream consumption
* Implement monitoring, validation, and quality checks across data workflows
* Assist with managing data storage systems such as warehouses and data lakes
* Investigate and resolve data\-related issues in live environments
* Collaborate with engineers, analysts, and product partners to understand data needs
* Participate in code reviews and contribute to shared engineering practices
* Learn and adopt new tools and patterns as the data platform evolves
 Technical Emphasis
* 40% Data Pipelines, Transformation, and Orchestration
* 30% SQL, Data Modeling, and Query Optimization
* 20% Cloud Data Platforms and Infrastructure
* 10% Python and Platform Support
 Day\-to\-Day Focus
* 75% Hands\-on development and operational support
* 15% System improvements and optimization
* 10% Collaboration, planning, and documentation
**Compensation \&amp; Benefits**
* Bonus eligible
**Benefits Include**
* Medical, dental, and vision coverage
* Paid time off
* 401(k) plan with company match (if applicable)
 Applicants must be authorized to work in the United States on a full\-time basis now and in the future.
**Posted By:** 
 Sarah Carroll</t>
        </is>
      </c>
    </row>
    <row r="19">
      <c r="A19" t="inlineStr">
        <is>
          <t>li-4382377943</t>
        </is>
      </c>
      <c r="B19" t="inlineStr">
        <is>
          <t>Senior Data Engineer</t>
        </is>
      </c>
      <c r="C19" t="inlineStr">
        <is>
          <t>Alter Domus</t>
        </is>
      </c>
      <c r="D19" t="inlineStr">
        <is>
          <t>linkedin</t>
        </is>
      </c>
      <c r="E19" t="inlineStr"/>
      <c r="F19" t="inlineStr"/>
      <c r="G19" t="inlineStr">
        <is>
          <t>Salt Lake City, UT</t>
        </is>
      </c>
      <c r="H19" t="inlineStr"/>
      <c r="I19" t="inlineStr">
        <is>
          <t>**About Us**
 As a world leading provider of integrated solutions for the alternative investment industry, Alter Domus (meaning “The Other House” in Latin) is proud to be home to 90% of the top 30 asset managers in the private markets, and more than 6,000 professionals across 24 jurisdictions.
 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
 Find out more about life at Alter Domus at careers.alterdomus.com
**Job Description**
 Join our dynamic and innovative team as a Senior Data Engineer, where you will collaborate on the design, architecture, and optimization of our enterprise data infrastructure and pipelines. As a senior member of the team, you will provide technical leadership and mentorship while working closely with business stakeholders and the rest of the data team to ensure data is reliable, efficient, secure, and accessible at scale. You will drive best business practices, influence architectural decisions, and play a key role in shaping our data engineering strategy.
**Key Responsibilities**
* 
+ Data Pipeline Orchestration
- Design, architect, and maintain complex end\-to\-end data pipelines using Airflow (including managed services like Amazon MWAA) to orchestrate, schedule, and monitor batch/streaming workflows at enterprise scale.
- Develop and optimize sophisticated DAGs (Directed Acyclic Graphs) with advanced retry logic, error handling, alerting, and monitoring to ensure maximum data quality and pipeline reliability.
- Establish best practices and standards for pipeline development, testing, and deployment across the organization.
+ Data Ingestion \&amp; Transformation
- Architect and implement scalable data integration solutions using Airbyte for ingestion and dbt for transformations in a modular, maintainable fashion.
- Collaborate with Data Analysts and Data Scientists to design and implement complex transformations and business logic, ensuring data is analytics\-ready and optimized for performance.
- Mentor junior engineers on data ingestion patterns and transformation best practices.
+ Data Modeling \&amp; Warehousing
* 
+ 
- Design and implement sophisticated data models and architectures for both structured and semi\-structured data across AWS S3 (data lake) and Snowflake (data warehouse).
- Databricks implementations for advanced data processing, analytics, and real\-time insights capabilities.
- Ensure data schemas and transformations support advanced analytics, BI reporting, machine learning use cases, and emerging business needs.
- Drive data architecture decisions and provide technical guidance on data modeling strategies.
+ Data Governance \&amp; Security
- Lead implementation of AWS Lake Formation APIs and enterprise\-level best practices to maintain data security, access controls, and regulatory compliance.
- Partner with IT security and compliance teams to establish and enforce robust encryption standards, comprehensive audit trails, and identity/role\-based access controls.
- Champion data governance initiatives and establish data quality frameworks across the organization.
+ Performance Optimization \&amp; Cost Management
- Lead optimization efforts for AWS Athena queries and configurations (e.g., data partitioning, indexing strategies) for superior performance and cost efficiency.
- Monitor, analyze, and tune Airflow DAGs, Snowflake queries, and Databricks jobs to maximize throughput, reliability, and cost\-effectiveness.
- Implement monitoring and alerting solutions to proactively identify and resolve performance bottlenecks.
+ Technical Leadership \&amp; Stakeholder Management
- Provide technical leadership and mentorship to junior and mid\-level data engineers, fostering a culture of continuous learning and excellence.
- Lead cross\-functional partnerships with DevOps, Platform Engineering, Data Science, and business teams to ensure seamless integration of data workflows and systems.
- Communicate complex technical solutions effectively to non\-technical stakeholders and executive leadership, translating business requirements into scalable technical solutions.
- Drive architectural decisions and represent the data engineering team in strategic planning discussions.
+ Strategic Planning \&amp; Continuous Improvement
- Lead architecture reviews, design reviews, and code reviews to ensure quality, scalability, and alignment with enterprise best practices.
- Drive innovation by evaluating and recommending emerging trends and technologies in data engineering, orchestration tools (Airflow, MWAA), and cloud services (AWS, Snowflake, Databricks).
- Contribute to the development of the data engineering roadmap and long\-term technical strategy.
- Champion DevOps and DataOps best practices, including CI/CD for data pipelines, infrastructure as code, and automated testing.
**Qualifications \&amp; Skills**
* Education \&amp; Experience
+ Bachelor’s or Master’s degree in Computer Science, Engineering, or a related field.
+ 5\+ years of experience as a Data Engineer or in a similar role working with cloud\-based data platforms.
+ Demonstrated experience in technical leadership, including mentoring engineers and leading architectural initiatives.
+ Proven track record of delivering complex, large\-scale data engineering projects.
* Technical Skills
+ Cloud \&amp; Orchestration:
- Expert\-level proficiency with Airflow (self\-managed or managed services like Amazon MWAA) for workflow orchestration, DAG development, and scheduling.
- Deep understanding of Airflow best practices including DAG structure, dependency management, error handling, scaling, and optimization.
+ AWS Expertise:
- Advanced hands\-on experience with AWS Lake Formation, S3, Athena, and related services (e.g., Lambda, Glue, IAM, CloudWatch, Step Functions).
- Experience with AWS infrastructure as code (Terraform, CloudFormation).
+ Snowflake:
- Expert\-level proficiency in designing and implementing data warehouses, configuring enterprise security, optimizing complex queries, and managing Snowflake at scale.
+ Databricks:
- Advanced experience with Databricks for large\-scale data processing, analytics, and real\-time data insights.
- Familiarity with Spark optimization and performance tuning.
+ Data Ingestion \&amp; Transformation:
- Deep expertise with Airbyte or similar tools for complex data ingestion scenarios.
- Advanced proficiency with dbt or other SQL\-based transformation frameworks for modular, maintainable data processing.
- Experience with real\-time streaming technologies (e.g., Kafka, Kinesis) is a plus.
+ Programming:
- Expert\-level proficiency in Python and/or Java/Scala for building robust data pipelines and custom integrations.
- Strong software engineering fundamentals including testing, documentation, and code quality.
+ Query Languages:
- Expert\-level knowledge of SQL for complex data manipulation, analysis, and performance optimization.
+ DevOps \&amp; Infrastructure
- Strong experience with CI/CD pipelines, containerization (Docker, Kubernetes), and infrastructure as code (Terraform, CloudFormation).
- Deep understanding of DevOps best practices for managing Airflow environments (e.g., version control for DAGs, automated testing, monitoring, deployment strategies).
* Soft Skills
+ Exceptional problem\-solving and analytical abilities with a track record of solving complex technical challenges.
+ Outstanding communication and collaboration skills, with the ability to lead cross\-functional teams and influence stakeholders at all levels.
+ Proven leadership and mentorship capabilities, with experience coaching and developing engineering talent.
+ Ability to operate effectively in a fast\-paced, agile environment and manage multiple strategic priorities simultaneously.
+ Strong business acumen and ability to align technical solutions with business objectives.
**Preferred Certifications \&amp; Experience**
* AWS certifications (e.g., AWS Certified Data Analytics – Specialty, AWS Certified Solutions Architect) are a plus.
* Snowflake certifications (e.g., SnowPro Core) are a plus.
* Databricks certifications are beneficial.
* Demonstrated Experience with CI/CD pipelines, containerization (Docker, Kubernetes), and infrastructure as code (Terraform, CloudFormation).
* Strong foundation in DevOps best practices for managing production data environments.
* While familiarity with financial services data especially private equity and alternative investments is not necessary, it will be highly impactful for this role.
**What We Offer**
 We are committed to supporting your development, advancing your career, and providing benefits that matter to you.
 Our industry\-leading Alter Domus Academy offers six learning zones for every stage of your career, with resources tailored to your ambitions and resources from LinkedIn Learning.
**Our Global Benefits Also Include**
* Support for professional accreditations
* Flexible arrangements, generous holidays, plus an additional day off for your birthday!
* Continuous mentoring along your career progression
* Active sports, events and social committees across our offices
* 24/7 support available from our Employee Assistance Program
* The opportunity to invest in our growth and success through our Employee Share Plan
* Plus additional local benefits depending on your location
**Equity In Every Sense Of The Word**
 We are in the business of equity, in every sense of the word. For us, this means taking action to ensure every colleague has equal opportunity, valuing every voice and experience across our organisation, maintaining an inclusive culture where you can bring your whole self to work, and making Alter Domus a workplace where everyone feels they belong.
 We celebrate our differences, and recognise that our success relies on diverse perspectives and experiences, as we work towards shared goals and a common purpose. We take pride in creating a workplace where all our people are empowered to be truly invested in the alternative and bring their whole selves to work.
 We are committed to ensuring a welcomling recruiting and onboarding process for everyone. Please contact our hiring team if you require any accommodations to make our recruitment process more accessible for you. Alter Domus is an Equal Opportunity Employer: All qualified applicants will receive consideration for employment without regard to race, color, religion, sex, national origin, disability, or protected veteran status.
 (Alter Domus Privacy notice can be reviewed via Alter Domus webpage: https://alterdomus.com/privacy\-notice/)</t>
        </is>
      </c>
    </row>
    <row r="20">
      <c r="A20" t="inlineStr">
        <is>
          <t>li-4364197071</t>
        </is>
      </c>
      <c r="B20" t="inlineStr">
        <is>
          <t>Senior Data Engineer - Modern Data &amp; AI Platforms</t>
        </is>
      </c>
      <c r="C20" t="inlineStr">
        <is>
          <t>Spring Venture Group</t>
        </is>
      </c>
      <c r="D20" t="inlineStr">
        <is>
          <t>linkedin</t>
        </is>
      </c>
      <c r="E20" t="inlineStr"/>
      <c r="F20" t="inlineStr"/>
      <c r="G20" t="inlineStr">
        <is>
          <t>Kansas City, MO</t>
        </is>
      </c>
      <c r="H20" t="inlineStr"/>
      <c r="I20"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**Job Description**
**This person has the opportunity to work primarily remote in the Kansas City or surrounding areas, making occasional visits to the office. We are open to candidates in the Midwest willing to work CST.**
**We are unable to sponsor for this role, this includes international students.**
**Overview**
 The Senior Data Engineer role at Spring Venture Group is an opportunity to work at the intersection of data pipelines, data modeling, analytics, AI/ML enablement, and modern cloud\-native platforms, with Snowflake as your foundation.
 We are looking for someone who is excited to move away from building every pipeline from scratch and toward designing data products and AI\-powered applications. As automation and platform capabilities advance, you will evolve from a traditional builder into a strategic architect of data\-driven solutions.
**Essential Duties**
*The essential duties for this role include, but are not limited to:*
**Modern Data Platform \&amp; AI Enablement**
* Build advanced data pipelines utilizing the Medallion Architecture to create high\-quality data sources in Snowflake.
* Leverage AI\-assisted development tools to reduce manual pipeline work and explore emerging Snowflake capabilities like Cortex to support AI/ML\-enabled workflows.
* Build Data Applications that contribute to interactive experiences, including Streamlit\-based apps, transforming Snowflake from a warehouse into a full\-service data platform.
* Create robust data pipelines using AWS technologies to serve specific business needs.
**Data Modeling \&amp; Business Impact**
* Design and evolve analytical data models that support BI, advanced analytics, and AI workloads.
* Partner directly with Analytics and Data Science teams to translate complex business questions into well\-structured, modular data assets.
* Write complex Python/SQL, scripts, and stored procedures to ensure 99\.95% uptime and optimize query performance for downstream consumption.
**Leadership \&amp; Engineering Excellence**
* Serve as a primary advisor to the Data Management team to identify opportunities for technical improvements and automation.
* Act as a leader for junior and mid\-level engineers, providing direction on programming best practices, query optimization, and business tact.
* Architect replacements for legacy systems with a focus on data governance and maintainable documentation, including flowcharts and clear code comments.
* Support after hours and weekend releases from our internal Software Development teams.
* Actively participate in code review and weekly technicals with another more senior engineer or manager.
* Assist departments with time\-critical SQL execution and debug database performance problems.
**ROLE COMPETENCIES**
 The competencies for this role include, but are not limited to:
* Emotional Intelligence
* Drive for Results
* Continuous Improvement
* Communication
* Strategic Thinking
* Teamwork and Collaboration
**Qualifications**
**POSITION REQUIREMENTS**
**The Requirements To Fulfill This Position Are As Follows**
* Bachelor's degree in Computer Science, or a related technical field.
* 4\-7 years of practical production work in Data Engineering.
* Expertise of the Python programming language.
* Expertise of Snowflake
* Expertise of SQL, databases, \&amp; query optimization.
* Must have experience in a large cloud provider such as AWS, Azure, GCP.
* Advanced at reading code independently and understanding its intent.
* Advanced at writing readable, modifiable code that solves business problems.
* Ability to construct reliable and robust data pipelines to support both scheduled and event based workflows.
* Working directly with stakeholders to create solutions.
* Mentoring junior and mid\-level engineers on best practices in programming, query optimization, and business tact.
**Preferred Experience**
* Experience building or supporting Streamlit applications or similar data\-driven apps.
* Familiarity with Snowflake Openflow for data ingestion and orchestration.
* Exposure to Snowflake Cortex or AI/ML\-enabled analytics workflows.
* Background in analytics engineering (dbt\-style modeling, semantic layers, metrics design).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15 days of Paid Parental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21">
      <c r="A21" t="inlineStr">
        <is>
          <t>li-4381204267</t>
        </is>
      </c>
      <c r="B21" t="inlineStr">
        <is>
          <t>Data Engineer</t>
        </is>
      </c>
      <c r="C21" t="inlineStr">
        <is>
          <t>myGwork - LGBTQ+ Business Community</t>
        </is>
      </c>
      <c r="D21" t="inlineStr">
        <is>
          <t>linkedin</t>
        </is>
      </c>
      <c r="E21" t="inlineStr"/>
      <c r="F21" t="inlineStr"/>
      <c r="G21" t="inlineStr"/>
      <c r="H21" t="inlineStr"/>
      <c r="I21" t="inlineStr">
        <is>
          <t>**This job is with Thermo Fisher Scientific, an inclusive employer and a member of myGwork – the largest global platform for the LGBTQ\+ business community. Please do not contact the recruiter directly.**
**Work Schedule**
 Standard Office Hours (40/wk)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Digital transformation is a cornerstone of the continued development and expansion of Thermo Fisher’s global network of drug substance manufacturing sites. Our aim is to integrate best\-in\-class real\-time data collection, visualization, and analytics into standard manufacturing workflows in each facility.
 This role will take on responsibility for building, validating, and maintaining GxP data acquisition, analytics, and visualization solutions for use cases across the Biologics (BIO) business unit (BU). You will liaise with process SMEs in Manufacturing Sciences and Technology (MSAT) to define specific product and user requirements, build SQL queries and parameter logic within Discoverant, and work with IT and CSV to validate changes per a formal Software Development Lifecycle (SDLC) business process to deliver software solutions for efficient execution of Continued Process Verification (CPV) and routine process monitoring activities. You will also be able to take initiative to investigate feasibility of new tools and platforms to further streamline and enhance data analytics use cases across the network.
 As part of the global Biologics Strategy and PMO group you will have the opportunity to work with various departments at all the manufacturing and development sites in the network. As such, the successful candidate will be a highly motivated self\-starter who is able to work independently, remotely, and outside normal business hours with internal and external customers across multiple time zones in the US, Europe, and Asia\-Pacific regions.
**Key Responsibilities**
* Drive the execution and adoption of the process data analytics (PA) technologies and capabilities for the Biologics (BIO) business unit (BU).
* Build and maintain Discoverant product hierarchies for global BIO programs according to standard best practices for manufacturing process modelling and nomenclature under a formal SDLC change control process.
* Partner with global and site MSAT to build and deliver user requirements and streamline the execution of Continued Process Verification (CPV), routine process monitoring, and external data sharing activities through usage of Discoverant.
* Develop and integrate data visualization solutions into existing MSAT workflows including manufacturing process and material genealogy use cases.
* Work collaboratively to engage site leadership and technical SMEs to advance programs related to global process analytics.
* Liaise with Global IT, Computerized Systems Validation (CSV), and Data Engineering and Process Analytics (DEPA) to adhere to Discoverant platform\-level best practices and procedures and provide input for future system enhancements and upgrades.
* Investigate the applicability of advanced analytical tools such as real\-time multivariate process modelling or process knowledge management for improving development and manufacturing.
* Support or lead projects related to Pharma 4\.0, AI/ML, and other digital transformation initiatives for the BIO BU.
**Minimum Requirements/Qualifications**
**Key Skills / Experience:**
* Experience building and configuring process analytics data management systems such as Skyland PIMS, BIOVIA Discoverant, or TIBCO Statistica.
* Experience with systems integration, building SQL queries against relational databases for applications commonly used in pharmaceutical manufacturing facilities such as laboratory information management systems (LIMS), enterprise resource planning (ERP) systems, manufacturing execution systems (MES), distributed control systems (DCS), process data historian systems (AVEVA PI).
* Experience working with statistical analytics platforms (JMP/Minitab/R), data visualization applications (Power BI, Tableau, Spotfire) or programming languages (Python, Visual Basic, HTML/CSS) is a plus.
* Strong working knowledge of Statistical Process Control (SPC), Continued Process Verification (CPV), and basic statistics tools and methodologies is a plus.
* Working knowledge of the overall Biologics development and manufacturing process.
* Experience working in a cGMP Software Development Lifecycle (SDLC) environment.
* Ability to work in a matrix management system and influence and negotiate collaboratively with others without direct authority.
* Strong project management skills with proven ability to independently manage multiple milestones flexibly in an environment where priorities may change at short notice.
* Experienced with writing quality\-controlled computerized systems design documents, policy documents and SOPs.
* Experienced in participating and leading process improvement and PPI Kaizen projects including the application of Lean/Six Sigma methodologies.
* Ability to work independently with minimal daily supervision.
* Ability to work outside normal business hours on a semi\-regular basis to connect with colleagues in U.S., Europe, and Asia\-Pacific time zones.
**Qualifications \&amp; Experience**
* Bachelor’s Degree in Computer Science, Chemical Engineering, or STEM related discipline
* 3\+ years of Computerized Systems Engineering, Data Engineering, or Data Analytics experience in a biopharmaceutical GMP manufacturing environment.
**Compensation And Benefits**
 The salary range estimated for this position based in Massachusetts is $66,000\.00–$99,000\.00\.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]]\&gt;</t>
        </is>
      </c>
    </row>
    <row r="22">
      <c r="A22" t="inlineStr">
        <is>
          <t>li-4380889937</t>
        </is>
      </c>
      <c r="B22" t="inlineStr">
        <is>
          <t>Data Engineer</t>
        </is>
      </c>
      <c r="C22" t="inlineStr">
        <is>
          <t>myGwork - LGBTQ+ Business Community</t>
        </is>
      </c>
      <c r="D22" t="inlineStr">
        <is>
          <t>linkedin</t>
        </is>
      </c>
      <c r="E22" t="inlineStr"/>
      <c r="F22" t="inlineStr"/>
      <c r="G22" t="inlineStr"/>
      <c r="H22" t="inlineStr"/>
      <c r="I22" t="inlineStr">
        <is>
          <t>**This job is with Thermo Fisher Scientific, an inclusive employer and a member of myGwork – the largest global platform for the LGBTQ\+ business community. Please do not contact the recruiter directly.**
**Work Schedule**
 Standard Office Hours (40/wk)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Digital transformation is a cornerstone of the continued development and expansion of Thermo Fisher’s global network of drug substance manufacturing sites. Our aim is to integrate best\-in\-class real\-time data collection, visualization, and analytics into standard manufacturing workflows in each facility.
 This role will take on responsibility for building, validating, and maintaining GxP data acquisition, analytics, and visualization solutions for use cases across the Biologics (BIO) business unit (BU). You will liaise with process SMEs in Manufacturing Sciences and Technology (MSAT) to define specific product and user requirements, build SQL queries and parameter logic within Discoverant, and work with IT and CSV to validate changes per a formal Software Development Lifecycle (SDLC) business process to deliver software solutions for efficient execution of Continued Process Verification (CPV) and routine process monitoring activities. You will also be able to take initiative to investigate feasibility of new tools and platforms to further streamline and enhance data analytics use cases across the network.
 As part of the global Biologics Strategy and PMO group you will have the opportunity to work with various departments at all the manufacturing and development sites in the network. As such, the successful candidate will be a highly motivated self\-starter who is able to work independently, remotely, and outside normal business hours with internal and external customers across multiple time zones in the US, Europe, and Asia\-Pacific regions.
**Key Responsibilities**
* Drive the execution and adoption of the process data analytics (PA) technologies and capabilities for the Biologics (BIO) business unit (BU).
* Build and maintain Discoverant product hierarchies for global BIO programs according to standard best practices for manufacturing process modelling and nomenclature under a formal SDLC change control process.
* Partner with global and site MSAT to build and deliver user requirements and streamline the execution of Continued Process Verification (CPV), routine process monitoring, and external data sharing activities through usage of Discoverant.
* Develop and integrate data visualization solutions into existing MSAT workflows including manufacturing process and material genealogy use cases.
* Work collaboratively to engage site leadership and technical SMEs to advance programs related to global process analytics.
* Liaise with Global IT, Computerized Systems Validation (CSV), and Data Engineering and Process Analytics (DEPA) to adhere to Discoverant platform\-level best practices and procedures and provide input for future system enhancements and upgrades.
* Investigate the applicability of advanced analytical tools such as real\-time multivariate process modelling or process knowledge management for improving development and manufacturing.
* Support or lead projects related to Pharma 4\.0, AI/ML, and other digital transformation initiatives for the BIO BU.
**Minimum Requirements/Qualifications**
**Key Skills / Experience:**
* Experience building and configuring process analytics data management systems such as Skyland PIMS, BIOVIA Discoverant, or TIBCO Statistica.
* Experience with systems integration, building SQL queries against relational databases for applications commonly used in pharmaceutical manufacturing facilities such as laboratory information management systems (LIMS), enterprise resource planning (ERP) systems, manufacturing execution systems (MES), distributed control systems (DCS), process data historian systems (AVEVA PI).
* Experience working with statistical analytics platforms (JMP/Minitab/R), data visualization applications (Power BI, Tableau, Spotfire) or programming languages (Python, Visual Basic, HTML/CSS) is a plus.
* Strong working knowledge of Statistical Process Control (SPC), Continued Process Verification (CPV), and basic statistics tools and methodologies is a plus.
* Working knowledge of the overall Biologics development and manufacturing process.
* Experience working in a cGMP Software Development Lifecycle (SDLC) environment.
* Ability to work in a matrix management system and influence and negotiate collaboratively with others without direct authority.
* Strong project management skills with proven ability to independently manage multiple milestones flexibly in an environment where priorities may change at short notice.
* Experienced with writing quality\-controlled computerized systems design documents, policy documents and SOPs.
* Experienced in participating and leading process improvement and PPI Kaizen projects including the application of Lean/Six Sigma methodologies.
* Ability to work independently with minimal daily supervision.
* Ability to work outside normal business hours on a semi\-regular basis to connect with colleagues in U.S., Europe, and Asia\-Pacific time zones.
**Qualifications \&amp; Experience**
* Bachelor’s Degree in Computer Science, Chemical Engineering, or STEM related discipline
* 3\+ years of Computerized Systems Engineering, Data Engineering, or Data Analytics experience in a biopharmaceutical GMP manufacturing environment.
**Compensation And Benefits**
 The salary range estimated for this position based in Massachusetts is $66,000\.00–$99,000\.00\.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]]\&gt;</t>
        </is>
      </c>
    </row>
    <row r="23">
      <c r="A23" t="inlineStr">
        <is>
          <t>li-4381355918</t>
        </is>
      </c>
      <c r="B23" t="inlineStr">
        <is>
          <t>Senior Data Engineer (Python, PySpark, Lambda)</t>
        </is>
      </c>
      <c r="C23" t="inlineStr">
        <is>
          <t>TalentAlly</t>
        </is>
      </c>
      <c r="D23" t="inlineStr">
        <is>
          <t>linkedin</t>
        </is>
      </c>
      <c r="E23" t="inlineStr"/>
      <c r="F23" t="inlineStr"/>
      <c r="G23" t="inlineStr">
        <is>
          <t>Cambridge, MA</t>
        </is>
      </c>
      <c r="H23" t="inlineStr"/>
      <c r="I2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PDN\-a13d66eb\-bfce\-4ef9\-8dca\-793b56454a30</t>
        </is>
      </c>
    </row>
    <row r="24">
      <c r="A24" t="inlineStr">
        <is>
          <t>li-4321384025</t>
        </is>
      </c>
      <c r="B24" t="inlineStr">
        <is>
          <t>Lead, IT Data Engineer</t>
        </is>
      </c>
      <c r="C24" t="inlineStr">
        <is>
          <t>Shure</t>
        </is>
      </c>
      <c r="D24" t="inlineStr">
        <is>
          <t>linkedin</t>
        </is>
      </c>
      <c r="E24" t="inlineStr"/>
      <c r="F24" t="inlineStr"/>
      <c r="G24" t="inlineStr">
        <is>
          <t>Niles, IL</t>
        </is>
      </c>
      <c r="H24" t="inlineStr"/>
      <c r="I24" t="inlineStr">
        <is>
          <t>**Come join the global IT team at Shure!**
 In your role as
 **Lead Data Engineer,** 
 you will play a critical role in enabling Shure’s global analytics and data strategy. This position partners closely with business and technology stakeholders across North America, Europe, and Asia to design, build, enhance, and support scalable analytics solutions that meet evolving global business needs.
 In this senior role, you’ll be responsible for engineering and supporting robust data pipelines that leverage Shure’s technology investments and enable insights across the organization. You’ll work with a wide variety of data sources—including structured and unstructured data, internal and external data, and emerging data types such as Internet of Things (IoT)—to ensure data is reliable, accessible, and optimized for analytics and reporting.
 The ideal candidate brings a strong foundation in data engineering best practices, stays current with technology trends, and demonstrates a willingness to learn and adopt emerging tools and platforms. Success in this role requires both technical depth and the ability to collaborate effectively within a globally distributed team to deliver high‑quality, business‑driven data solutions.
**This role is hybrid, based in our Niles, IL location or remote within the US.**
**Responsibilities**
* Lead and perform data engineering development for connecting source systems to Shure’s data lake, ensuring data quality and governance standards.
* Assist internal business partners in implementing Generative AI\-driven analytics solutions, providing guidance on use cases, integration strategies, and best practices to enhance data insights and decision\-making.
* Collaborate with business partners to define analytic use cases, develop business cases, and ensure benefits realization through measurable outcomes and value delivery.
* Design and implement ETL processes to extract, transform, and load data from multiple sources into Shure’s data lake and data warehouse.
* Develop and maintain scalable, flexible data models and analytic solutions aligned with business requirements.
* Drive technical solution design and provide approvals for documentation, proposals, and final designs.
* Establish and maintain data lineage and cataloging to enable discoverability and support governance initiatives.
* Oversee code reviews, testing, and validation to ensure high\-quality deliverables and adherence to standards.
* Provide technical leadership and mentorship to data engineers, serving as the first escalation point for complex issues.
* Collaborate with cross\-functional teams and external contacts , offering thought leadership on emerging technologies and trends.
* Manage medium to large \-scope projects , including planning, resource allocation, and execution of technical phases while supporting business users through Service Desk requests.
* Lead continuous improvement initiatives , including automation, monitoring, and reliability enhancements for the data platfor m.
**Qualifications**
* Demonstrated commitment to working in alignment with Shure’s core values, fostering collaboration, integrity, innovation, and excellence in all deliverables.
* Minimum of 10 years of related experience with a Bachelor’s degree; or 8 years with a Master’s; or 5 years with a PhD; or equivalent experience in enterprise data warehouse/data lake platforms and big data technologies.
* Strong professional judgment, problem\-solving, and communication skills to analyze complex data challenges and deliver well\-structured solutions.
* Expertise across end\-to\-end data processes, including application integration touchpoints and alignment of local/global requirements.
* Hands\-on experience with AWS Data Engineering stack (S3, Glue, Lambda, EMR/Spark, Step Functions, Athena, Lake Formation, IAM, Redshift).
* Advanced proficiency in Snowflake (data modeling, performance tuning, Snowpipe , Streams/Tasks, RBAC, cost governance, query optimization).
* Skilled in designing and implementing CI/CD pipelines for data engineering workflows using GitLab, GitHub Actions, Azure DevOps, Terraform/CDK, and dbt .
* Experience integrating ERP (SAP, Oracle) and CRM (Salesforce) data into cloud platforms.
* Knowledge of structured/unstructured data and integration protocols (OData, ODP, REST APIs, JDBC/ODBC, file\-based, custom interfaces).
* Strong understanding of modern data architecture patterns (Medallion, Lambda, Kappa, Data Mesh), dimensional and Data Vault modeling, and data quality methods.
* Expertise in SQL, shell scripting, Python or PySpark for data engineering and automation.
* Familiarity with Machine Learning concepts, Generative AI, and enabling ML pipelines and feature stores.
* Experience with real\-time streaming technologies (Apache Kafka, AWS Kinesis, MSK) for high\-throughput, low\-latency pipelines.
* Knowledge of data visualization tools (Tableau, Power BI) and project management methodologies ( SAFe Agile, Waterfall).
* Ability to rapidly learn new technologies and convert business requirements into technical designs.
**Who We Are**
 Shure’s mission is to be the most trusted audio brand worldwide – and for over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is headquartered in United States. We have more than 35 regional sales offices, engineering hubs, distribution centers and manufacturing facilities throughout the Americas, EMEA, and Asia.
 Join Shure and
 **Amplify Your Impact.** 
 Explore our unique culture and learn the key pillars that define our legacy of excellence.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**PAY TRANSPARENCY**
 Shure offers a competitive compensation structure that is reviewed annually to attract, hire, and retain the industry’s top talent. Base salaries vary based on qualifications, geography, experience, and expertise in each respective discipline. The range displayed on each job posting reflects the minimum and maximum base salary for the opportunity. The base salary for this position ranges from $127,000 to $203,200 with a mid\-point target. This position may also be eligible for our incentive pay program, which varies based on individual and Company performance in the year. If your salary expectations do not align, still apply as we are often flexible on the seniority of posted positions. All positions also include an award\-winning benefits package.
**WE GOT YOU \- Our Benefits**
 At Shure, we prioritize the well\-being of our Associates. We offer competitive rewards packages to full\-time and part\-time Associates working 24 or more hours a week that address physical, mental, financial, and overall well\-being. Our benefits include comprehensive healthcare, mental health and retirement savings plans, generous paid time off programs, employee discounts, professional development opportunities, work\-life balance initiatives, employee recognition programs, and volunteering/community involvement opportunities. To learn more, check out our Benefits At A Glance .</t>
        </is>
      </c>
    </row>
    <row r="25">
      <c r="A25" t="inlineStr">
        <is>
          <t>li-4381363514</t>
        </is>
      </c>
      <c r="B25" t="inlineStr">
        <is>
          <t>Data Platform Engineer - REMOTE</t>
        </is>
      </c>
      <c r="C25" t="inlineStr">
        <is>
          <t>Jobs via Dice</t>
        </is>
      </c>
      <c r="D25" t="inlineStr">
        <is>
          <t>linkedin</t>
        </is>
      </c>
      <c r="E25" t="inlineStr"/>
      <c r="F25" t="inlineStr"/>
      <c r="G25" t="inlineStr"/>
      <c r="H25" t="inlineStr"/>
      <c r="I25" t="inlineStr">
        <is>
          <t>Dice is the leading career destination for tech experts at every stage of their careers. Our client, Contract Staffing Recruiters, is seeking the following. Apply via Dice today!
**he Opportunity:**
 This role is a senior technical leadership position responsible for integrating and delivering production\-grade AI, machine learning, and data capabilities. The position combines hands\-on software engineering with system\-level design, leading end\-to\-end development of scalable, cloud\-based solutions that leverage LLMs, MLOps, and automation. Working closely with cross\-functional stakeholders, the role balances near\-term delivery with long\-term strategy while mentoring engineers and promoting strong engineering best practices.
**What You Will Do:**
* Collaborate with technical leadership, product managers, program/project managers, and business stakeholders to support the team as we bring advanced data capabilities.
* Be the system integrator for APIs, SDKs, and other automation activities: lead multi\-disciplinary efforts to bring advanced AI/ML capabilities through production software and cloud engineering, including generative AI, AIOps, GenOps, MLOps, and ML\-augmented engineering. This includes ensuring that capabilities are designed, implemented, maintained, observed, and supported from end\-to\-end.
* Maintain both high level and low\-level views of technical systems and coordinate with teams and subject matter experts from other disciplines to realize successful realization.
* Design, write, test, and deploy production quality software capabilities that are maintainable, automated (CI/CD), scalable, observable, organized, and readable. Ensure best practices are maintained, including quality and CI/CD automation.
* Advise technical support and building of user documentation
* Mentor early and mid\-career team members, supporting their ascension to senior and lead roles.
**Qualifications You Must Have:**
 Typically requires a University Degree or equivalent experience and minimum 12 years prior relevant experience, or an Advanced Degree in a related field and minimum 10 years’ experience
* 5\+ years of experience with data science and machine learning.
* 5\+ years of experience with the Software Development Life Cycle and software application / product development, including Python and the Python scientific stack.
**Qualifications We Prefer:**
 A flexible and patient mindset, interested in working on a variety of multi\-disciplinary challenges with varying stakeholders, partners, domains, and toolsets.
* Relevant experience with cloud computing platforms (AWS and/or Azure.)
* Organizational skills for knowledge, documentation, and data management
* Other helpful experience: SQL, Node, REST APIs, testing libraries.
* Experience building products that use Large Language Models (LLMs) and LLM APIs.
* Technical leadership experience, such as being the engineering lead for a program, product, or large project.
* Experience as part of a multi\-disciplinary team
* Experience with cloud computing.</t>
        </is>
      </c>
    </row>
    <row r="26">
      <c r="A26" t="inlineStr">
        <is>
          <t>li-4364455285</t>
        </is>
      </c>
      <c r="B26" t="inlineStr">
        <is>
          <t>Lead Data Engineer</t>
        </is>
      </c>
      <c r="C26" t="inlineStr">
        <is>
          <t>Arcadia</t>
        </is>
      </c>
      <c r="D26" t="inlineStr">
        <is>
          <t>linkedin</t>
        </is>
      </c>
      <c r="E26" t="inlineStr"/>
      <c r="F26" t="inlineStr"/>
      <c r="G26" t="inlineStr"/>
      <c r="H26" t="inlineStr"/>
      <c r="I26" t="inlineStr">
        <is>
          <t>*Arcadia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
**Why This Role Is Important to Arcadia**
 The Arcadia Data Engineering team onboards and supports the data feed integrations between Client Claim and Clinical data management platforms and our Healthcare Solution Platform. Our customers are top Healthcare providers and payers, and we help them integrate their internal systems with our analytic platform. The Data Engineering team is responsible for the data architecture that drives the partnership with customers and other internal organizations to drive success through adoption of cutting edge analytic solutions that leverage new age technologies and best practices. Our Data Engineers require both SQL Database knowledge and design , along with multiple programing languages.
 As a Lead Data Engineer, you will drive the successful development of solution architecture and the completion of data pipeline connectors that automate the flow of data between client Claim and Clinical data platforms and our analytic health solution platform. Your efforts will be critical to driving the long\-term partnership between Arcadia and our customers.
**What Success Looks Like**
**In 3 months**
* Learn the different areas of the data connector life cycle, and develop a working knowledge of the technical stacks, storage platforms, data models, and Arcadia's development cycle
* Familiarize yourself with the existing data pipeline and associated product capabilities
* Set to work on new ingestion pipelines with full bandwidth available (as formal training will end)
**In 6 months**
* Meaningfully contribute to team efficiency by building or rolling out new functionality to enhance team speed
* Build a backlog of development projects that you can start executing on in the next 6 months
* Build strong relationships with engineering organization that supports the data engineering stack so that you can help drive stack improvements
* Set your own personal vision of development and career aspirations and set a working path forward with leadership to work on how we can help you attain those goals
* Contribute to scrum ceremonies and ceremonies within the dev cycles while successfully updating status and progress in Jira
**In 12 months**
* Demonstrate impact to larger team’s ability to get the work done faster
* Continue to work with Product, Engineering or Implementation to build out tools for better data integration capabilities
* Work on standardizing data connector development with better abstraction patterns
* Become a SME (subject matter expert) on Arcadia’s data stack
**What You'll Be Doing**
* As a Lead Data Engineer, you will drive the successful development of solution architecture and the completion of data pipeline connectors that automate the flow of data between client data platforms and our analytic health solution platform. Your outcomes are critical to driving the long\-term partnership between Arcadia and our customers.
**You Will Primarily Do The Following**
* Improving the process of how we design and document data pipelines
* Identifying high leverage improvement projects and driving them to completion
* Support of our processes in partaking in peer code reviews, sprint planning, product grooming, maintaining Jira tasks and peer test reviews
* You will be expected to contribute to multiple implementations simultaneously, which will include both new customer setup as well as support and enhancements for existing customers
*The expectations of the day to day of an engineer are as follows:*
**Delivery**
* Responsible for delivery of work on expected timelines
* Able to identify risk to project success and communicate to leadership
* Works mostly independently on delivery w/decreasing involvement from engineering and more senior team members
* Able to apply critical thinking and problem solving skills to propose solutions for complex problems within day to day work
**Technical Domain Knowledge**
* Develop a deep understanding of our systems so you can work on projects to improve them
* Developing ability to understand technical issues and communicate potential solutions to team members or engineering team
**Business Domain Knowledge**
* Developing working knowledge of the business of healthcare data and how it interacts within the Arcadia products
* Understanding of shared value contracts that our customers are in and how data is impacted by them
* Developing knowledge of industry data expected values such as PMPM by LOBs, MM trends, etc.
**Communication Skills**
* Developing internal and external professional communication skills including presentation of issues using appropriate industry vocabulary
**Team Projects**
* Responsible for contributing to the advancement of team processes and internal
**What You'll Bring**
* Senior Experience Level of 5\-8 years post\-grad with relevant industry experience or graduate level degree.
**TECH**
* As a Lead Data Engineer you will be expected to problem solve coding issues and enhancements with frameworks that are built in Spark, while also leveraging technical skills to partake in idea sessions on process improvement and POC design of how to carry out a solution
* SQL: 5\+ years (Preferred)
* Python: 3\+ years (Preferred)
* Spark: 4\+ years (Preferred)
* Database Architecture: 2\-3 years (Preferred)
* Cloud Architecture: 1\-2 years (Preferred)
**DATA**
* As a Lead Data Engineer you will be expected to problem solve some basic data analysis issues and work the data to create analytic enhancements
* Healthcare Data: 2\-4 years (Preferred)
* Healthcare Analytics: 1\-3 years (Preferred)
**Would Love For You To Have**
* AWS (S3 and EC2\): 2\-3 years
* Nifi: 3\- 5 years
* Kafka: 3\-5 years
* Java : 3\-5 years
* Healthcare Analytics: 3\-5 years
**What You'll Get**
* Chance to be surrounded by a team of extremely talented and dedicated individuals driven to succeed
* Be a part of a mission driven company that is transforming the healthcare industry by changing the way patients receive care
* A flexible, remote friendly company with personality and heart
* Employee driven programs and initiatives for personal and professional development
* Be a member of the Arcadian and Barkadian Community
 $150,000 \- $175,000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
**Protect Yourself**
 If you have concerns about the authenticity of a job offer or recruitment\-related communication claiming to be from Arcadia, we encourage you to verify by contacting us directly at (781\) 202\-3600 and select option 3\. For more information, visit our website .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li-4382388891</t>
        </is>
      </c>
      <c r="B27" t="inlineStr">
        <is>
          <t>Analytics Engineer (AJC)</t>
        </is>
      </c>
      <c r="C27" t="inlineStr">
        <is>
          <t>Atlanta Journal-Constitution</t>
        </is>
      </c>
      <c r="D27" t="inlineStr">
        <is>
          <t>linkedin</t>
        </is>
      </c>
      <c r="E27" t="inlineStr"/>
      <c r="F27" t="inlineStr"/>
      <c r="G27" t="inlineStr">
        <is>
          <t>Atlanta, GA</t>
        </is>
      </c>
      <c r="H27" t="inlineStr"/>
      <c r="I27" t="inlineStr">
        <is>
          <t>We are looking for a skilled Analytics Engineer to help structure, transform, and optimize our data to support analytics and reporting across the company. In this role, you will build and maintain data pipelines, develop high\-quality data models, and ensure our data is accurate, consistent, and ready for use. Our team works primarily in Snowflake with dbt, alongside AWS, GCP, and other modern data tools. This role is a great opportunity to grow your technical expertise in a fast\-paced environment and contribute to data solutions that support key business decisions.
 At The Atlanta Journal\-Constitution (AJC), our mission is to be the most essential and engaging source of news for the people of Atlanta, Georgia and the South. As we transition from a historic daily newspaper to a dynamic modern media company, we are seeking a talented Analytics Engineerto join our team. The AJC believes that when you cover the South, you uncover the nation. It's a belief that's produced award\-winning journalism, elevated our community, and captured the substance and soul of our hometown.
 If you're ready to make headlines with your talent and drive, we want you on our team. Apply now and be a part of the next chapter in the AJC's transformation.
**Key Responsibilities**
**WHAT YOU'LL DO**
* Develop and maintain scalable dbt models, following best practices for modularity and performance.
* Apply Kimball\-style dimensional modeling techniques (star schema, slowly changing dimensions, fact and dimension tables) to structure data for analysis and reporting.
* Explore, analyze, and validate data to ensure accuracy, consistency, and completeness of dbt models.
* Implement and maintain automated dbt tests to ensure data quality, including checks for anomalies, nulls, duplicates, and referential integrity.
* Investigate and troubleshoot data anomalies, pipeline errors, and model discrepancies, collaborating with teams to resolve issues promptly.
* Partner closely with data analysts to build reliable reporting models and ensure the data feeding reports is accurate, actionable, and aligned with business needs.
* Ensure the availability, consistency, and accessibility of data for analytics teams working with Tableau and other BI tools.
* Participate in code and PR reviews to maintain high\-quality, consistent dbt models and data pipeline code.
* Monitor and optimize data pipeline performance, leveraging tools on AWS such as Lambda, SQS, Athena, EC2, and Kinesis.
* Follow data governance standards to ensure data integrity, security, and compliance.
**Who You Are**
**Required Qualifications:**
* REQUIRED\- must live within a commutable distance to AJC Midtown Atlanta office.
* Applicants must currently be authorized to work in the United States for any employer without current or future sponsorship. No OPT, CPT, STEM/OPT or visa sponsorship now or in future.
* 2\-4 years of experience as an Analytics Engineer or in a related role.
* Bachelor's degree in Computer Science, Data Science, Statistics, or a related field with 2\+ years experience or 14 years equivalent working experience
* Good understanding of data quality, validation, and governance practices.
* Experience working with data analysts or BI teams to build accurate reporting datasets.
* Proficiency with Snowflake or similar cloud data warehouse technologies
* Solid understanding of dimensional modeling concepts (star schemas, fact and dimension tables, slowly changing dimensions).
**Preferred Qualifications**
* Experience using dbt for building, testing, and maintaining data models.
* Experience collaborating with data analysts to build accurate, actionable reporting models.
* Proficiency with Snowflake and building scalable data warehouses.
* Familiarity with AWS services (Lambda, SQS, Athena, EC2, Kinesis) and cloud\-based data pipelines.
* Understanding of event and web analytics data from tools like Amplitude and Google Analytics.
* Experience with real\-time data streams and troubleshooting data pipeline issues.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28">
      <c r="A28" t="inlineStr">
        <is>
          <t>li-4355261571</t>
        </is>
      </c>
      <c r="B28" t="inlineStr">
        <is>
          <t>Senior MDM Data Engineer</t>
        </is>
      </c>
      <c r="C28" t="inlineStr">
        <is>
          <t>Cetera Financial Group</t>
        </is>
      </c>
      <c r="D28" t="inlineStr">
        <is>
          <t>linkedin</t>
        </is>
      </c>
      <c r="E28" t="inlineStr"/>
      <c r="F28" t="inlineStr"/>
      <c r="G28" t="inlineStr">
        <is>
          <t>Dallas, TX</t>
        </is>
      </c>
      <c r="H28" t="inlineStr"/>
      <c r="I28"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The
 **Senior MDM Data Enginee** 
 r is a hands\-on technical expert responsible for designing, building, and operating the data engineering pipelines that power the Master Data Management ecosystem across the enterprise. This role focuses on integrating Profisee with upstream source systems and downstream consuming systems, transforming source data into MDM\-ready structures, and enabling near–real\-time propagation of golden\-record updates across the enterprise.
 The engineer will work across Profisee, Snowflake, AWS (Lambda, S3, Step Functions, MSK/Kinesis), and the broader PCB ingestion → mastering → integrated → access pipeline. This is a key contributor role in establishing enterprise\-wide reference data, mastering domains (Party, Account, Advisor/Rep, Security, etc.), reinforcing governance rules, and building scalable engineering patterns for survivorship, deduplication, and attribute propagation.
**This opportunity provided a Hybrid work schedule ideally from our Dallas, Texas office.**
****What You Will Do:****
**MDM Data Engineering \&amp; Pipeline Development:**
* Design, build, and maintain ingestion, standardization, match/merge preparation, and golden\-record distribution pipelines that support Profisee and Snowflake MDM workflows.
* Develop and optimize batch, micro\-batch, and real\-time/streaming pipelines using AWS services (MSK/ Kafka, Lambda, Step Functions, S3, Glue) that support near real\-time golden\-record updates.
* Build robust pipelines to feed the feedback loop from Profisee golden records to downstream systems (e.g., operational apps, Snowflake EDW, integration layer, domain APIs).
* Transform source\-system attributes into canonical MDM domain\-aligned schemas using Iceberg, or engineered transformations.
****Profisee Integration \&amp; Master Data Operations:****
* Implement and maintain Profisee ingestion patterns, including entity configuration, match/merge logic, survivorship rule execution, and data validation pipelines.
* Build automated flows to promote golden records from Profisee into Snowflake and publish attribute changes to downstream platforms.
* Support MDM model changes by developing scalable pipelines that adapt to schema evolution and new mastered attributes.
* Partner with MDM Analysts and Data Stewards to translate governance rules into executable engineering logic.
****Architecture, Standards \&amp; Data Quality:****
* Implement data quality rule enforcement (completeness, conformity, integrity, consistency) as part of MDM pipelines using tools such as Great Expectations/Soda/Deequ or native SQL rules.
* Contribute to MDM metadata management, lineage capture, and integration with enterprise catalogs.
* Apply best practices for referential integrity, survivorship, deduplication, hierarchy management, and domain alignment.
* Establish reusable patterns for onboarding new MDM sources or domains.
****Collaboration \&amp; Delivery:****
* Partner with ingestion, integrated, and access layer engineering teams to ensure MDM\-produced golden data is correctly consumed and traceable end\-to\-end.
* Work with Security, IAM, and DevOps to ensure secure, scalable delivery of MDM workloads.
* Provide technical guidance to junior engineers and serve as a subject\-matter SME for MDM pipeline development.
* Contribute to Agile ceremonies, sprint planning, backlog refinement, and peer design reviews.
* Operational Support \&amp; Continuous Improvement
* Ensure MDM jobs, both batch and streaming meet SLAs.
* Support MDM incident triage, match conflicts, rule tuning, and schema evolution.
* Contribute to playbooks, runbooks, onboarding guides, and stewardship documentation.
* Evaluate Profisee feature releases, AWS enhancements, and architectural maturity opportunities
****Operational Excellence:****
* Monitor and continuously improve data quality and operational efficiency.
* Monitor and participate in the optimization of performance of the MDM Platform and related systems to meet evolving business demands.
* Stay current with emerging technologies and industry trends to drive innovation and best practices.
****What You Will Need:****
* 5–10\+ years in data engineering, with at least 3\+ years supporting MDM platforms (preferably Profisee).
* Bachelor’s degree in information systems, Data Management, Computer Science, Business Analytics, or equivalent.
* Cloud certifications (AWS Solutions Architect, AWS Data Analytics) preferred.
* MDM certifications are desirable.
* Financial Services Certifications preferred such as SIE Certification, Series\-99 or similar.
* Technical Certifications preferred related to AWS Technology Stack
* 4–7 years in MDM, Data Quality, or Data Integration roles.
* Hands\-on experience with Profisee MDM required.
* Experience delivering MDM solutions in AWS cloud environments is strongly preferred.
* Background in financial services, broker\-dealer, or other regulated, data\-intensive industries is preferred.
* Experience implementing streaming/event\-driven data patterns is highly desirable.
* Experience integrating Profisee with Snowflake and AWS\-native pipelines.
* Knowledge of streaming\-based MDM updates and near\-real\-time mastering patterns.
* Exposure to canonical modeling in event\-driven architectures.
* Familiarity with reconciling mastered data with downstream operational systems.
* Understanding of domain\-driven design for large\-scale data ecosystems.
****Technical Expertise:****
* Strong programming experience in Python, SQL, and data transformation frameworks (dbt, Spark, Glue).
* Experience working with AWS data services including : S3, Glue, Lambda, Step Functions, DynamoDB, and API Gateway.
* Hands\-on experience with event\-driven mastering using: Kafka/MSK (preferred), Kinesis, or Event Bridge.
* Familiarity with AWS security models, IAM, encryption, and operational best practices. Financial Services
****Data Engineering \&amp; Analysis:****
* Proficiency designing event\-driven integrations, especially for operational data mastering.
* Advanced Snowflake experience (Streams/Tasks, Iceberg tables, RBAC).
* Strong understanding of survivorship, matching algorithms, identity resolution, record lineage, and MDM best practices.
* Experience building CI/CD pipelines (GitHub Actions, CodePipeline, Bitbucket, etc.).
* Familiarity with enterprise MDM domains: Party, Account, Security, Advisor, Transaction context, Hierarchy/Relationships.
****Data Quality \&amp; Governance:****
* Proven experience defining DQ rules, profiling logic, and exception workflows.
* Understanding of metadata management and stewardship processes
****Operational Excellence:****
* Experience designing and managing support and monitoring frameworks for 24x7 operational data systems.
* Proven ability to establish incident management processes and escalation protocols.
* Strong background in optimizing ODS performance, availability, and reliability at scale.
****Interpersonal \&amp; Communication Skills:****
* Strong communication skills and ability to work across business and IT stakeholders.
* Comfortable analyzing complex source data and resolving data quality/root cause issues.
* Ability to work in a fast\-paced, federated data organization and navigate multi\-domain alignment.
* Demonstrated ownership and a proactive, engineering\-first mindset.
****Compensation:****
 The salary range for this role is $111,000\.00\- $148,000\.00,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About Us
****What We Give You In Return:****
 Not many teams can say that they support people’s dreams coming to life… We happen to do that every day. And as important as we know your career is, we recognize that there’s a whole lot more to life. To ensure that our Employees can make the most of their time outside of working hours, we offer a competitive salary and for full\-time roles, a benefits package including:
* Inclusive health, dental, vision and life insurance plans built to support diverse lifestyles, offer preventative care, and protect against hardship.
* Easy access to mental health benefits to meet our team members and their families where they are.
* 20\+ days of paid time off (PTO), paid holidays, and 2 paid wellness days to give our employees the time they need to stay close with their loved ones, recharge, and give back to their communities.
* 401(k) Savings plan with a generous company contribution (up to 5%), and access to a financial professional to offer our employees the opportunity to plan\-ahead for a strong financial future well beyond their working years.
* Paid parental leave to support all team members with birth, adoption, and foster.
* Health Savings and Flexible Spending Account options to help you save money on healthcare, daycare, commuting, and more.
* Employee Assistance Program (EAP), LifeLock, Pet Insurance and more.
****About Cetera Financial Group:****
 Cetera Financial Group ® ("Cetera") is a leading network of independent retail broker\-dealers empowering the delivery of objective financial advice to individuals, families and company retirement plans across the country through trusted financial advisors and financial institutions. Cetera is one of the largest independent financial advisor networks in the nation by number of advisors, as well as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independent retail firms encompassing, among others, Cetera Advisors LLC , Cetera Wealth Services LLC (f/k/a Cetera Advisor Networks), Cetera Investment Services LLC (marketed as Cetera Financial Institutions, or Cetera Investors . All firms are members FINRA/SIPC.
*Cetera Financial Group is committed to providing an equal employment opportunity for all applicants and employees. For us, this is the only acceptable way to do business. Accordingly, all employment decisions at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is>
      </c>
    </row>
    <row r="29">
      <c r="A29" t="inlineStr">
        <is>
          <t>li-4349725802</t>
        </is>
      </c>
      <c r="B29" t="inlineStr">
        <is>
          <t>Data Scientist/ Senior Data Engineer – Finance Transformation</t>
        </is>
      </c>
      <c r="C29" t="inlineStr">
        <is>
          <t>Guardian Life</t>
        </is>
      </c>
      <c r="D29" t="inlineStr">
        <is>
          <t>linkedin</t>
        </is>
      </c>
      <c r="E29" t="inlineStr"/>
      <c r="F29" t="inlineStr"/>
      <c r="G29" t="inlineStr">
        <is>
          <t>Bethlehem, PA</t>
        </is>
      </c>
      <c r="H29" t="inlineStr"/>
      <c r="I29"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 Machine Learning, Engineering \&amp; Analytics Development
+ Build and optimize large\-scale data pipelines using PySpark, SQL, and Python on cloud platforms such as Databricks and AWS
+ Utilizing advanced statistical and AI/ML techniques to develop, deploy, and support predictive models and actuarial tools used for reserving, pricing, and FP\&amp;A (e.g., claims projection model, LTD Reserving model)
+ Automate manual actuarial/finance processes by integrating coding workflows with structured datasets and business logic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Data Integration \&amp; Validation
+ Work across data domains to ingest, cleanse, and structure financial and actuarial datasets from multiple sources (e.g., Claims systems, Billing and Commissions system)
+ Implement robust data quality checks and reconciliation controls to ensure accuracy and completeness of critical reporting and modeling datasets
* Collaboration \&amp; Documentation
+ Collaborate with actuaries, finance SMEs, and business analysts to translate complex requirements into efficient technical designs.
+ Maintain clear documentation for code, data flows, model logic, and user instructions.
**You have**
* Technical Expertise \&amp; Domain Knowledge
+ 6–8 years in a data engineering, actuarial modeling, or analytics\-focused technical role, ideally in Group insurance or Financial services
+ 2\+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Working knowledge of Pricing and actuarial processes, or Group insurance product structures
+ Proficiency in Python, PySpark, and SQL is essential
+ Experience working with Databricks, Tableau, Power BI, or similar visualization and cloud platform
+ Exposure to ML/AI libraries and framework to develop or enhance models
* Soft Skills
+ Analytical mindset with strong attention to detail
+ Self\-starter who thrives in fast\-paced, cross\-functional teams
* Education
+ Bachelor’s or Master’s degree in Computer Science, Actuarial Science, Mathematics, Engineering, Finance, or a related discipline or equivalent experience.
* Preferred Qualifications
+ Hands\-on experience building valuation, reserving, or pricing models for group insurance products
+ Experience in agile or SAFe environments with sprint planning, Jira, or Confluence
+ Strategic and creative thinker with ability to think outside the box and translate strategies into actions
+ Excellent problem\-solving skills
+ Team player with proven ability to foster and manage working relationships within a matrix environment
+ Candidate must be comfortable with ambiguity in strategic direction. Priorities will change as current uncertainties become new standards and shape the market. There must be constant balance between proactive and reactive strategy and execution.
+ Candidate must work well in a collaborative and diverse team environment, understanding and employing the approach and standard operating procedures of all functional areas across Guardian
+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30">
      <c r="A30" t="inlineStr">
        <is>
          <t>li-4344927449</t>
        </is>
      </c>
      <c r="B30" t="inlineStr">
        <is>
          <t>Senior Data Engineer / Analytics Engineer</t>
        </is>
      </c>
      <c r="C30" t="inlineStr">
        <is>
          <t>Rivian and Volkswagen Group Technologies</t>
        </is>
      </c>
      <c r="D30" t="inlineStr">
        <is>
          <t>linkedin</t>
        </is>
      </c>
      <c r="E30">
        <f>HYPERLINK("https://www.linkedin.com/jobs/view/4344927449", "https://www.linkedin.com/jobs/view/4344927449")</f>
        <v/>
      </c>
      <c r="F30" t="inlineStr"/>
      <c r="G30" t="inlineStr">
        <is>
          <t>Palo Alto, CA</t>
        </is>
      </c>
      <c r="H30" t="inlineStr"/>
      <c r="I30"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Rivian and Volkswagen Group Technologies is building a best\-in\-class data platform that empowers the entire organization to make data\-driven decisions. We seek Engineers who excel at Innovation at Scale and are passionate about solving challenging technical problems.
 As a Senior Data Engineer, you will take ownership of the design and implementation of complex, scalable ELT pipelines and data transformation logic. You will architect data models that enable self\-service analytics and serve as a thought leader in driving data quality and engineering best practices within the data community.
**Responsibilities**
* Architect data models and schemas that enable self\-service analytics and ensure data accuracy and consistency across the organization.
* Lead the design, build, and maintenance of scalable ELT pipelines and analytics workflows using advanced tools (Spark, dbt, SQL).
* Champion data quality through validation processes, monitoring frameworks, and automated testing.
* Develop and optimize complex Python and SQL\-based transformation code to process and curate data.
* Monitor and improve the performance and reliability of data pipelines and platform infrastructure.
* Partner with platform engineers to integrate new tools, technologies, and frameworks into the data ecosystem.
* Serve as a mentor and technical leader within the data engineering community.
**Qualifications**
 Minimum Qualifications:
* Bachelor’s degree in Computer Science, Mathematics, a relevant technical field or equivalent practical experience.
* Expertise in Python, Spark, dbt, and SQL for data transformation and pipeline development.
* Experience with modern cloud data platforms, including Databricks Snowflake, and Google BigQuery.
* Proficient in data modeling principles and schema design for analytics.
* Proficient in scalable data pipelines on cloud platforms, preferably AWS, GCP, Azure.
* Experience deploying and maintaining scalable software, reliability, testing, and monitoring.
**Preferred Qualifications**
* 5\+ years of experience in data engineering or analytics engineering.
* Experience with version control systems (e.g., Git) and CI/CD workflows for data engineering projects.
* Experience with Infrastructure as Code tools (Terraform highly preferred).
* Experience with any data quality, data security, and monitoring initiatives.
* Experience with a modern data ingestion tool like Fivetran.
**Pay Disclosure**
**Salary Range/Hourly Rate for Palo Alto, California Based Applicants:** 
 $132,100 \- 165,100 USD (actual compensation will be determined based on experience, location, and other factors permitted by law).
**Salary Range for California (Irvine) Based Applicants** 
 : $121,500\-$151,900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31">
      <c r="A31" t="inlineStr">
        <is>
          <t>li-4355422816</t>
        </is>
      </c>
      <c r="B31" t="inlineStr">
        <is>
          <t>Analytics Engineer</t>
        </is>
      </c>
      <c r="C31" t="inlineStr">
        <is>
          <t>FanDuel</t>
        </is>
      </c>
      <c r="D31" t="inlineStr">
        <is>
          <t>linkedin</t>
        </is>
      </c>
      <c r="E31">
        <f>HYPERLINK("https://www.linkedin.com/jobs/view/4355422816", "https://www.linkedin.com/jobs/view/4355422816")</f>
        <v/>
      </c>
      <c r="F31" t="inlineStr"/>
      <c r="G31" t="inlineStr">
        <is>
          <t>New York, NY</t>
        </is>
      </c>
      <c r="H31" t="inlineStr"/>
      <c r="I31" t="inlineStr">
        <is>
          <t>**THE POSITION**
 Our roster has an opening with your name on it
 We are looking for an Analytics Engineer to join our Poker Analytics team. You will support the Poker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
 The role will form a key part of the analytics team and as such the successful candidate will help shape the overall strategy for BI \&amp; Analytics. The role will provide critical support to both the operational and commercial teams, as well as the wider analytics team.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Create interactive Tableau dashboards, custom visualizations and reports to visualize customer behavior, drivers of business performance, and support strategic decision making.
* Work in Databricks to create poker analytics specific tables and build pipelines to Tableau.
* Provide engineering support to create new metrics for player value and segmentation.
* Prioritize best practices in design, usability, and scalability to ensure sustainable and quality reporting.
* Communicate technical findings/insights to non\-technical stakeholders to drive strategic success.
* Collaborate with data engineers and data scientists to ensure that data is accurately represented and enable richer analysis.
* Become a key business partner to the analytics team and stakeholders across the Poker business, supporting them in driving insights and key decision making.
**THE STATS**
 What we're looking for in our next teammate
* 2\+ years' experience in an analytics/technical role.
* Bachelor's Degree in a highly numerate major (Mathematics, Statistics, Economics, etc.) or relevant experience in data engineering/analysis.
* Strong personal organizational and time management skills.
* Ability to work in a fast\-paced environment with a lot of ambiguity.
* Proficiency in SQL, Excel and Tableau or another data visualization platforms required.
* Familiarity with programming languages (e.g. Python, R), cloud computing platforms (e.g. Databricks), or ELT/data modeling (e.g. DBT) highly desirable.
* Strong problem\-solving skills, allied with track record of transforming data into actionable business insight.
* Experience collaboratively working with colleagues in other countries and time zones preferred.
* Strong stakeholder management.
* Ability to be independent and lead on projects \- proactive thinking.
* Interest in Poker/Sports/Gaming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2">
      <c r="A32" t="inlineStr">
        <is>
          <t>li-4363465235</t>
        </is>
      </c>
      <c r="B32" t="inlineStr">
        <is>
          <t>Data Engineer III</t>
        </is>
      </c>
      <c r="C32" t="inlineStr">
        <is>
          <t>Taco Bell</t>
        </is>
      </c>
      <c r="D32" t="inlineStr">
        <is>
          <t>linkedin</t>
        </is>
      </c>
      <c r="E32">
        <f>HYPERLINK("https://www.linkedin.com/jobs/view/4363465235", "https://www.linkedin.com/jobs/view/4363465235")</f>
        <v/>
      </c>
      <c r="F32">
        <f>HYPERLINK("https://eczd.fa.us2.oraclecloud.com/hcmUI/CandidateExperience/en/job/4689/?utm_medium=jobboard&amp;utm_source=linkedin&amp;urlHash=2WJC", "https://eczd.fa.us2.oraclecloud.com/hcmUI/CandidateExperience/en/job/4689/?utm_medium=jobboard&amp;utm_source=linkedin&amp;urlHash=2WJC")</f>
        <v/>
      </c>
      <c r="G32" t="inlineStr">
        <is>
          <t>Irvine, CA</t>
        </is>
      </c>
      <c r="H32" t="inlineStr"/>
      <c r="I32" t="inlineStr">
        <is>
          <t>**Job Description**
**Who is Taco Bell?**
 Taco Bell was born and raised in California and has been around since 1962\. We went from selling everyone’s favorite Crunchy Tacos on the West Coast to a global brand with 8,500\+ restaurants, 350 franchise organizations, that serve 42\+ million fans each week around the globe. We’re not only the largest Mexican\-inspired quick service brand (QSR) in the world, we’re also part of the biggest restaurant group in the world: Yum! Brands .
 Much of our fan love and authentic connection with our communities are rooted in being rebels with a cause. From ensuring we use high quality, sustainable ingredients to elevating restaurant technology in ways that hasn’t been done before… we will continue to be inclusive, bold, challenge the status quo and push industry boundaries.
 We’re a company that celebrates and advocates for different, has bold self\-expression, strives for a better future, and brings the fun while we’re at it. We fuel our culture with real people who bring unique experiences. We inspire and enable our teams and the world to Live Más.
 At Taco Bell, we’re Cultural Rebels. Want to join in on the passion\-fueled fun? Learn more about the career below.
**About The Job**
 Taco Bell is seeking to add a savvy Data Engineer to join our growing Data and Analytics team. We are looking for a self\-driven Data Engineer proficient with SQL \&amp; ETL pipelines who is familiar with Cloud technology preferably AWS and has scripting experience. You will work with cross functional partners and third\-party vendors to enrich our customer data assets by acquiring, organizing, and aggregating customer data from various sources to construct a full and accurate 360 view of our customer for use in direct/email marketing, targeted media campaigns and analytics. You will build data pipelines to source, analyze and validate data from internal and external customer data sources. This is a great opportunity to work on state\-of\-the\-art data products in a friendly and fun environment.
**Day To Day**
* Design and develop highly scalable and extensible data pipelines from internal and external sources using cloud technology such as AWS, Airflow, Redshift, Snowflake, EMR, DBT.
* Implement new source of truth datasets, in partnership with analytics and business teams.
* Collaborate with data product managers, data scientists, data analysts, and data engineers to document requirements and data specifications.
* Develop, deploy, and maintain serverless data pipelines using Event Bridge, Kinesis, AWS Lambda, S3, and Glue.
* Focus on performance tuning, optimization and scalability to ensure efficiency.
* Build out a robust big data ingestion framework with automation, self\-heal capabilities and ability to handle data drifts.
* Adopt automated and manual test strategies to ensure data product quality
* Learn and understand how Taco Bell products work and help build end\-to\-end solutions.
* Ensure high operational efficiency and quality of your solutions to meet SLAs.
* Actively participate in code reviews and summarize complex data into usable, digestible datasets.
**Is This You?**
* Bachelor’s degree in analytics, statistics, engineering, math, economics, computer science, information technology or related discipline
* 2\+ years professional experience in cloud technologies
* 2 \- 5 years of experience designing and delivering large scale, 24\-7, mission\-critical data pipelines and features using modern cloud data architectures
* 2\+ years of hands\-on experience in Strong coding skills with Python/Pyspark/Spark and SQL
* 3\+ years of hands\-on experience in ETL pipeline such as Informatica, AWS Glue, DBT etc.
* 3\+ years of experience working in Redshift, Snowflake or other relevant databases.
* Expert knowledge in writing complex SQL and ETL development with experience processing extremely large datasets using batch and real time streaming.
* Demonstrated ability to analyze large data sets to identify gaps and inconsistencies, provide data insights, and advance effective product solutions
* Experience integrating data using streaming technologies such as Kinesis Firehose, Kafka
* Experience with AWS Ecosystem, especially Lambda, Redshift, Athena, DynamoDB, Airflow and S3
* Experience integrating data from multiple data sources and file types such as JSON, Parquet, Iceberg formats.
* Experience supporting and working with cross\-functional teams in a dynamic environment
* Strong quantitative and communication skill
* Experience with CI/CD tools like Gitlab, Terraform
* Good To Have:
* Proficiency with automated testing using tools like pytest
* Experience contributing to full lifecycle deployments with a focus on testing and quality.
* Experience with data quality processes, data quality checks, validations, data quality metrics definition and measurement
* Experience in data quality tools such as Informatica DQ or similar.
**Work\-Hard, Play\-Hard**
* Hybrid work schedule (onsite expectation Tues, Wed, Thurs) and year\-round flex day Friday
* Onsite childcare through Bright Horizons
* Onsite dining center and game room (yes, there is a Taco Bell inside the building)
* Onsite dry cleaning, laundry services, carwash,
* Onsite gym with fitness classes and personal trainer sessions
* Up to 4 weeks of vacation per year plus holidays and time off for volunteering
* Generous parental leave for all new parents and adoption assistance program
* 401(k) with a 6% matching contribution from Yum! Brands with immediate vesting
* Comprehensive medical \&amp; dental including prescription drug benefits and 100% preventive care
* Discounts, free food, swag and… honestly, too many good benefits to name
 Salary Range: $108,300\- $127,500 annually \+ bonus eligibility. This is the expected salary range for this position. Ultimately, in determining pay, we'll consider the successful candidate’s location, experience, and other job\-related factors.
 At Taco Bell, we Live Más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US Job Seekers/Employees \- To view the "Know Your Rights" poster, click here . You may also access Taco Bell’s Pay Transparency Policy Statement.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Employees here .</t>
        </is>
      </c>
    </row>
    <row r="33">
      <c r="A33" t="inlineStr">
        <is>
          <t>li-4363998858</t>
        </is>
      </c>
      <c r="B33" t="inlineStr">
        <is>
          <t>Data Engineer</t>
        </is>
      </c>
      <c r="C33" t="inlineStr">
        <is>
          <t>FanDuel</t>
        </is>
      </c>
      <c r="D33" t="inlineStr">
        <is>
          <t>linkedin</t>
        </is>
      </c>
      <c r="E33">
        <f>HYPERLINK("https://www.linkedin.com/jobs/view/4363998858", "https://www.linkedin.com/jobs/view/4363998858")</f>
        <v/>
      </c>
      <c r="F33" t="inlineStr"/>
      <c r="G33" t="inlineStr">
        <is>
          <t>Atlanta, GA</t>
        </is>
      </c>
      <c r="H33" t="inlineStr"/>
      <c r="I33"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4">
      <c r="A34" t="inlineStr">
        <is>
          <t>li-4381087249</t>
        </is>
      </c>
      <c r="B34" t="inlineStr">
        <is>
          <t>Data Engineer - Forecasting systems</t>
        </is>
      </c>
      <c r="C34" t="inlineStr">
        <is>
          <t>Talan</t>
        </is>
      </c>
      <c r="D34" t="inlineStr">
        <is>
          <t>linkedin</t>
        </is>
      </c>
      <c r="E34">
        <f>HYPERLINK("https://www.linkedin.com/jobs/view/4381087249", "https://www.linkedin.com/jobs/view/4381087249")</f>
        <v/>
      </c>
      <c r="F34" t="inlineStr"/>
      <c r="G34" t="inlineStr">
        <is>
          <t>Houston, TX</t>
        </is>
      </c>
      <c r="H34" t="inlineStr"/>
      <c r="I34" t="inlineStr">
        <is>
          <t>Talan is an international consulting and technology expertise group supporting high regulatory industry such as Corporate and Investment Banking, Hedge Funds, and Energy clients through large\-scale transformation programs driven by data, technology, and innovation.
 In North America, Talan delivering high\-value expertise across front\-office, risk, finance, regulatory, and technology domains.
 With over 20 years of experience, a presence across five continents and 21 countries, and Great Place to Work® certification, the Group is on track to reach 8,000 employees worldwide, including 600 in North America.
**Job Description**
*Location: NYC (Hybrid – at least 4 days onsite/week)*
*Visa Sponsorship: We offer sponsorship under specific treaty\-based U.S. work visas, including TN and E\-2 (for eligible Canadian, Mexican, and French citizens). We do not support or transfer other visa types (e.g., H\-1B).*
 We are looking for a Python Data Engineer to join a small team responsible for building and maintaining data pipelines, reporting tools, and forecasting systems. The role focuses on processing large datasets, supporting simulation platforms, and improving the reliability and scalability of data workflows.
**Responsibilities**
* Support and maintain the Dayzer production system to ensure stability and operational reliability
* Manage data transfers between Dayzer and the AWS S3 data lake
* Develop data reporting and visualization tools using Python libraries
* Design scalable data pipeline frameworks across environments
* Implement monitoring and logging to track pipeline performance, health, and errors
* Work with large datasets including historical and weather data for forecasting models
* Collaborate with engineers, data scientists, and stakeholders using Agile methodologies
* Conduct benchmarking and proof of concepts to evaluate new technologies
* Maintain technical documentation and system design specifications
* Participate in code reviews and development best practices
* Provide technical support and guidance to junior developers
**Qualifications**
* Bachelor degree in Computer science, Engineering, Finance or Quantitative finance
* 4\+ years of relevant experience in Python development, data engineering, or data analysis
* Strong analytical and problem solving skills
* Good communication and ability to work in a small collaborative team
* Strong Python development experience
* Experience working with large datasets and data processing
* Familiarity with AWS and S3 or similar cloud environments
* Experience building or supporting data pipelines
 Nice to have
* Experience with forecasting models or simulation systems
* Experience with data visualization tools
* Finance or energy domain knowledge is a plus
 Company’s Benefits
 At Talan, we invest in our employees' well\-being and empower them with benefits, including:
* 💵 Competitive salary
* 💸401(k) retirement plan with company matching
* 🌴15 days of paid vacation per year at hire and up to 27 according to seniority (annual untaken vacation days are cashed out)
* 📴8 paid holidays \+ 5 sick days \+ 2 personal days per year
* ❤️‍🩹Company health, dental, and vision insurance plans \+ FSA
* 🦺Voluntary STD and LTD
* 🚍 Commuter/transit benefits
 All your information will be kept confidential according to EEO guidelines.</t>
        </is>
      </c>
    </row>
    <row r="35">
      <c r="A35" t="inlineStr">
        <is>
          <t>li-4380490101</t>
        </is>
      </c>
      <c r="B35" t="inlineStr">
        <is>
          <t>Data Engineer</t>
        </is>
      </c>
      <c r="C35" t="inlineStr">
        <is>
          <t>BeaconFire Inc.</t>
        </is>
      </c>
      <c r="D35" t="inlineStr">
        <is>
          <t>linkedin</t>
        </is>
      </c>
      <c r="E35">
        <f>HYPERLINK("https://www.linkedin.com/jobs/view/4380490101", "https://www.linkedin.com/jobs/view/4380490101")</f>
        <v/>
      </c>
      <c r="F35" t="inlineStr"/>
      <c r="G35" t="inlineStr">
        <is>
          <t>Dallas County, TX</t>
        </is>
      </c>
      <c r="H35" t="inlineStr"/>
      <c r="I35"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36">
      <c r="A36" t="inlineStr">
        <is>
          <t>li-4380475864</t>
        </is>
      </c>
      <c r="B36" t="inlineStr">
        <is>
          <t>Data Engineer</t>
        </is>
      </c>
      <c r="C36" t="inlineStr">
        <is>
          <t>BeaconFire Inc.</t>
        </is>
      </c>
      <c r="D36" t="inlineStr">
        <is>
          <t>linkedin</t>
        </is>
      </c>
      <c r="E36">
        <f>HYPERLINK("https://www.linkedin.com/jobs/view/4380475864", "https://www.linkedin.com/jobs/view/4380475864")</f>
        <v/>
      </c>
      <c r="F36" t="inlineStr"/>
      <c r="G36" t="inlineStr"/>
      <c r="H36" t="inlineStr"/>
      <c r="I36"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37">
      <c r="A37" t="inlineStr">
        <is>
          <t>li-4380490000</t>
        </is>
      </c>
      <c r="B37" t="inlineStr">
        <is>
          <t>Data Engineer</t>
        </is>
      </c>
      <c r="C37" t="inlineStr">
        <is>
          <t>BeaconFire Inc.</t>
        </is>
      </c>
      <c r="D37" t="inlineStr">
        <is>
          <t>linkedin</t>
        </is>
      </c>
      <c r="E37">
        <f>HYPERLINK("https://www.linkedin.com/jobs/view/4380490000", "https://www.linkedin.com/jobs/view/4380490000")</f>
        <v/>
      </c>
      <c r="F37" t="inlineStr"/>
      <c r="G37" t="inlineStr"/>
      <c r="H37" t="inlineStr"/>
      <c r="I37"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38">
      <c r="A38" t="inlineStr">
        <is>
          <t>li-4282322803</t>
        </is>
      </c>
      <c r="B38" t="inlineStr">
        <is>
          <t>Data Engineer</t>
        </is>
      </c>
      <c r="C38" t="inlineStr">
        <is>
          <t>Versa Networks</t>
        </is>
      </c>
      <c r="D38" t="inlineStr">
        <is>
          <t>linkedin</t>
        </is>
      </c>
      <c r="E38">
        <f>HYPERLINK("https://www.linkedin.com/jobs/view/4282322803", "https://www.linkedin.com/jobs/view/4282322803")</f>
        <v/>
      </c>
      <c r="F38" t="inlineStr"/>
      <c r="G38" t="inlineStr"/>
      <c r="H38" t="inlineStr"/>
      <c r="I38"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We’re seeking a highly skilled Data Engineer to design, build, and maintain production\-grade data pipelines that process and transform terabytes of data. In this role, you’ll collaborate closely with data scientists and other SWEs to ensure that our data infrastructure is scalable, reliable, and cost\-effective.
**Responsibilities**
* Pipeline Development \&amp; Deployment:
+ Architect, develop, and deploy batch and streaming pipelines using Airflow and containerized workflows for cyber\-security use\-cases.
+ Containerize data\-processing jobs with Docker, orchestrate with Kubernetes, and manage releases with Helm charts.
* Distributed Computing:
+ Build high\-throughput data transformations using Dask or Apache Spark.
+ Maintain training data clusters across hybrid (on\-prem and cloud environments).
+ Optimize training jobs for performance, resiliency, and cost.
* Monitoring \&amp; Reliability:
+ Implement observability (logging, metrics, alerting) to maintain pipeline health and SLA adherence.
+ Troubleshoot, debug, and resolve data\-processing failures in production.
* Collaboration \&amp; Best Practices:
+ Work with cross\-functional teams to define data contracts, schemas, and quality checks.
+ Enforce software engineering best practices: CI/CD, code reviews, automated testing, and documentation.
* Data Modeling \&amp; Storage:
+ Design and maintain data models and schemas for AI/ML continuous training use cases.
+ Load data into cloud storage and lakes, ensuring performance and accessibility.
**Qualifications**
* 3–5 years of professional experience designing and operating production data pipelines at scale.
* Containerization \&amp; Orchestration: Expertise with Docker, Kubernetes, and Helm.
* Workflow Management: Hands\-on experience building DAG\-based pipelines in Apache Airflow.
* Programming: Strong proficiency in Python for data engineering tasks.
* Distributed Frameworks: Practical experience with Dask or Apache Spark for large\-scale data processing.
* Cloud Fundamentals: Familiarity with deploying and managing services in a cloud environment.
* Compiled Languages: Experience writing data services in Go or Rust.
* GCP Proficiency: Hands\-on with Google Cloud services (e.g., Pub/Sub, Big Query, Cloud Storage, GKE). Equivalent experience in other public cloud providers is fine.
* ML Pipelines: Exposure to deploying cross\-cluster model\-training workflows using Ray or similar frameworks.
* Infrastructure as Code: Familiarity with Terraform for deployment.
* Security \&amp; Compliance: Knowledge of data governance, encryption, and role\-based access control.
 Location: United States
* Applicants must be authorized to work in the US
 The pay range for this position at commencement of employment in California, Washington, or New York City is expected in the range of $150,000 to $220,000\.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39">
      <c r="A39" t="inlineStr">
        <is>
          <t>li-4380483369</t>
        </is>
      </c>
      <c r="B39" t="inlineStr">
        <is>
          <t>Data Engineer</t>
        </is>
      </c>
      <c r="C39" t="inlineStr">
        <is>
          <t>BeaconFire Inc.</t>
        </is>
      </c>
      <c r="D39" t="inlineStr">
        <is>
          <t>linkedin</t>
        </is>
      </c>
      <c r="E39">
        <f>HYPERLINK("https://www.linkedin.com/jobs/view/4380483369", "https://www.linkedin.com/jobs/view/4380483369")</f>
        <v/>
      </c>
      <c r="F39" t="inlineStr"/>
      <c r="G39" t="inlineStr">
        <is>
          <t>Philadelphia, PA</t>
        </is>
      </c>
      <c r="H39" t="inlineStr"/>
      <c r="I39"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Intermediate Python, experience in data processing, experience with relational databases like SQL and strong communication skills.
**Preferred Skills** 
 Experience with Numpy, Pandas, etc.
 If you're currently exploring opportunities or open to learning more, I’d love to connect. Please feel free to share your updated resume or reach out directly at rameezk@beaconfireinc.com.
 Looking forward to hearing from you!
 Best regards,
 Rameez Khan
 Technical Recruiter
 \`\`\`</t>
        </is>
      </c>
    </row>
    <row r="40">
      <c r="A40" t="inlineStr">
        <is>
          <t>li-4327208014</t>
        </is>
      </c>
      <c r="B40" t="inlineStr">
        <is>
          <t>Analytics Engineer</t>
        </is>
      </c>
      <c r="C40" t="inlineStr">
        <is>
          <t>Ibotta</t>
        </is>
      </c>
      <c r="D40" t="inlineStr">
        <is>
          <t>linkedin</t>
        </is>
      </c>
      <c r="E40">
        <f>HYPERLINK("https://www.linkedin.com/jobs/view/4327208014", "https://www.linkedin.com/jobs/view/4327208014")</f>
        <v/>
      </c>
      <c r="F40" t="inlineStr"/>
      <c r="G40" t="inlineStr">
        <is>
          <t>Denver, CO</t>
        </is>
      </c>
      <c r="H40" t="inlineStr"/>
      <c r="I40" t="inlineStr">
        <is>
          <t>Ibotta is seeking an
 **Analytics Engineer** 
 to join our innovative Core Data \&amp; Analytics team and contribute to our mission to Make Every Purchase Rewarding. Our growing Core Data \&amp; Analytics team provides high\-quality, on\-time analytics products and services across all business areas and teams within Ibotta. We achieve this by offering expert guidance, sharing specialized knowledge, promoting data\-driven solutions, and overseeing mission\-critical data science projects that impact the entire organization.
 This position is located in Denver, Colorado, as a hybrid position requiring 3 days in office (Tuesday, Wednesday, and Thursday). Candidates must live in the United States.
**What you will be doing:**
* Helping us organize and optimize our data for analysis
* Collaborate with other Analytics Engineers and Platform Engineers to understand our data models and translate them into scalable data solutions
* Implement and utilize engineering best practices and methods to deploy and maintain quality, curated data sets using Airflow, including automated alerting and anomaly detection into data flows to ensure data quality and integrity
* Work across our full technology stack (Databricks, Spark, Command Line, Airflow, GitHub, Python, Monte Carlo, etc) to develop and maintain these datasets
* Building UI and automation tools to enable data democratization throughout the company
* Lead large, complex task force projects that require cross\-functional input across various teams
* Managing new data requirements and developing solutions that minimize technical debt creation
* Embrace and uphold Ibotta’s Core Values: Integrity, Boldness, Ownership, Teamwork, Transparency, \&amp; A good idea can come from anywhere
**What we are looking for:**
* 2\+ years of practical work experience in a data engineering role supporting an analytics team or equivalent experience as an analytics engineer
* Bachelor’s degree in Computer Science, Engineering, Analytics, or a related field required
* Working knowledge and some practical experience with some or all of the following:
+ End\-to\-end analytics automation, data pipelines, ETL/ELT processes, and tools (AWS Glue, DBT, etc.)
+ AWS EcoSystem and cloud\-based data warehouse and architecture
+ Airflow, DataBricks, Git, Monte Carlo
+ Multiple languages and frameworks (Python, Scala, strong SQL, Spark, Command Line) highly preferred
+ Development in a modern BI/data visualization platform (Looker, Tableau, etc.)
+ Event\-driven architectures and platforms are a strong plus
* An ability to develop solutions by applying data quality principles
* Ability to think creatively, provide thoughtful insights, and solve problems to answer business questions using data
* Collaboration with SMEs to understand the business context of the data
* Experience identifying and troubleshooting data anomalies and pipeline issues
* Exposure to managing and updating cluster configurations to ensure workflow operation
* Ownership of data throughout its lifecycle
* Excellent oral and written communication skills
**What we are looking for:**
 You…
* are proactive, collaborative, and driven to solve hard problems while respecting diverse perspectives in a dynamic, fast\-paced environment
* are an intellectually curious, conceptual thinker who uses creative problem\-solving skills to work with other engineers and analytics stakeholders to challenge yourself and develop as an engineer
* are a detailed\-oriented team player with an ownership mindset who develops technical solutions that apply data quality principles
* work collaboratively throughout the organization to drive towards common goals and understand the business context of data
* understand that delivering products incrementally helps provide more value to the business, and testing your code is one of the most important aspects of engineering
* trust your teammates, and embrace healthy conflict and debate \- not afraid to voice your opinions but okay with not always being right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$111,000 \- $127,000\.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41">
      <c r="A41" t="inlineStr">
        <is>
          <t>li-4381364511</t>
        </is>
      </c>
      <c r="B41" t="inlineStr">
        <is>
          <t>Analytics Engineer</t>
        </is>
      </c>
      <c r="C41" t="inlineStr">
        <is>
          <t>Sud Recruiting</t>
        </is>
      </c>
      <c r="D41" t="inlineStr">
        <is>
          <t>linkedin</t>
        </is>
      </c>
      <c r="E41">
        <f>HYPERLINK("https://www.linkedin.com/jobs/view/4381364511", "https://www.linkedin.com/jobs/view/4381364511")</f>
        <v/>
      </c>
      <c r="F41" t="inlineStr"/>
      <c r="G41" t="inlineStr"/>
      <c r="H41" t="inlineStr"/>
      <c r="I41" t="inlineStr">
        <is>
          <t>**Overview** 
 : An innovative industry leader is seeking an
 **Analytics Engineer** 
 to help advance its data and analytics capabilities. This role offers the opportunity to work at the intersection of technology and large scale infrastructure, solving complex real world problems that impact millions while leveraging data, strategy, and innovation to drive meaningful outcomes.
**Background** 
 : The
 **Analytics Engineer** 
 will combine deep technical expertise with strong business acumen to design and optimize data processes that enable analytical teams to make informed, data driven decisions. In addition, this role will analyze complex datasets and provide strategic insights that guide and influence business strategy.
**What Will You Do:** 
* Serve as a liaison between Analytics and Technology teams to ensure seamless data accessibility for strategic decision making, while analyzing existing processes, integrating data from diverse sources, and proactively enhancing workflows to meet the evolving needs of the Analytics teams.
* Design, maintain, and optimize forecasting financial models to ensure alignment with strategic planning objectives, proactively addressing issues and improving performance as needed.
* Leverage strong business acumen to deliver forecasting, trend analysis, and dashboards to strategic partners, interpreting KPI shifts and providing actionable insights to inform business decisions.
* Lead the development and management of dashboards in Tableau and Power BI, while designing and maintaining tools including data models, automation systems, and technical workflows to streamline data processing, reporting, and analytics.
* Ensure data integrity for analysis through feature engineering and rigorous quality assurance, while implementing controls and validations across financial models, data processes, and dashboards.
**More Info:** 
* individual contributor role that is hands\-on with data and strategic
* full\-time role that is hybrid (3Xs per week in office and rest WFH)
**Responsibilities/Experience:** 
* Bachelors / Master’s degree
* Self\-starter, passion for data process enhancements and code optimization to serve Analytic team needs
* 4\+ years of experience mining and analyzing data, using it to provide strategic recommendations on analysis performed
* Highly engaged and analytical to solve complex business questions
* MUST have strong SQL skills, Snowflake, Tableau / Power BI
**Ping Me: sunil@sudrecruiting.com**</t>
        </is>
      </c>
    </row>
    <row r="42">
      <c r="A42" t="inlineStr">
        <is>
          <t>li-4382611043</t>
        </is>
      </c>
      <c r="B42" t="inlineStr">
        <is>
          <t>Data Analytics Engineer</t>
        </is>
      </c>
      <c r="C42" t="inlineStr">
        <is>
          <t>Wiraa</t>
        </is>
      </c>
      <c r="D42" t="inlineStr">
        <is>
          <t>linkedin</t>
        </is>
      </c>
      <c r="E42">
        <f>HYPERLINK("https://www.linkedin.com/jobs/view/4382611043", "https://www.linkedin.com/jobs/view/4382611043")</f>
        <v/>
      </c>
      <c r="F42">
        <f>HYPERLINK("https://www.wiraa.com/job-description/usF4343DE3BBB6716641C633550FA4871A?source=Linkedin&amp;urlHash=5XVi", "https://www.wiraa.com/job-description/usF4343DE3BBB6716641C633550FA4871A?source=Linkedin&amp;urlHash=5XVi")</f>
        <v/>
      </c>
      <c r="G42" t="inlineStr"/>
      <c r="H42" t="inlineStr"/>
      <c r="I42" t="inlineStr">
        <is>
          <t>**About The Company**
 General Motors (GM) is a global leader in automotive manufacturing, committed to innovation, sustainability, and safety. With a rich history spanning over a century, GM has established itself as a pioneer in vehicle technology, offering a diverse portfolio of vehicles including electric, hybrid, and connected cars. The company's mission is to create a future with zero crashes, zero emissions, and zero congestion, leveraging cutting\-edge technology and data\-driven solutions to transform transportation. GM’s dedication to research and development, sustainability, and customer satisfaction positions it at the forefront of the automotive industry, continuously pushing the boundaries of innovation to meet the evolving needs of consumers worldwide.
**About The Role**
 Are you passionate about leveraging data to drive innovation in vehicle performance? As a Data Analytics Engineer specializing in Vehicle Chassis Systems, you will play a pivotal role in transforming how big data is utilized to enhance the performance and reliability of critical chassis components such as brakes, steering, and suspension. Your primary responsibility will be to design and develop advanced data pipelines that process data originating from vehicles, manufacturing plants, warranty systems, and financial records to extract meaningful insights. You will implement cloud\-based analytics solutions to enable predictive analytics and diagnostics, supporting GM’s commitment to connected, hybrid, and electric vehicle evolution. This role offers an exciting opportunity to contribute to GM’s vision of zero crashes, zero emissions, and zero congestion, working either remotely or onsite at GM Milford with a flexible work arrangement. Your expertise will directly impact vehicle safety, efficiency, and customer satisfaction, making this a highly influential position within the organization.
**Qualifications**
* Bachelor’s degree in Engineering, Computer Science, Applied Mathematics, Statistics, or Data Analytics
* Minimum of 5 years of experience in data analysis and problem\-solving in complex environments
* At least 2 years of experience working with vehicle telematics data
* Proficiency in programming languages such as Python, SQL, Scala, and R
* Experience with data tools including Databricks, Spark, Hive, and Power BI
* Knowledge of continuous integration and deployment methodologies in data workflows
* Hands\-on experience with Databricks platform and cloud analytics solutions
* Ability to translate ambiguous problem statements into concrete project requirements
* Strong passion for data\-driven results and customer\-centric initiatives
**Responsibilities**
* Design, build, and maintain dashboards and reports (Power BI, Tableau) for chassis sub\-systems including brakes, steering, and suspension
* Establish robust data architecture for gold and platinum data layers within the chassis domain, collaborating with IT teams for data sourcing
* Create scalable data pipelines to process large volumes of vehicle and system data efficiently
* Develop data quality monitoring processes to identify and resolve data anomalies proactively
* Collaborate with hardware and software engineers to define metrics that track and predict chassis system performance
* Partner with data scientists to develop engineered features and data pipelines for prognostic and diagnostic algorithms
* Implement and oversee data governance policies ensuring data integrity, security, and compliance
* Address and resolve issues identified during data analysis through organized meetings, issue reports, and management communication
* Manage change processes for digital products and associated requirements effectively
* Participate actively in analytics forums and cross\-functional teams, sharing insights and best practices
**Benefits**
* Competitive salary package commensurate with experience
* Health, dental, and vision insurance plans
* Retirement savings plans with company matching
* Flexible work arrangements including remote work options
* Opportunities for professional development and continuous learning
* Inclusive and diverse work environment fostering innovation
* Access to cutting\-edge technology and tools in automotive analytics
 Equal Opportunity
 General Motors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in fostering a workplace where every individual can thrive and contribute to our shared success.</t>
        </is>
      </c>
    </row>
    <row r="43">
      <c r="A43" t="inlineStr">
        <is>
          <t>li-4382384164</t>
        </is>
      </c>
      <c r="B43" t="inlineStr">
        <is>
          <t>Data Engineer</t>
        </is>
      </c>
      <c r="C43" t="inlineStr">
        <is>
          <t>Wiraa</t>
        </is>
      </c>
      <c r="D43" t="inlineStr">
        <is>
          <t>linkedin</t>
        </is>
      </c>
      <c r="E43">
        <f>HYPERLINK("https://www.linkedin.com/jobs/view/4382384164", "https://www.linkedin.com/jobs/view/4382384164")</f>
        <v/>
      </c>
      <c r="F43" t="inlineStr"/>
      <c r="G43" t="inlineStr"/>
      <c r="H43" t="inlineStr"/>
      <c r="I43" t="inlineStr">
        <is>
          <t>**About The Company**
 CVS Health is dedicated to building a world of health around every individual by delivering a more connected, convenient, and compassionate healthcare experience. As a leading healthcare organization, CVS Health emphasizes innovation, accountability, safety, and quality in all its endeavors. The company values passionate colleagues who are committed to making a positive impact on the health and well\-being of communities across the globe. With a focus on simplifying healthcare, CVS Health strives to serve one person, one family, and one community at a time, fostering a culture of care and continuous improvement.
**About The Role**
 The Data Engineer at CVS Health plays a crucial role in leveraging healthcare data to support strategic decision\-making and operational excellence. This position involves designing, developing, and maintaining robust data pipelines and analytical models that handle large\-scale healthcare data repositories. The ideal candidate will work closely with cross\-functional teams to build data solutions that enable actionable insights, improve data accessibility, and enhance the overall data infrastructure. This role offers an exciting opportunity for technical innovators and data visionaries to contribute to a mission\-driven organization focused on transforming healthcare through data\-driven solutions. The Data Engineer will be responsible for optimizing data models, ensuring compliance with data governance standards, and deploying scalable data pipelines on cloud platforms, primarily GCP. The position may require onsite presence two days a week at CVS Health hubs in NYC, Hartford, CT, or Wellesley, MA, or may be fully remote depending on organizational needs.
**Qualifications**
* Minimum of 1\+ years of experience with SQL and NoSQL databases
* At least 1\+ years of experience with Python or a comparable scripting language
* Experience with data warehousing including data modeling and technical architecture
* Proficiency in ETL/ELT processes and building high\-volume data pipelines
* Experience with reporting and analytical tools
* Knowledge of query optimization, data structures, transformation, and workload management
* Hands\-on experience with big data and cloud architecture, especially GCP
* Experience deploying and scaling applications within containerized environments like Kubernetes or AKS
* Familiarity with real\-time streaming technologies such as Kafka or Spark Streaming
* Ability to solicit complex requirements and manage stakeholder relationships effectively
* Educational background in Computer Science, Data Engineering, or related fields; Bachelor’s Degree required, Master’s preferred
**Responsibilities**
* Design, develop, and optimize analytical data models in BigQuery, including partitioning, clustering, and materialized views for performance and cost efficiency
* Implement and maintain data pipelines that securely ingest, transform, and process large healthcare datasets from various sources
* Develop integrations with external systems using APIs, flat files, and hybrid approaches utilizing GCP\-native tools and custom services
* Build and automate CI/CD pipelines for deploying data workflows using tools like Cloud Build, GitHub Actions, or Jenkins
* Monitor and troubleshoot data pipelines, setting up observability tools such as Cloud Monitoring, Logging, and Error Reporting to ensure reliability
* Collaborate with cross\-functional teams to understand business needs and translate them into scalable data solutions
* Ensure compliance with data governance policies, including access controls and IAM best practices
* Participate in agile development processes, contributing to continuous improvement and innovative problem\-solving
* Maintain documentation of data architectures, pipelines, and processes to facilitate knowledge sharing and compliance
**Benefits**
* Affordable medical plan options tailored to employee needs
* 401(k) retirement plan with company matching contributions
* Employee stock purchase plan to foster ownership and investment
* No\-cost wellness programs including screenings, tobacco cessation, and weight management
* Confidential counseling and financial coaching services
* Flexible work schedules and paid time off to support work\-life balance
* Family leave, dependent care resources, and tuition assistance programs
* Retiree medical access and other employee support benefits
* Comprehensive employee assistance programs and wellness initiatives
 Equal Opportunity
 CVS Health is an equal opportunity and affirmative action employer. We celebrate diversity and are committed to creating an inclusive environment for all colleagues, regardless of race, gender, age, disability, veteran status, or other protected characteristics. We consider qualified applicants without regard to arrest or conviction records, in accordance with applicable laws and regulations.</t>
        </is>
      </c>
    </row>
    <row r="44">
      <c r="A44" t="inlineStr">
        <is>
          <t>li-4369734504</t>
        </is>
      </c>
      <c r="B44" t="inlineStr">
        <is>
          <t>Senior Data Engineer</t>
        </is>
      </c>
      <c r="C44" t="inlineStr">
        <is>
          <t>General Motors</t>
        </is>
      </c>
      <c r="D44" t="inlineStr">
        <is>
          <t>linkedin</t>
        </is>
      </c>
      <c r="E44">
        <f>HYPERLINK("https://www.linkedin.com/jobs/view/4369734504", "https://www.linkedin.com/jobs/view/4369734504")</f>
        <v/>
      </c>
      <c r="F44" t="inlineStr"/>
      <c r="G44" t="inlineStr">
        <is>
          <t>Mountain View, CA</t>
        </is>
      </c>
      <c r="H44" t="inlineStr"/>
      <c r="I44"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45">
      <c r="A45" t="inlineStr">
        <is>
          <t>li-4372943596</t>
        </is>
      </c>
      <c r="B45" t="inlineStr">
        <is>
          <t>Data Engineer</t>
        </is>
      </c>
      <c r="C45" t="inlineStr">
        <is>
          <t>Definitive Healthcare</t>
        </is>
      </c>
      <c r="D45" t="inlineStr">
        <is>
          <t>linkedin</t>
        </is>
      </c>
      <c r="E45">
        <f>HYPERLINK("https://www.linkedin.com/jobs/view/4372943596", "https://www.linkedin.com/jobs/view/4372943596")</f>
        <v/>
      </c>
      <c r="F45" t="inlineStr"/>
      <c r="G45" t="inlineStr">
        <is>
          <t>Framingham, MA</t>
        </is>
      </c>
      <c r="H45" t="inlineStr"/>
      <c r="I45"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We are looking for a
 **Data Engineer** 
 who is passionate about building scalable data pipelines, working with complex healthcare datasets, and contributing to a modern, cloud‑native data architecture.
 If you thrive in a fast‑paced, data‑driven environment and have strong experience with Python, Spark, Databricks, AWS, SQL, and related technologies, we’d love to hear from you.
**What You'll Do:**
**Design and Develop Data Pipelines:**
* Develop and maintain robust data pipelines using Python, Spark, Databricks, SQL, and SSIS
* Develop, maintained, and optimized ETL workflows using SQL Server Integration Services (SSIS) within Visual Studio, enabling reliable data ingestion, transformation, and automation across enterprise data pipelines.
* Implement and orchestrate ETL/ELT workflows using SSIS
* Build reliable, repeatable processes that support the ingestion and transformation of large healthcare datasets
**Data Integration and Management:**
* Integrate data from diverse sources (AWS, on‑prem, third‑party vendors) into our enterprise data platform
* Work with a wide range of file formats including CSV, XML, Parquet, Delta, and more
* Apply strong data quality, cleansing, and curation practices to ensure accuracy and consistency
* Optimize storage and compute resources for performance, cost, and scalability
* Automate observability and monitoring across data pipelines and workloads
**Metadata Management and Governance:**
* Implement and manage Unity Catalog for metadata, lineage, and access control
* Ensure adherence to data governance, security, and privacy standards
* Maintain clear documentation, data dictionaries, and lineage tracking
* Contribute to automation of data observability and governance workflows
**Performance Tuning and Troubleshooting:**
* Tune and optimize Spark jobs for speed, reliability, and cost efficiency
* Diagnose and resolve performance bottlenecks across distributed systems
* Apply JVM tuning and Spark optimization techniques to improve throughput
**Data Maturity Lifecycle:**
* Support and enhance our Medallion architecture (bronze/silver/gold) to improve data quality and usability
* Ensure data is processed, enriched, and validated at each stage of the lifecycle
**Collaboration and Continuous Improvement:**
* Partner with data scientists, analysts, product teams, and business stakeholders to understand data needs
* Implement CI/CD pipelines to streamline deployment and testing of data assets
* Stay current with emerging technologies and bring forward recommendations to evolve our data platform
**What You Bring:**
**Technical Skills:**
* Strong programming experience in SQL and Python or Scala
* Hands‑on experience with Apache Spark and Databricks
* Knowledge of data cleansing, curation, and quality frameworks
* Familiarity with Unity Catalog or other metadata management tools
* Understanding of data governance, security, and compliance best practices
* Experience working with AWS cloud services
* Experience implementing or working within a Medallion architecture
 Soft Skills:
* Strong analytical and problem‑solving abilities
* Excellent communication and cross‑functional collaboration skills
* Ability to work independently and within a team environment
* High attention to detail and commitment to quality
 Preferred Qualifications:
* AWS certifications (e.g., AWS Certified Data Analytics)
* Experience with SQL and NoSQL databases
* Background in a fast‑paced, data‑centric SaaS or healthcare environment
**Compensation And Benefits**
 The salary range for this position is $69,000 – $129,000 per year, which represents the base pay the company reasonably and in good faith expects to pay for this role. Actual pay within this range will be determined based on factors such as relevant experience, skills, and qualifications.
 Depending on the position, employees may also be eligible to participate in a company bonus or commission plan. All employees are eligible for a comprehensive benefits package,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All communications regarding the hiring process at Definitive Healthcare will come directly from one of our corporate recruiters or coordinators using an @definitivehc.com email address. We do not advertise open roles on Facebook and will never request money transfers or ask candidates to purchase equipment with a promise of reimbursement. If you receive any suspicious communication, please contact careers@definitivehc.com to verify your status in the application process.*</t>
        </is>
      </c>
    </row>
    <row r="46">
      <c r="A46" t="inlineStr">
        <is>
          <t>li-4382386653</t>
        </is>
      </c>
      <c r="B46" t="inlineStr">
        <is>
          <t>Data Engineer</t>
        </is>
      </c>
      <c r="C46" t="inlineStr">
        <is>
          <t>Robert Half</t>
        </is>
      </c>
      <c r="D46" t="inlineStr">
        <is>
          <t>linkedin</t>
        </is>
      </c>
      <c r="E46">
        <f>HYPERLINK("https://www.linkedin.com/jobs/view/4382386653", "https://www.linkedin.com/jobs/view/4382386653")</f>
        <v/>
      </c>
      <c r="F46" t="inlineStr"/>
      <c r="G46" t="inlineStr">
        <is>
          <t>Houston, TX</t>
        </is>
      </c>
      <c r="H46" t="inlineStr"/>
      <c r="I46" t="inlineStr">
        <is>
          <t>We are looking for an experienced Data Engineer to join our team in Houston, Texas. In this role, you will design, implement, and optimize data systems that support critical business operations. The ideal candidate will have a strong technical background and a passion for creating efficient, scalable solutions.
 Responsibilities:
 • Develop and maintain scalable data pipelines to ensure efficient processing of large datasets.
 • Design and implement data architectures that support high\-performance data integration and analysis.
 • Collaborate with cross\-functional teams to gather requirements and deliver tailored data solutions.
 • Build and manage ETL workflows to support data transformation and integration processes.
 • Optimize data storage and processing techniques using tools such as Apache Hadoop and Apache Spark.
 • Implement real\-time data streaming solutions using Apache Kafka.
 • Troubleshoot and resolve issues within the data infrastructure to maintain system reliability.
 • Monitor system performance and suggest improvements to enhance data processing efficiency.
 • Document processes and workflows to ensure clarity and consistency in data operations.
 • Stay current with emerging technologies and industry trends to continually improve data engineering practices.
 • Proficiency in Python for developing data solutions and automating workflows.
 • Hands\-on experience with Apache Spark for data processing and analytics.
 • Solid knowledge of Apache Hadoop for distributed storage and computing.
 • Expertise in implementing real\-time data streaming with Apache Kafka.
 • Strong understanding of ETL processes, including data extraction, transformation, and loading.
 • Ability to work with large\-scale datasets and optimize performance.
 • Excellent problem\-solving skills and the ability to troubleshoot complex data systems.
 • Familiarity with best practices in data security and system scalability.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47">
      <c r="A47" t="inlineStr">
        <is>
          <t>li-4380486287</t>
        </is>
      </c>
      <c r="B47" t="inlineStr">
        <is>
          <t>Data Engineer</t>
        </is>
      </c>
      <c r="C47" t="inlineStr">
        <is>
          <t>BeaconFire Inc.</t>
        </is>
      </c>
      <c r="D47" t="inlineStr">
        <is>
          <t>linkedin</t>
        </is>
      </c>
      <c r="E47">
        <f>HYPERLINK("https://www.linkedin.com/jobs/view/4380486287", "https://www.linkedin.com/jobs/view/4380486287")</f>
        <v/>
      </c>
      <c r="F47" t="inlineStr"/>
      <c r="G47" t="inlineStr">
        <is>
          <t>San Jose, CA</t>
        </is>
      </c>
      <c r="H47" t="inlineStr"/>
      <c r="I47"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Intermediate Python, experience in data processing, experience with relational databases like SQL and strong communication skills.
**Preferred Skills** 
 Experience with Numpy, Pandas, etc.
 If you're currently exploring opportunities or open to learning more, I’d love to connect. Please feel free to share your updated resume or reach out directly at rameezk@beaconfireinc.com.
 Looking forward to hearing from you!
 Best regards,
 Rameez Khan
 Technical Recruiter
 \`\`\`</t>
        </is>
      </c>
    </row>
    <row r="48">
      <c r="A48" t="inlineStr">
        <is>
          <t>li-4382392002</t>
        </is>
      </c>
      <c r="B48" t="inlineStr">
        <is>
          <t>Data Engineer</t>
        </is>
      </c>
      <c r="C48" t="inlineStr">
        <is>
          <t>Inside Higher Ed</t>
        </is>
      </c>
      <c r="D48" t="inlineStr">
        <is>
          <t>linkedin</t>
        </is>
      </c>
      <c r="E48">
        <f>HYPERLINK("https://www.linkedin.com/jobs/view/4382392002", "https://www.linkedin.com/jobs/view/4382392002")</f>
        <v/>
      </c>
      <c r="F48" t="inlineStr"/>
      <c r="G48" t="inlineStr">
        <is>
          <t>Tallahassee, FL</t>
        </is>
      </c>
      <c r="H48" t="inlineStr"/>
      <c r="I48" t="inlineStr">
        <is>
          <t>*Job Title:* 
 Data Engineer
*Location:* 
 Hybrid
*Regular/Temporary:* 
 Regular
*Full/Part Time:* 
 Full\-Time
*Job ID:* 
 62174
 Department
 This position is within FSU’s Department of Enterprise Resource Planning Information Technology Services (ITS)
**Responsibilities**
 The Data and Analytics team plays a vital role in collecting, integrating, and analyzing data from multiple sources to drive informed decision\-making across the university. A key focus of our work is on seamless data integration, ensuring that various datasets are combined and structured for efficient analysis. In addition, the team supports data visualization, transforming complex data into clear and actionable insights through dashboards, and meaningful reports.
 Responsible for providing technical support and maintenance of our ETL platforms and other data integration tools and processes. Assists in identifying and implementing improvements and enhancements to our data integration systems, methods and processes. Also analyzes and resolves a variety of issues and program configurations involving and supporting our data integration and analytical systems and processes.
 Provides support and maintenance to the University's data integration processes. Designs, develops, and analyzes data integration processes in alignment with functional and technical system requirements and creates and modifies data layer reporting objects. Develops programming code and software modifications using appropriate language and tools to deliver solutions and new functionality in enterprise\-wide and/or complex systems. Directly contributes to improvements and enhancements to solutions developed. Conducts functional testing of integration processes and confirms compliance with business requirements.
 Conducts research and analysis related to the ongoing review of business requirements needed for new design, development and maintenance of analytical data stores, logical models, programs or modifications and completes technical development and maintenance based on these requirements.
 Conducts research and provides support and judgment with application upgrades to integration platforms.
 Shares responsibilities for providing support 24x7 and performs other duties as necessary.
 Performs duties in compliance with ITS policies, guidelines, and processes pertaining to support requests, work orders, project management, change management, and incident management. Appropriately utilizes associated tools in accordance with ITS standards.
**Qualifications**
 Bachelor's degree in Computer Science, MIS, or other appropriate degree and three years' experience or equivalent combination of education and experience.
**Preferred Qualifications**
 Experience with writing complex SQL queries for data extraction, transformation, and analysis in relational databases.
 Familiarity with ETL tools such as DataStage, Boomi, SSIS or Informatica.
 Programming skills in Python for data extraction and loading.
 Helpful
 An ideal candidate for this Data Engineer position should have strong proficiency in SQL for database management, along with experience in building and maintaining data pipelines. This can involve the use of ETL and API management tools. They should also have expertise in designing and optimizing data models, ensuring efficient data storage and retrieval.
 A typical day for a Data Engineer involves a mix of designing, building, and maintaining data pipelines. These can take the form of DataStage, Boomi or Python processes. Typically, the day starts by checking the performance and integrity of existing pipelines and addressing any issues or bottlenecks. They might spend time writing or optimizing SQL queries. A significant portion of the day is often dedicated to working with ETL tools to automate data extraction and loading into data warehouses. Collaboration with other stakeholders to understand data requirements and ensure the availability of accurate data is also a regular part of their routine.
 In the first 60\-90 days as a Data Engineer, the focus will be on onboarding and getting familiar with our data infrastructure, tools, and workflows. Initially, the candidate will learn about existing systems and contribute to smaller projects like debugging data pipelines and optimizing as necessary. Then, the candidate can take on larger responsibilities, such as designing new pipelines for upcoming projects and also contribute towards production support and maintenance activities. By the end of this period, the candidate should be able to handle core tasks independently and contribute towards strategic data engineering initiatives.
 University Information
 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and encourages creativity. At FSU, there’s the excitement of being part of a vibrant academic and professional community, surrounded by people whose ideas are shaping tomorrow’s news!
 Learn more about our university and campuses.
 FSU Total Rewards
 FSU offers a robust Total Rewards package. Visit our website to learn more about our Compensation, Benefits, Wellness, Recognition, and Employee Development programs.
 Use our interactive tool to calculate Total Compensation options based on potential salary, benefits and retirement contributions, earned leave, and other employment\-related perks.
 How To Apply
 If qualified and interested in a specific job opening as advertised, apply to Florida State University at https://jobs.fsu.edu. If you are a current FSU employee, apply via myFSU \&gt; Self Service.
 Applicants are required to complete the online application with all applicable information. Applications must include all work history up to ten years, and education details even if attaching a resume.
 Considerations
 This is an A\&amp;P position.
 This position requires successful completion of a criminal history background check.
 This position has been designated as eligible for primarily remote based on the current position/job functions. Employees are required to live in the Tallahassee area and report to campus as needed.
 Equal Employment Opportunity
 FSU is an Equal Employment Opportunity Employer.</t>
        </is>
      </c>
    </row>
    <row r="49">
      <c r="A49" t="inlineStr">
        <is>
          <t>li-4372033243</t>
        </is>
      </c>
      <c r="B49" t="inlineStr">
        <is>
          <t>Senior Data Engineer</t>
        </is>
      </c>
      <c r="C49" t="inlineStr">
        <is>
          <t>Press Ganey</t>
        </is>
      </c>
      <c r="D49" t="inlineStr">
        <is>
          <t>linkedin</t>
        </is>
      </c>
      <c r="E49">
        <f>HYPERLINK("https://www.linkedin.com/jobs/view/4372033243", "https://www.linkedin.com/jobs/view/4372033243")</f>
        <v/>
      </c>
      <c r="F49" t="inlineStr"/>
      <c r="G49" t="inlineStr"/>
      <c r="H49" t="inlineStr"/>
      <c r="I49"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Does analytical data flow through your veins? Are you fluent across cloud, on\-premises, platforms, and technologies? Do you have deep healthcare experience? Do you love understanding strategic direction, creating design and direction, then getting fingers on the keyboard? This role is for a Senior Data Engineer with strong data architecture experience. This person will design, develop, and support solutions to transport, store, and analyze our analytical data. They will be key in evolving and maturing our enterprise data strategy and capabilities.
**Duties \&amp; Responsibilities**
**General**
* Create data architecture, pipelines, and analytical solutions to meet software and data science requirements for various PG\-MX Healthcare Products.
* Identify, evaluate, select, and prove out new technologies and toolsets.
* Create and execute Proofs of Concept and Proofs of Technology.
* Lead and direct the work of others in data dependent projects.
**Data Storage Design**
* Collaborate with software development, business teams, analysts, and data scientists to establish data storage, pipeline, and structure requirements.
* Design, develop, and maintain ETL/ELT pipelines using Databricks (PySpark, Delta Lake, SQL).
* Implement Data Lakehouse architecture leveraging Databrick Unity Catalog, Delta Live Tables, and Workflows.
* Build and optimize data ingestion frameworks for structured and unstructured data from diverse sources.
* Identify and plan for data storage performance requirements.
* Optimize Databricks clusters, jobs, and queries for performance and cost efficiency.
**Application Interface and Data Storage Implementation**
* Collaborate with software development, business teams, and data scientists to create and execute implementations.
* Identify impact of implementation on other applications and databases.
* Lead and mentor data engineers on data projects.
* Implement CI/CD for data pipelines using Git, Databricks Repos, and DevOps tools.
* Ensure Data quality, reliability, security compliances across environments.
**Master Data Management and Data Governance**
* Build and evolve Trusted Record systems to manage entities across the enterprise.
* Design, implement, and evolve solutions around person identity management.
* Develop and enforce data governance, lineage, and cataloging standards.
**Mentors Data Engineers**
* Identify areas of development and need.
* Provide targeted training and exploration for team members.
* Train and mentor data engineers on standards and best practices.
**Technical Skills**
* Hands on experience of Azure data technologies (Databricks, Data Factory, Stream Analytics, Data Lake Storage, Synapse), on\-premises Microsoft tools (SQL DB and SSIS), and familiar with AWS data technologies.
* Proficiency in Python, SQL and distributed data processing frameworks (Spark), and familiar with C\#, PowerShell, and APIs.
* Significant experience with analytical solutions in relational databases such as MS SQL Server, Oracle, and DB2 as well as experience with NoSQL databases and solutions such as data lakes, document\-oriented databases, and graph databases.
* Strong understanding of data modeling, schema design, and ETL best practices
* Experience with data lineage, cataloging, and metadata management in Databricks and Unity Catalog.
* Skill in data modeling and experience with tools like ER/Studio or Erwin.
* Familiarity with version control (Git) and DevOps/CI\-CD practices.
* Familiarity with SQL performance tuning and Spark optimization techniques.
* Excellent problem\-solving and communication skills.
**Minimum Qualifications**
* Minimum of 5 years Data Engineering experience in an enterprise environment.
* Bachelor’s degree in technology or like field required.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$100,000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50">
      <c r="A50" t="inlineStr">
        <is>
          <t>li-4372797970</t>
        </is>
      </c>
      <c r="B50" t="inlineStr">
        <is>
          <t>AVP, Senior Data Engineer (Python)</t>
        </is>
      </c>
      <c r="C50" t="inlineStr">
        <is>
          <t>Jefferies</t>
        </is>
      </c>
      <c r="D50" t="inlineStr">
        <is>
          <t>linkedin</t>
        </is>
      </c>
      <c r="E50">
        <f>HYPERLINK("https://www.linkedin.com/jobs/view/4372797970", "https://www.linkedin.com/jobs/view/4372797970")</f>
        <v/>
      </c>
      <c r="F50" t="inlineStr"/>
      <c r="G50" t="inlineStr">
        <is>
          <t>Jersey City, NJ</t>
        </is>
      </c>
      <c r="H50" t="inlineStr"/>
      <c r="I50" t="inlineStr">
        <is>
          <t>**Job Description**
 The JData team is looking for an experienced Data Engineer with experience in Python and Snowflake to join their team! This is an exciting position within the Jefferies IT landscape as an integral member of the team. The ideal candidate will have the desired requirements shown below, along with a willingness to learn new and exciting technologies.
**Responsibilities Include**
* Developing, overseeing, organizing, storing, and analyzing data and data systems.
* Cloud migrations for data pipelines using AWS and Snowflake,
* Participating in all aspects of the software development lifecycle for AWS and Snowflake solutions, including planning, requirements, development, testing, and quality assurance.
* Collaborating with cross\-functional teams to define, design and ship new features.
* Working in tandem with our engineering team to identify and implement the most optimal cloud\-based solutions.
* Ensuring application performance, uptime, and scale, maintaining high standards for code quality and thoughtful design.
* Troubleshooting incidents, identify root causes, fix and document problems, and implement preventive measures.
**Qualifications**
* Working experience on Snowflake Platform
* Strong SQL and PL/SQL
* Working Cloud knowledge on AWS (Certification preferred)
* Working Snowflake knowledge with Designing data warehouses
* Strong hands\-on experience in Python with ETL concepts
* Good understanding on Metadata and data lineage
**Nice To Have**
* Hands on knowledge on SQL Analytical functions, Views, Materialized Views
* Strong knowledge and hands\-on experience in SQL, Unix shell scripting
 Primary Location Full Time Salary Range of $120,000 \- $160,000\.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51">
      <c r="A51" t="inlineStr">
        <is>
          <t>li-4369743273</t>
        </is>
      </c>
      <c r="B51" t="inlineStr">
        <is>
          <t>Senior Data Engineer</t>
        </is>
      </c>
      <c r="C51" t="inlineStr">
        <is>
          <t>General Motors</t>
        </is>
      </c>
      <c r="D51" t="inlineStr">
        <is>
          <t>linkedin</t>
        </is>
      </c>
      <c r="E51">
        <f>HYPERLINK("https://www.linkedin.com/jobs/view/4369743273", "https://www.linkedin.com/jobs/view/4369743273")</f>
        <v/>
      </c>
      <c r="F51">
        <f>HYPERLINK("https://generalmotors.wd5.myworkdayjobs.com/Careers_GM/job/Warren-Michigan-United-States-of-America/Senior-Data-Engineer_JR-202523179?source=LinkedIn&amp;urlHash=BbIB", "https://generalmotors.wd5.myworkdayjobs.com/Careers_GM/job/Warren-Michigan-United-States-of-America/Senior-Data-Engineer_JR-202523179?source=LinkedIn&amp;urlHash=BbIB")</f>
        <v/>
      </c>
      <c r="G51" t="inlineStr">
        <is>
          <t>Warren, MI</t>
        </is>
      </c>
      <c r="H51" t="inlineStr"/>
      <c r="I51"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2">
      <c r="A52" t="inlineStr">
        <is>
          <t>li-4372763801</t>
        </is>
      </c>
      <c r="B52" t="inlineStr">
        <is>
          <t>Data Engineer</t>
        </is>
      </c>
      <c r="C52" t="inlineStr">
        <is>
          <t>Motion Recruitment</t>
        </is>
      </c>
      <c r="D52" t="inlineStr">
        <is>
          <t>linkedin</t>
        </is>
      </c>
      <c r="E52">
        <f>HYPERLINK("https://www.linkedin.com/jobs/view/4372763801", "https://www.linkedin.com/jobs/view/4372763801")</f>
        <v/>
      </c>
      <c r="F52" t="inlineStr"/>
      <c r="G52" t="inlineStr">
        <is>
          <t>Boston, MA</t>
        </is>
      </c>
      <c r="H52" t="inlineStr"/>
      <c r="I52" t="inlineStr">
        <is>
          <t>**Job Description**
 Our client is hiring a Data Engineer to help power a platform that turns millions of public records and government documents into structured, interconnected data that delivers strategic insights for development, planning, and decision\-making.
 The work involves ingesting diverse data sources such as permits, meeting records, environmental data, and regulatory filings, resolving references to the same entities across those sources, and organizing them into usable datasets that support risk evaluation, due diligence, policy tracking, and forward\-looking analysis
 This is a hybrid position based in Boston, MA.
**Required Qualifications**
* Bachelor’s degree in Computer Science, Engineering, or a related technical field
* 3\+ years of experience in data engineering or a closely related role
* Strong SQL skills with experience working with relational datasets
* Experience building, maintaining, and supporting ETL or ELT pipelines
* Working knowledge of data modeling concepts and data quality practices
* Proficiency in Python and familiarity with at least one additional programming language
* Experience working in cloud environments such as AWS, Azure, or GCP
* Familiarity with data warehouses, data lakes, or analytical data stores
* Experience using workflow orchestration or scheduling tools
* Ability to troubleshoot data issues in production systems
* Clear communication skills and comfort collaborating across teams
 Nice to Have
* Experience supporting analytics, reporting, or operational data use cases
* Exposure to metadata\-driven, semantic, or relationship\-based data modeling
* Familiarity with highly connected or graph\-like datasets
* Experience with streaming or incremental data processing
* Exposure to BI or reporting tools
* Experience preparing data for analytical or AI\-driven workflows
* Interest in improving documentation, standards, or shared tooling
 What You Will Work On
* Build and support data pipelines that ingest, transform, and organize diverse datasets
* Maintain existing workflows and contribute improvements focused on reliability and performance
* Help optimize schemas and queries used for analytics and downstream consumption
* Implement monitoring, validation, and quality checks across data workflows
* Assist with managing data storage systems such as warehouses and data lakes
* Investigate and resolve data\-related issues in live environments
* Collaborate with engineers, analysts, and product partners to understand data needs
* Participate in code reviews and contribute to shared engineering practices
* Learn and adopt new tools and patterns as the data platform evolves
 Technical Emphasis
* 40% Data Pipelines, Transformation, and Orchestration
* 30% SQL, Data Modeling, and Query Optimization
* 20% Cloud Data Platforms and Infrastructure
* 10% Python and Platform Support
 Day\-to\-Day Focus
* 75% Hands\-on development and operational support
* 15% System improvements and optimization
* 10% Collaboration, planning, and documentation
**Compensation \&amp; Benefits**
* Bonus eligible
**Benefits Include**
* Medical, dental, and vision coverage
* Paid time off
* 401(k) plan with company match (if applicable)
 Applicants must be authorized to work in the United States on a full\-time basis now and in the future.
**Posted By:** 
 Sarah Carroll</t>
        </is>
      </c>
    </row>
    <row r="53">
      <c r="A53" t="inlineStr">
        <is>
          <t>li-4382377943</t>
        </is>
      </c>
      <c r="B53" t="inlineStr">
        <is>
          <t>Senior Data Engineer</t>
        </is>
      </c>
      <c r="C53" t="inlineStr">
        <is>
          <t>Alter Domus</t>
        </is>
      </c>
      <c r="D53" t="inlineStr">
        <is>
          <t>linkedin</t>
        </is>
      </c>
      <c r="E53">
        <f>HYPERLINK("https://www.linkedin.com/jobs/view/4382377943", "https://www.linkedin.com/jobs/view/4382377943")</f>
        <v/>
      </c>
      <c r="F53">
        <f>HYPERLINK("https://careers.alterdomus.com/en/job/salt-lake-city/senior-data-engineer/38735/35867175104&amp;urlHash=rBhL", "https://careers.alterdomus.com/en/job/salt-lake-city/senior-data-engineer/38735/35867175104&amp;urlHash=rBhL")</f>
        <v/>
      </c>
      <c r="G53" t="inlineStr">
        <is>
          <t>Salt Lake City, UT</t>
        </is>
      </c>
      <c r="H53" t="inlineStr"/>
      <c r="I53" t="inlineStr">
        <is>
          <t>**About Us**
 As a world leading provider of integrated solutions for the alternative investment industry, Alter Domus (meaning “The Other House” in Latin) is proud to be home to 90% of the top 30 asset managers in the private markets, and more than 6,000 professionals across 24 jurisdictions.
 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
 Find out more about life at Alter Domus at careers.alterdomus.com
**Job Description**
 Join our dynamic and innovative team as a Senior Data Engineer, where you will collaborate on the design, architecture, and optimization of our enterprise data infrastructure and pipelines. As a senior member of the team, you will provide technical leadership and mentorship while working closely with business stakeholders and the rest of the data team to ensure data is reliable, efficient, secure, and accessible at scale. You will drive best business practices, influence architectural decisions, and play a key role in shaping our data engineering strategy.
**Key Responsibilities**
* 
+ Data Pipeline Orchestration
- Design, architect, and maintain complex end\-to\-end data pipelines using Airflow (including managed services like Amazon MWAA) to orchestrate, schedule, and monitor batch/streaming workflows at enterprise scale.
- Develop and optimize sophisticated DAGs (Directed Acyclic Graphs) with advanced retry logic, error handling, alerting, and monitoring to ensure maximum data quality and pipeline reliability.
- Establish best practices and standards for pipeline development, testing, and deployment across the organization.
+ Data Ingestion \&amp; Transformation
- Architect and implement scalable data integration solutions using Airbyte for ingestion and dbt for transformations in a modular, maintainable fashion.
- Collaborate with Data Analysts and Data Scientists to design and implement complex transformations and business logic, ensuring data is analytics\-ready and optimized for performance.
- Mentor junior engineers on data ingestion patterns and transformation best practices.
+ Data Modeling \&amp; Warehousing
* 
+ 
- Design and implement sophisticated data models and architectures for both structured and semi\-structured data across AWS S3 (data lake) and Snowflake (data warehouse).
- Databricks implementations for advanced data processing, analytics, and real\-time insights capabilities.
- Ensure data schemas and transformations support advanced analytics, BI reporting, machine learning use cases, and emerging business needs.
- Drive data architecture decisions and provide technical guidance on data modeling strategies.
+ Data Governance \&amp; Security
- Lead implementation of AWS Lake Formation APIs and enterprise\-level best practices to maintain data security, access controls, and regulatory compliance.
- Partner with IT security and compliance teams to establish and enforce robust encryption standards, comprehensive audit trails, and identity/role\-based access controls.
- Champion data governance initiatives and establish data quality frameworks across the organization.
+ Performance Optimization \&amp; Cost Management
- Lead optimization efforts for AWS Athena queries and configurations (e.g., data partitioning, indexing strategies) for superior performance and cost efficiency.
- Monitor, analyze, and tune Airflow DAGs, Snowflake queries, and Databricks jobs to maximize throughput, reliability, and cost\-effectiveness.
- Implement monitoring and alerting solutions to proactively identify and resolve performance bottlenecks.
+ Technical Leadership \&amp; Stakeholder Management
- Provide technical leadership and mentorship to junior and mid\-level data engineers, fostering a culture of continuous learning and excellence.
- Lead cross\-functional partnerships with DevOps, Platform Engineering, Data Science, and business teams to ensure seamless integration of data workflows and systems.
- Communicate complex technical solutions effectively to non\-technical stakeholders and executive leadership, translating business requirements into scalable technical solutions.
- Drive architectural decisions and represent the data engineering team in strategic planning discussions.
+ Strategic Planning \&amp; Continuous Improvement
- Lead architecture reviews, design reviews, and code reviews to ensure quality, scalability, and alignment with enterprise best practices.
- Drive innovation by evaluating and recommending emerging trends and technologies in data engineering, orchestration tools (Airflow, MWAA), and cloud services (AWS, Snowflake, Databricks).
- Contribute to the development of the data engineering roadmap and long\-term technical strategy.
- Champion DevOps and DataOps best practices, including CI/CD for data pipelines, infrastructure as code, and automated testing.
**Qualifications \&amp; Skills**
* Education \&amp; Experience
+ Bachelor’s or Master’s degree in Computer Science, Engineering, or a related field.
+ 5\+ years of experience as a Data Engineer or in a similar role working with cloud\-based data platforms.
+ Demonstrated experience in technical leadership, including mentoring engineers and leading architectural initiatives.
+ Proven track record of delivering complex, large\-scale data engineering projects.
* Technical Skills
+ Cloud \&amp; Orchestration:
- Expert\-level proficiency with Airflow (self\-managed or managed services like Amazon MWAA) for workflow orchestration, DAG development, and scheduling.
- Deep understanding of Airflow best practices including DAG structure, dependency management, error handling, scaling, and optimization.
+ AWS Expertise:
- Advanced hands\-on experience with AWS Lake Formation, S3, Athena, and related services (e.g., Lambda, Glue, IAM, CloudWatch, Step Functions).
- Experience with AWS infrastructure as code (Terraform, CloudFormation).
+ Snowflake:
- Expert\-level proficiency in designing and implementing data warehouses, configuring enterprise security, optimizing complex queries, and managing Snowflake at scale.
+ Databricks:
- Advanced experience with Databricks for large\-scale data processing, analytics, and real\-time data insights.
- Familiarity with Spark optimization and performance tuning.
+ Data Ingestion \&amp; Transformation:
- Deep expertise with Airbyte or similar tools for complex data ingestion scenarios.
- Advanced proficiency with dbt or other SQL\-based transformation frameworks for modular, maintainable data processing.
- Experience with real\-time streaming technologies (e.g., Kafka, Kinesis) is a plus.
+ Programming:
- Expert\-level proficiency in Python and/or Java/Scala for building robust data pipelines and custom integrations.
- Strong software engineering fundamentals including testing, documentation, and code quality.
+ Query Languages:
- Expert\-level knowledge of SQL for complex data manipulation, analysis, and performance optimization.
+ DevOps \&amp; Infrastructure
- Strong experience with CI/CD pipelines, containerization (Docker, Kubernetes), and infrastructure as code (Terraform, CloudFormation).
- Deep understanding of DevOps best practices for managing Airflow environments (e.g., version control for DAGs, automated testing, monitoring, deployment strategies).
* Soft Skills
+ Exceptional problem\-solving and analytical abilities with a track record of solving complex technical challenges.
+ Outstanding communication and collaboration skills, with the ability to lead cross\-functional teams and influence stakeholders at all levels.
+ Proven leadership and mentorship capabilities, with experience coaching and developing engineering talent.
+ Ability to operate effectively in a fast\-paced, agile environment and manage multiple strategic priorities simultaneously.
+ Strong business acumen and ability to align technical solutions with business objectives.
**Preferred Certifications \&amp; Experience**
* AWS certifications (e.g., AWS Certified Data Analytics – Specialty, AWS Certified Solutions Architect) are a plus.
* Snowflake certifications (e.g., SnowPro Core) are a plus.
* Databricks certifications are beneficial.
* Demonstrated Experience with CI/CD pipelines, containerization (Docker, Kubernetes), and infrastructure as code (Terraform, CloudFormation).
* Strong foundation in DevOps best practices for managing production data environments.
* While familiarity with financial services data especially private equity and alternative investments is not necessary, it will be highly impactful for this role.
**What We Offer**
 We are committed to supporting your development, advancing your career, and providing benefits that matter to you.
 Our industry\-leading Alter Domus Academy offers six learning zones for every stage of your career, with resources tailored to your ambitions and resources from LinkedIn Learning.
**Our Global Benefits Also Include**
* Support for professional accreditations
* Flexible arrangements, generous holidays, plus an additional day off for your birthday!
* Continuous mentoring along your career progression
* Active sports, events and social committees across our offices
* 24/7 support available from our Employee Assistance Program
* The opportunity to invest in our growth and success through our Employee Share Plan
* Plus additional local benefits depending on your location
**Equity In Every Sense Of The Word**
 We are in the business of equity, in every sense of the word. For us, this means taking action to ensure every colleague has equal opportunity, valuing every voice and experience across our organisation, maintaining an inclusive culture where you can bring your whole self to work, and making Alter Domus a workplace where everyone feels they belong.
 We celebrate our differences, and recognise that our success relies on diverse perspectives and experiences, as we work towards shared goals and a common purpose. We take pride in creating a workplace where all our people are empowered to be truly invested in the alternative and bring their whole selves to work.
 We are committed to ensuring a welcomling recruiting and onboarding process for everyone. Please contact our hiring team if you require any accommodations to make our recruitment process more accessible for you. Alter Domus is an Equal Opportunity Employer: All qualified applicants will receive consideration for employment without regard to race, color, religion, sex, national origin, disability, or protected veteran status.
 (Alter Domus Privacy notice can be reviewed via Alter Domus webpage: https://alterdomus.com/privacy\-notice/)</t>
        </is>
      </c>
    </row>
    <row r="54">
      <c r="A54" t="inlineStr">
        <is>
          <t>li-4364197071</t>
        </is>
      </c>
      <c r="B54" t="inlineStr">
        <is>
          <t>Senior Data Engineer - Modern Data &amp; AI Platforms</t>
        </is>
      </c>
      <c r="C54" t="inlineStr">
        <is>
          <t>Spring Venture Group</t>
        </is>
      </c>
      <c r="D54" t="inlineStr">
        <is>
          <t>linkedin</t>
        </is>
      </c>
      <c r="E54">
        <f>HYPERLINK("https://www.linkedin.com/jobs/view/4364197071", "https://www.linkedin.com/jobs/view/4364197071")</f>
        <v/>
      </c>
      <c r="F54" t="inlineStr"/>
      <c r="G54" t="inlineStr">
        <is>
          <t>Kansas City, MO</t>
        </is>
      </c>
      <c r="H54" t="inlineStr"/>
      <c r="I54"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**Job Description**
**This person has the opportunity to work primarily remote in the Kansas City or surrounding areas, making occasional visits to the office. We are open to candidates in the Midwest willing to work CST.**
**We are unable to sponsor for this role, this includes international students.**
**Overview**
 The Senior Data Engineer role at Spring Venture Group is an opportunity to work at the intersection of data pipelines, data modeling, analytics, AI/ML enablement, and modern cloud\-native platforms, with Snowflake as your foundation.
 We are looking for someone who is excited to move away from building every pipeline from scratch and toward designing data products and AI\-powered applications. As automation and platform capabilities advance, you will evolve from a traditional builder into a strategic architect of data\-driven solutions.
**Essential Duties**
*The essential duties for this role include, but are not limited to:*
**Modern Data Platform \&amp; AI Enablement**
* Build advanced data pipelines utilizing the Medallion Architecture to create high\-quality data sources in Snowflake.
* Leverage AI\-assisted development tools to reduce manual pipeline work and explore emerging Snowflake capabilities like Cortex to support AI/ML\-enabled workflows.
* Build Data Applications that contribute to interactive experiences, including Streamlit\-based apps, transforming Snowflake from a warehouse into a full\-service data platform.
* Create robust data pipelines using AWS technologies to serve specific business needs.
**Data Modeling \&amp; Business Impact**
* Design and evolve analytical data models that support BI, advanced analytics, and AI workloads.
* Partner directly with Analytics and Data Science teams to translate complex business questions into well\-structured, modular data assets.
* Write complex Python/SQL, scripts, and stored procedures to ensure 99\.95% uptime and optimize query performance for downstream consumption.
**Leadership \&amp; Engineering Excellence**
* Serve as a primary advisor to the Data Management team to identify opportunities for technical improvements and automation.
* Act as a leader for junior and mid\-level engineers, providing direction on programming best practices, query optimization, and business tact.
* Architect replacements for legacy systems with a focus on data governance and maintainable documentation, including flowcharts and clear code comments.
* Support after hours and weekend releases from our internal Software Development teams.
* Actively participate in code review and weekly technicals with another more senior engineer or manager.
* Assist departments with time\-critical SQL execution and debug database performance problems.
**ROLE COMPETENCIES**
 The competencies for this role include, but are not limited to:
* Emotional Intelligence
* Drive for Results
* Continuous Improvement
* Communication
* Strategic Thinking
* Teamwork and Collaboration
**Qualifications**
**POSITION REQUIREMENTS**
**The Requirements To Fulfill This Position Are As Follows**
* Bachelor's degree in Computer Science, or a related technical field.
* 4\-7 years of practical production work in Data Engineering.
* Expertise of the Python programming language.
* Expertise of Snowflake
* Expertise of SQL, databases, \&amp; query optimization.
* Must have experience in a large cloud provider such as AWS, Azure, GCP.
* Advanced at reading code independently and understanding its intent.
* Advanced at writing readable, modifiable code that solves business problems.
* Ability to construct reliable and robust data pipelines to support both scheduled and event based workflows.
* Working directly with stakeholders to create solutions.
* Mentoring junior and mid\-level engineers on best practices in programming, query optimization, and business tact.
**Preferred Experience**
* Experience building or supporting Streamlit applications or similar data\-driven apps.
* Familiarity with Snowflake Openflow for data ingestion and orchestration.
* Exposure to Snowflake Cortex or AI/ML\-enabled analytics workflows.
* Background in analytics engineering (dbt\-style modeling, semantic layers, metrics design).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15 days of Paid Parental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55">
      <c r="A55" t="inlineStr">
        <is>
          <t>li-4381204267</t>
        </is>
      </c>
      <c r="B55" t="inlineStr">
        <is>
          <t>Data Engineer</t>
        </is>
      </c>
      <c r="C55" t="inlineStr">
        <is>
          <t>myGwork - LGBTQ+ Business Community</t>
        </is>
      </c>
      <c r="D55" t="inlineStr">
        <is>
          <t>linkedin</t>
        </is>
      </c>
      <c r="E55">
        <f>HYPERLINK("https://www.linkedin.com/jobs/view/4381204267", "https://www.linkedin.com/jobs/view/4381204267")</f>
        <v/>
      </c>
      <c r="F55" t="inlineStr"/>
      <c r="G55" t="inlineStr"/>
      <c r="H55" t="inlineStr"/>
      <c r="I55" t="inlineStr">
        <is>
          <t>**This job is with Thermo Fisher Scientific, an inclusive employer and a member of myGwork – the largest global platform for the LGBTQ\+ business community. Please do not contact the recruiter directly.**
**Work Schedule**
 Standard Office Hours (40/wk)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Digital transformation is a cornerstone of the continued development and expansion of Thermo Fisher’s global network of drug substance manufacturing sites. Our aim is to integrate best\-in\-class real\-time data collection, visualization, and analytics into standard manufacturing workflows in each facility.
 This role will take on responsibility for building, validating, and maintaining GxP data acquisition, analytics, and visualization solutions for use cases across the Biologics (BIO) business unit (BU). You will liaise with process SMEs in Manufacturing Sciences and Technology (MSAT) to define specific product and user requirements, build SQL queries and parameter logic within Discoverant, and work with IT and CSV to validate changes per a formal Software Development Lifecycle (SDLC) business process to deliver software solutions for efficient execution of Continued Process Verification (CPV) and routine process monitoring activities. You will also be able to take initiative to investigate feasibility of new tools and platforms to further streamline and enhance data analytics use cases across the network.
 As part of the global Biologics Strategy and PMO group you will have the opportunity to work with various departments at all the manufacturing and development sites in the network. As such, the successful candidate will be a highly motivated self\-starter who is able to work independently, remotely, and outside normal business hours with internal and external customers across multiple time zones in the US, Europe, and Asia\-Pacific regions.
**Key Responsibilities**
* Drive the execution and adoption of the process data analytics (PA) technologies and capabilities for the Biologics (BIO) business unit (BU).
* Build and maintain Discoverant product hierarchies for global BIO programs according to standard best practices for manufacturing process modelling and nomenclature under a formal SDLC change control process.
* Partner with global and site MSAT to build and deliver user requirements and streamline the execution of Continued Process Verification (CPV), routine process monitoring, and external data sharing activities through usage of Discoverant.
* Develop and integrate data visualization solutions into existing MSAT workflows including manufacturing process and material genealogy use cases.
* Work collaboratively to engage site leadership and technical SMEs to advance programs related to global process analytics.
* Liaise with Global IT, Computerized Systems Validation (CSV), and Data Engineering and Process Analytics (DEPA) to adhere to Discoverant platform\-level best practices and procedures and provide input for future system enhancements and upgrades.
* Investigate the applicability of advanced analytical tools such as real\-time multivariate process modelling or process knowledge management for improving development and manufacturing.
* Support or lead projects related to Pharma 4\.0, AI/ML, and other digital transformation initiatives for the BIO BU.
**Minimum Requirements/Qualifications**
**Key Skills / Experience:**
* Experience building and configuring process analytics data management systems such as Skyland PIMS, BIOVIA Discoverant, or TIBCO Statistica.
* Experience with systems integration, building SQL queries against relational databases for applications commonly used in pharmaceutical manufacturing facilities such as laboratory information management systems (LIMS), enterprise resource planning (ERP) systems, manufacturing execution systems (MES), distributed control systems (DCS), process data historian systems (AVEVA PI).
* Experience working with statistical analytics platforms (JMP/Minitab/R), data visualization applications (Power BI, Tableau, Spotfire) or programming languages (Python, Visual Basic, HTML/CSS) is a plus.
* Strong working knowledge of Statistical Process Control (SPC), Continued Process Verification (CPV), and basic statistics tools and methodologies is a plus.
* Working knowledge of the overall Biologics development and manufacturing process.
* Experience working in a cGMP Software Development Lifecycle (SDLC) environment.
* Ability to work in a matrix management system and influence and negotiate collaboratively with others without direct authority.
* Strong project management skills with proven ability to independently manage multiple milestones flexibly in an environment where priorities may change at short notice.
* Experienced with writing quality\-controlled computerized systems design documents, policy documents and SOPs.
* Experienced in participating and leading process improvement and PPI Kaizen projects including the application of Lean/Six Sigma methodologies.
* Ability to work independently with minimal daily supervision.
* Ability to work outside normal business hours on a semi\-regular basis to connect with colleagues in U.S., Europe, and Asia\-Pacific time zones.
**Qualifications \&amp; Experience**
* Bachelor’s Degree in Computer Science, Chemical Engineering, or STEM related discipline
* 3\+ years of Computerized Systems Engineering, Data Engineering, or Data Analytics experience in a biopharmaceutical GMP manufacturing environment.
**Compensation And Benefits**
 The salary range estimated for this position based in Massachusetts is $66,000\.00–$99,000\.00\.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]]\&gt;</t>
        </is>
      </c>
    </row>
    <row r="56">
      <c r="A56" t="inlineStr">
        <is>
          <t>li-4380889937</t>
        </is>
      </c>
      <c r="B56" t="inlineStr">
        <is>
          <t>Data Engineer</t>
        </is>
      </c>
      <c r="C56" t="inlineStr">
        <is>
          <t>myGwork - LGBTQ+ Business Community</t>
        </is>
      </c>
      <c r="D56" t="inlineStr">
        <is>
          <t>linkedin</t>
        </is>
      </c>
      <c r="E56">
        <f>HYPERLINK("https://www.linkedin.com/jobs/view/4380889937", "https://www.linkedin.com/jobs/view/4380889937")</f>
        <v/>
      </c>
      <c r="F56" t="inlineStr"/>
      <c r="G56" t="inlineStr"/>
      <c r="H56" t="inlineStr"/>
      <c r="I56" t="inlineStr">
        <is>
          <t>**This job is with Thermo Fisher Scientific, an inclusive employer and a member of myGwork – the largest global platform for the LGBTQ\+ business community. Please do not contact the recruiter directly.**
**Work Schedule**
 Standard Office Hours (40/wk)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Digital transformation is a cornerstone of the continued development and expansion of Thermo Fisher’s global network of drug substance manufacturing sites. Our aim is to integrate best\-in\-class real\-time data collection, visualization, and analytics into standard manufacturing workflows in each facility.
 This role will take on responsibility for building, validating, and maintaining GxP data acquisition, analytics, and visualization solutions for use cases across the Biologics (BIO) business unit (BU). You will liaise with process SMEs in Manufacturing Sciences and Technology (MSAT) to define specific product and user requirements, build SQL queries and parameter logic within Discoverant, and work with IT and CSV to validate changes per a formal Software Development Lifecycle (SDLC) business process to deliver software solutions for efficient execution of Continued Process Verification (CPV) and routine process monitoring activities. You will also be able to take initiative to investigate feasibility of new tools and platforms to further streamline and enhance data analytics use cases across the network.
 As part of the global Biologics Strategy and PMO group you will have the opportunity to work with various departments at all the manufacturing and development sites in the network. As such, the successful candidate will be a highly motivated self\-starter who is able to work independently, remotely, and outside normal business hours with internal and external customers across multiple time zones in the US, Europe, and Asia\-Pacific regions.
**Key Responsibilities**
* Drive the execution and adoption of the process data analytics (PA) technologies and capabilities for the Biologics (BIO) business unit (BU).
* Build and maintain Discoverant product hierarchies for global BIO programs according to standard best practices for manufacturing process modelling and nomenclature under a formal SDLC change control process.
* Partner with global and site MSAT to build and deliver user requirements and streamline the execution of Continued Process Verification (CPV), routine process monitoring, and external data sharing activities through usage of Discoverant.
* Develop and integrate data visualization solutions into existing MSAT workflows including manufacturing process and material genealogy use cases.
* Work collaboratively to engage site leadership and technical SMEs to advance programs related to global process analytics.
* Liaise with Global IT, Computerized Systems Validation (CSV), and Data Engineering and Process Analytics (DEPA) to adhere to Discoverant platform\-level best practices and procedures and provide input for future system enhancements and upgrades.
* Investigate the applicability of advanced analytical tools such as real\-time multivariate process modelling or process knowledge management for improving development and manufacturing.
* Support or lead projects related to Pharma 4\.0, AI/ML, and other digital transformation initiatives for the BIO BU.
**Minimum Requirements/Qualifications**
**Key Skills / Experience:**
* Experience building and configuring process analytics data management systems such as Skyland PIMS, BIOVIA Discoverant, or TIBCO Statistica.
* Experience with systems integration, building SQL queries against relational databases for applications commonly used in pharmaceutical manufacturing facilities such as laboratory information management systems (LIMS), enterprise resource planning (ERP) systems, manufacturing execution systems (MES), distributed control systems (DCS), process data historian systems (AVEVA PI).
* Experience working with statistical analytics platforms (JMP/Minitab/R), data visualization applications (Power BI, Tableau, Spotfire) or programming languages (Python, Visual Basic, HTML/CSS) is a plus.
* Strong working knowledge of Statistical Process Control (SPC), Continued Process Verification (CPV), and basic statistics tools and methodologies is a plus.
* Working knowledge of the overall Biologics development and manufacturing process.
* Experience working in a cGMP Software Development Lifecycle (SDLC) environment.
* Ability to work in a matrix management system and influence and negotiate collaboratively with others without direct authority.
* Strong project management skills with proven ability to independently manage multiple milestones flexibly in an environment where priorities may change at short notice.
* Experienced with writing quality\-controlled computerized systems design documents, policy documents and SOPs.
* Experienced in participating and leading process improvement and PPI Kaizen projects including the application of Lean/Six Sigma methodologies.
* Ability to work independently with minimal daily supervision.
* Ability to work outside normal business hours on a semi\-regular basis to connect with colleagues in U.S., Europe, and Asia\-Pacific time zones.
**Qualifications \&amp; Experience**
* Bachelor’s Degree in Computer Science, Chemical Engineering, or STEM related discipline
* 3\+ years of Computerized Systems Engineering, Data Engineering, or Data Analytics experience in a biopharmaceutical GMP manufacturing environment.
**Compensation And Benefits**
 The salary range estimated for this position based in Massachusetts is $66,000\.00–$99,000\.00\.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]]\&gt;</t>
        </is>
      </c>
    </row>
    <row r="57">
      <c r="A57" t="inlineStr">
        <is>
          <t>li-4381355918</t>
        </is>
      </c>
      <c r="B57" t="inlineStr">
        <is>
          <t>Senior Data Engineer (Python, PySpark, Lambda)</t>
        </is>
      </c>
      <c r="C57" t="inlineStr">
        <is>
          <t>TalentAlly</t>
        </is>
      </c>
      <c r="D57" t="inlineStr">
        <is>
          <t>linkedin</t>
        </is>
      </c>
      <c r="E57">
        <f>HYPERLINK("https://www.linkedin.com/jobs/view/4381355918", "https://www.linkedin.com/jobs/view/4381355918")</f>
        <v/>
      </c>
      <c r="F57">
        <f>HYPERLINK("https://talentally.com/job/senior-data-engineer-python-pyspark-lambda-2?utm_source=LinkedIn&amp;utm_medium=jobboard&amp;utm_campaign=LinkedIn&amp;urlHash=rvkL", "https://talentally.com/job/senior-data-engineer-python-pyspark-lambda-2?utm_source=LinkedIn&amp;utm_medium=jobboard&amp;utm_campaign=LinkedIn&amp;urlHash=rvkL")</f>
        <v/>
      </c>
      <c r="G57" t="inlineStr">
        <is>
          <t>Cambridge, MA</t>
        </is>
      </c>
      <c r="H57" t="inlineStr"/>
      <c r="I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PDN\-a13d66eb\-bfce\-4ef9\-8dca\-793b56454a30</t>
        </is>
      </c>
    </row>
    <row r="58">
      <c r="A58" t="inlineStr">
        <is>
          <t>li-4321384025</t>
        </is>
      </c>
      <c r="B58" t="inlineStr">
        <is>
          <t>Lead, IT Data Engineer</t>
        </is>
      </c>
      <c r="C58" t="inlineStr">
        <is>
          <t>Shure</t>
        </is>
      </c>
      <c r="D58" t="inlineStr">
        <is>
          <t>linkedin</t>
        </is>
      </c>
      <c r="E58">
        <f>HYPERLINK("https://www.linkedin.com/jobs/view/4321384025", "https://www.linkedin.com/jobs/view/4321384025")</f>
        <v/>
      </c>
      <c r="F58" t="inlineStr"/>
      <c r="G58" t="inlineStr">
        <is>
          <t>Niles, IL</t>
        </is>
      </c>
      <c r="H58" t="inlineStr"/>
      <c r="I58" t="inlineStr">
        <is>
          <t>**Come join the global IT team at Shure!**
 In your role as
 **Lead Data Engineer,** 
 you will play a critical role in enabling Shure’s global analytics and data strategy. This position partners closely with business and technology stakeholders across North America, Europe, and Asia to design, build, enhance, and support scalable analytics solutions that meet evolving global business needs.
 In this senior role, you’ll be responsible for engineering and supporting robust data pipelines that leverage Shure’s technology investments and enable insights across the organization. You’ll work with a wide variety of data sources—including structured and unstructured data, internal and external data, and emerging data types such as Internet of Things (IoT)—to ensure data is reliable, accessible, and optimized for analytics and reporting.
 The ideal candidate brings a strong foundation in data engineering best practices, stays current with technology trends, and demonstrates a willingness to learn and adopt emerging tools and platforms. Success in this role requires both technical depth and the ability to collaborate effectively within a globally distributed team to deliver high‑quality, business‑driven data solutions.
**This role is hybrid, based in our Niles, IL location or remote within the US.**
**Responsibilities**
* Lead and perform data engineering development for connecting source systems to Shure’s data lake, ensuring data quality and governance standards.
* Assist internal business partners in implementing Generative AI\-driven analytics solutions, providing guidance on use cases, integration strategies, and best practices to enhance data insights and decision\-making.
* Collaborate with business partners to define analytic use cases, develop business cases, and ensure benefits realization through measurable outcomes and value delivery.
* Design and implement ETL processes to extract, transform, and load data from multiple sources into Shure’s data lake and data warehouse.
* Develop and maintain scalable, flexible data models and analytic solutions aligned with business requirements.
* Drive technical solution design and provide approvals for documentation, proposals, and final designs.
* Establish and maintain data lineage and cataloging to enable discoverability and support governance initiatives.
* Oversee code reviews, testing, and validation to ensure high\-quality deliverables and adherence to standards.
* Provide technical leadership and mentorship to data engineers, serving as the first escalation point for complex issues.
* Collaborate with cross\-functional teams and external contacts , offering thought leadership on emerging technologies and trends.
* Manage medium to large \-scope projects , including planning, resource allocation, and execution of technical phases while supporting business users through Service Desk requests.
* Lead continuous improvement initiatives , including automation, monitoring, and reliability enhancements for the data platfor m.
**Qualifications**
* Demonstrated commitment to working in alignment with Shure’s core values, fostering collaboration, integrity, innovation, and excellence in all deliverables.
* Minimum of 10 years of related experience with a Bachelor’s degree; or 8 years with a Master’s; or 5 years with a PhD; or equivalent experience in enterprise data warehouse/data lake platforms and big data technologies.
* Strong professional judgment, problem\-solving, and communication skills to analyze complex data challenges and deliver well\-structured solutions.
* Expertise across end\-to\-end data processes, including application integration touchpoints and alignment of local/global requirements.
* Hands\-on experience with AWS Data Engineering stack (S3, Glue, Lambda, EMR/Spark, Step Functions, Athena, Lake Formation, IAM, Redshift).
* Advanced proficiency in Snowflake (data modeling, performance tuning, Snowpipe , Streams/Tasks, RBAC, cost governance, query optimization).
* Skilled in designing and implementing CI/CD pipelines for data engineering workflows using GitLab, GitHub Actions, Azure DevOps, Terraform/CDK, and dbt .
* Experience integrating ERP (SAP, Oracle) and CRM (Salesforce) data into cloud platforms.
* Knowledge of structured/unstructured data and integration protocols (OData, ODP, REST APIs, JDBC/ODBC, file\-based, custom interfaces).
* Strong understanding of modern data architecture patterns (Medallion, Lambda, Kappa, Data Mesh), dimensional and Data Vault modeling, and data quality methods.
* Expertise in SQL, shell scripting, Python or PySpark for data engineering and automation.
* Familiarity with Machine Learning concepts, Generative AI, and enabling ML pipelines and feature stores.
* Experience with real\-time streaming technologies (Apache Kafka, AWS Kinesis, MSK) for high\-throughput, low\-latency pipelines.
* Knowledge of data visualization tools (Tableau, Power BI) and project management methodologies ( SAFe Agile, Waterfall).
* Ability to rapidly learn new technologies and convert business requirements into technical designs.
**Who We Are**
 Shure’s mission is to be the most trusted audio brand worldwide – and for over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is headquartered in United States. We have more than 35 regional sales offices, engineering hubs, distribution centers and manufacturing facilities throughout the Americas, EMEA, and Asia.
 Join Shure and
 **Amplify Your Impact.** 
 Explore our unique culture and learn the key pillars that define our legacy of excellence.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**PAY TRANSPARENCY**
 Shure offers a competitive compensation structure that is reviewed annually to attract, hire, and retain the industry’s top talent. Base salaries vary based on qualifications, geography, experience, and expertise in each respective discipline. The range displayed on each job posting reflects the minimum and maximum base salary for the opportunity. The base salary for this position ranges from $127,000 to $203,200 with a mid\-point target. This position may also be eligible for our incentive pay program, which varies based on individual and Company performance in the year. If your salary expectations do not align, still apply as we are often flexible on the seniority of posted positions. All positions also include an award\-winning benefits package.
**WE GOT YOU \- Our Benefits**
 At Shure, we prioritize the well\-being of our Associates. We offer competitive rewards packages to full\-time and part\-time Associates working 24 or more hours a week that address physical, mental, financial, and overall well\-being. Our benefits include comprehensive healthcare, mental health and retirement savings plans, generous paid time off programs, employee discounts, professional development opportunities, work\-life balance initiatives, employee recognition programs, and volunteering/community involvement opportunities. To learn more, check out our Benefits At A Glance .</t>
        </is>
      </c>
    </row>
    <row r="59">
      <c r="A59" t="inlineStr">
        <is>
          <t>li-4364512627</t>
        </is>
      </c>
      <c r="B59" t="inlineStr">
        <is>
          <t>Cloud Data Engineer</t>
        </is>
      </c>
      <c r="C59" t="inlineStr">
        <is>
          <t>ECS</t>
        </is>
      </c>
      <c r="D59" t="inlineStr">
        <is>
          <t>linkedin</t>
        </is>
      </c>
      <c r="E59">
        <f>HYPERLINK("https://www.linkedin.com/jobs/view/4364512627", "https://www.linkedin.com/jobs/view/4364512627")</f>
        <v/>
      </c>
      <c r="F59" t="inlineStr"/>
      <c r="G59" t="inlineStr">
        <is>
          <t>Fairfax, VA</t>
        </is>
      </c>
      <c r="H59" t="inlineStr"/>
      <c r="I59" t="inlineStr">
        <is>
          <t>**Job Description**
 ECS is seeking a
 ***Cloud Data Engineer***
 to work in a hybrid onsite / remote capacity from our
 ***Fairfax, VA***
 office to work as a member of a team implementing a new cloud\-based application.
 **Please Note:** 
**This position is contingent upon additional funding.**
 The Cloud Data Engineer Will Lead, Together With An Application Developer, The Design And Implementation Of a New Cloud‑based Application That Will Serve As The Foundation For Future Artificial‑intelligence (AI) Capabilities. The Incumbent Will
* Gather and analyze customer requirements, data sources, and workflow needs.
* Leverage deep knowledge of cloud platforms (AWS, Azure) and AI technologies to create a production‑ready solution within a DevSecOps framework.
* Bridge strategy, architecture, and development to help the Department of War (DoW) become more data‑centric and insight‑driven.
* Integrate Commercial‑Off‑The‑Shelf (COTS) products, consume APIs, interact with data repositories, and manage cross‑domain system interfaces.
**Responsibilities**
* Develop a roadmap that links architectural capabilities to the organization’s data challenges.
* Work directly with developers to deliver solutions, provide customer support, and perform solutioning.
* Communicate technical concepts to stakeholders at all levels, building relationships, offering guidance, and articulating business value.
* Mentor data‑engineers, establish best‑practice standards, conduct code reviews, and explain the business impact of solutions.
* Operate in an Agile environment, applying advanced design and engineering best practices.
* Build data‑driven solutions that improve business insight, support operational decisions, and enable performance management.
 Required Skills
* U.S. Citizen.
* Ability to obtain and maintain a Top Secret with SCI security clearance.
* Bachelor’s degree in Computer Science, Engineering, Data Science, or related field.
* Active DoD 8140 IAT Level II or higher (e.g., CompTIA Security\+) and SAA\-C03 AWS Certified Solutions Architect \- Associate certifications.
* 10 \+ years of experience building analytical tools, including AI/ML‑based solutions.
* Proven record of delivering high‑quality software that is accurate, efficient, reliable, maintainable, and scalable.
* Strong foundation in data‑engineering fundamentals \- ingestion, cleaning, transformation, storage, fusion, and visualization.
* Hands‑on experience with cloud‑native data and AI services on AWS and Azure (e.g., S3, Redshift, Athena, Glue, Azure Data Lake, Synapse, Azure Machine Learning, etc.).
* Programming languages: Python (primary), Java, Scala or another language; strong SQL skills.
* Data‑orchestration tools: Apache Airflow, Azure Data Factory, AWS Step Functions, etc.
* Data‑lake/warehouse platforms: Snowflake, Redshift, Synapse, BigQuery, Delta Lake.
* Advanced SQL \+ Python/Scala for ETL, analytics, and model‑serving pipelines.
* Understanding of scaling \&amp; performance for distributed/cloud systems.
* Familiarity with AI/ML concepts, automation, and scripting.
* Experience designing Zero‑Trust data architectures \- encryption, IAM policies, audit logging.
* Professional software‑development practices: version control (Git), automated testing, code review, and modular design.
* Strong technical writing, presentation, and communication skills for reports, proposals, and stakeholder briefings.
* Translate strategic goals into concrete technical roadmaps.
* Partner with developers to prototype, test, and deploy solutions.
* Serve as a liaison between technical teams and business leadership, ensuring alignment on priorities and outcomes.
* Foster a culture of continuous improvement and knowledge sharing.
* Strong problem\-solving and decision\-making capabilities, with a proven ability to weigh the relative costs and benefits of potential actions and identify the most appropriate solution.
* Highly developed interpersonal and oral/written communication skills, with the ability to effectively and professionally interact with a diverse set of stakeholders (from peers to end\-users to executive management).
 Desired Skills
* Active Secret clearance.
* Prior experience in data engineering, data science, data architecture, or database/search technologies.
* Experience processing bulk datasets (e.g., terabyte‑scale ETL jobs).
* Hands‑on work with serverless design patterns (e.g., AWS Lambda, Azure Functions, serverless web apps).
* Strong grasp of federal data policies, metadata standards, and cross‑domain security considerations.
* Familiarity with data‑visualization tools (both open‑source and commercial).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60">
      <c r="A60" t="inlineStr">
        <is>
          <t>li-4349679227</t>
        </is>
      </c>
      <c r="B60" t="inlineStr">
        <is>
          <t>Senior Data Platform Engineer- Weights &amp; Biases</t>
        </is>
      </c>
      <c r="C60" t="inlineStr">
        <is>
          <t>Weights &amp; Biases</t>
        </is>
      </c>
      <c r="D60" t="inlineStr">
        <is>
          <t>linkedin</t>
        </is>
      </c>
      <c r="E60">
        <f>HYPERLINK("https://www.linkedin.com/jobs/view/4349679227", "https://www.linkedin.com/jobs/view/4349679227")</f>
        <v/>
      </c>
      <c r="F60">
        <f>HYPERLINK("https://coreweave.com/careers/job?4625588006&amp;board=weights_and_biases&amp;gh_jid=4625588006&amp;urlHash=vw-v", "https://coreweave.com/careers/job?4625588006&amp;board=weights_and_biases&amp;gh_jid=4625588006&amp;urlHash=vw-v")</f>
        <v/>
      </c>
      <c r="G60" t="inlineStr">
        <is>
          <t>Livingston, NJ</t>
        </is>
      </c>
      <c r="H60" t="inlineStr"/>
      <c r="I60"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61">
      <c r="A61" t="inlineStr">
        <is>
          <t>li-4381363514</t>
        </is>
      </c>
      <c r="B61" t="inlineStr">
        <is>
          <t>Data Platform Engineer - REMOTE</t>
        </is>
      </c>
      <c r="C61" t="inlineStr">
        <is>
          <t>Jobs via Dice</t>
        </is>
      </c>
      <c r="D61" t="inlineStr">
        <is>
          <t>linkedin</t>
        </is>
      </c>
      <c r="E61">
        <f>HYPERLINK("https://www.linkedin.com/jobs/view/4381363514", "https://www.linkedin.com/jobs/view/4381363514")</f>
        <v/>
      </c>
      <c r="F61" t="inlineStr"/>
      <c r="G61" t="inlineStr"/>
      <c r="H61" t="inlineStr"/>
      <c r="I61" t="inlineStr">
        <is>
          <t>Dice is the leading career destination for tech experts at every stage of their careers. Our client, Contract Staffing Recruiters, is seeking the following. Apply via Dice today!
**he Opportunity:**
 This role is a senior technical leadership position responsible for integrating and delivering production\-grade AI, machine learning, and data capabilities. The position combines hands\-on software engineering with system\-level design, leading end\-to\-end development of scalable, cloud\-based solutions that leverage LLMs, MLOps, and automation. Working closely with cross\-functional stakeholders, the role balances near\-term delivery with long\-term strategy while mentoring engineers and promoting strong engineering best practices.
**What You Will Do:**
* Collaborate with technical leadership, product managers, program/project managers, and business stakeholders to support the team as we bring advanced data capabilities.
* Be the system integrator for APIs, SDKs, and other automation activities: lead multi\-disciplinary efforts to bring advanced AI/ML capabilities through production software and cloud engineering, including generative AI, AIOps, GenOps, MLOps, and ML\-augmented engineering. This includes ensuring that capabilities are designed, implemented, maintained, observed, and supported from end\-to\-end.
* Maintain both high level and low\-level views of technical systems and coordinate with teams and subject matter experts from other disciplines to realize successful realization.
* Design, write, test, and deploy production quality software capabilities that are maintainable, automated (CI/CD), scalable, observable, organized, and readable. Ensure best practices are maintained, including quality and CI/CD automation.
* Advise technical support and building of user documentation
* Mentor early and mid\-career team members, supporting their ascension to senior and lead roles.
**Qualifications You Must Have:**
 Typically requires a University Degree or equivalent experience and minimum 12 years prior relevant experience, or an Advanced Degree in a related field and minimum 10 years’ experience
* 5\+ years of experience with data science and machine learning.
* 5\+ years of experience with the Software Development Life Cycle and software application / product development, including Python and the Python scientific stack.
**Qualifications We Prefer:**
 A flexible and patient mindset, interested in working on a variety of multi\-disciplinary challenges with varying stakeholders, partners, domains, and toolsets.
* Relevant experience with cloud computing platforms (AWS and/or Azure.)
* Organizational skills for knowledge, documentation, and data management
* Other helpful experience: SQL, Node, REST APIs, testing libraries.
* Experience building products that use Large Language Models (LLMs) and LLM APIs.
* Technical leadership experience, such as being the engineering lead for a program, product, or large project.
* Experience as part of a multi\-disciplinary team
* Experience with cloud computing.</t>
        </is>
      </c>
    </row>
    <row r="62">
      <c r="A62" t="inlineStr">
        <is>
          <t>li-4364455285</t>
        </is>
      </c>
      <c r="B62" t="inlineStr">
        <is>
          <t>Lead Data Engineer</t>
        </is>
      </c>
      <c r="C62" t="inlineStr">
        <is>
          <t>Arcadia</t>
        </is>
      </c>
      <c r="D62" t="inlineStr">
        <is>
          <t>linkedin</t>
        </is>
      </c>
      <c r="E62">
        <f>HYPERLINK("https://www.linkedin.com/jobs/view/4364455285", "https://www.linkedin.com/jobs/view/4364455285")</f>
        <v/>
      </c>
      <c r="F62">
        <f>HYPERLINK("https://jobs.lever.co/arcadia/811000d1-b400-491b-a712-f2484ba03e66/apply?source=LinkedIn&amp;urlHash=2Iso", "https://jobs.lever.co/arcadia/811000d1-b400-491b-a712-f2484ba03e66/apply?source=LinkedIn&amp;urlHash=2Iso")</f>
        <v/>
      </c>
      <c r="G62" t="inlineStr"/>
      <c r="H62" t="inlineStr"/>
      <c r="I62" t="inlineStr">
        <is>
          <t>*Arcadia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
**Why This Role Is Important to Arcadia**
 The Arcadia Data Engineering team onboards and supports the data feed integrations between Client Claim and Clinical data management platforms and our Healthcare Solution Platform. Our customers are top Healthcare providers and payers, and we help them integrate their internal systems with our analytic platform. The Data Engineering team is responsible for the data architecture that drives the partnership with customers and other internal organizations to drive success through adoption of cutting edge analytic solutions that leverage new age technologies and best practices. Our Data Engineers require both SQL Database knowledge and design , along with multiple programing languages.
 As a Lead Data Engineer, you will drive the successful development of solution architecture and the completion of data pipeline connectors that automate the flow of data between client Claim and Clinical data platforms and our analytic health solution platform. Your efforts will be critical to driving the long\-term partnership between Arcadia and our customers.
**What Success Looks Like**
**In 3 months**
* Learn the different areas of the data connector life cycle, and develop a working knowledge of the technical stacks, storage platforms, data models, and Arcadia's development cycle
* Familiarize yourself with the existing data pipeline and associated product capabilities
* Set to work on new ingestion pipelines with full bandwidth available (as formal training will end)
**In 6 months**
* Meaningfully contribute to team efficiency by building or rolling out new functionality to enhance team speed
* Build a backlog of development projects that you can start executing on in the next 6 months
* Build strong relationships with engineering organization that supports the data engineering stack so that you can help drive stack improvements
* Set your own personal vision of development and career aspirations and set a working path forward with leadership to work on how we can help you attain those goals
* Contribute to scrum ceremonies and ceremonies within the dev cycles while successfully updating status and progress in Jira
**In 12 months**
* Demonstrate impact to larger team’s ability to get the work done faster
* Continue to work with Product, Engineering or Implementation to build out tools for better data integration capabilities
* Work on standardizing data connector development with better abstraction patterns
* Become a SME (subject matter expert) on Arcadia’s data stack
**What You'll Be Doing**
* As a Lead Data Engineer, you will drive the successful development of solution architecture and the completion of data pipeline connectors that automate the flow of data between client data platforms and our analytic health solution platform. Your outcomes are critical to driving the long\-term partnership between Arcadia and our customers.
**You Will Primarily Do The Following**
* Improving the process of how we design and document data pipelines
* Identifying high leverage improvement projects and driving them to completion
* Support of our processes in partaking in peer code reviews, sprint planning, product grooming, maintaining Jira tasks and peer test reviews
* You will be expected to contribute to multiple implementations simultaneously, which will include both new customer setup as well as support and enhancements for existing customers
*The expectations of the day to day of an engineer are as follows:*
**Delivery**
* Responsible for delivery of work on expected timelines
* Able to identify risk to project success and communicate to leadership
* Works mostly independently on delivery w/decreasing involvement from engineering and more senior team members
* Able to apply critical thinking and problem solving skills to propose solutions for complex problems within day to day work
**Technical Domain Knowledge**
* Develop a deep understanding of our systems so you can work on projects to improve them
* Developing ability to understand technical issues and communicate potential solutions to team members or engineering team
**Business Domain Knowledge**
* Developing working knowledge of the business of healthcare data and how it interacts within the Arcadia products
* Understanding of shared value contracts that our customers are in and how data is impacted by them
* Developing knowledge of industry data expected values such as PMPM by LOBs, MM trends, etc.
**Communication Skills**
* Developing internal and external professional communication skills including presentation of issues using appropriate industry vocabulary
**Team Projects**
* Responsible for contributing to the advancement of team processes and internal
**What You'll Bring**
* Senior Experience Level of 5\-8 years post\-grad with relevant industry experience or graduate level degree.
**TECH**
* As a Lead Data Engineer you will be expected to problem solve coding issues and enhancements with frameworks that are built in Spark, while also leveraging technical skills to partake in idea sessions on process improvement and POC design of how to carry out a solution
* SQL: 5\+ years (Preferred)
* Python: 3\+ years (Preferred)
* Spark: 4\+ years (Preferred)
* Database Architecture: 2\-3 years (Preferred)
* Cloud Architecture: 1\-2 years (Preferred)
**DATA**
* As a Lead Data Engineer you will be expected to problem solve some basic data analysis issues and work the data to create analytic enhancements
* Healthcare Data: 2\-4 years (Preferred)
* Healthcare Analytics: 1\-3 years (Preferred)
**Would Love For You To Have**
* AWS (S3 and EC2\): 2\-3 years
* Nifi: 3\- 5 years
* Kafka: 3\-5 years
* Java : 3\-5 years
* Healthcare Analytics: 3\-5 years
**What You'll Get**
* Chance to be surrounded by a team of extremely talented and dedicated individuals driven to succeed
* Be a part of a mission driven company that is transforming the healthcare industry by changing the way patients receive care
* A flexible, remote friendly company with personality and heart
* Employee driven programs and initiatives for personal and professional development
* Be a member of the Arcadian and Barkadian Community
 $150,000 \- $175,000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
**Protect Yourself**
 If you have concerns about the authenticity of a job offer or recruitment\-related communication claiming to be from Arcadia, we encourage you to verify by contacting us directly at (781\) 202\-3600 and select option 3\. For more information, visit our website .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li-4382388891</t>
        </is>
      </c>
      <c r="B63" t="inlineStr">
        <is>
          <t>Analytics Engineer (AJC)</t>
        </is>
      </c>
      <c r="C63" t="inlineStr">
        <is>
          <t>Atlanta Journal-Constitution</t>
        </is>
      </c>
      <c r="D63" t="inlineStr">
        <is>
          <t>linkedin</t>
        </is>
      </c>
      <c r="E63">
        <f>HYPERLINK("https://www.linkedin.com/jobs/view/4382388891", "https://www.linkedin.com/jobs/view/4382388891")</f>
        <v/>
      </c>
      <c r="F63" t="inlineStr"/>
      <c r="G63" t="inlineStr">
        <is>
          <t>Atlanta, GA</t>
        </is>
      </c>
      <c r="H63" t="inlineStr"/>
      <c r="I63" t="inlineStr">
        <is>
          <t>We are looking for a skilled Analytics Engineer to help structure, transform, and optimize our data to support analytics and reporting across the company. In this role, you will build and maintain data pipelines, develop high\-quality data models, and ensure our data is accurate, consistent, and ready for use. Our team works primarily in Snowflake with dbt, alongside AWS, GCP, and other modern data tools. This role is a great opportunity to grow your technical expertise in a fast\-paced environment and contribute to data solutions that support key business decisions.
 At The Atlanta Journal\-Constitution (AJC), our mission is to be the most essential and engaging source of news for the people of Atlanta, Georgia and the South. As we transition from a historic daily newspaper to a dynamic modern media company, we are seeking a talented Analytics Engineerto join our team. The AJC believes that when you cover the South, you uncover the nation. It's a belief that's produced award\-winning journalism, elevated our community, and captured the substance and soul of our hometown.
 If you're ready to make headlines with your talent and drive, we want you on our team. Apply now and be a part of the next chapter in the AJC's transformation.
**Key Responsibilities**
**WHAT YOU'LL DO**
* Develop and maintain scalable dbt models, following best practices for modularity and performance.
* Apply Kimball\-style dimensional modeling techniques (star schema, slowly changing dimensions, fact and dimension tables) to structure data for analysis and reporting.
* Explore, analyze, and validate data to ensure accuracy, consistency, and completeness of dbt models.
* Implement and maintain automated dbt tests to ensure data quality, including checks for anomalies, nulls, duplicates, and referential integrity.
* Investigate and troubleshoot data anomalies, pipeline errors, and model discrepancies, collaborating with teams to resolve issues promptly.
* Partner closely with data analysts to build reliable reporting models and ensure the data feeding reports is accurate, actionable, and aligned with business needs.
* Ensure the availability, consistency, and accessibility of data for analytics teams working with Tableau and other BI tools.
* Participate in code and PR reviews to maintain high\-quality, consistent dbt models and data pipeline code.
* Monitor and optimize data pipeline performance, leveraging tools on AWS such as Lambda, SQS, Athena, EC2, and Kinesis.
* Follow data governance standards to ensure data integrity, security, and compliance.
**Who You Are**
**Required Qualifications:**
* REQUIRED\- must live within a commutable distance to AJC Midtown Atlanta office.
* Applicants must currently be authorized to work in the United States for any employer without current or future sponsorship. No OPT, CPT, STEM/OPT or visa sponsorship now or in future.
* 2\-4 years of experience as an Analytics Engineer or in a related role.
* Bachelor's degree in Computer Science, Data Science, Statistics, or a related field with 2\+ years experience or 14 years equivalent working experience
* Good understanding of data quality, validation, and governance practices.
* Experience working with data analysts or BI teams to build accurate reporting datasets.
* Proficiency with Snowflake or similar cloud data warehouse technologies
* Solid understanding of dimensional modeling concepts (star schemas, fact and dimension tables, slowly changing dimensions).
**Preferred Qualifications**
* Experience using dbt for building, testing, and maintaining data models.
* Experience collaborating with data analysts to build accurate, actionable reporting models.
* Proficiency with Snowflake and building scalable data warehouses.
* Familiarity with AWS services (Lambda, SQS, Athena, EC2, Kinesis) and cloud\-based data pipelines.
* Understanding of event and web analytics data from tools like Amplitude and Google Analytics.
* Experience with real\-time data streams and troubleshooting data pipeline issues.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64">
      <c r="A64" t="inlineStr">
        <is>
          <t>li-4355261571</t>
        </is>
      </c>
      <c r="B64" t="inlineStr">
        <is>
          <t>Senior MDM Data Engineer</t>
        </is>
      </c>
      <c r="C64" t="inlineStr">
        <is>
          <t>Cetera Financial Group</t>
        </is>
      </c>
      <c r="D64" t="inlineStr">
        <is>
          <t>linkedin</t>
        </is>
      </c>
      <c r="E64">
        <f>HYPERLINK("https://www.linkedin.com/jobs/view/4355261571", "https://www.linkedin.com/jobs/view/4355261571")</f>
        <v/>
      </c>
      <c r="F64" t="inlineStr"/>
      <c r="G64" t="inlineStr">
        <is>
          <t>Dallas, TX</t>
        </is>
      </c>
      <c r="H64" t="inlineStr"/>
      <c r="I64"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The
 **Senior MDM Data Enginee** 
 r is a hands\-on technical expert responsible for designing, building, and operating the data engineering pipelines that power the Master Data Management ecosystem across the enterprise. This role focuses on integrating Profisee with upstream source systems and downstream consuming systems, transforming source data into MDM\-ready structures, and enabling near–real\-time propagation of golden\-record updates across the enterprise.
 The engineer will work across Profisee, Snowflake, AWS (Lambda, S3, Step Functions, MSK/Kinesis), and the broader PCB ingestion → mastering → integrated → access pipeline. This is a key contributor role in establishing enterprise\-wide reference data, mastering domains (Party, Account, Advisor/Rep, Security, etc.), reinforcing governance rules, and building scalable engineering patterns for survivorship, deduplication, and attribute propagation.
**This opportunity provided a Hybrid work schedule ideally from our Dallas, Texas office.**
****What You Will Do:****
**MDM Data Engineering \&amp; Pipeline Development:**
* Design, build, and maintain ingestion, standardization, match/merge preparation, and golden\-record distribution pipelines that support Profisee and Snowflake MDM workflows.
* Develop and optimize batch, micro\-batch, and real\-time/streaming pipelines using AWS services (MSK/ Kafka, Lambda, Step Functions, S3, Glue) that support near real\-time golden\-record updates.
* Build robust pipelines to feed the feedback loop from Profisee golden records to downstream systems (e.g., operational apps, Snowflake EDW, integration layer, domain APIs).
* Transform source\-system attributes into canonical MDM domain\-aligned schemas using Iceberg, or engineered transformations.
****Profisee Integration \&amp; Master Data Operations:****
* Implement and maintain Profisee ingestion patterns, including entity configuration, match/merge logic, survivorship rule execution, and data validation pipelines.
* Build automated flows to promote golden records from Profisee into Snowflake and publish attribute changes to downstream platforms.
* Support MDM model changes by developing scalable pipelines that adapt to schema evolution and new mastered attributes.
* Partner with MDM Analysts and Data Stewards to translate governance rules into executable engineering logic.
****Architecture, Standards \&amp; Data Quality:****
* Implement data quality rule enforcement (completeness, conformity, integrity, consistency) as part of MDM pipelines using tools such as Great Expectations/Soda/Deequ or native SQL rules.
* Contribute to MDM metadata management, lineage capture, and integration with enterprise catalogs.
* Apply best practices for referential integrity, survivorship, deduplication, hierarchy management, and domain alignment.
* Establish reusable patterns for onboarding new MDM sources or domains.
****Collaboration \&amp; Delivery:****
* Partner with ingestion, integrated, and access layer engineering teams to ensure MDM\-produced golden data is correctly consumed and traceable end\-to\-end.
* Work with Security, IAM, and DevOps to ensure secure, scalable delivery of MDM workloads.
* Provide technical guidance to junior engineers and serve as a subject\-matter SME for MDM pipeline development.
* Contribute to Agile ceremonies, sprint planning, backlog refinement, and peer design reviews.
* Operational Support \&amp; Continuous Improvement
* Ensure MDM jobs, both batch and streaming meet SLAs.
* Support MDM incident triage, match conflicts, rule tuning, and schema evolution.
* Contribute to playbooks, runbooks, onboarding guides, and stewardship documentation.
* Evaluate Profisee feature releases, AWS enhancements, and architectural maturity opportunities
****Operational Excellence:****
* Monitor and continuously improve data quality and operational efficiency.
* Monitor and participate in the optimization of performance of the MDM Platform and related systems to meet evolving business demands.
* Stay current with emerging technologies and industry trends to drive innovation and best practices.
****What You Will Need:****
* 5–10\+ years in data engineering, with at least 3\+ years supporting MDM platforms (preferably Profisee).
* Bachelor’s degree in information systems, Data Management, Computer Science, Business Analytics, or equivalent.
* Cloud certifications (AWS Solutions Architect, AWS Data Analytics) preferred.
* MDM certifications are desirable.
* Financial Services Certifications preferred such as SIE Certification, Series\-99 or similar.
* Technical Certifications preferred related to AWS Technology Stack
* 4–7 years in MDM, Data Quality, or Data Integration roles.
* Hands\-on experience with Profisee MDM required.
* Experience delivering MDM solutions in AWS cloud environments is strongly preferred.
* Background in financial services, broker\-dealer, or other regulated, data\-intensive industries is preferred.
* Experience implementing streaming/event\-driven data patterns is highly desirable.
* Experience integrating Profisee with Snowflake and AWS\-native pipelines.
* Knowledge of streaming\-based MDM updates and near\-real\-time mastering patterns.
* Exposure to canonical modeling in event\-driven architectures.
* Familiarity with reconciling mastered data with downstream operational systems.
* Understanding of domain\-driven design for large\-scale data ecosystems.
****Technical Expertise:****
* Strong programming experience in Python, SQL, and data transformation frameworks (dbt, Spark, Glue).
* Experience working with AWS data services including : S3, Glue, Lambda, Step Functions, DynamoDB, and API Gateway.
* Hands\-on experience with event\-driven mastering using: Kafka/MSK (preferred), Kinesis, or Event Bridge.
* Familiarity with AWS security models, IAM, encryption, and operational best practices. Financial Services
****Data Engineering \&amp; Analysis:****
* Proficiency designing event\-driven integrations, especially for operational data mastering.
* Advanced Snowflake experience (Streams/Tasks, Iceberg tables, RBAC).
* Strong understanding of survivorship, matching algorithms, identity resolution, record lineage, and MDM best practices.
* Experience building CI/CD pipelines (GitHub Actions, CodePipeline, Bitbucket, etc.).
* Familiarity with enterprise MDM domains: Party, Account, Security, Advisor, Transaction context, Hierarchy/Relationships.
****Data Quality \&amp; Governance:****
* Proven experience defining DQ rules, profiling logic, and exception workflows.
* Understanding of metadata management and stewardship processes
****Operational Excellence:****
* Experience designing and managing support and monitoring frameworks for 24x7 operational data systems.
* Proven ability to establish incident management processes and escalation protocols.
* Strong background in optimizing ODS performance, availability, and reliability at scale.
****Interpersonal \&amp; Communication Skills:****
* Strong communication skills and ability to work across business and IT stakeholders.
* Comfortable analyzing complex source data and resolving data quality/root cause issues.
* Ability to work in a fast\-paced, federated data organization and navigate multi\-domain alignment.
* Demonstrated ownership and a proactive, engineering\-first mindset.
****Compensation:****
 The salary range for this role is $111,000\.00\- $148,000\.00,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About Us
****What We Give You In Return:****
 Not many teams can say that they support people’s dreams coming to life… We happen to do that every day. And as important as we know your career is, we recognize that there’s a whole lot more to life. To ensure that our Employees can make the most of their time outside of working hours, we offer a competitive salary and for full\-time roles, a benefits package including:
* Inclusive health, dental, vision and life insurance plans built to support diverse lifestyles, offer preventative care, and protect against hardship.
* Easy access to mental health benefits to meet our team members and their families where they are.
* 20\+ days of paid time off (PTO), paid holidays, and 2 paid wellness days to give our employees the time they need to stay close with their loved ones, recharge, and give back to their communities.
* 401(k) Savings plan with a generous company contribution (up to 5%), and access to a financial professional to offer our employees the opportunity to plan\-ahead for a strong financial future well beyond their working years.
* Paid parental leave to support all team members with birth, adoption, and foster.
* Health Savings and Flexible Spending Account options to help you save money on healthcare, daycare, commuting, and more.
* Employee Assistance Program (EAP), LifeLock, Pet Insurance and more.
****About Cetera Financial Group:****
 Cetera Financial Group ® ("Cetera") is a leading network of independent retail broker\-dealers empowering the delivery of objective financial advice to individuals, families and company retirement plans across the country through trusted financial advisors and financial institutions. Cetera is one of the largest independent financial advisor networks in the nation by number of advisors, as well as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independent retail firms encompassing, among others, Cetera Advisors LLC , Cetera Wealth Services LLC (f/k/a Cetera Advisor Networks), Cetera Investment Services LLC (marketed as Cetera Financial Institutions, or Cetera Investors . All firms are members FINRA/SIPC.
*Cetera Financial Group is committed to providing an equal employment opportunity for all applicants and employees. For us, this is the only acceptable way to do business. Accordingly, all employment decisions at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is>
      </c>
    </row>
    <row r="65">
      <c r="A65" t="inlineStr">
        <is>
          <t>li-4349725802</t>
        </is>
      </c>
      <c r="B65" t="inlineStr">
        <is>
          <t>Data Scientist/ Senior Data Engineer – Finance Transformation</t>
        </is>
      </c>
      <c r="C65" t="inlineStr">
        <is>
          <t>Guardian Life</t>
        </is>
      </c>
      <c r="D65" t="inlineStr">
        <is>
          <t>linkedin</t>
        </is>
      </c>
      <c r="E65">
        <f>HYPERLINK("https://www.linkedin.com/jobs/view/4349725802", "https://www.linkedin.com/jobs/view/4349725802")</f>
        <v/>
      </c>
      <c r="F65">
        <f>HYPERLINK("https://guardianlife.wd5.myworkdayjobs.com/Guardian-Life-Careers/job/Bethlehem/Data-Scientist\u002d\u002dSenior-Data-Engineer\u002d\u002d-Finance-Transformation_R000108250-1?source=LinkedIn&amp;urlHash=wMSL", "https://guardianlife.wd5.myworkdayjobs.com/Guardian-Life-Careers/job/Bethlehem/Data-Scientist\u002d\u002dSenior-Data-Engineer\u002d\u002d-Finance-Transformation_R000108250-1?source=LinkedIn&amp;urlHash=wMSL")</f>
        <v/>
      </c>
      <c r="G65" t="inlineStr">
        <is>
          <t>Bethlehem, PA</t>
        </is>
      </c>
      <c r="H65" t="inlineStr"/>
      <c r="I65"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 Machine Learning, Engineering \&amp; Analytics Development
+ Build and optimize large\-scale data pipelines using PySpark, SQL, and Python on cloud platforms such as Databricks and AWS
+ Utilizing advanced statistical and AI/ML techniques to develop, deploy, and support predictive models and actuarial tools used for reserving, pricing, and FP\&amp;A (e.g., claims projection model, LTD Reserving model)
+ Automate manual actuarial/finance processes by integrating coding workflows with structured datasets and business logic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Data Integration \&amp; Validation
+ Work across data domains to ingest, cleanse, and structure financial and actuarial datasets from multiple sources (e.g., Claims systems, Billing and Commissions system)
+ Implement robust data quality checks and reconciliation controls to ensure accuracy and completeness of critical reporting and modeling datasets
* Collaboration \&amp; Documentation
+ Collaborate with actuaries, finance SMEs, and business analysts to translate complex requirements into efficient technical designs.
+ Maintain clear documentation for code, data flows, model logic, and user instructions.
**You have**
* Technical Expertise \&amp; Domain Knowledge
+ 6–8 years in a data engineering, actuarial modeling, or analytics\-focused technical role, ideally in Group insurance or Financial services
+ 2\+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Working knowledge of Pricing and actuarial processes, or Group insurance product structures
+ Proficiency in Python, PySpark, and SQL is essential
+ Experience working with Databricks, Tableau, Power BI, or similar visualization and cloud platform
+ Exposure to ML/AI libraries and framework to develop or enhance models
* Soft Skills
+ Analytical mindset with strong attention to detail
+ Self\-starter who thrives in fast\-paced, cross\-functional teams
* Education
+ Bachelor’s or Master’s degree in Computer Science, Actuarial Science, Mathematics, Engineering, Finance, or a related discipline or equivalent experience.
* Preferred Qualifications
+ Hands\-on experience building valuation, reserving, or pricing models for group insurance products
+ Experience in agile or SAFe environments with sprint planning, Jira, or Confluence
+ Strategic and creative thinker with ability to think outside the box and translate strategies into actions
+ Excellent problem\-solving skills
+ Team player with proven ability to foster and manage working relationships within a matrix environment
+ Candidate must be comfortable with ambiguity in strategic direction. Priorities will change as current uncertainties become new standards and shape the market. There must be constant balance between proactive and reactive strategy and execution.
+ Candidate must work well in a collaborative and diverse team environment, understanding and employing the approach and standard operating procedures of all functional areas across Guardian
+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66">
      <c r="A66" t="inlineStr">
        <is>
          <t>li-4373210160</t>
        </is>
      </c>
      <c r="B66" t="inlineStr">
        <is>
          <t>Data Engineering- Compromise &amp; Fraud Prevention</t>
        </is>
      </c>
      <c r="C66" t="inlineStr">
        <is>
          <t>Microsoft</t>
        </is>
      </c>
      <c r="D66" t="inlineStr">
        <is>
          <t>linkedin</t>
        </is>
      </c>
      <c r="E66">
        <f>HYPERLINK("https://www.linkedin.com/jobs/view/4373210160", "https://www.linkedin.com/jobs/view/4373210160")</f>
        <v/>
      </c>
      <c r="F66">
        <f>HYPERLINK("https://apply.careers.microsoft.com/careers/job/1970393556754190?utm_source=linkedin&amp;domain=microsoft.com&amp;src=LinkedIn&amp;urlHash=B4Kb", "https://apply.careers.microsoft.com/careers/job/1970393556754190?utm_source=linkedin&amp;domain=microsoft.com&amp;src=LinkedIn&amp;urlHash=B4Kb")</f>
        <v/>
      </c>
      <c r="G66" t="inlineStr">
        <is>
          <t>Redmond, WA</t>
        </is>
      </c>
      <c r="H66" t="inlineStr"/>
      <c r="I66" t="inlineStr">
        <is>
          <t>**Overview**
**Team Description:**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**HM Team Description**
 Our team focuses on protecting Azure Active Directory and Microsoft Account from various categories of fraud. We build using a variety of technologies such as machine learning and other cutting\-edge service technologies in the cloud. Every day, our platform evaluates billions of transactions and petabytes of telemetry in online and offline fashion, blocking fraudulent account creation and usage. Users on Office 365, Xbox, OneDrive, Outlook, Azure, and at millions of enterprise desks around the world rely on us to keep their identities and their data safe from cyber criminals by detecting and blocking the malicious requests. We build new services and extend existing services that perform critical part of the threat detection and deflection process. Security, availability, performance, efficiency and scale are essential for us. We partner with teams across Microsoft to keep users, enterprises and services safe. We are a collaborative, closely\-knit team with emphasis on customer empathy and growth mind\-set. We are looking for a Software Engineer II who is focused and passionate about making an impact in the fraud and abuse landscape. The rewards make this space very appealing for our adversaries to constantly evolve making this a fast\-paced environment with quick iteration cycles and plenty of exploration in new areas.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\#RepMAP, \#MicrosoftFraudPrevention, \#MicrosoftIdentityProtection
**Responsibilities**
**Responsibilities:**
* Design and develop large scale distributed software services and solutions.
* Designs and maintains assigned data tools that are used to transform, manage, and access data, scaling with efficiency and reduced time to new data insights.
* Deliver novel and innovative features for detecting and blocking accounts, applications and other entities indulging in fraudulent activities towards our users and services.
* Building and leveraging reputation models for entities.
* Opportunity to design and integrate machine learning models in production systems to identify and block abuse patterns to deliver real\-time and near\-real time protection.
* Adhere to and drive modern software engineering practices through design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Gain a working understanding of Microsoft businesses and collaborate with mentors and leaders to contribute to cohesive, end\-to\-end experiences for our users.
* Collaborate with teams across Microsoft to deliver customer\-facing features.
* Focus on customer/partner needs through a data driven approach.
* Improve test coverage for services, organize and implement integration tests, and resolve problem areas.
* Troubleshoot and optimize automation, reliability and monitoring for LiveSite.
* Debug issues in production and respond to them quickly to mitigate customer impact.
* Embody our culture and values
**Qualifications**
**Qualifications \- Required:**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Knowledge of AI/ML/GenAI data workflows and analytics.
* Exposure to large\-scale telemetry, customer health, enterprise data platform/warehouse or business intelligence systems.
* Experience with Microsoft data stack (Azure, Fabric, Synapse, Data Factory, Databricks, Power BI, GenAI, Copilot, Agent).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2026-03-07T17:27:59Z</dcterms:created>
  <dcterms:modified xsi:type="dcterms:W3CDTF">2026-03-07T17:27:59Z</dcterms:modified>
</cp:coreProperties>
</file>