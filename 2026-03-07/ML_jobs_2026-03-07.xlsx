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in-46ee0264face8bb4</t>
        </is>
      </c>
      <c r="B2" t="inlineStr">
        <is>
          <t>Applied Scientist II, Prime Video Personalization and Discovery Science</t>
        </is>
      </c>
      <c r="C2" t="inlineStr">
        <is>
          <t>Amazon.com</t>
        </is>
      </c>
      <c r="D2" t="inlineStr">
        <is>
          <t>indeed</t>
        </is>
      </c>
      <c r="E2" t="inlineStr"/>
      <c r="F2" t="inlineStr"/>
      <c r="G2" t="inlineStr">
        <is>
          <t>Sunnyvale, CA, US</t>
        </is>
      </c>
      <c r="H2" s="1" t="n">
        <v>46034</v>
      </c>
      <c r="I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
      <c r="A3" t="inlineStr">
        <is>
          <t>in-fb1ed7dee60f7c40</t>
        </is>
      </c>
      <c r="B3" t="inlineStr">
        <is>
          <t>Sr. Applied Scientist, Amazon Ads</t>
        </is>
      </c>
      <c r="C3" t="inlineStr">
        <is>
          <t>Amazon.com</t>
        </is>
      </c>
      <c r="D3" t="inlineStr">
        <is>
          <t>indeed</t>
        </is>
      </c>
      <c r="E3" t="inlineStr"/>
      <c r="F3" t="inlineStr"/>
      <c r="G3" t="inlineStr">
        <is>
          <t>Sunnyvale, CA,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in-ec961d1aad220856</t>
        </is>
      </c>
      <c r="B4" t="inlineStr">
        <is>
          <t>Sr. Applied Scientist, Amazon Ads</t>
        </is>
      </c>
      <c r="C4" t="inlineStr">
        <is>
          <t>Amazon.com</t>
        </is>
      </c>
      <c r="D4" t="inlineStr">
        <is>
          <t>indeed</t>
        </is>
      </c>
      <c r="E4" t="inlineStr"/>
      <c r="F4" t="inlineStr"/>
      <c r="G4" t="inlineStr">
        <is>
          <t>Palo Alto, CA,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in-b4a63e4702bc9c03</t>
        </is>
      </c>
      <c r="B5" t="inlineStr">
        <is>
          <t>Sr. Applied Scientist, Amazon Ads</t>
        </is>
      </c>
      <c r="C5" t="inlineStr">
        <is>
          <t>Amazon.com</t>
        </is>
      </c>
      <c r="D5" t="inlineStr">
        <is>
          <t>indeed</t>
        </is>
      </c>
      <c r="E5" t="inlineStr"/>
      <c r="F5" t="inlineStr"/>
      <c r="G5" t="inlineStr">
        <is>
          <t>Boston, MA,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in-793f7c9c0f535d1e</t>
        </is>
      </c>
      <c r="B6" t="inlineStr">
        <is>
          <t>Sr. Applied Scientist, Amazon Ads</t>
        </is>
      </c>
      <c r="C6" t="inlineStr">
        <is>
          <t>Amazon.com</t>
        </is>
      </c>
      <c r="D6" t="inlineStr">
        <is>
          <t>indeed</t>
        </is>
      </c>
      <c r="E6" t="inlineStr"/>
      <c r="F6" t="inlineStr"/>
      <c r="G6" t="inlineStr">
        <is>
          <t>Boulder, CO,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in-4754cda29305bf58</t>
        </is>
      </c>
      <c r="B7" t="inlineStr">
        <is>
          <t>Sr. Applied Scientist, Amazon Ads</t>
        </is>
      </c>
      <c r="C7" t="inlineStr">
        <is>
          <t>Amazon.com</t>
        </is>
      </c>
      <c r="D7" t="inlineStr">
        <is>
          <t>indeed</t>
        </is>
      </c>
      <c r="E7" t="inlineStr"/>
      <c r="F7" t="inlineStr"/>
      <c r="G7" t="inlineStr">
        <is>
          <t>Brooklyn, NY,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in-6a211c09f03d6b71</t>
        </is>
      </c>
      <c r="B8" t="inlineStr">
        <is>
          <t>Sr. Applied Scientist, Amazon Ads</t>
        </is>
      </c>
      <c r="C8" t="inlineStr">
        <is>
          <t>Amazon.com</t>
        </is>
      </c>
      <c r="D8" t="inlineStr">
        <is>
          <t>indeed</t>
        </is>
      </c>
      <c r="E8" t="inlineStr"/>
      <c r="F8" t="inlineStr"/>
      <c r="G8" t="inlineStr">
        <is>
          <t>New York, NY,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in-eb25a62925bf76af</t>
        </is>
      </c>
      <c r="B9" t="inlineStr">
        <is>
          <t>Sr. Applied Scientist, Amazon Ads</t>
        </is>
      </c>
      <c r="C9" t="inlineStr">
        <is>
          <t>Amazon.com</t>
        </is>
      </c>
      <c r="D9" t="inlineStr">
        <is>
          <t>indeed</t>
        </is>
      </c>
      <c r="E9" t="inlineStr"/>
      <c r="F9" t="inlineStr"/>
      <c r="G9" t="inlineStr">
        <is>
          <t>Corvallis, OR,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in-c2090b0a0a3a64c2</t>
        </is>
      </c>
      <c r="B10" t="inlineStr">
        <is>
          <t>Sr. Applied Scientist, Amazon Ads</t>
        </is>
      </c>
      <c r="C10" t="inlineStr">
        <is>
          <t>Amazon.com</t>
        </is>
      </c>
      <c r="D10" t="inlineStr">
        <is>
          <t>indeed</t>
        </is>
      </c>
      <c r="E10" t="inlineStr"/>
      <c r="F10" t="inlineStr"/>
      <c r="G10" t="inlineStr">
        <is>
          <t>Santa Monica, CA,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in-00f1fb6c4e8baf57</t>
        </is>
      </c>
      <c r="B11" t="inlineStr">
        <is>
          <t>Sr. Applied Scientist, Amazon Ads</t>
        </is>
      </c>
      <c r="C11" t="inlineStr">
        <is>
          <t>Amazon.com</t>
        </is>
      </c>
      <c r="D11" t="inlineStr">
        <is>
          <t>indeed</t>
        </is>
      </c>
      <c r="E11" t="inlineStr"/>
      <c r="F11" t="inlineStr"/>
      <c r="G11" t="inlineStr">
        <is>
          <t>Seattle, WA,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in-2a0f227b07cf9187</t>
        </is>
      </c>
      <c r="B12" t="inlineStr">
        <is>
          <t>Sr. Applied Scientist, Amazon Ads</t>
        </is>
      </c>
      <c r="C12" t="inlineStr">
        <is>
          <t>Amazon.com</t>
        </is>
      </c>
      <c r="D12" t="inlineStr">
        <is>
          <t>indeed</t>
        </is>
      </c>
      <c r="E12" t="inlineStr"/>
      <c r="F12" t="inlineStr"/>
      <c r="G12" t="inlineStr">
        <is>
          <t>Tukwila, WA, US</t>
        </is>
      </c>
      <c r="H12" s="1" t="n">
        <v>45998</v>
      </c>
      <c r="I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
      <c r="A13" t="inlineStr">
        <is>
          <t>in-a02f11f30aa71bea</t>
        </is>
      </c>
      <c r="B13" t="inlineStr">
        <is>
          <t>Senior Applied Scientist, Sponsored Products and Brands</t>
        </is>
      </c>
      <c r="C13" t="inlineStr">
        <is>
          <t>Amazon.com</t>
        </is>
      </c>
      <c r="D13" t="inlineStr">
        <is>
          <t>indeed</t>
        </is>
      </c>
      <c r="E13" t="inlineStr"/>
      <c r="F13" t="inlineStr"/>
      <c r="G13" t="inlineStr">
        <is>
          <t>New York, NY, US</t>
        </is>
      </c>
      <c r="H13" s="1" t="n">
        <v>45979</v>
      </c>
      <c r="I1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4">
      <c r="A14" t="inlineStr">
        <is>
          <t>in-58ad19d4c4623517</t>
        </is>
      </c>
      <c r="B14" t="inlineStr">
        <is>
          <t>Senior Applied Scientist, Sponsored Products and Brands</t>
        </is>
      </c>
      <c r="C14" t="inlineStr">
        <is>
          <t>Amazon.com</t>
        </is>
      </c>
      <c r="D14" t="inlineStr">
        <is>
          <t>indeed</t>
        </is>
      </c>
      <c r="E14" t="inlineStr"/>
      <c r="F14" t="inlineStr"/>
      <c r="G14" t="inlineStr">
        <is>
          <t>Seattle, WA, US</t>
        </is>
      </c>
      <c r="H14" s="1" t="n">
        <v>45979</v>
      </c>
      <c r="I1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5">
      <c r="A15" t="inlineStr">
        <is>
          <t>in-6c3179941412de8b</t>
        </is>
      </c>
      <c r="B15" t="inlineStr">
        <is>
          <t>Applied Scientist II, Prime Video - Personalization and Discovery Science, Personalization and Discovery Science</t>
        </is>
      </c>
      <c r="C15" t="inlineStr">
        <is>
          <t>Amazon.com</t>
        </is>
      </c>
      <c r="D15" t="inlineStr">
        <is>
          <t>indeed</t>
        </is>
      </c>
      <c r="E15" t="inlineStr"/>
      <c r="F15" t="inlineStr"/>
      <c r="G15" t="inlineStr">
        <is>
          <t>Sunnyvale, CA, US</t>
        </is>
      </c>
      <c r="H15" s="1" t="n">
        <v>45930</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in-16daa72a1a717b6d</t>
        </is>
      </c>
      <c r="B16" t="inlineStr">
        <is>
          <t>Applied Scientist II, Prime Video - Personalization and Discovery Science, Personalization and Discovery Science</t>
        </is>
      </c>
      <c r="C16" t="inlineStr">
        <is>
          <t>Amazon.com</t>
        </is>
      </c>
      <c r="D16" t="inlineStr">
        <is>
          <t>indeed</t>
        </is>
      </c>
      <c r="E16" t="inlineStr"/>
      <c r="F16" t="inlineStr"/>
      <c r="G16" t="inlineStr">
        <is>
          <t>New York, NY, US</t>
        </is>
      </c>
      <c r="H16" s="1" t="n">
        <v>45930</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in-a4cea7d866bbce93</t>
        </is>
      </c>
      <c r="B17" t="inlineStr">
        <is>
          <t>Applied Scientist II, Prime Video - Personalization and Discovery Science, Personalization and Discovery Science</t>
        </is>
      </c>
      <c r="C17" t="inlineStr">
        <is>
          <t>Amazon.com</t>
        </is>
      </c>
      <c r="D17" t="inlineStr">
        <is>
          <t>indeed</t>
        </is>
      </c>
      <c r="E17" t="inlineStr"/>
      <c r="F17" t="inlineStr"/>
      <c r="G17" t="inlineStr">
        <is>
          <t>Seattle, WA, US</t>
        </is>
      </c>
      <c r="H17" s="1" t="n">
        <v>45930</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in-0d3ffcedae3b93be</t>
        </is>
      </c>
      <c r="B18" t="inlineStr">
        <is>
          <t>Sr. Applied Scientist, Prime Video - Personalization and Discovery Science</t>
        </is>
      </c>
      <c r="C18" t="inlineStr">
        <is>
          <t>Amazon.com</t>
        </is>
      </c>
      <c r="D18" t="inlineStr">
        <is>
          <t>indeed</t>
        </is>
      </c>
      <c r="E18" t="inlineStr"/>
      <c r="F18" t="inlineStr"/>
      <c r="G18" t="inlineStr">
        <is>
          <t>Sunnyvale, CA, US</t>
        </is>
      </c>
      <c r="H18" s="1" t="n">
        <v>45896</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
      <c r="A19" t="inlineStr">
        <is>
          <t>in-fc2ba9c6efc0287d</t>
        </is>
      </c>
      <c r="B19" t="inlineStr">
        <is>
          <t>Sr. Applied Scientist, Prime Video - Personalization and Discovery Science</t>
        </is>
      </c>
      <c r="C19" t="inlineStr">
        <is>
          <t>Amazon.com</t>
        </is>
      </c>
      <c r="D19" t="inlineStr">
        <is>
          <t>indeed</t>
        </is>
      </c>
      <c r="E19" t="inlineStr"/>
      <c r="F19" t="inlineStr"/>
      <c r="G19" t="inlineStr">
        <is>
          <t>New York, NY,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in-04368b179e19495c</t>
        </is>
      </c>
      <c r="B20" t="inlineStr">
        <is>
          <t>Sr. Applied Scientist, Prime Video - Personalization and Discovery Science</t>
        </is>
      </c>
      <c r="C20" t="inlineStr">
        <is>
          <t>Amazon.com</t>
        </is>
      </c>
      <c r="D20" t="inlineStr">
        <is>
          <t>indeed</t>
        </is>
      </c>
      <c r="E20" t="inlineStr"/>
      <c r="F20" t="inlineStr"/>
      <c r="G20" t="inlineStr">
        <is>
          <t>Sunnyvale, CA,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in-a883bf0adec41700</t>
        </is>
      </c>
      <c r="B21" t="inlineStr">
        <is>
          <t>Applied Scientist II, Prime Video - Personalization and Discovery Science</t>
        </is>
      </c>
      <c r="C21" t="inlineStr">
        <is>
          <t>Amazon.com</t>
        </is>
      </c>
      <c r="D21" t="inlineStr">
        <is>
          <t>indeed</t>
        </is>
      </c>
      <c r="E21" t="inlineStr"/>
      <c r="F21" t="inlineStr"/>
      <c r="G21" t="inlineStr">
        <is>
          <t>Seattle, WA, US</t>
        </is>
      </c>
      <c r="H21" s="1"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in-99c663617e29cae9</t>
        </is>
      </c>
      <c r="B22" t="inlineStr">
        <is>
          <t>Applied Scientist II, Prime Video - Personalization and Discovery Science</t>
        </is>
      </c>
      <c r="C22" t="inlineStr">
        <is>
          <t>Amazon.com</t>
        </is>
      </c>
      <c r="D22" t="inlineStr">
        <is>
          <t>indeed</t>
        </is>
      </c>
      <c r="E22" t="inlineStr"/>
      <c r="F22" t="inlineStr"/>
      <c r="G22" t="inlineStr">
        <is>
          <t>New York, NY, US</t>
        </is>
      </c>
      <c r="H22" s="1"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in-5c4074877dbb42e0</t>
        </is>
      </c>
      <c r="B23" t="inlineStr">
        <is>
          <t>Applied Scientist II, Prime Video - Personalization and Discovery Science</t>
        </is>
      </c>
      <c r="C23" t="inlineStr">
        <is>
          <t>Amazon.com</t>
        </is>
      </c>
      <c r="D23" t="inlineStr">
        <is>
          <t>indeed</t>
        </is>
      </c>
      <c r="E23" t="inlineStr"/>
      <c r="F23" t="inlineStr"/>
      <c r="G23" t="inlineStr">
        <is>
          <t>Sunnyvale, CA, US</t>
        </is>
      </c>
      <c r="H23" s="1" t="n">
        <v>45881</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in-126d6f8d02d5cfc7</t>
        </is>
      </c>
      <c r="B24" t="inlineStr">
        <is>
          <t>Sr. Applied Scientist, Prime Video - Personalization and Discovery Science</t>
        </is>
      </c>
      <c r="C24" t="inlineStr">
        <is>
          <t>Amazon.com</t>
        </is>
      </c>
      <c r="D24" t="inlineStr">
        <is>
          <t>indeed</t>
        </is>
      </c>
      <c r="E24" t="inlineStr"/>
      <c r="F24" t="inlineStr"/>
      <c r="G24" t="inlineStr">
        <is>
          <t>Seattle, WA, US</t>
        </is>
      </c>
      <c r="H24" s="1" t="n">
        <v>45881</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in-eb3231dae835e790</t>
        </is>
      </c>
      <c r="B25" t="inlineStr">
        <is>
          <t>Applied Scientist , Prime Video - Personalization and Discovery Science</t>
        </is>
      </c>
      <c r="C25" t="inlineStr">
        <is>
          <t>Amazon.com</t>
        </is>
      </c>
      <c r="D25" t="inlineStr">
        <is>
          <t>indeed</t>
        </is>
      </c>
      <c r="E25" t="inlineStr"/>
      <c r="F25" t="inlineStr"/>
      <c r="G25" t="inlineStr">
        <is>
          <t>Sunnyvale, CA, US</t>
        </is>
      </c>
      <c r="H25" s="1" t="n">
        <v>46069</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6">
      <c r="A26" t="inlineStr">
        <is>
          <t>in-196bfd6852b96d48</t>
        </is>
      </c>
      <c r="B26" t="inlineStr">
        <is>
          <t>Applied Scientist , Prime Video - Personalization and Discovery Science</t>
        </is>
      </c>
      <c r="C26" t="inlineStr">
        <is>
          <t>Amazon.com</t>
        </is>
      </c>
      <c r="D26" t="inlineStr">
        <is>
          <t>indeed</t>
        </is>
      </c>
      <c r="E26" t="inlineStr"/>
      <c r="F26" t="inlineStr"/>
      <c r="G26" t="inlineStr">
        <is>
          <t>Seattle, WA, US</t>
        </is>
      </c>
      <c r="H26" s="1" t="n">
        <v>46069</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7">
      <c r="A27" t="inlineStr">
        <is>
          <t>in-ea0bb4d01e1cbdc0</t>
        </is>
      </c>
      <c r="B27" t="inlineStr">
        <is>
          <t>Senior Applied Scientist, Customer Experience and Business Trends</t>
        </is>
      </c>
      <c r="C27" t="inlineStr">
        <is>
          <t>Amazon.com</t>
        </is>
      </c>
      <c r="D27" t="inlineStr">
        <is>
          <t>indeed</t>
        </is>
      </c>
      <c r="E27" t="inlineStr"/>
      <c r="F27" t="inlineStr"/>
      <c r="G27" t="inlineStr">
        <is>
          <t>Arlington, VA, US</t>
        </is>
      </c>
      <c r="H27" s="1" t="n">
        <v>46062</v>
      </c>
      <c r="I27" t="inlineStr">
        <is>
          <t>**DESCRIPTION**
---------------
Customer Experience and Business Trends (CXBT) is looking for an Applied Scientist to join their team. CXBT's mission is to create best\-in\-class AI agents that seamlessly integrate multimodal inputs like speech, images, and video, enabling natural, empathetic, and adaptive interactions. We leverage advanced architectures, cross\-modal learning, interpretability, and responsible AI techniques to provide coherent, context\-aware responses augmented by real\-time knowledge retrieval.  
The ideal candidate will have expertise in Large Language Models (LLMs), speech, audio, Natural Language processing (NLP) or multimodal learning to pioneer innovations in data simulation, representation, generation, reasoning, retrieval, and evaluation.  
Key job responsibilities  
* Build scalable solutions for real\-time conversational experiences, including multilingual support, customizable personalities, and conversational turn\-taking.
* Develop data simulation approaches that mimic real\-world speech interactions.
* Research and implement novel algorithms and modeling techniques.
* Acquire and curate diverse datasets while ensuring user privacy.
* Create robust evaluation metrics and test sets to assess language model performance.
* Integrate human feedback to improve data selection and model performance.
* Innovate in data representation and model training techniques.
* Apply responsible AI practices throughout the development process.
A day in the life  
Our team is dedicated to improving Amazon's products and services through evaluation of the end\-to\-end customer experience using both internal and external processes and technology. Our mission is to deeply understand our customers' experiences, challenge the status quo, and provide insights that drive innovation to improve that experience. Through our analysis and insights, we inform business decisions that directly impact customer experience as customers of new GenAI and LLM technologies.  
About the team  
Customer Experience and Business Trends (CXBT) is an organization made up of a diverse suite of functions dedicated to deeply understanding and improving customer experience, globally. We are a team of builders that develop products, services, ideas, and various ways of leveraging data to influence product and service offerings – for almost every business at Amazon – for every customer (e.g., consumers, developers, sellers/brands, employees, investors, streamers, gamers).  
Our approach is based on determining the customer need, along with problem solving, and we work backwards from there. We use technical and non\-technical approaches and stay aware of industry and business trends. We are a global team, made up of a diverse set of profiles, skills, and backgrounds – including: Product Managers, Software Developers, Computer Vision experts, Solutions Architects, Data Scientists, Business Intelligence Engineers, Business Analysts, Risk Managers, and more.**BASIC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\- 167,100\.00 \- 226,100\.00 USD annually  
USA, WA, Seattle \- 167,100\.00 \- 226,100\.00 USD annually</t>
        </is>
      </c>
    </row>
    <row r="28">
      <c r="A28" t="inlineStr">
        <is>
          <t>in-70393fd7f50d7b0f</t>
        </is>
      </c>
      <c r="B28" t="inlineStr">
        <is>
          <t>Applied Scientist, AWS Applied AI Solutions</t>
        </is>
      </c>
      <c r="C28" t="inlineStr">
        <is>
          <t>Amazon.com</t>
        </is>
      </c>
      <c r="D28" t="inlineStr">
        <is>
          <t>indeed</t>
        </is>
      </c>
      <c r="E28" t="inlineStr"/>
      <c r="F28" t="inlineStr"/>
      <c r="G28" t="inlineStr">
        <is>
          <t>New York, NY, US</t>
        </is>
      </c>
      <c r="H28" s="1" t="n">
        <v>46061</v>
      </c>
      <c r="I28"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9">
      <c r="A29" t="inlineStr">
        <is>
          <t>in-510c750b9af9bab9</t>
        </is>
      </c>
      <c r="B29" t="inlineStr">
        <is>
          <t>Applied Scientist, AWS Applied AI Solutions</t>
        </is>
      </c>
      <c r="C29" t="inlineStr">
        <is>
          <t>Amazon.com</t>
        </is>
      </c>
      <c r="D29" t="inlineStr">
        <is>
          <t>indeed</t>
        </is>
      </c>
      <c r="E29" t="inlineStr"/>
      <c r="F29" t="inlineStr"/>
      <c r="G29" t="inlineStr">
        <is>
          <t>Seattle, WA, US</t>
        </is>
      </c>
      <c r="H29" s="1" t="n">
        <v>46061</v>
      </c>
      <c r="I2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0">
      <c r="A30" t="inlineStr">
        <is>
          <t>in-7670f399e61c82a6</t>
        </is>
      </c>
      <c r="B30" t="inlineStr">
        <is>
          <t>Principal Applied Scientist, AWS Marketplace &amp; Partner Services</t>
        </is>
      </c>
      <c r="C30" t="inlineStr">
        <is>
          <t>Amazon Web Services</t>
        </is>
      </c>
      <c r="D30" t="inlineStr">
        <is>
          <t>indeed</t>
        </is>
      </c>
      <c r="E30" t="inlineStr"/>
      <c r="F30" t="inlineStr"/>
      <c r="G30" t="inlineStr">
        <is>
          <t>Seattle, WA, US</t>
        </is>
      </c>
      <c r="H30" s="1" t="n">
        <v>46056</v>
      </c>
      <c r="I30"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1">
      <c r="A31" t="inlineStr">
        <is>
          <t>in-735ad88dfa3739f7</t>
        </is>
      </c>
      <c r="B31" t="inlineStr">
        <is>
          <t>Principal Applied Scientist, AWS Marketplace &amp; Partner Services</t>
        </is>
      </c>
      <c r="C31" t="inlineStr">
        <is>
          <t>Amazon Web Services</t>
        </is>
      </c>
      <c r="D31" t="inlineStr">
        <is>
          <t>indeed</t>
        </is>
      </c>
      <c r="E31" t="inlineStr"/>
      <c r="F31" t="inlineStr"/>
      <c r="G31" t="inlineStr">
        <is>
          <t>New York, NY, US</t>
        </is>
      </c>
      <c r="H31" s="1" t="n">
        <v>46056</v>
      </c>
      <c r="I31"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2">
      <c r="A32" t="inlineStr">
        <is>
          <t>in-2496633d6a5fc200</t>
        </is>
      </c>
      <c r="B32" t="inlineStr">
        <is>
          <t>Principal Applied Scientist, AWS Marketplace &amp; Partner Services</t>
        </is>
      </c>
      <c r="C32" t="inlineStr">
        <is>
          <t>Amazon Web Services</t>
        </is>
      </c>
      <c r="D32" t="inlineStr">
        <is>
          <t>indeed</t>
        </is>
      </c>
      <c r="E32" t="inlineStr"/>
      <c r="F32" t="inlineStr"/>
      <c r="G32" t="inlineStr">
        <is>
          <t>Austin, TX, US</t>
        </is>
      </c>
      <c r="H32" s="1" t="n">
        <v>46056</v>
      </c>
      <c r="I32"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3">
      <c r="A33" t="inlineStr">
        <is>
          <t>in-6f0667dd6a6baebe</t>
        </is>
      </c>
      <c r="B33" t="inlineStr">
        <is>
          <t>Principal Applied Scientist, AWS Marketplace &amp; Partner Services</t>
        </is>
      </c>
      <c r="C33" t="inlineStr">
        <is>
          <t>Amazon Web Services</t>
        </is>
      </c>
      <c r="D33" t="inlineStr">
        <is>
          <t>indeed</t>
        </is>
      </c>
      <c r="E33" t="inlineStr"/>
      <c r="F33" t="inlineStr"/>
      <c r="G33" t="inlineStr">
        <is>
          <t>San Diego, CA, US</t>
        </is>
      </c>
      <c r="H33" s="1" t="n">
        <v>46056</v>
      </c>
      <c r="I33"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4">
      <c r="A34" t="inlineStr">
        <is>
          <t>in-4c7bf36cfc34c246</t>
        </is>
      </c>
      <c r="B34" t="inlineStr">
        <is>
          <t>Sr. Applied Scientist, AWS Healthcare-AI</t>
        </is>
      </c>
      <c r="C34" t="inlineStr">
        <is>
          <t>Amazon.com</t>
        </is>
      </c>
      <c r="D34" t="inlineStr">
        <is>
          <t>indeed</t>
        </is>
      </c>
      <c r="E34" t="inlineStr"/>
      <c r="F34" t="inlineStr"/>
      <c r="G34" t="inlineStr">
        <is>
          <t>Mountain View, CA, US</t>
        </is>
      </c>
      <c r="H34" s="1" t="n">
        <v>46055</v>
      </c>
      <c r="I34"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35">
      <c r="A35" t="inlineStr">
        <is>
          <t>in-6e24495d9fb0ceaf</t>
        </is>
      </c>
      <c r="B35" t="inlineStr">
        <is>
          <t>Sr. Applied Scientist, AWS Healthcare-AI</t>
        </is>
      </c>
      <c r="C35" t="inlineStr">
        <is>
          <t>Amazon.com</t>
        </is>
      </c>
      <c r="D35" t="inlineStr">
        <is>
          <t>indeed</t>
        </is>
      </c>
      <c r="E35" t="inlineStr"/>
      <c r="F35" t="inlineStr"/>
      <c r="G35" t="inlineStr">
        <is>
          <t>Seattle, WA, US</t>
        </is>
      </c>
      <c r="H35" s="1" t="n">
        <v>46055</v>
      </c>
      <c r="I35"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36">
      <c r="A36" t="inlineStr">
        <is>
          <t>in-63022226f289b24e</t>
        </is>
      </c>
      <c r="B36" t="inlineStr">
        <is>
          <t>Applied Scientist (Contract), Artificial General Intelligence</t>
        </is>
      </c>
      <c r="C36" t="inlineStr">
        <is>
          <t>Amazon.com</t>
        </is>
      </c>
      <c r="D36" t="inlineStr">
        <is>
          <t>indeed</t>
        </is>
      </c>
      <c r="E36" t="inlineStr"/>
      <c r="F36" t="inlineStr"/>
      <c r="G36" t="inlineStr">
        <is>
          <t>Boston, MA, US</t>
        </is>
      </c>
      <c r="H36" s="1" t="n">
        <v>46055</v>
      </c>
      <c r="I3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7">
      <c r="A37" t="inlineStr">
        <is>
          <t>in-f80f2bb5871ad582</t>
        </is>
      </c>
      <c r="B37" t="inlineStr">
        <is>
          <t>Applied Scientist (Contract), Artificial General Intelligence</t>
        </is>
      </c>
      <c r="C37" t="inlineStr">
        <is>
          <t>Amazon.com</t>
        </is>
      </c>
      <c r="D37" t="inlineStr">
        <is>
          <t>indeed</t>
        </is>
      </c>
      <c r="E37" t="inlineStr"/>
      <c r="F37" t="inlineStr"/>
      <c r="G37" t="inlineStr">
        <is>
          <t>Bellevue, WA, US</t>
        </is>
      </c>
      <c r="H37" s="1" t="n">
        <v>46055</v>
      </c>
      <c r="I37"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8">
      <c r="A38" t="inlineStr">
        <is>
          <t>in-7c5048ee1e95bcac</t>
        </is>
      </c>
      <c r="B38" t="inlineStr">
        <is>
          <t>Applied Scientist (Contract), Artificial General Intelligence</t>
        </is>
      </c>
      <c r="C38" t="inlineStr">
        <is>
          <t>Amazon.com</t>
        </is>
      </c>
      <c r="D38" t="inlineStr">
        <is>
          <t>indeed</t>
        </is>
      </c>
      <c r="E38" t="inlineStr"/>
      <c r="F38" t="inlineStr"/>
      <c r="G38" t="inlineStr">
        <is>
          <t>Bellevue, WA, US</t>
        </is>
      </c>
      <c r="H38" s="1" t="n">
        <v>46055</v>
      </c>
      <c r="I38"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9">
      <c r="A39" t="inlineStr">
        <is>
          <t>in-c828d4612a499e20</t>
        </is>
      </c>
      <c r="B39" t="inlineStr">
        <is>
          <t>Applied Scientist (Contract), Artificial General Intelligence</t>
        </is>
      </c>
      <c r="C39" t="inlineStr">
        <is>
          <t>Amazon.com</t>
        </is>
      </c>
      <c r="D39" t="inlineStr">
        <is>
          <t>indeed</t>
        </is>
      </c>
      <c r="E39" t="inlineStr"/>
      <c r="F39" t="inlineStr"/>
      <c r="G39" t="inlineStr">
        <is>
          <t>Boston, MA, US</t>
        </is>
      </c>
      <c r="H39" s="1" t="n">
        <v>46055</v>
      </c>
      <c r="I3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0">
      <c r="A40" t="inlineStr">
        <is>
          <t>in-f26bd2c87d51c2fa</t>
        </is>
      </c>
      <c r="B40" t="inlineStr">
        <is>
          <t>Applied Scientist (Contract), Artificial General Intelligence</t>
        </is>
      </c>
      <c r="C40" t="inlineStr">
        <is>
          <t>Amazon.com</t>
        </is>
      </c>
      <c r="D40" t="inlineStr">
        <is>
          <t>indeed</t>
        </is>
      </c>
      <c r="E40" t="inlineStr"/>
      <c r="F40" t="inlineStr"/>
      <c r="G40" t="inlineStr">
        <is>
          <t>Boston, MA, US</t>
        </is>
      </c>
      <c r="H40" s="1" t="n">
        <v>46055</v>
      </c>
      <c r="I4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1">
      <c r="A41" t="inlineStr">
        <is>
          <t>in-e1bd7ab29013c90a</t>
        </is>
      </c>
      <c r="B41" t="inlineStr">
        <is>
          <t>Applied Scientist (Contract), Artificial General Intelligence</t>
        </is>
      </c>
      <c r="C41" t="inlineStr">
        <is>
          <t>Amazon.com</t>
        </is>
      </c>
      <c r="D41" t="inlineStr">
        <is>
          <t>indeed</t>
        </is>
      </c>
      <c r="E41" t="inlineStr"/>
      <c r="F41" t="inlineStr"/>
      <c r="G41" t="inlineStr">
        <is>
          <t>Bellevue, WA, US</t>
        </is>
      </c>
      <c r="H41" s="1" t="n">
        <v>46055</v>
      </c>
      <c r="I4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2">
      <c r="A42" t="inlineStr">
        <is>
          <t>in-8134391dda619170</t>
        </is>
      </c>
      <c r="B42" t="inlineStr">
        <is>
          <t>Applied Scientist (Contract), Artificial General Intelligence</t>
        </is>
      </c>
      <c r="C42" t="inlineStr">
        <is>
          <t>Amazon.com</t>
        </is>
      </c>
      <c r="D42" t="inlineStr">
        <is>
          <t>indeed</t>
        </is>
      </c>
      <c r="E42" t="inlineStr"/>
      <c r="F42" t="inlineStr"/>
      <c r="G42" t="inlineStr">
        <is>
          <t>Boston, MA, US</t>
        </is>
      </c>
      <c r="H42" s="1" t="n">
        <v>46051</v>
      </c>
      <c r="I4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3">
      <c r="A43" t="inlineStr">
        <is>
          <t>in-a70e9a009938febf</t>
        </is>
      </c>
      <c r="B43" t="inlineStr">
        <is>
          <t>Applied Scientist (Contract), Artificial General Intelligence</t>
        </is>
      </c>
      <c r="C43" t="inlineStr">
        <is>
          <t>Amazon.com</t>
        </is>
      </c>
      <c r="D43" t="inlineStr">
        <is>
          <t>indeed</t>
        </is>
      </c>
      <c r="E43" t="inlineStr"/>
      <c r="F43" t="inlineStr"/>
      <c r="G43" t="inlineStr">
        <is>
          <t>Bellevue, WA, US</t>
        </is>
      </c>
      <c r="H43" s="1" t="n">
        <v>46051</v>
      </c>
      <c r="I43"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4">
      <c r="A44" t="inlineStr">
        <is>
          <t>in-19fd69b2876bf5a7</t>
        </is>
      </c>
      <c r="B44" t="inlineStr">
        <is>
          <t>Applied Scientist I, Customer Experience and Business Trends</t>
        </is>
      </c>
      <c r="C44" t="inlineStr">
        <is>
          <t>Amazon.com</t>
        </is>
      </c>
      <c r="D44" t="inlineStr">
        <is>
          <t>indeed</t>
        </is>
      </c>
      <c r="E44" t="inlineStr"/>
      <c r="F44" t="inlineStr"/>
      <c r="G44" t="inlineStr">
        <is>
          <t>Arlington, VA, US</t>
        </is>
      </c>
      <c r="H44" s="1" t="n">
        <v>46051</v>
      </c>
      <c r="I44" t="inlineStr">
        <is>
          <t>**DESCRIPTION**
---------------
Customer Experience and Business Trends (CXBT) is looking for an Applied Scientist to join its team. CXBT's mission is to create best\-in\-class AI agents that seamlessly integrate multimodal inputs, enabling natural, empathetic, and adaptive interactions. We leverage advanced architectures, cross\-modal learning, interpretability, and responsible AI techniques to provide coherent, context\-aware responses augmented by real\-time knowledge retrieval.  
As part of CXBT, we have a vision to revolutionize how we understand, test, and optimize customer experiences at scale. Where traditional testing approaches fall short, we create AI\-powered solutions that enable rapid experimentation, de\-risk product launches, and generate actionable insights, \-all before a single real customer is impacted.  
Be a part of our agentic initiative and shape how Amazon leverages artificial intelligence to run tests at scale and improve customer experiences.  
As an Applied Scientist, you will research state\-of\-the\-art techniques in agent\-based modeling, and lead scientific innovation by building foundational agentic simulation capabilities.
If you are passionate about the intersection of AI and human behavior modeling, and want to fundamentally influence how Amazon tests and improves customer experiences, this role offers a great opportunity to make your mark.  
Key job responsibilities  
* Design and implement frameworks for creating representative, diverse agents that faithfully capture real\-world characteristics
* Use state\-of\-the\-art techniques in user modeling and behavioral simulation to build robust agentic frameworks
* Develop data simulation approaches that mimic real\-world speech interactions.
* Research and implement novel algorithms and modeling techniques.
* Acquire and curate diverse datasets while ensuring user privacy.
* Create robust evaluation metrics and test sets to assess language model performance.
* Innovate in data representation and model training techniques.
* Apply responsible AI practices throughout the development process.
* Write clear, scientific documentation describing methodologies, solutions, and design choices.
A day in the life  
Our team is dedicated to improving Amazon's products and services through evaluation of the end\-to\-end customer experience using both internal and external processes and technology. Our mission is to deeply understand our customers' experiences, challenge the status quo, and provide insights that drive innovation to improve that experience. Through our analysis and insights, we inform business decisions that directly impact customer experience as customers of new GenAI and LLM technologies.  
About the team  
Customer Experience and Business Trends (CXBT) is an organization made up of a diverse suite of functions dedicated to deeply understanding and improving customer experience, globally. We are a team of builders that develop products, services, ideas, and various ways of leveraging data to influence product and service offerings – for almost every business at Amazon – for every customer (e.g., consumers, developers, sellers/brands, employees, investors, streamers, gamers).**BASIC QUALIFICATIONS**
------------------------
* 1\+ years of building models for business application experience
* Experience with any programming language such as Python, Java, C\+\+
* Experience in any of the following areas: algorithms and data structures, parsing, numerical optimization, data mining, parallel and distributed computing, high\-performance computing
* Experience with Machine Learning and Large Language Model fundamentals, including architecture, training/inference lifecycles, and optimization of model execution, or experience in developing and deploying LLMs in production on GPUs, Neuron, TPU or other AI acceleration hardware
* PhD, or Master's degree and 4\+ years of CS, CE, ML or related field experience
**PREFERRED QUALIFICATIONS**
----------------------------
* Experience in professional software development
* Experience building machine learning models or developing algorithms for business application
* Have publications on top\-tier conferences, such as CVPR, ICCV, ECCV or NeurIPS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WA, Seattle \- 136,000\.00 \- 184,000\.00 USD annually</t>
        </is>
      </c>
    </row>
    <row r="45">
      <c r="A45" t="inlineStr">
        <is>
          <t>in-5260368beb1a10d0</t>
        </is>
      </c>
      <c r="B45" t="inlineStr">
        <is>
          <t>Sr. Applied Scientist - SLAM, Amazon Industrial Robotics</t>
        </is>
      </c>
      <c r="C45" t="inlineStr">
        <is>
          <t>Amazon.com</t>
        </is>
      </c>
      <c r="D45" t="inlineStr">
        <is>
          <t>indeed</t>
        </is>
      </c>
      <c r="E45" t="inlineStr"/>
      <c r="F45" t="inlineStr"/>
      <c r="G45" t="inlineStr">
        <is>
          <t>Reading, MA, US</t>
        </is>
      </c>
      <c r="H45" s="1" t="n">
        <v>46050</v>
      </c>
      <c r="I45"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6">
      <c r="A46" t="inlineStr">
        <is>
          <t>in-e0dc602038ae82bf</t>
        </is>
      </c>
      <c r="B46" t="inlineStr">
        <is>
          <t>Sr. Applied Scientist - SLAM, Amazon Industrial Robotics</t>
        </is>
      </c>
      <c r="C46" t="inlineStr">
        <is>
          <t>Amazon.com</t>
        </is>
      </c>
      <c r="D46" t="inlineStr">
        <is>
          <t>indeed</t>
        </is>
      </c>
      <c r="E46" t="inlineStr"/>
      <c r="F46" t="inlineStr"/>
      <c r="G46" t="inlineStr">
        <is>
          <t>Reading, MA, US</t>
        </is>
      </c>
      <c r="H46" s="1" t="n">
        <v>46050</v>
      </c>
      <c r="I46"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7">
      <c r="A47" t="inlineStr">
        <is>
          <t>in-7fa5de97ec33aca2</t>
        </is>
      </c>
      <c r="B47" t="inlineStr">
        <is>
          <t>Principal Applied Scientist, Sensing, Industrial Robotics Group</t>
        </is>
      </c>
      <c r="C47" t="inlineStr">
        <is>
          <t>Amazon.com</t>
        </is>
      </c>
      <c r="D47" t="inlineStr">
        <is>
          <t>indeed</t>
        </is>
      </c>
      <c r="E47" t="inlineStr"/>
      <c r="F47" t="inlineStr"/>
      <c r="G47" t="inlineStr">
        <is>
          <t>Reading, MA, US</t>
        </is>
      </c>
      <c r="H47" s="1" t="n">
        <v>46050</v>
      </c>
      <c r="I47"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48">
      <c r="A48" t="inlineStr">
        <is>
          <t>in-a027a554d6dc6fc5</t>
        </is>
      </c>
      <c r="B48" t="inlineStr">
        <is>
          <t>Principal Applied Scientist, Sensing, Industrial Robotics Group</t>
        </is>
      </c>
      <c r="C48" t="inlineStr">
        <is>
          <t>Amazon.com</t>
        </is>
      </c>
      <c r="D48" t="inlineStr">
        <is>
          <t>indeed</t>
        </is>
      </c>
      <c r="E48" t="inlineStr"/>
      <c r="F48" t="inlineStr"/>
      <c r="G48" t="inlineStr">
        <is>
          <t>Reading, MA, US</t>
        </is>
      </c>
      <c r="H48" s="1" t="n">
        <v>46050</v>
      </c>
      <c r="I48"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49">
      <c r="A49" t="inlineStr">
        <is>
          <t>in-833498f149c9f0e1</t>
        </is>
      </c>
      <c r="B49" t="inlineStr">
        <is>
          <t>Applied Scientist, Amazon Connect</t>
        </is>
      </c>
      <c r="C49" t="inlineStr">
        <is>
          <t>Amazon Web Services</t>
        </is>
      </c>
      <c r="D49" t="inlineStr">
        <is>
          <t>indeed</t>
        </is>
      </c>
      <c r="E49" t="inlineStr"/>
      <c r="F49" t="inlineStr"/>
      <c r="G49" t="inlineStr">
        <is>
          <t>New York, NY, US</t>
        </is>
      </c>
      <c r="H49" s="1" t="n">
        <v>46047</v>
      </c>
      <c r="I49"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0">
      <c r="A50" t="inlineStr">
        <is>
          <t>in-2d291fd23b13c448</t>
        </is>
      </c>
      <c r="B50" t="inlineStr">
        <is>
          <t>Applied Scientist II, Prime Video Personalization and Discovery Science</t>
        </is>
      </c>
      <c r="C50" t="inlineStr">
        <is>
          <t>Amazon.com</t>
        </is>
      </c>
      <c r="D50" t="inlineStr">
        <is>
          <t>indeed</t>
        </is>
      </c>
      <c r="E50" t="inlineStr"/>
      <c r="F50" t="inlineStr"/>
      <c r="G50" t="inlineStr">
        <is>
          <t>Seattle, WA, US</t>
        </is>
      </c>
      <c r="H50" s="1" t="n">
        <v>46047</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1">
      <c r="A51" t="inlineStr">
        <is>
          <t>in-0c44abc33d705ac1</t>
        </is>
      </c>
      <c r="B51" t="inlineStr">
        <is>
          <t>Applied Scientist, Amazon Connect</t>
        </is>
      </c>
      <c r="C51" t="inlineStr">
        <is>
          <t>Amazon Web Services</t>
        </is>
      </c>
      <c r="D51" t="inlineStr">
        <is>
          <t>indeed</t>
        </is>
      </c>
      <c r="E51" t="inlineStr"/>
      <c r="F51" t="inlineStr"/>
      <c r="G51" t="inlineStr">
        <is>
          <t>Seattle, WA, US</t>
        </is>
      </c>
      <c r="H51" s="1" t="n">
        <v>46047</v>
      </c>
      <c r="I5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2">
      <c r="A52" t="inlineStr">
        <is>
          <t>in-e95e74979ed9113b</t>
        </is>
      </c>
      <c r="B52" t="inlineStr">
        <is>
          <t>Applied Scientist II, Prime Video Personalization and Discovery Science</t>
        </is>
      </c>
      <c r="C52" t="inlineStr">
        <is>
          <t>Amazon.com</t>
        </is>
      </c>
      <c r="D52" t="inlineStr">
        <is>
          <t>indeed</t>
        </is>
      </c>
      <c r="E52" t="inlineStr"/>
      <c r="F52" t="inlineStr"/>
      <c r="G52" t="inlineStr">
        <is>
          <t>New York, NY, US</t>
        </is>
      </c>
      <c r="H52" s="1" t="n">
        <v>46047</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3">
      <c r="A53" t="inlineStr">
        <is>
          <t>in-0cb2fb293db18bb2</t>
        </is>
      </c>
      <c r="B53" t="inlineStr">
        <is>
          <t>Applied Scientist II, Prime Video Personalization and Discovery Science</t>
        </is>
      </c>
      <c r="C53" t="inlineStr">
        <is>
          <t>Amazon.com</t>
        </is>
      </c>
      <c r="D53" t="inlineStr">
        <is>
          <t>indeed</t>
        </is>
      </c>
      <c r="E53" t="inlineStr"/>
      <c r="F53" t="inlineStr"/>
      <c r="G53" t="inlineStr">
        <is>
          <t>Sunnyvale, CA, US</t>
        </is>
      </c>
      <c r="H53" s="1" t="n">
        <v>46047</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4">
      <c r="A54" t="inlineStr">
        <is>
          <t>in-fee7026634cbb63e</t>
        </is>
      </c>
      <c r="B54" t="inlineStr">
        <is>
          <t>Applied Scientist, Safety ML</t>
        </is>
      </c>
      <c r="C54" t="inlineStr">
        <is>
          <t>Amazon.com</t>
        </is>
      </c>
      <c r="D54" t="inlineStr">
        <is>
          <t>indeed</t>
        </is>
      </c>
      <c r="E54" t="inlineStr"/>
      <c r="F54" t="inlineStr"/>
      <c r="G54" t="inlineStr">
        <is>
          <t>Seattle, WA, US</t>
        </is>
      </c>
      <c r="H54" s="1" t="n">
        <v>46037</v>
      </c>
      <c r="I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5">
      <c r="A55" t="inlineStr">
        <is>
          <t>in-80248dd58f9f2353</t>
        </is>
      </c>
      <c r="B55" t="inlineStr">
        <is>
          <t>Applied Scientist, Safety ML</t>
        </is>
      </c>
      <c r="C55" t="inlineStr">
        <is>
          <t>Amazon.com</t>
        </is>
      </c>
      <c r="D55" t="inlineStr">
        <is>
          <t>indeed</t>
        </is>
      </c>
      <c r="E55" t="inlineStr"/>
      <c r="F55" t="inlineStr"/>
      <c r="G55" t="inlineStr">
        <is>
          <t>San Francisco, CA, US</t>
        </is>
      </c>
      <c r="H55" s="1" t="n">
        <v>46037</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6">
      <c r="A56" t="inlineStr">
        <is>
          <t>in-b97f6fb656ecb739</t>
        </is>
      </c>
      <c r="B56" t="inlineStr">
        <is>
          <t>Principal Applied Scientist, Measurement, AdTech and Data Science, Ads Performance Measurement</t>
        </is>
      </c>
      <c r="C56" t="inlineStr">
        <is>
          <t>Amazon.com</t>
        </is>
      </c>
      <c r="D56" t="inlineStr">
        <is>
          <t>indeed</t>
        </is>
      </c>
      <c r="E56" t="inlineStr"/>
      <c r="F56" t="inlineStr"/>
      <c r="G56" t="inlineStr">
        <is>
          <t>New York, NY, US</t>
        </is>
      </c>
      <c r="H56" s="1" t="n">
        <v>46037</v>
      </c>
      <c r="I56"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7">
      <c r="A57" t="inlineStr">
        <is>
          <t>in-a29870894e27e08c</t>
        </is>
      </c>
      <c r="B57" t="inlineStr">
        <is>
          <t>Principal Applied Scientist, Measurement, AdTech and Data Science, Ads Performance Measurement</t>
        </is>
      </c>
      <c r="C57" t="inlineStr">
        <is>
          <t>Amazon.com</t>
        </is>
      </c>
      <c r="D57" t="inlineStr">
        <is>
          <t>indeed</t>
        </is>
      </c>
      <c r="E57" t="inlineStr"/>
      <c r="F57" t="inlineStr"/>
      <c r="G57" t="inlineStr">
        <is>
          <t>Palo Alto, CA, US</t>
        </is>
      </c>
      <c r="H57" s="1" t="n">
        <v>46037</v>
      </c>
      <c r="I57"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8">
      <c r="A58" t="inlineStr">
        <is>
          <t>in-f173bcc75e8d0a0a</t>
        </is>
      </c>
      <c r="B58" t="inlineStr">
        <is>
          <t>Principal Applied Scientist, Measurement, AdTech and Data Science, Ads Performance Measurement</t>
        </is>
      </c>
      <c r="C58" t="inlineStr">
        <is>
          <t>Amazon.com</t>
        </is>
      </c>
      <c r="D58" t="inlineStr">
        <is>
          <t>indeed</t>
        </is>
      </c>
      <c r="E58" t="inlineStr"/>
      <c r="F58" t="inlineStr"/>
      <c r="G58" t="inlineStr">
        <is>
          <t>Seattle, WA, US</t>
        </is>
      </c>
      <c r="H58" s="1" t="n">
        <v>46037</v>
      </c>
      <c r="I58"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9">
      <c r="A59" t="inlineStr">
        <is>
          <t>in-3a8634b4edbbe57a</t>
        </is>
      </c>
      <c r="B59" t="inlineStr">
        <is>
          <t>Applied Scientist III, Sponsored Products and Brands</t>
        </is>
      </c>
      <c r="C59" t="inlineStr">
        <is>
          <t>Amazon.com</t>
        </is>
      </c>
      <c r="D59" t="inlineStr">
        <is>
          <t>indeed</t>
        </is>
      </c>
      <c r="E59" t="inlineStr"/>
      <c r="F59" t="inlineStr"/>
      <c r="G59" t="inlineStr">
        <is>
          <t>Seattle, WA, US</t>
        </is>
      </c>
      <c r="H59" s="1" t="n">
        <v>46037</v>
      </c>
      <c r="I5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Demand Utilization team with Sponsored Products and Brands owns finding the appropriate ads to surface to customers when they search for products on Amazon. We strive to understand our customers’ intent and identify relevant ads which enable them to discover new and alternate products. This also enables sellers on Amazon to showcase their products to customers, which may at times be buried deeper in the search results.  
Our systems and algorithms operate on one of the world's largest product catalogs, matching shoppers with products \- with a high relevance bar and strict latency constraints. We are a team of machine learning scientists and software engineers working on complex solutions to understand the customer intent and present them with ads that are not only relevant to their actual shopping experience, but also non\-obtrusive. This area is of strategic importance to Amazon Retail and Marketplace business, driving long term\-growth.  
We are looking for an Applied Scientist III, with a background in Machine Learning to optimize serving ads on billions of product pages. The solutions you create would drive step increases in coverage of sponsored ads across the retail website and ensure relevant ads are served to Amazon's customers. You will directly impact our customers’ shopping experience while helping our sellers get the maximum ROI from advertising on Amazon. You will be expected to demonstrate strong ownership and should be curious to learn and leverage the rich textual, image, and other contextual signals. This role will challenge you to utilize innovative machine learning techniques in the domain of predictive modeling, natural language processing (NLP), deep learning, reinforcement learning, query understanding, vector search (kNN) and image recognition to deliver significant impact for the business. Ideal candidates will be able to work cross functionally across multiple stakeholders, synthesize the science needs of our business partners, develop models to solve business needs, and implement solutions in production. In addition to being a strongly motivated IC, you will also be responsible for mentoring junior scientists and guiding them to deliver high impacting products and services for Amazon customers and sellers.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Key job responsibilities  
As an Applied Scientist III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deploying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using managed ML/AI solutions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t>
        </is>
      </c>
    </row>
    <row r="60">
      <c r="A60" t="inlineStr">
        <is>
          <t>in-da7dbedf1c25f101</t>
        </is>
      </c>
      <c r="B60" t="inlineStr">
        <is>
          <t>Applied Scientist III, Sponsored Products and Brands</t>
        </is>
      </c>
      <c r="C60" t="inlineStr">
        <is>
          <t>Amazon.com</t>
        </is>
      </c>
      <c r="D60" t="inlineStr">
        <is>
          <t>indeed</t>
        </is>
      </c>
      <c r="E60" t="inlineStr"/>
      <c r="F60" t="inlineStr"/>
      <c r="G60" t="inlineStr">
        <is>
          <t>New York, NY, US</t>
        </is>
      </c>
      <c r="H60" s="1" t="n">
        <v>46037</v>
      </c>
      <c r="I6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Demand Utilization team with Sponsored Products and Brands owns finding the appropriate ads to surface to customers when they search for products on Amazon. We strive to understand our customers’ intent and identify relevant ads which enable them to discover new and alternate products. This also enables sellers on Amazon to showcase their products to customers, which may at times be buried deeper in the search results.  
Our systems and algorithms operate on one of the world's largest product catalogs, matching shoppers with products \- with a high relevance bar and strict latency constraints. We are a team of machine learning scientists and software engineers working on complex solutions to understand the customer intent and present them with ads that are not only relevant to their actual shopping experience, but also non\-obtrusive. This area is of strategic importance to Amazon Retail and Marketplace business, driving long term\-growth.  
We are looking for an Applied Scientist III, with a background in Machine Learning to optimize serving ads on billions of product pages. The solutions you create would drive step increases in coverage of sponsored ads across the retail website and ensure relevant ads are served to Amazon's customers. You will directly impact our customers’ shopping experience while helping our sellers get the maximum ROI from advertising on Amazon. You will be expected to demonstrate strong ownership and should be curious to learn and leverage the rich textual, image, and other contextual signals. This role will challenge you to utilize innovative machine learning techniques in the domain of predictive modeling, natural language processing (NLP), deep learning, reinforcement learning, query understanding, vector search (kNN) and image recognition to deliver significant impact for the business. Ideal candidates will be able to work cross functionally across multiple stakeholders, synthesize the science needs of our business partners, develop models to solve business needs, and implement solutions in production. In addition to being a strongly motivated IC, you will also be responsible for mentoring junior scientists and guiding them to deliver high impacting products and services for Amazon customers and sellers.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Key job responsibilities  
As an Applied Scientist III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deploying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using managed ML/AI solutions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t>
        </is>
      </c>
    </row>
    <row r="61">
      <c r="A61" t="inlineStr">
        <is>
          <t>in-e24e543a8ebf992a</t>
        </is>
      </c>
      <c r="B61" t="inlineStr">
        <is>
          <t>Applied Scientist, LLM Code Agents, Kiro Science</t>
        </is>
      </c>
      <c r="C61" t="inlineStr">
        <is>
          <t>Amazon.com</t>
        </is>
      </c>
      <c r="D61" t="inlineStr">
        <is>
          <t>indeed</t>
        </is>
      </c>
      <c r="E61" t="inlineStr"/>
      <c r="F61" t="inlineStr"/>
      <c r="G61" t="inlineStr">
        <is>
          <t>Santa Clara, CA, US</t>
        </is>
      </c>
      <c r="H61" s="1" t="n">
        <v>46035</v>
      </c>
      <c r="I6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62">
      <c r="A62" t="inlineStr">
        <is>
          <t>in-945d0128237c657f</t>
        </is>
      </c>
      <c r="B62" t="inlineStr">
        <is>
          <t>Applied Scientist, LLM Code Agents, Kiro Science</t>
        </is>
      </c>
      <c r="C62" t="inlineStr">
        <is>
          <t>Amazon.com</t>
        </is>
      </c>
      <c r="D62" t="inlineStr">
        <is>
          <t>indeed</t>
        </is>
      </c>
      <c r="E62" t="inlineStr"/>
      <c r="F62" t="inlineStr"/>
      <c r="G62" t="inlineStr">
        <is>
          <t>Seattle, WA, US</t>
        </is>
      </c>
      <c r="H62" s="1" t="n">
        <v>46035</v>
      </c>
      <c r="I6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63">
      <c r="A63" t="inlineStr">
        <is>
          <t>in-48617a51d74d29c8</t>
        </is>
      </c>
      <c r="B63" t="inlineStr">
        <is>
          <t>Applied Scientist II, Prime Video Personalization and Discovery Science</t>
        </is>
      </c>
      <c r="C63" t="inlineStr">
        <is>
          <t>Amazon.com</t>
        </is>
      </c>
      <c r="D63" t="inlineStr">
        <is>
          <t>indeed</t>
        </is>
      </c>
      <c r="E63" t="inlineStr"/>
      <c r="F63" t="inlineStr"/>
      <c r="G63" t="inlineStr">
        <is>
          <t>Seattle, WA, US</t>
        </is>
      </c>
      <c r="H63" s="1" t="n">
        <v>46034</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4">
      <c r="A64" t="inlineStr">
        <is>
          <t>in-4a114f7218c4c89c</t>
        </is>
      </c>
      <c r="B64" t="inlineStr">
        <is>
          <t>Applied Scientist, Alexa Smart Home</t>
        </is>
      </c>
      <c r="C64" t="inlineStr">
        <is>
          <t>Amazon.com</t>
        </is>
      </c>
      <c r="D64" t="inlineStr">
        <is>
          <t>indeed</t>
        </is>
      </c>
      <c r="E64" t="inlineStr"/>
      <c r="F64" t="inlineStr"/>
      <c r="G64" t="inlineStr">
        <is>
          <t>Sunnyvale, CA, US</t>
        </is>
      </c>
      <c r="H64" s="1" t="n">
        <v>46033</v>
      </c>
      <c r="I6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5">
      <c r="A65" t="inlineStr">
        <is>
          <t>in-e2f7b1b8a2ea1773</t>
        </is>
      </c>
      <c r="B65" t="inlineStr">
        <is>
          <t>Applied Scientist, Alexa Smart Home</t>
        </is>
      </c>
      <c r="C65" t="inlineStr">
        <is>
          <t>Amazon.com</t>
        </is>
      </c>
      <c r="D65" t="inlineStr">
        <is>
          <t>indeed</t>
        </is>
      </c>
      <c r="E65" t="inlineStr"/>
      <c r="F65" t="inlineStr"/>
      <c r="G65" t="inlineStr">
        <is>
          <t>Seattle, WA, US</t>
        </is>
      </c>
      <c r="H65" s="1" t="n">
        <v>46033</v>
      </c>
      <c r="I6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6">
      <c r="A66" t="inlineStr">
        <is>
          <t>in-15ab749fb5ab5d7e</t>
        </is>
      </c>
      <c r="B66" t="inlineStr">
        <is>
          <t>Applied Scientist, AWS Applied AI Solutions</t>
        </is>
      </c>
      <c r="C66" t="inlineStr">
        <is>
          <t>Amazon Web Services</t>
        </is>
      </c>
      <c r="D66" t="inlineStr">
        <is>
          <t>indeed</t>
        </is>
      </c>
      <c r="E66" t="inlineStr"/>
      <c r="F66" t="inlineStr"/>
      <c r="G66" t="inlineStr">
        <is>
          <t>New York, NY, US</t>
        </is>
      </c>
      <c r="H66" s="1" t="n">
        <v>46030</v>
      </c>
      <c r="I6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7">
      <c r="A67" t="inlineStr">
        <is>
          <t>in-858d56ed14088270</t>
        </is>
      </c>
      <c r="B67" t="inlineStr">
        <is>
          <t>Applied Scientist, AWS Applied AI Solutions</t>
        </is>
      </c>
      <c r="C67" t="inlineStr">
        <is>
          <t>Amazon Web Services</t>
        </is>
      </c>
      <c r="D67" t="inlineStr">
        <is>
          <t>indeed</t>
        </is>
      </c>
      <c r="E67" t="inlineStr"/>
      <c r="F67" t="inlineStr"/>
      <c r="G67" t="inlineStr">
        <is>
          <t>Seattle, WA, US</t>
        </is>
      </c>
      <c r="H67" s="1" t="n">
        <v>46030</v>
      </c>
      <c r="I67"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8">
      <c r="A68" t="inlineStr">
        <is>
          <t>in-3366442e5cc9df61</t>
        </is>
      </c>
      <c r="B68" t="inlineStr">
        <is>
          <t>Applied Scientist II, Prime Video Personalization and Discovery Science</t>
        </is>
      </c>
      <c r="C68" t="inlineStr">
        <is>
          <t>Amazon.com</t>
        </is>
      </c>
      <c r="D68" t="inlineStr">
        <is>
          <t>indeed</t>
        </is>
      </c>
      <c r="E68" t="inlineStr"/>
      <c r="F68" t="inlineStr"/>
      <c r="G68" t="inlineStr">
        <is>
          <t>Seattle, WA, US</t>
        </is>
      </c>
      <c r="H68" s="1" t="n">
        <v>46028</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9">
      <c r="A69" t="inlineStr">
        <is>
          <t>in-b7e493c5c32b0505</t>
        </is>
      </c>
      <c r="B69" t="inlineStr">
        <is>
          <t>Applied Scientist II, Prime Video Personalization and Discovery Science</t>
        </is>
      </c>
      <c r="C69" t="inlineStr">
        <is>
          <t>Amazon.com</t>
        </is>
      </c>
      <c r="D69" t="inlineStr">
        <is>
          <t>indeed</t>
        </is>
      </c>
      <c r="E69" t="inlineStr"/>
      <c r="F69" t="inlineStr"/>
      <c r="G69" t="inlineStr">
        <is>
          <t>Sunnyvale, CA, US</t>
        </is>
      </c>
      <c r="H69" s="1" t="n">
        <v>46028</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0">
      <c r="A70" t="inlineStr">
        <is>
          <t>in-aa7b5342d73957ee</t>
        </is>
      </c>
      <c r="B70" t="inlineStr">
        <is>
          <t>Applied Scientist II, Prime Video Personalization and Discovery Science</t>
        </is>
      </c>
      <c r="C70" t="inlineStr">
        <is>
          <t>Amazon.com</t>
        </is>
      </c>
      <c r="D70" t="inlineStr">
        <is>
          <t>indeed</t>
        </is>
      </c>
      <c r="E70" t="inlineStr"/>
      <c r="F70" t="inlineStr"/>
      <c r="G70" t="inlineStr">
        <is>
          <t>New York, NY, US</t>
        </is>
      </c>
      <c r="H70" s="1" t="n">
        <v>46028</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1">
      <c r="A71" t="inlineStr">
        <is>
          <t>in-602a3890cc115d56</t>
        </is>
      </c>
      <c r="B71" t="inlineStr">
        <is>
          <t>Applied Scientist II, Locomotion, Amazon Industrial Robotics</t>
        </is>
      </c>
      <c r="C71" t="inlineStr">
        <is>
          <t>Amazon.com</t>
        </is>
      </c>
      <c r="D71" t="inlineStr">
        <is>
          <t>indeed</t>
        </is>
      </c>
      <c r="E71" t="inlineStr"/>
      <c r="F71" t="inlineStr"/>
      <c r="G71" t="inlineStr">
        <is>
          <t>Reading, MA, US</t>
        </is>
      </c>
      <c r="H71" s="1" t="n">
        <v>46028</v>
      </c>
      <c r="I7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72">
      <c r="A72" t="inlineStr">
        <is>
          <t>in-15677f3d3d70263e</t>
        </is>
      </c>
      <c r="B72" t="inlineStr">
        <is>
          <t>Applied Scientist II, Locomotion, Amazon Industrial Robotics</t>
        </is>
      </c>
      <c r="C72" t="inlineStr">
        <is>
          <t>Amazon.com</t>
        </is>
      </c>
      <c r="D72" t="inlineStr">
        <is>
          <t>indeed</t>
        </is>
      </c>
      <c r="E72" t="inlineStr"/>
      <c r="F72" t="inlineStr"/>
      <c r="G72" t="inlineStr">
        <is>
          <t>Reading, MA, US</t>
        </is>
      </c>
      <c r="H72" s="1" t="n">
        <v>46028</v>
      </c>
      <c r="I7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73">
      <c r="A73" t="inlineStr">
        <is>
          <t>in-fd1d8c0275b2900f</t>
        </is>
      </c>
      <c r="B73" t="inlineStr">
        <is>
          <t>Senior Applied Scientist, Industrial Robotics Group</t>
        </is>
      </c>
      <c r="C73" t="inlineStr">
        <is>
          <t>Amazon.com</t>
        </is>
      </c>
      <c r="D73" t="inlineStr">
        <is>
          <t>indeed</t>
        </is>
      </c>
      <c r="E73" t="inlineStr"/>
      <c r="F73" t="inlineStr"/>
      <c r="G73" t="inlineStr">
        <is>
          <t>Reading, MA, US</t>
        </is>
      </c>
      <c r="H73" s="1" t="n">
        <v>46027</v>
      </c>
      <c r="I73"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74">
      <c r="A74" t="inlineStr">
        <is>
          <t>in-628f319cce195b52</t>
        </is>
      </c>
      <c r="B74" t="inlineStr">
        <is>
          <t>Senior Applied Scientist, Industrial Robotics Group</t>
        </is>
      </c>
      <c r="C74" t="inlineStr">
        <is>
          <t>Amazon.com</t>
        </is>
      </c>
      <c r="D74" t="inlineStr">
        <is>
          <t>indeed</t>
        </is>
      </c>
      <c r="E74" t="inlineStr"/>
      <c r="F74" t="inlineStr"/>
      <c r="G74" t="inlineStr">
        <is>
          <t>Reading, MA, US</t>
        </is>
      </c>
      <c r="H74" s="1" t="n">
        <v>46027</v>
      </c>
      <c r="I74"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75">
      <c r="A75" t="inlineStr">
        <is>
          <t>in-6648c61aaff3fbfa</t>
        </is>
      </c>
      <c r="B75" t="inlineStr">
        <is>
          <t>Senior Applied Scientist, Distributed SQL</t>
        </is>
      </c>
      <c r="C75" t="inlineStr">
        <is>
          <t>Amazon Web Services</t>
        </is>
      </c>
      <c r="D75" t="inlineStr">
        <is>
          <t>indeed</t>
        </is>
      </c>
      <c r="E75" t="inlineStr"/>
      <c r="F75" t="inlineStr"/>
      <c r="G75" t="inlineStr">
        <is>
          <t>East Palo Alto, CA, US</t>
        </is>
      </c>
      <c r="H75" s="1" t="n">
        <v>46012</v>
      </c>
      <c r="I7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76">
      <c r="A76" t="inlineStr">
        <is>
          <t>in-55cb526842fd3431</t>
        </is>
      </c>
      <c r="B76" t="inlineStr">
        <is>
          <t>Senior Applied Scientist, Distributed SQL</t>
        </is>
      </c>
      <c r="C76" t="inlineStr">
        <is>
          <t>Amazon Web Services</t>
        </is>
      </c>
      <c r="D76" t="inlineStr">
        <is>
          <t>indeed</t>
        </is>
      </c>
      <c r="E76" t="inlineStr"/>
      <c r="F76" t="inlineStr"/>
      <c r="G76" t="inlineStr">
        <is>
          <t>Seattle, WA, US</t>
        </is>
      </c>
      <c r="H76" s="1" t="n">
        <v>46012</v>
      </c>
      <c r="I7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77">
      <c r="A77" t="inlineStr">
        <is>
          <t>in-64db3562cf5deee2</t>
        </is>
      </c>
      <c r="B77" t="inlineStr">
        <is>
          <t>Principal Applied Scientist, Kiro Science</t>
        </is>
      </c>
      <c r="C77" t="inlineStr">
        <is>
          <t>Amazon Web Services</t>
        </is>
      </c>
      <c r="D77" t="inlineStr">
        <is>
          <t>indeed</t>
        </is>
      </c>
      <c r="E77" t="inlineStr"/>
      <c r="F77" t="inlineStr"/>
      <c r="G77" t="inlineStr">
        <is>
          <t>New York, NY, US</t>
        </is>
      </c>
      <c r="H77" s="1" t="n">
        <v>45999</v>
      </c>
      <c r="I7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8">
      <c r="A78" t="inlineStr">
        <is>
          <t>in-1399b7bbc6791a91</t>
        </is>
      </c>
      <c r="B78" t="inlineStr">
        <is>
          <t>Principal Applied Scientist, Kiro Science</t>
        </is>
      </c>
      <c r="C78" t="inlineStr">
        <is>
          <t>Amazon Web Services</t>
        </is>
      </c>
      <c r="D78" t="inlineStr">
        <is>
          <t>indeed</t>
        </is>
      </c>
      <c r="E78" t="inlineStr"/>
      <c r="F78" t="inlineStr"/>
      <c r="G78" t="inlineStr">
        <is>
          <t>Santa Clara, CA, US</t>
        </is>
      </c>
      <c r="H78" s="1" t="n">
        <v>45999</v>
      </c>
      <c r="I7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9">
      <c r="A79" t="inlineStr">
        <is>
          <t>in-ac101e9384975175</t>
        </is>
      </c>
      <c r="B79" t="inlineStr">
        <is>
          <t>Principal Applied Scientist, Sponsored Products and Brands</t>
        </is>
      </c>
      <c r="C79" t="inlineStr">
        <is>
          <t>Amazon.com</t>
        </is>
      </c>
      <c r="D79" t="inlineStr">
        <is>
          <t>indeed</t>
        </is>
      </c>
      <c r="E79" t="inlineStr"/>
      <c r="F79" t="inlineStr"/>
      <c r="G79" t="inlineStr">
        <is>
          <t>Seattle, WA, US</t>
        </is>
      </c>
      <c r="H79" s="1" t="n">
        <v>45979</v>
      </c>
      <c r="I7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in-4a11bec037f024fb</t>
        </is>
      </c>
      <c r="B80" t="inlineStr">
        <is>
          <t>Principal Applied Scientist, Sponsored Products and Brands</t>
        </is>
      </c>
      <c r="C80" t="inlineStr">
        <is>
          <t>Amazon.com</t>
        </is>
      </c>
      <c r="D80" t="inlineStr">
        <is>
          <t>indeed</t>
        </is>
      </c>
      <c r="E80" t="inlineStr"/>
      <c r="F80" t="inlineStr"/>
      <c r="G80" t="inlineStr">
        <is>
          <t>New York, NY, US</t>
        </is>
      </c>
      <c r="H80" s="1" t="n">
        <v>45979</v>
      </c>
      <c r="I8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in-67b7f82888727295</t>
        </is>
      </c>
      <c r="B81" t="inlineStr">
        <is>
          <t>Sr. Applied Scientist, Sponsored Products</t>
        </is>
      </c>
      <c r="C81" t="inlineStr">
        <is>
          <t>Amazon.com</t>
        </is>
      </c>
      <c r="D81" t="inlineStr">
        <is>
          <t>indeed</t>
        </is>
      </c>
      <c r="E81" t="inlineStr"/>
      <c r="F81" t="inlineStr"/>
      <c r="G81" t="inlineStr">
        <is>
          <t>Seattle, WA, US</t>
        </is>
      </c>
      <c r="H81" s="1" t="n">
        <v>45976</v>
      </c>
      <c r="I8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2">
      <c r="A82" t="inlineStr">
        <is>
          <t>in-b939eaa509bfff2b</t>
        </is>
      </c>
      <c r="B82" t="inlineStr">
        <is>
          <t>Sr. Applied Scientist, Sponsored Products</t>
        </is>
      </c>
      <c r="C82" t="inlineStr">
        <is>
          <t>Amazon.com</t>
        </is>
      </c>
      <c r="D82" t="inlineStr">
        <is>
          <t>indeed</t>
        </is>
      </c>
      <c r="E82" t="inlineStr"/>
      <c r="F82" t="inlineStr"/>
      <c r="G82" t="inlineStr">
        <is>
          <t>New York, NY, US</t>
        </is>
      </c>
      <c r="H82" s="1" t="n">
        <v>45976</v>
      </c>
      <c r="I8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3">
      <c r="A83" t="inlineStr">
        <is>
          <t>in-dbca0a156d208949</t>
        </is>
      </c>
      <c r="B83" t="inlineStr">
        <is>
          <t>Sr. Applied Scientist, Sponsored Products</t>
        </is>
      </c>
      <c r="C83" t="inlineStr">
        <is>
          <t>Amazon.com</t>
        </is>
      </c>
      <c r="D83" t="inlineStr">
        <is>
          <t>indeed</t>
        </is>
      </c>
      <c r="E83" t="inlineStr"/>
      <c r="F83" t="inlineStr"/>
      <c r="G83" t="inlineStr">
        <is>
          <t>Arlington, VA, US</t>
        </is>
      </c>
      <c r="H83" s="1" t="n">
        <v>45976</v>
      </c>
      <c r="I8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4">
      <c r="A84" t="inlineStr">
        <is>
          <t>in-ab9fba2b3447e984</t>
        </is>
      </c>
      <c r="B84" t="inlineStr">
        <is>
          <t>Principal Applied Scientist, AWS Agentic AI Science</t>
        </is>
      </c>
      <c r="C84" t="inlineStr">
        <is>
          <t>Amazon Web Services</t>
        </is>
      </c>
      <c r="D84" t="inlineStr">
        <is>
          <t>indeed</t>
        </is>
      </c>
      <c r="E84" t="inlineStr"/>
      <c r="F84" t="inlineStr"/>
      <c r="G84" t="inlineStr">
        <is>
          <t>New York, NY, US</t>
        </is>
      </c>
      <c r="H84" s="1" t="n">
        <v>45963</v>
      </c>
      <c r="I84"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85">
      <c r="A85" t="inlineStr">
        <is>
          <t>in-3c35b8c8157deebf</t>
        </is>
      </c>
      <c r="B85" t="inlineStr">
        <is>
          <t>Principal Applied Scientist, AWS Agentic AI Science</t>
        </is>
      </c>
      <c r="C85" t="inlineStr">
        <is>
          <t>Amazon Web Services</t>
        </is>
      </c>
      <c r="D85" t="inlineStr">
        <is>
          <t>indeed</t>
        </is>
      </c>
      <c r="E85" t="inlineStr"/>
      <c r="F85" t="inlineStr"/>
      <c r="G85" t="inlineStr">
        <is>
          <t>Santa Clara, CA, US</t>
        </is>
      </c>
      <c r="H85" s="1" t="n">
        <v>45963</v>
      </c>
      <c r="I85"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86">
      <c r="A86" t="inlineStr">
        <is>
          <t>in-bc1830e5b687d5ec</t>
        </is>
      </c>
      <c r="B86" t="inlineStr">
        <is>
          <t>Applied Scientist, AWS Agentic AI</t>
        </is>
      </c>
      <c r="C86" t="inlineStr">
        <is>
          <t>Amazon Web Services</t>
        </is>
      </c>
      <c r="D86" t="inlineStr">
        <is>
          <t>indeed</t>
        </is>
      </c>
      <c r="E86" t="inlineStr"/>
      <c r="F86" t="inlineStr"/>
      <c r="G86" t="inlineStr">
        <is>
          <t>Santa Clara, CA, US</t>
        </is>
      </c>
      <c r="H86" s="1" t="n">
        <v>45962</v>
      </c>
      <c r="I8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in-1cad994a142b2d7a</t>
        </is>
      </c>
      <c r="B87" t="inlineStr">
        <is>
          <t>Applied Scientist, AWS Agentic AI</t>
        </is>
      </c>
      <c r="C87" t="inlineStr">
        <is>
          <t>Amazon Web Services</t>
        </is>
      </c>
      <c r="D87" t="inlineStr">
        <is>
          <t>indeed</t>
        </is>
      </c>
      <c r="E87" t="inlineStr"/>
      <c r="F87" t="inlineStr"/>
      <c r="G87" t="inlineStr">
        <is>
          <t>Seattle, WA, US</t>
        </is>
      </c>
      <c r="H87" s="1" t="n">
        <v>45962</v>
      </c>
      <c r="I8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in-4f22893d1ff43535</t>
        </is>
      </c>
      <c r="B88" t="inlineStr">
        <is>
          <t>Applied Scientist, AWS Agentic AI</t>
        </is>
      </c>
      <c r="C88" t="inlineStr">
        <is>
          <t>Amazon Web Services</t>
        </is>
      </c>
      <c r="D88" t="inlineStr">
        <is>
          <t>indeed</t>
        </is>
      </c>
      <c r="E88" t="inlineStr"/>
      <c r="F88" t="inlineStr"/>
      <c r="G88" t="inlineStr">
        <is>
          <t>New York, NY, US</t>
        </is>
      </c>
      <c r="H88" s="1" t="n">
        <v>45962</v>
      </c>
      <c r="I8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in-24db83ad97e7a494</t>
        </is>
      </c>
      <c r="B89" t="inlineStr">
        <is>
          <t>Applied Scientist, Prime Video - Content Understanding, Localization &amp; Enrichment Team</t>
        </is>
      </c>
      <c r="C89" t="inlineStr">
        <is>
          <t>Amazon.com</t>
        </is>
      </c>
      <c r="D89" t="inlineStr">
        <is>
          <t>indeed</t>
        </is>
      </c>
      <c r="E89" t="inlineStr"/>
      <c r="F89" t="inlineStr"/>
      <c r="G89" t="inlineStr">
        <is>
          <t>San Francisco, CA, US</t>
        </is>
      </c>
      <c r="H89" s="1" t="n">
        <v>45943</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90">
      <c r="A90" t="inlineStr">
        <is>
          <t>in-b492520b9b88192d</t>
        </is>
      </c>
      <c r="B90" t="inlineStr">
        <is>
          <t>Applied Scientist, Prime Video - Content Understanding, Localization &amp; Enrichment Team</t>
        </is>
      </c>
      <c r="C90" t="inlineStr">
        <is>
          <t>Amazon.com</t>
        </is>
      </c>
      <c r="D90" t="inlineStr">
        <is>
          <t>indeed</t>
        </is>
      </c>
      <c r="E90" t="inlineStr"/>
      <c r="F90" t="inlineStr"/>
      <c r="G90" t="inlineStr">
        <is>
          <t>Seattle, WA, US</t>
        </is>
      </c>
      <c r="H90" s="1" t="n">
        <v>45943</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91">
      <c r="A91" t="inlineStr">
        <is>
          <t>in-e6998c9353f1675c</t>
        </is>
      </c>
      <c r="B91" t="inlineStr">
        <is>
          <t>Principal Applied Scientist, Advertiser Growth, Amazon Sponsored Products &amp; Brands</t>
        </is>
      </c>
      <c r="C91" t="inlineStr">
        <is>
          <t>Amazon.com</t>
        </is>
      </c>
      <c r="D91" t="inlineStr">
        <is>
          <t>indeed</t>
        </is>
      </c>
      <c r="E91" t="inlineStr"/>
      <c r="F91" t="inlineStr"/>
      <c r="G91" t="inlineStr">
        <is>
          <t>Seattle, WA, US</t>
        </is>
      </c>
      <c r="H91" s="1" t="n">
        <v>45942</v>
      </c>
      <c r="I9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in-9c4b631400f877d4</t>
        </is>
      </c>
      <c r="B92" t="inlineStr">
        <is>
          <t>Principal Applied Scientist, Advertiser Growth, Amazon Sponsored Products &amp; Brands</t>
        </is>
      </c>
      <c r="C92" t="inlineStr">
        <is>
          <t>Amazon.com</t>
        </is>
      </c>
      <c r="D92" t="inlineStr">
        <is>
          <t>indeed</t>
        </is>
      </c>
      <c r="E92" t="inlineStr"/>
      <c r="F92" t="inlineStr"/>
      <c r="G92" t="inlineStr">
        <is>
          <t>New York, NY, US</t>
        </is>
      </c>
      <c r="H92" s="1" t="n">
        <v>45942</v>
      </c>
      <c r="I9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in-a41206b97ea99470</t>
        </is>
      </c>
      <c r="B93" t="inlineStr">
        <is>
          <t>Principal Applied Scientist, Advertiser Growth, Amazon Sponsored Products &amp; Brands</t>
        </is>
      </c>
      <c r="C93" t="inlineStr">
        <is>
          <t>Amazon.com</t>
        </is>
      </c>
      <c r="D93" t="inlineStr">
        <is>
          <t>indeed</t>
        </is>
      </c>
      <c r="E93" t="inlineStr"/>
      <c r="F93" t="inlineStr"/>
      <c r="G93" t="inlineStr">
        <is>
          <t>Palo Alto, CA, US</t>
        </is>
      </c>
      <c r="H93" s="1" t="n">
        <v>45942</v>
      </c>
      <c r="I9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in-b79571060ef13c2d</t>
        </is>
      </c>
      <c r="B94" t="inlineStr">
        <is>
          <t>Sr. Applied Scientist, Prime Video - Personalization and Discovery Science</t>
        </is>
      </c>
      <c r="C94" t="inlineStr">
        <is>
          <t>Amazon.com</t>
        </is>
      </c>
      <c r="D94" t="inlineStr">
        <is>
          <t>indeed</t>
        </is>
      </c>
      <c r="E94" t="inlineStr"/>
      <c r="F94" t="inlineStr"/>
      <c r="G94" t="inlineStr">
        <is>
          <t>New York, NY, US</t>
        </is>
      </c>
      <c r="H94" s="1" t="n">
        <v>45896</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5">
      <c r="A95" t="inlineStr">
        <is>
          <t>in-209465de9e50ba21</t>
        </is>
      </c>
      <c r="B95" t="inlineStr">
        <is>
          <t>Sr. Applied Scientist, Prime Video - Personalization and Discovery Science</t>
        </is>
      </c>
      <c r="C95" t="inlineStr">
        <is>
          <t>Amazon.com</t>
        </is>
      </c>
      <c r="D95" t="inlineStr">
        <is>
          <t>indeed</t>
        </is>
      </c>
      <c r="E95" t="inlineStr"/>
      <c r="F95" t="inlineStr"/>
      <c r="G95" t="inlineStr">
        <is>
          <t>Seattle, WA, US</t>
        </is>
      </c>
      <c r="H95" s="1" t="n">
        <v>45896</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96">
      <c r="A96" t="inlineStr">
        <is>
          <t>in-5004b86d37ae17e7</t>
        </is>
      </c>
      <c r="B96" t="inlineStr">
        <is>
          <t>Sr. Applied Scientist, Amazon Advertising</t>
        </is>
      </c>
      <c r="C96" t="inlineStr">
        <is>
          <t>Amazon.com</t>
        </is>
      </c>
      <c r="D96" t="inlineStr">
        <is>
          <t>indeed</t>
        </is>
      </c>
      <c r="E96" t="inlineStr"/>
      <c r="F96" t="inlineStr"/>
      <c r="G96" t="inlineStr">
        <is>
          <t>Los Angeles, CA, US</t>
        </is>
      </c>
      <c r="H96" s="1"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in-b09b95e68dcbabe4</t>
        </is>
      </c>
      <c r="B97" t="inlineStr">
        <is>
          <t>Sr. Applied Scientist, Amazon Advertising</t>
        </is>
      </c>
      <c r="C97" t="inlineStr">
        <is>
          <t>Amazon.com</t>
        </is>
      </c>
      <c r="D97" t="inlineStr">
        <is>
          <t>indeed</t>
        </is>
      </c>
      <c r="E97" t="inlineStr"/>
      <c r="F97" t="inlineStr"/>
      <c r="G97" t="inlineStr">
        <is>
          <t>Palo Alto, CA, US</t>
        </is>
      </c>
      <c r="H97" s="1"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in-60ca35d3657a32a3</t>
        </is>
      </c>
      <c r="B98" t="inlineStr">
        <is>
          <t>Sr. Applied Scientist, Amazon Advertising</t>
        </is>
      </c>
      <c r="C98" t="inlineStr">
        <is>
          <t>Amazon.com</t>
        </is>
      </c>
      <c r="D98" t="inlineStr">
        <is>
          <t>indeed</t>
        </is>
      </c>
      <c r="E98" t="inlineStr"/>
      <c r="F98" t="inlineStr"/>
      <c r="G98" t="inlineStr">
        <is>
          <t>Arlington, VA, US</t>
        </is>
      </c>
      <c r="H98" s="1"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in-e81fa3a21ab36859</t>
        </is>
      </c>
      <c r="B99" t="inlineStr">
        <is>
          <t>Sr. Applied Scientist, Amazon Advertising</t>
        </is>
      </c>
      <c r="C99" t="inlineStr">
        <is>
          <t>Amazon.com</t>
        </is>
      </c>
      <c r="D99" t="inlineStr">
        <is>
          <t>indeed</t>
        </is>
      </c>
      <c r="E99" t="inlineStr"/>
      <c r="F99" t="inlineStr"/>
      <c r="G99" t="inlineStr">
        <is>
          <t>New York, NY, US</t>
        </is>
      </c>
      <c r="H99" s="1"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in-2792630a6d506353</t>
        </is>
      </c>
      <c r="B100" t="inlineStr">
        <is>
          <t>Sr. Applied Scientist, Amazon Advertising</t>
        </is>
      </c>
      <c r="C100" t="inlineStr">
        <is>
          <t>Amazon.com</t>
        </is>
      </c>
      <c r="D100" t="inlineStr">
        <is>
          <t>indeed</t>
        </is>
      </c>
      <c r="E100" t="inlineStr"/>
      <c r="F100" t="inlineStr"/>
      <c r="G100" t="inlineStr">
        <is>
          <t>Austin, TX, US</t>
        </is>
      </c>
      <c r="H100" s="1"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in-0778a2249bc20df8</t>
        </is>
      </c>
      <c r="B101" t="inlineStr">
        <is>
          <t>Sr. Applied Scientist, Amazon Advertising</t>
        </is>
      </c>
      <c r="C101" t="inlineStr">
        <is>
          <t>Amazon.com</t>
        </is>
      </c>
      <c r="D101" t="inlineStr">
        <is>
          <t>indeed</t>
        </is>
      </c>
      <c r="E101" t="inlineStr"/>
      <c r="F101" t="inlineStr"/>
      <c r="G101" t="inlineStr">
        <is>
          <t>Simi Valley, CA, US</t>
        </is>
      </c>
      <c r="H101" s="1"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in-696a3c91a7288b7a</t>
        </is>
      </c>
      <c r="B102" t="inlineStr">
        <is>
          <t>Sr. Applied Scientist, Amazon Advertising</t>
        </is>
      </c>
      <c r="C102" t="inlineStr">
        <is>
          <t>Amazon.com</t>
        </is>
      </c>
      <c r="D102" t="inlineStr">
        <is>
          <t>indeed</t>
        </is>
      </c>
      <c r="E102" t="inlineStr"/>
      <c r="F102" t="inlineStr"/>
      <c r="G102" t="inlineStr">
        <is>
          <t>West Hollywood, CA, US</t>
        </is>
      </c>
      <c r="H102" s="1"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in-938403ba95f191a1</t>
        </is>
      </c>
      <c r="B103" t="inlineStr">
        <is>
          <t>Sr. Applied Scientist, Amazon Advertising</t>
        </is>
      </c>
      <c r="C103" t="inlineStr">
        <is>
          <t>Amazon.com</t>
        </is>
      </c>
      <c r="D103" t="inlineStr">
        <is>
          <t>indeed</t>
        </is>
      </c>
      <c r="E103" t="inlineStr"/>
      <c r="F103" t="inlineStr"/>
      <c r="G103" t="inlineStr">
        <is>
          <t>Seattle, WA, US</t>
        </is>
      </c>
      <c r="H103" s="1"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in-52f0fa76aa7a1943</t>
        </is>
      </c>
      <c r="B104" t="inlineStr">
        <is>
          <t>Applied Scientist, Prime Video - Personalization and Discovery Science</t>
        </is>
      </c>
      <c r="C104" t="inlineStr">
        <is>
          <t>Amazon.com</t>
        </is>
      </c>
      <c r="D104" t="inlineStr">
        <is>
          <t>indeed</t>
        </is>
      </c>
      <c r="E104" t="inlineStr"/>
      <c r="F104" t="inlineStr"/>
      <c r="G104" t="inlineStr">
        <is>
          <t>Sunnyvale, CA, US</t>
        </is>
      </c>
      <c r="H104" s="1" t="n">
        <v>45845</v>
      </c>
      <c r="I1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5">
      <c r="A105" t="inlineStr">
        <is>
          <t>in-6b305f187c2053fa</t>
        </is>
      </c>
      <c r="B105" t="inlineStr">
        <is>
          <t>Applied Scientist, Prime Video - Personalization and Discovery Science</t>
        </is>
      </c>
      <c r="C105" t="inlineStr">
        <is>
          <t>Amazon.com</t>
        </is>
      </c>
      <c r="D105" t="inlineStr">
        <is>
          <t>indeed</t>
        </is>
      </c>
      <c r="E105" t="inlineStr"/>
      <c r="F105" t="inlineStr"/>
      <c r="G105" t="inlineStr">
        <is>
          <t>New York, NY, US</t>
        </is>
      </c>
      <c r="H105" s="1" t="n">
        <v>45845</v>
      </c>
      <c r="I1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6">
      <c r="A106" t="inlineStr">
        <is>
          <t>in-9e1e02438f97ed7d</t>
        </is>
      </c>
      <c r="B106" t="inlineStr">
        <is>
          <t>Applied Scientist, Prime Video - Personalization and Discovery Science</t>
        </is>
      </c>
      <c r="C106" t="inlineStr">
        <is>
          <t>Amazon.com</t>
        </is>
      </c>
      <c r="D106" t="inlineStr">
        <is>
          <t>indeed</t>
        </is>
      </c>
      <c r="E106" t="inlineStr"/>
      <c r="F106" t="inlineStr"/>
      <c r="G106" t="inlineStr">
        <is>
          <t>Seattle, WA, US</t>
        </is>
      </c>
      <c r="H106" s="1" t="n">
        <v>45845</v>
      </c>
      <c r="I1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7">
      <c r="A107" t="inlineStr">
        <is>
          <t>in-131f3d55334da95c</t>
        </is>
      </c>
      <c r="B107" t="inlineStr">
        <is>
          <t>Principal Applied Scientist, Delivery Foundation Model</t>
        </is>
      </c>
      <c r="C107" t="inlineStr">
        <is>
          <t>Amazon.com</t>
        </is>
      </c>
      <c r="D107" t="inlineStr">
        <is>
          <t>indeed</t>
        </is>
      </c>
      <c r="E107" t="inlineStr"/>
      <c r="F107" t="inlineStr"/>
      <c r="G107" t="inlineStr">
        <is>
          <t>New York, NY, US</t>
        </is>
      </c>
      <c r="H107" s="1" t="n">
        <v>45810</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8">
      <c r="A108" t="inlineStr">
        <is>
          <t>in-86824e3507eb5553</t>
        </is>
      </c>
      <c r="B108" t="inlineStr">
        <is>
          <t>Principal Applied Scientist, Delivery Foundation Model</t>
        </is>
      </c>
      <c r="C108" t="inlineStr">
        <is>
          <t>Amazon.com</t>
        </is>
      </c>
      <c r="D108" t="inlineStr">
        <is>
          <t>indeed</t>
        </is>
      </c>
      <c r="E108" t="inlineStr"/>
      <c r="F108" t="inlineStr"/>
      <c r="G108" t="inlineStr">
        <is>
          <t>Austin, TX, US</t>
        </is>
      </c>
      <c r="H108" s="1" t="n">
        <v>45810</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9">
      <c r="A109" t="inlineStr">
        <is>
          <t>in-d07f8afe8afeb19f</t>
        </is>
      </c>
      <c r="B109" t="inlineStr">
        <is>
          <t>Principal Applied Scientist, Delivery Foundation Model</t>
        </is>
      </c>
      <c r="C109" t="inlineStr">
        <is>
          <t>Amazon.com</t>
        </is>
      </c>
      <c r="D109" t="inlineStr">
        <is>
          <t>indeed</t>
        </is>
      </c>
      <c r="E109" t="inlineStr"/>
      <c r="F109" t="inlineStr"/>
      <c r="G109" t="inlineStr">
        <is>
          <t>Bellevue, WA, US</t>
        </is>
      </c>
      <c r="H109" s="1" t="n">
        <v>45810</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0">
      <c r="A110" t="inlineStr">
        <is>
          <t>in-49584ae609748e7f</t>
        </is>
      </c>
      <c r="B110" t="inlineStr">
        <is>
          <t>Principal Applied Scientist, Delivery Foundation Model</t>
        </is>
      </c>
      <c r="C110" t="inlineStr">
        <is>
          <t>Amazon.com</t>
        </is>
      </c>
      <c r="D110" t="inlineStr">
        <is>
          <t>indeed</t>
        </is>
      </c>
      <c r="E110" t="inlineStr"/>
      <c r="F110" t="inlineStr"/>
      <c r="G110" t="inlineStr">
        <is>
          <t>Santa Clara, CA, US</t>
        </is>
      </c>
      <c r="H110" s="1" t="n">
        <v>45810</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1">
      <c r="A111" t="inlineStr">
        <is>
          <t>in-c4041dc7d4be1834</t>
        </is>
      </c>
      <c r="B111" t="inlineStr">
        <is>
          <t>Senior Applied Scientist, Delivery Foundation Model</t>
        </is>
      </c>
      <c r="C111" t="inlineStr">
        <is>
          <t>Amazon.com</t>
        </is>
      </c>
      <c r="D111" t="inlineStr">
        <is>
          <t>indeed</t>
        </is>
      </c>
      <c r="E111" t="inlineStr"/>
      <c r="F111" t="inlineStr"/>
      <c r="G111" t="inlineStr">
        <is>
          <t>Santa Clara, CA, US</t>
        </is>
      </c>
      <c r="H111" s="1" t="n">
        <v>45806</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in-05dfc94085c5b50f</t>
        </is>
      </c>
      <c r="B112" t="inlineStr">
        <is>
          <t>Senior Applied Scientist, Delivery Foundation Model</t>
        </is>
      </c>
      <c r="C112" t="inlineStr">
        <is>
          <t>Amazon.com</t>
        </is>
      </c>
      <c r="D112" t="inlineStr">
        <is>
          <t>indeed</t>
        </is>
      </c>
      <c r="E112" t="inlineStr"/>
      <c r="F112" t="inlineStr"/>
      <c r="G112" t="inlineStr">
        <is>
          <t>New York, NY, US</t>
        </is>
      </c>
      <c r="H112" s="1" t="n">
        <v>45806</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in-e0ff980af64fdd23</t>
        </is>
      </c>
      <c r="B113" t="inlineStr">
        <is>
          <t>Senior Applied Scientist, Delivery Foundation Model</t>
        </is>
      </c>
      <c r="C113" t="inlineStr">
        <is>
          <t>Amazon.com</t>
        </is>
      </c>
      <c r="D113" t="inlineStr">
        <is>
          <t>indeed</t>
        </is>
      </c>
      <c r="E113" t="inlineStr"/>
      <c r="F113" t="inlineStr"/>
      <c r="G113" t="inlineStr">
        <is>
          <t>Bellevue, WA, US</t>
        </is>
      </c>
      <c r="H113" s="1" t="n">
        <v>45806</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in-cb342b7153f635aa</t>
        </is>
      </c>
      <c r="B114" t="inlineStr">
        <is>
          <t>Sr. Applied Scientist - Privacy, Privacy Engineering</t>
        </is>
      </c>
      <c r="C114" t="inlineStr">
        <is>
          <t>Amazon.com</t>
        </is>
      </c>
      <c r="D114" t="inlineStr">
        <is>
          <t>indeed</t>
        </is>
      </c>
      <c r="E114" t="inlineStr"/>
      <c r="F114" t="inlineStr"/>
      <c r="G114" t="inlineStr">
        <is>
          <t>San Francisco, CA, US</t>
        </is>
      </c>
      <c r="H114" s="1" t="n">
        <v>45787</v>
      </c>
      <c r="I11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in-7312be42ec972f31</t>
        </is>
      </c>
      <c r="B115" t="inlineStr">
        <is>
          <t>Sr. Applied Scientist - Privacy, Privacy Engineering</t>
        </is>
      </c>
      <c r="C115" t="inlineStr">
        <is>
          <t>Amazon.com</t>
        </is>
      </c>
      <c r="D115" t="inlineStr">
        <is>
          <t>indeed</t>
        </is>
      </c>
      <c r="E115" t="inlineStr"/>
      <c r="F115" t="inlineStr"/>
      <c r="G115" t="inlineStr">
        <is>
          <t>Seattle, WA, US</t>
        </is>
      </c>
      <c r="H115" s="1" t="n">
        <v>45787</v>
      </c>
      <c r="I11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in-264c98c46f64882c</t>
        </is>
      </c>
      <c r="B116" t="inlineStr">
        <is>
          <t>Sr. Applied Scientist - Privacy, Privacy Engineering</t>
        </is>
      </c>
      <c r="C116" t="inlineStr">
        <is>
          <t>Amazon.com</t>
        </is>
      </c>
      <c r="D116" t="inlineStr">
        <is>
          <t>indeed</t>
        </is>
      </c>
      <c r="E116" t="inlineStr"/>
      <c r="F116" t="inlineStr"/>
      <c r="G116" t="inlineStr">
        <is>
          <t>Sunnyvale, CA, US</t>
        </is>
      </c>
      <c r="H116" s="1" t="n">
        <v>45787</v>
      </c>
      <c r="I11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in-ac595b6627c614ba</t>
        </is>
      </c>
      <c r="B117" t="inlineStr">
        <is>
          <t>Sr. Applied Scientist - Privacy, Privacy Engineering</t>
        </is>
      </c>
      <c r="C117" t="inlineStr">
        <is>
          <t>Amazon.com</t>
        </is>
      </c>
      <c r="D117" t="inlineStr">
        <is>
          <t>indeed</t>
        </is>
      </c>
      <c r="E117" t="inlineStr"/>
      <c r="F117" t="inlineStr"/>
      <c r="G117" t="inlineStr">
        <is>
          <t>Santa Clara, CA, US</t>
        </is>
      </c>
      <c r="H117" s="1" t="n">
        <v>45787</v>
      </c>
      <c r="I11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in-f81286234e298c76</t>
        </is>
      </c>
      <c r="B118" t="inlineStr">
        <is>
          <t>Principal Applied Scientist, Delivery Foundation Model</t>
        </is>
      </c>
      <c r="C118" t="inlineStr">
        <is>
          <t>Amazon.com</t>
        </is>
      </c>
      <c r="D118" t="inlineStr">
        <is>
          <t>indeed</t>
        </is>
      </c>
      <c r="E118" t="inlineStr"/>
      <c r="F118" t="inlineStr"/>
      <c r="G118" t="inlineStr">
        <is>
          <t>New York, NY, US</t>
        </is>
      </c>
      <c r="H118" s="1" t="n">
        <v>45757</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19">
      <c r="A119" t="inlineStr">
        <is>
          <t>in-19867e163a4f6697</t>
        </is>
      </c>
      <c r="B119" t="inlineStr">
        <is>
          <t>Principal Applied Scientist, Delivery Foundation Model</t>
        </is>
      </c>
      <c r="C119" t="inlineStr">
        <is>
          <t>Amazon.com</t>
        </is>
      </c>
      <c r="D119" t="inlineStr">
        <is>
          <t>indeed</t>
        </is>
      </c>
      <c r="E119" t="inlineStr"/>
      <c r="F119" t="inlineStr"/>
      <c r="G119" t="inlineStr">
        <is>
          <t>Bellevue, WA, US</t>
        </is>
      </c>
      <c r="H119" s="1" t="n">
        <v>45757</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0">
      <c r="A120" t="inlineStr">
        <is>
          <t>in-a62cb060bcd8c405</t>
        </is>
      </c>
      <c r="B120" t="inlineStr">
        <is>
          <t>Principal Applied Scientist, Delivery Foundation Model</t>
        </is>
      </c>
      <c r="C120" t="inlineStr">
        <is>
          <t>Amazon.com</t>
        </is>
      </c>
      <c r="D120" t="inlineStr">
        <is>
          <t>indeed</t>
        </is>
      </c>
      <c r="E120" t="inlineStr"/>
      <c r="F120" t="inlineStr"/>
      <c r="G120" t="inlineStr">
        <is>
          <t>Santa Clara, CA, US</t>
        </is>
      </c>
      <c r="H120" s="1" t="n">
        <v>45757</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1">
      <c r="A121" t="inlineStr">
        <is>
          <t>in-12a20329c1dabe3c</t>
        </is>
      </c>
      <c r="B121" t="inlineStr">
        <is>
          <t>Principal Applied Scientist, FAR (Frontier AI &amp; Robotics)</t>
        </is>
      </c>
      <c r="C121" t="inlineStr">
        <is>
          <t>Amazon.com</t>
        </is>
      </c>
      <c r="D121" t="inlineStr">
        <is>
          <t>indeed</t>
        </is>
      </c>
      <c r="E121" t="inlineStr"/>
      <c r="F121" t="inlineStr"/>
      <c r="G121" t="inlineStr">
        <is>
          <t>Seattle, WA, US</t>
        </is>
      </c>
      <c r="H121" s="1" t="n">
        <v>45740</v>
      </c>
      <c r="I12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\- 228,700\.00 \- 309,400\.00 USD annually  
USA, WA, Seattle \- 198,900\.00 \- 269,000\.00 USD annually</t>
        </is>
      </c>
    </row>
    <row r="122">
      <c r="A122" t="inlineStr">
        <is>
          <t>in-23712d803d3f1672</t>
        </is>
      </c>
      <c r="B122" t="inlineStr">
        <is>
          <t>Principal Applied Scientist, FAR (Frontier AI &amp; Robotics)</t>
        </is>
      </c>
      <c r="C122" t="inlineStr">
        <is>
          <t>Amazon.com</t>
        </is>
      </c>
      <c r="D122" t="inlineStr">
        <is>
          <t>indeed</t>
        </is>
      </c>
      <c r="E122" t="inlineStr"/>
      <c r="F122" t="inlineStr"/>
      <c r="G122" t="inlineStr">
        <is>
          <t>San Francisco, CA, US</t>
        </is>
      </c>
      <c r="H122" s="1" t="n">
        <v>45740</v>
      </c>
      <c r="I12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\- 228,700\.00 \- 309,400\.00 USD annually  
USA, WA, Seattle \- 198,900\.00 \- 269,000\.00 USD annually</t>
        </is>
      </c>
    </row>
    <row r="123">
      <c r="A123" t="inlineStr">
        <is>
          <t>in-e444f2a52ddcb696</t>
        </is>
      </c>
      <c r="B123" t="inlineStr">
        <is>
          <t>Senior Manager, Machine Learning Engineering</t>
        </is>
      </c>
      <c r="C123" t="inlineStr">
        <is>
          <t>Capital One</t>
        </is>
      </c>
      <c r="D123" t="inlineStr">
        <is>
          <t>indeed</t>
        </is>
      </c>
      <c r="E123" t="inlineStr"/>
      <c r="F123" t="inlineStr"/>
      <c r="G123" t="inlineStr">
        <is>
          <t>McLean, VA, US</t>
        </is>
      </c>
      <c r="H123" s="1" t="n">
        <v>46086</v>
      </c>
      <c r="I123" t="inlineStr">
        <is>
          <t>Senior Manager, Machine Learning Engineering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 At least 4 years of people management experience
Preferred Qualifications:
* Master's or Doctoral Degree in computer science, electrical engineering, mathematics, or a similar field
* 4\+ years of on\-the\-job experience with an industry recognized ML framework such as scikit\-learn, PyTorch, Dask, Spark, or TensorFlow
* 3\+ years of experience developing performant, resilient, and maintainable code
* 3\+ years of experience with data gathering and preparation for ML models
* Experience developing and deploying ML solutions in a public cloud such as AWS, Azure, or Google Cloud Platform
* 3\+ years of experience building production\-ready data pipelines that feed ML models
* Ability to communicate complex technical concepts clearly to a variety of audiences
* ML industry impact through conference presentations, papers, blog posts, open source contributions, or patents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Machine Learning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4">
      <c r="A124" t="inlineStr">
        <is>
          <t>in-d9f4cd1d239989a5</t>
        </is>
      </c>
      <c r="B124" t="inlineStr">
        <is>
          <t>Machine Learning Engineer 1</t>
        </is>
      </c>
      <c r="C124" t="inlineStr">
        <is>
          <t>Comcast</t>
        </is>
      </c>
      <c r="D124" t="inlineStr">
        <is>
          <t>indeed</t>
        </is>
      </c>
      <c r="E124" t="inlineStr"/>
      <c r="F124" t="inlineStr"/>
      <c r="G124" t="inlineStr">
        <is>
          <t>Philadelphia, PA, US</t>
        </is>
      </c>
      <c r="H124" s="1" t="n">
        <v>46086</v>
      </c>
      <c r="I124"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Responsible for collaborating effectively with peers to contribute to the team's machine learning algorithm development and the software development process. Participates in the evaluation of accuracy and functionality of machine learning algorithms as a part of a larger team. Contributes to translating application requirements into machine learning problem statements. Analyzes and evaluates solutions both internally generated as well as third party supplied. Collaborates with peers to develop ways to use machine learning to solve problems and discover new products, working on a portion of the problem and collaborating with more senior researchers and engineers as needed. Works with moderate guidance in own area of knowledge.**Job Description**
**This position is ineligible for visa sponsorship. To be considered for this role, you must be legally authorized to work in the United States and not require sponsorship for employment now or in the future.**
**Responsibilities:**
* Building a strong intuitive understanding of the problem domain (Next Generation Access Networks). Identify testable hypotheses to explain interesting phenomena in this domain.
* Integrating data from multiple sources including third party sources.
* Data mining using state\-of\-the\-art methods
* Developing actionable quantitative models in the areas of effectiveness, ROI, pricing and optimization.
* Doing ad\-hoc analysis and presenting results in a clear manner
* Creating automated anomaly detection systems and constant tracking of its performance
* Creating automated evaluation environment of complex models and constant tracking of relevant performance
 **Here are some of the specific technologies we use:**
* Spark (AWS EMR, Databricks), AWS Lambda
* Spark Streaming and Batch
* MySQL, Cassandra, HBase, MongoDB, RDBMS
* Java, Scala, Go, Python, R
* Git, Maven, Gradle, Jenkins
* Visualization suite (Tableau, Grafana)
 **Required Skills:**
* College degree in the following areas: Statistics, Data Science, Computer Science or relevant science or engineering discipline.
Understanding of machine learning techniques and algorithms, especially in the deep learning area * \- both theoretical underpinnings and craft (Systems such as Tensorflow, Theano, Caffe, scikit.learn and their APIs).
* Applied statistics skills and understanding of probability distributions, statistical testing, regression, etc.
* Experience with common data science toolkits, such as scikit\-learn, R, etc. Excellence in at least one of these is highly desirable.
* Great communication skills.
* Experience with data visualization tools, such as D3\.js, GGplot, Matplotlib, etc.
* Comfortable in using query languages such as SQL and Hive.
**Here's a look at just some of the perks and benefits we make available to our US\-based employees:**
* Medical \&amp; Dental
* 401(k) Savings Plan
* Generous paid time off
* Life Milestones \- from adoption assistance, childcare resources, pet insurance, and more, Comcast supports you at all life stages.
* Courtesy Services \- We offer all of our full\-time employees in serviceable areas free digital TV and internet.
* **Learn more at****jobs.comcast.com/life\-at\-comcast/benefits**
----------------------------------------------------------------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 This information has been designed to indicate the general nature and level of work performed by employees in this role. It is not designed to contain or be interpreted as a comprehensive inventory of all duties, responsibilities and qualifications.
* **Comcast is an EOE/Veterans/Disabled/LGBT employer.**
* Discount tickets for Universal Resorts, including theme park tickets and onsite hotel rooms.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Customer Experience (CX); Machine Learning (ML); Problem Solving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0\-2 Years</t>
        </is>
      </c>
    </row>
    <row r="125">
      <c r="A125" t="inlineStr">
        <is>
          <t>in-fd9fa865a7561584</t>
        </is>
      </c>
      <c r="B125" t="inlineStr">
        <is>
          <t>ML Engineer, GO-AI Technology &amp; Development Team</t>
        </is>
      </c>
      <c r="C125" t="inlineStr">
        <is>
          <t>Amazon.com</t>
        </is>
      </c>
      <c r="D125" t="inlineStr">
        <is>
          <t>indeed</t>
        </is>
      </c>
      <c r="E125" t="inlineStr"/>
      <c r="F125" t="inlineStr"/>
      <c r="G125" t="inlineStr">
        <is>
          <t>Westborough, MA, US</t>
        </is>
      </c>
      <c r="H125" s="1" t="n">
        <v>45998</v>
      </c>
      <c r="I12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6">
      <c r="A126" t="inlineStr">
        <is>
          <t>in-12a231b8917271de</t>
        </is>
      </c>
      <c r="B126" t="inlineStr">
        <is>
          <t>ML Engineer, GO-AI Technology &amp; Development Team</t>
        </is>
      </c>
      <c r="C126" t="inlineStr">
        <is>
          <t>Amazon.com</t>
        </is>
      </c>
      <c r="D126" t="inlineStr">
        <is>
          <t>indeed</t>
        </is>
      </c>
      <c r="E126" t="inlineStr"/>
      <c r="F126" t="inlineStr"/>
      <c r="G126" t="inlineStr">
        <is>
          <t>Reading, MA, US</t>
        </is>
      </c>
      <c r="H126" s="1" t="n">
        <v>45998</v>
      </c>
      <c r="I12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7">
      <c r="A127" t="inlineStr">
        <is>
          <t>in-a23fb20f99c2da2d</t>
        </is>
      </c>
      <c r="B127" t="inlineStr">
        <is>
          <t>ML Engineer, GO-AI Technology &amp; Development Team</t>
        </is>
      </c>
      <c r="C127" t="inlineStr">
        <is>
          <t>Amazon.com</t>
        </is>
      </c>
      <c r="D127" t="inlineStr">
        <is>
          <t>indeed</t>
        </is>
      </c>
      <c r="E127" t="inlineStr"/>
      <c r="F127" t="inlineStr"/>
      <c r="G127" t="inlineStr">
        <is>
          <t>Seattle, WA, US</t>
        </is>
      </c>
      <c r="H127" s="1" t="n">
        <v>45998</v>
      </c>
      <c r="I12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8">
      <c r="A128" t="inlineStr">
        <is>
          <t>in-8138716d3cc4262e</t>
        </is>
      </c>
      <c r="B128" t="inlineStr">
        <is>
          <t>ML Engineer, GO-AI Technology &amp; Development Team</t>
        </is>
      </c>
      <c r="C128" t="inlineStr">
        <is>
          <t>Amazon.com</t>
        </is>
      </c>
      <c r="D128" t="inlineStr">
        <is>
          <t>indeed</t>
        </is>
      </c>
      <c r="E128" t="inlineStr"/>
      <c r="F128" t="inlineStr"/>
      <c r="G128" t="inlineStr">
        <is>
          <t>Boston, MA, US</t>
        </is>
      </c>
      <c r="H128" s="1" t="n">
        <v>45998</v>
      </c>
      <c r="I12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9">
      <c r="A129" t="inlineStr">
        <is>
          <t>in-46ee0264face8bb4</t>
        </is>
      </c>
      <c r="B129" t="inlineStr">
        <is>
          <t>Applied Scientist II, Prime Video Personalization and Discovery Science</t>
        </is>
      </c>
      <c r="C129" t="inlineStr">
        <is>
          <t>Amazon.com</t>
        </is>
      </c>
      <c r="D129" t="inlineStr">
        <is>
          <t>indeed</t>
        </is>
      </c>
      <c r="E129">
        <f>HYPERLINK("https://www.indeed.com/viewjob?jk=46ee0264face8bb4", "https://www.indeed.com/viewjob?jk=46ee0264face8bb4")</f>
        <v/>
      </c>
      <c r="F129">
        <f>HYPERLINK("https://www.amazon.jobs/jobs/3165157/applied-scientist-ii-prime-video-personalization-and-discovery-science?cmpid=DA_INAD200785B", "https://www.amazon.jobs/jobs/3165157/applied-scientist-ii-prime-video-personalization-and-discovery-science?cmpid=DA_INAD200785B")</f>
        <v/>
      </c>
      <c r="G129" t="inlineStr">
        <is>
          <t>Sunnyvale, CA, US</t>
        </is>
      </c>
      <c r="H129" s="2" t="n">
        <v>46034</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30">
      <c r="A130" t="inlineStr">
        <is>
          <t>in-fb1ed7dee60f7c40</t>
        </is>
      </c>
      <c r="B130" t="inlineStr">
        <is>
          <t>Sr. Applied Scientist, Amazon Ads</t>
        </is>
      </c>
      <c r="C130" t="inlineStr">
        <is>
          <t>Amazon.com</t>
        </is>
      </c>
      <c r="D130" t="inlineStr">
        <is>
          <t>indeed</t>
        </is>
      </c>
      <c r="E130">
        <f>HYPERLINK("https://www.indeed.com/viewjob?jk=fb1ed7dee60f7c40", "https://www.indeed.com/viewjob?jk=fb1ed7dee60f7c40")</f>
        <v/>
      </c>
      <c r="F130">
        <f>HYPERLINK("https://www.amazon.jobs/jobs/3139328/sr-applied-scientist-amazon-ads?cmpid=DA_INAD200785B", "https://www.amazon.jobs/jobs/3139328/sr-applied-scientist-amazon-ads?cmpid=DA_INAD200785B")</f>
        <v/>
      </c>
      <c r="G130" t="inlineStr">
        <is>
          <t>Sunnyvale, CA, US</t>
        </is>
      </c>
      <c r="H130" s="2" t="n">
        <v>45998</v>
      </c>
      <c r="I1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1">
      <c r="A131" t="inlineStr">
        <is>
          <t>in-ec961d1aad220856</t>
        </is>
      </c>
      <c r="B131" t="inlineStr">
        <is>
          <t>Sr. Applied Scientist, Amazon Ads</t>
        </is>
      </c>
      <c r="C131" t="inlineStr">
        <is>
          <t>Amazon.com</t>
        </is>
      </c>
      <c r="D131" t="inlineStr">
        <is>
          <t>indeed</t>
        </is>
      </c>
      <c r="E131">
        <f>HYPERLINK("https://www.indeed.com/viewjob?jk=ec961d1aad220856", "https://www.indeed.com/viewjob?jk=ec961d1aad220856")</f>
        <v/>
      </c>
      <c r="F131">
        <f>HYPERLINK("https://www.amazon.jobs/jobs/3139328/sr-applied-scientist-amazon-ads?cmpid=DA_INAD200785B", "https://www.amazon.jobs/jobs/3139328/sr-applied-scientist-amazon-ads?cmpid=DA_INAD200785B")</f>
        <v/>
      </c>
      <c r="G131" t="inlineStr">
        <is>
          <t>Palo Alto, CA, US</t>
        </is>
      </c>
      <c r="H131" s="2" t="n">
        <v>45998</v>
      </c>
      <c r="I1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2">
      <c r="A132" t="inlineStr">
        <is>
          <t>in-b4a63e4702bc9c03</t>
        </is>
      </c>
      <c r="B132" t="inlineStr">
        <is>
          <t>Sr. Applied Scientist, Amazon Ads</t>
        </is>
      </c>
      <c r="C132" t="inlineStr">
        <is>
          <t>Amazon.com</t>
        </is>
      </c>
      <c r="D132" t="inlineStr">
        <is>
          <t>indeed</t>
        </is>
      </c>
      <c r="E132">
        <f>HYPERLINK("https://www.indeed.com/viewjob?jk=b4a63e4702bc9c03", "https://www.indeed.com/viewjob?jk=b4a63e4702bc9c03")</f>
        <v/>
      </c>
      <c r="F132">
        <f>HYPERLINK("https://www.amazon.jobs/jobs/3139328/sr-applied-scientist-amazon-ads?cmpid=DA_INAD200785B", "https://www.amazon.jobs/jobs/3139328/sr-applied-scientist-amazon-ads?cmpid=DA_INAD200785B")</f>
        <v/>
      </c>
      <c r="G132" t="inlineStr">
        <is>
          <t>Boston, MA, US</t>
        </is>
      </c>
      <c r="H132" s="2" t="n">
        <v>45998</v>
      </c>
      <c r="I1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3">
      <c r="A133" t="inlineStr">
        <is>
          <t>in-793f7c9c0f535d1e</t>
        </is>
      </c>
      <c r="B133" t="inlineStr">
        <is>
          <t>Sr. Applied Scientist, Amazon Ads</t>
        </is>
      </c>
      <c r="C133" t="inlineStr">
        <is>
          <t>Amazon.com</t>
        </is>
      </c>
      <c r="D133" t="inlineStr">
        <is>
          <t>indeed</t>
        </is>
      </c>
      <c r="E133">
        <f>HYPERLINK("https://www.indeed.com/viewjob?jk=793f7c9c0f535d1e", "https://www.indeed.com/viewjob?jk=793f7c9c0f535d1e")</f>
        <v/>
      </c>
      <c r="F133">
        <f>HYPERLINK("https://www.amazon.jobs/jobs/3139328/sr-applied-scientist-amazon-ads?cmpid=DA_INAD200785B", "https://www.amazon.jobs/jobs/3139328/sr-applied-scientist-amazon-ads?cmpid=DA_INAD200785B")</f>
        <v/>
      </c>
      <c r="G133" t="inlineStr">
        <is>
          <t>Boulder, CO, US</t>
        </is>
      </c>
      <c r="H133" s="2" t="n">
        <v>45998</v>
      </c>
      <c r="I1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4">
      <c r="A134" t="inlineStr">
        <is>
          <t>in-4754cda29305bf58</t>
        </is>
      </c>
      <c r="B134" t="inlineStr">
        <is>
          <t>Sr. Applied Scientist, Amazon Ads</t>
        </is>
      </c>
      <c r="C134" t="inlineStr">
        <is>
          <t>Amazon.com</t>
        </is>
      </c>
      <c r="D134" t="inlineStr">
        <is>
          <t>indeed</t>
        </is>
      </c>
      <c r="E134">
        <f>HYPERLINK("https://www.indeed.com/viewjob?jk=4754cda29305bf58", "https://www.indeed.com/viewjob?jk=4754cda29305bf58")</f>
        <v/>
      </c>
      <c r="F134">
        <f>HYPERLINK("https://www.amazon.jobs/jobs/3139328/sr-applied-scientist-amazon-ads?cmpid=DA_INAD200785B", "https://www.amazon.jobs/jobs/3139328/sr-applied-scientist-amazon-ads?cmpid=DA_INAD200785B")</f>
        <v/>
      </c>
      <c r="G134" t="inlineStr">
        <is>
          <t>Brooklyn, NY, US</t>
        </is>
      </c>
      <c r="H134" s="2" t="n">
        <v>45998</v>
      </c>
      <c r="I1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5">
      <c r="A135" t="inlineStr">
        <is>
          <t>in-6a211c09f03d6b71</t>
        </is>
      </c>
      <c r="B135" t="inlineStr">
        <is>
          <t>Sr. Applied Scientist, Amazon Ads</t>
        </is>
      </c>
      <c r="C135" t="inlineStr">
        <is>
          <t>Amazon.com</t>
        </is>
      </c>
      <c r="D135" t="inlineStr">
        <is>
          <t>indeed</t>
        </is>
      </c>
      <c r="E135">
        <f>HYPERLINK("https://www.indeed.com/viewjob?jk=6a211c09f03d6b71", "https://www.indeed.com/viewjob?jk=6a211c09f03d6b71")</f>
        <v/>
      </c>
      <c r="F135">
        <f>HYPERLINK("https://www.amazon.jobs/jobs/3139328/sr-applied-scientist-amazon-ads?cmpid=DA_INAD200785B", "https://www.amazon.jobs/jobs/3139328/sr-applied-scientist-amazon-ads?cmpid=DA_INAD200785B")</f>
        <v/>
      </c>
      <c r="G135" t="inlineStr">
        <is>
          <t>New York, NY, US</t>
        </is>
      </c>
      <c r="H135" s="2" t="n">
        <v>45998</v>
      </c>
      <c r="I1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6">
      <c r="A136" t="inlineStr">
        <is>
          <t>in-eb25a62925bf76af</t>
        </is>
      </c>
      <c r="B136" t="inlineStr">
        <is>
          <t>Sr. Applied Scientist, Amazon Ads</t>
        </is>
      </c>
      <c r="C136" t="inlineStr">
        <is>
          <t>Amazon.com</t>
        </is>
      </c>
      <c r="D136" t="inlineStr">
        <is>
          <t>indeed</t>
        </is>
      </c>
      <c r="E136">
        <f>HYPERLINK("https://www.indeed.com/viewjob?jk=eb25a62925bf76af", "https://www.indeed.com/viewjob?jk=eb25a62925bf76af")</f>
        <v/>
      </c>
      <c r="F136">
        <f>HYPERLINK("https://www.amazon.jobs/jobs/3139328/sr-applied-scientist-amazon-ads?cmpid=DA_INAD200785B", "https://www.amazon.jobs/jobs/3139328/sr-applied-scientist-amazon-ads?cmpid=DA_INAD200785B")</f>
        <v/>
      </c>
      <c r="G136" t="inlineStr">
        <is>
          <t>Corvallis, OR, US</t>
        </is>
      </c>
      <c r="H136" s="2" t="n">
        <v>45998</v>
      </c>
      <c r="I1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7">
      <c r="A137" t="inlineStr">
        <is>
          <t>in-c2090b0a0a3a64c2</t>
        </is>
      </c>
      <c r="B137" t="inlineStr">
        <is>
          <t>Sr. Applied Scientist, Amazon Ads</t>
        </is>
      </c>
      <c r="C137" t="inlineStr">
        <is>
          <t>Amazon.com</t>
        </is>
      </c>
      <c r="D137" t="inlineStr">
        <is>
          <t>indeed</t>
        </is>
      </c>
      <c r="E137">
        <f>HYPERLINK("https://www.indeed.com/viewjob?jk=c2090b0a0a3a64c2", "https://www.indeed.com/viewjob?jk=c2090b0a0a3a64c2")</f>
        <v/>
      </c>
      <c r="F137">
        <f>HYPERLINK("https://www.amazon.jobs/jobs/3139328/sr-applied-scientist-amazon-ads?cmpid=DA_INAD200785B", "https://www.amazon.jobs/jobs/3139328/sr-applied-scientist-amazon-ads?cmpid=DA_INAD200785B")</f>
        <v/>
      </c>
      <c r="G137" t="inlineStr">
        <is>
          <t>Santa Monica, CA, US</t>
        </is>
      </c>
      <c r="H137" s="2" t="n">
        <v>45998</v>
      </c>
      <c r="I1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8">
      <c r="A138" t="inlineStr">
        <is>
          <t>in-00f1fb6c4e8baf57</t>
        </is>
      </c>
      <c r="B138" t="inlineStr">
        <is>
          <t>Sr. Applied Scientist, Amazon Ads</t>
        </is>
      </c>
      <c r="C138" t="inlineStr">
        <is>
          <t>Amazon.com</t>
        </is>
      </c>
      <c r="D138" t="inlineStr">
        <is>
          <t>indeed</t>
        </is>
      </c>
      <c r="E138">
        <f>HYPERLINK("https://www.indeed.com/viewjob?jk=00f1fb6c4e8baf57", "https://www.indeed.com/viewjob?jk=00f1fb6c4e8baf57")</f>
        <v/>
      </c>
      <c r="F138">
        <f>HYPERLINK("https://www.amazon.jobs/jobs/3139328/sr-applied-scientist-amazon-ads?cmpid=DA_INAD200785B", "https://www.amazon.jobs/jobs/3139328/sr-applied-scientist-amazon-ads?cmpid=DA_INAD200785B")</f>
        <v/>
      </c>
      <c r="G138" t="inlineStr">
        <is>
          <t>Seattle, WA, US</t>
        </is>
      </c>
      <c r="H138" s="2" t="n">
        <v>45998</v>
      </c>
      <c r="I1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9">
      <c r="A139" t="inlineStr">
        <is>
          <t>in-2a0f227b07cf9187</t>
        </is>
      </c>
      <c r="B139" t="inlineStr">
        <is>
          <t>Sr. Applied Scientist, Amazon Ads</t>
        </is>
      </c>
      <c r="C139" t="inlineStr">
        <is>
          <t>Amazon.com</t>
        </is>
      </c>
      <c r="D139" t="inlineStr">
        <is>
          <t>indeed</t>
        </is>
      </c>
      <c r="E139">
        <f>HYPERLINK("https://www.indeed.com/viewjob?jk=2a0f227b07cf9187", "https://www.indeed.com/viewjob?jk=2a0f227b07cf9187")</f>
        <v/>
      </c>
      <c r="F139">
        <f>HYPERLINK("https://www.amazon.jobs/jobs/3139328/sr-applied-scientist-amazon-ads?cmpid=DA_INAD200785B", "https://www.amazon.jobs/jobs/3139328/sr-applied-scientist-amazon-ads?cmpid=DA_INAD200785B")</f>
        <v/>
      </c>
      <c r="G139" t="inlineStr">
        <is>
          <t>Tukwila, WA, US</t>
        </is>
      </c>
      <c r="H139" s="2" t="n">
        <v>45998</v>
      </c>
      <c r="I1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0">
      <c r="A140" t="inlineStr">
        <is>
          <t>in-a02f11f30aa71bea</t>
        </is>
      </c>
      <c r="B140" t="inlineStr">
        <is>
          <t>Senior Applied Scientist, Sponsored Products and Brands</t>
        </is>
      </c>
      <c r="C140" t="inlineStr">
        <is>
          <t>Amazon.com</t>
        </is>
      </c>
      <c r="D140" t="inlineStr">
        <is>
          <t>indeed</t>
        </is>
      </c>
      <c r="E140">
        <f>HYPERLINK("https://www.indeed.com/viewjob?jk=a02f11f30aa71bea", "https://www.indeed.com/viewjob?jk=a02f11f30aa71bea")</f>
        <v/>
      </c>
      <c r="F140">
        <f>HYPERLINK("https://www.amazon.jobs/jobs/3130062/senior-applied-scientist-sponsored-products-and-brands?cmpid=DA_INAD200785B", "https://www.amazon.jobs/jobs/3130062/senior-applied-scientist-sponsored-products-and-brands?cmpid=DA_INAD200785B")</f>
        <v/>
      </c>
      <c r="G140" t="inlineStr">
        <is>
          <t>New York, NY, US</t>
        </is>
      </c>
      <c r="H140" s="2" t="n">
        <v>45979</v>
      </c>
      <c r="I14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41">
      <c r="A141" t="inlineStr">
        <is>
          <t>in-58ad19d4c4623517</t>
        </is>
      </c>
      <c r="B141" t="inlineStr">
        <is>
          <t>Senior Applied Scientist, Sponsored Products and Brands</t>
        </is>
      </c>
      <c r="C141" t="inlineStr">
        <is>
          <t>Amazon.com</t>
        </is>
      </c>
      <c r="D141" t="inlineStr">
        <is>
          <t>indeed</t>
        </is>
      </c>
      <c r="E141">
        <f>HYPERLINK("https://www.indeed.com/viewjob?jk=58ad19d4c4623517", "https://www.indeed.com/viewjob?jk=58ad19d4c4623517")</f>
        <v/>
      </c>
      <c r="F141">
        <f>HYPERLINK("https://www.amazon.jobs/jobs/3130062/senior-applied-scientist-sponsored-products-and-brands?cmpid=DA_INAD200785B", "https://www.amazon.jobs/jobs/3130062/senior-applied-scientist-sponsored-products-and-brands?cmpid=DA_INAD200785B")</f>
        <v/>
      </c>
      <c r="G141" t="inlineStr">
        <is>
          <t>Seattle, WA, US</t>
        </is>
      </c>
      <c r="H141" s="2" t="n">
        <v>45979</v>
      </c>
      <c r="I14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42">
      <c r="A142" t="inlineStr">
        <is>
          <t>in-6c3179941412de8b</t>
        </is>
      </c>
      <c r="B142" t="inlineStr">
        <is>
          <t>Applied Scientist II, Prime Video - Personalization and Discovery Science, Personalization and Discovery Science</t>
        </is>
      </c>
      <c r="C142" t="inlineStr">
        <is>
          <t>Amazon.com</t>
        </is>
      </c>
      <c r="D142" t="inlineStr">
        <is>
          <t>indeed</t>
        </is>
      </c>
      <c r="E142">
        <f>HYPERLINK("https://www.indeed.com/viewjob?jk=6c3179941412de8b", "https://www.indeed.com/viewjob?jk=6c3179941412de8b")</f>
        <v/>
      </c>
      <c r="F14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2" t="inlineStr">
        <is>
          <t>Sunnyvale, CA, US</t>
        </is>
      </c>
      <c r="H142" s="2" t="n">
        <v>45930</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in-16daa72a1a717b6d</t>
        </is>
      </c>
      <c r="B143" t="inlineStr">
        <is>
          <t>Applied Scientist II, Prime Video - Personalization and Discovery Science, Personalization and Discovery Science</t>
        </is>
      </c>
      <c r="C143" t="inlineStr">
        <is>
          <t>Amazon.com</t>
        </is>
      </c>
      <c r="D143" t="inlineStr">
        <is>
          <t>indeed</t>
        </is>
      </c>
      <c r="E143">
        <f>HYPERLINK("https://www.indeed.com/viewjob?jk=16daa72a1a717b6d", "https://www.indeed.com/viewjob?jk=16daa72a1a717b6d")</f>
        <v/>
      </c>
      <c r="F14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3" t="inlineStr">
        <is>
          <t>New York, NY, US</t>
        </is>
      </c>
      <c r="H143" s="2" t="n">
        <v>45930</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in-a4cea7d866bbce93</t>
        </is>
      </c>
      <c r="B144" t="inlineStr">
        <is>
          <t>Applied Scientist II, Prime Video - Personalization and Discovery Science, Personalization and Discovery Science</t>
        </is>
      </c>
      <c r="C144" t="inlineStr">
        <is>
          <t>Amazon.com</t>
        </is>
      </c>
      <c r="D144" t="inlineStr">
        <is>
          <t>indeed</t>
        </is>
      </c>
      <c r="E144">
        <f>HYPERLINK("https://www.indeed.com/viewjob?jk=a4cea7d866bbce93", "https://www.indeed.com/viewjob?jk=a4cea7d866bbce93")</f>
        <v/>
      </c>
      <c r="F14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4" t="inlineStr">
        <is>
          <t>Seattle, WA, US</t>
        </is>
      </c>
      <c r="H144" s="2" t="n">
        <v>45930</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in-0d3ffcedae3b93be</t>
        </is>
      </c>
      <c r="B145" t="inlineStr">
        <is>
          <t>Sr. Applied Scientist, Prime Video - Personalization and Discovery Science</t>
        </is>
      </c>
      <c r="C145" t="inlineStr">
        <is>
          <t>Amazon.com</t>
        </is>
      </c>
      <c r="D145" t="inlineStr">
        <is>
          <t>indeed</t>
        </is>
      </c>
      <c r="E145">
        <f>HYPERLINK("https://www.indeed.com/viewjob?jk=0d3ffcedae3b93be", "https://www.indeed.com/viewjob?jk=0d3ffcedae3b93be")</f>
        <v/>
      </c>
      <c r="F145">
        <f>HYPERLINK("https://www.amazon.jobs/jobs/3084479/sr-applied-scientist-prime-video--personalization-and-discovery-science?cmpid=DA_INAD200785B", "https://www.amazon.jobs/jobs/3084479/sr-applied-scientist-prime-video--personalization-and-discovery-science?cmpid=DA_INAD200785B")</f>
        <v/>
      </c>
      <c r="G145" t="inlineStr">
        <is>
          <t>Sunnyvale, CA, US</t>
        </is>
      </c>
      <c r="H145" s="2" t="n">
        <v>45896</v>
      </c>
      <c r="I1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46">
      <c r="A146" t="inlineStr">
        <is>
          <t>in-fc2ba9c6efc0287d</t>
        </is>
      </c>
      <c r="B146" t="inlineStr">
        <is>
          <t>Sr. Applied Scientist, Prime Video - Personalization and Discovery Science</t>
        </is>
      </c>
      <c r="C146" t="inlineStr">
        <is>
          <t>Amazon.com</t>
        </is>
      </c>
      <c r="D146" t="inlineStr">
        <is>
          <t>indeed</t>
        </is>
      </c>
      <c r="E146">
        <f>HYPERLINK("https://www.indeed.com/viewjob?jk=fc2ba9c6efc0287d", "https://www.indeed.com/viewjob?jk=fc2ba9c6efc0287d")</f>
        <v/>
      </c>
      <c r="F146">
        <f>HYPERLINK("https://www.amazon.jobs/jobs/3059256/sr-applied-scientist-prime-video--personalization-and-discovery-science?cmpid=DA_INAD200785B", "https://www.amazon.jobs/jobs/3059256/sr-applied-scientist-prime-video--personalization-and-discovery-science?cmpid=DA_INAD200785B")</f>
        <v/>
      </c>
      <c r="G146" t="inlineStr">
        <is>
          <t>New York, NY, US</t>
        </is>
      </c>
      <c r="H146" s="2" t="n">
        <v>45881</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in-04368b179e19495c</t>
        </is>
      </c>
      <c r="B147" t="inlineStr">
        <is>
          <t>Sr. Applied Scientist, Prime Video - Personalization and Discovery Science</t>
        </is>
      </c>
      <c r="C147" t="inlineStr">
        <is>
          <t>Amazon.com</t>
        </is>
      </c>
      <c r="D147" t="inlineStr">
        <is>
          <t>indeed</t>
        </is>
      </c>
      <c r="E147">
        <f>HYPERLINK("https://www.indeed.com/viewjob?jk=04368b179e19495c", "https://www.indeed.com/viewjob?jk=04368b179e19495c")</f>
        <v/>
      </c>
      <c r="F147">
        <f>HYPERLINK("https://www.amazon.jobs/jobs/3059256/sr-applied-scientist-prime-video--personalization-and-discovery-science?cmpid=DA_INAD200785B", "https://www.amazon.jobs/jobs/3059256/sr-applied-scientist-prime-video--personalization-and-discovery-science?cmpid=DA_INAD200785B")</f>
        <v/>
      </c>
      <c r="G147" t="inlineStr">
        <is>
          <t>Sunnyvale, CA, US</t>
        </is>
      </c>
      <c r="H147" s="2" t="n">
        <v>45881</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in-a883bf0adec41700</t>
        </is>
      </c>
      <c r="B148" t="inlineStr">
        <is>
          <t>Applied Scientist II, Prime Video - Personalization and Discovery Science</t>
        </is>
      </c>
      <c r="C148" t="inlineStr">
        <is>
          <t>Amazon.com</t>
        </is>
      </c>
      <c r="D148" t="inlineStr">
        <is>
          <t>indeed</t>
        </is>
      </c>
      <c r="E148">
        <f>HYPERLINK("https://www.indeed.com/viewjob?jk=a883bf0adec41700", "https://www.indeed.com/viewjob?jk=a883bf0adec41700")</f>
        <v/>
      </c>
      <c r="F148">
        <f>HYPERLINK("https://www.amazon.jobs/jobs/3059253/applied-scientist-ii-prime-video--personalization-and-discovery-science?cmpid=DA_INAD200785B", "https://www.amazon.jobs/jobs/3059253/applied-scientist-ii-prime-video--personalization-and-discovery-science?cmpid=DA_INAD200785B")</f>
        <v/>
      </c>
      <c r="G148" t="inlineStr">
        <is>
          <t>Seattle, WA, US</t>
        </is>
      </c>
      <c r="H148" s="2" t="n">
        <v>45881</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in-99c663617e29cae9</t>
        </is>
      </c>
      <c r="B149" t="inlineStr">
        <is>
          <t>Applied Scientist II, Prime Video - Personalization and Discovery Science</t>
        </is>
      </c>
      <c r="C149" t="inlineStr">
        <is>
          <t>Amazon.com</t>
        </is>
      </c>
      <c r="D149" t="inlineStr">
        <is>
          <t>indeed</t>
        </is>
      </c>
      <c r="E149">
        <f>HYPERLINK("https://www.indeed.com/viewjob?jk=99c663617e29cae9", "https://www.indeed.com/viewjob?jk=99c663617e29cae9")</f>
        <v/>
      </c>
      <c r="F149">
        <f>HYPERLINK("https://www.amazon.jobs/jobs/3059253/applied-scientist-ii-prime-video--personalization-and-discovery-science?cmpid=DA_INAD200785B", "https://www.amazon.jobs/jobs/3059253/applied-scientist-ii-prime-video--personalization-and-discovery-science?cmpid=DA_INAD200785B")</f>
        <v/>
      </c>
      <c r="G149" t="inlineStr">
        <is>
          <t>New York, NY, US</t>
        </is>
      </c>
      <c r="H149" s="2" t="n">
        <v>45881</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in-5c4074877dbb42e0</t>
        </is>
      </c>
      <c r="B150" t="inlineStr">
        <is>
          <t>Applied Scientist II, Prime Video - Personalization and Discovery Science</t>
        </is>
      </c>
      <c r="C150" t="inlineStr">
        <is>
          <t>Amazon.com</t>
        </is>
      </c>
      <c r="D150" t="inlineStr">
        <is>
          <t>indeed</t>
        </is>
      </c>
      <c r="E150">
        <f>HYPERLINK("https://www.indeed.com/viewjob?jk=5c4074877dbb42e0", "https://www.indeed.com/viewjob?jk=5c4074877dbb42e0")</f>
        <v/>
      </c>
      <c r="F150">
        <f>HYPERLINK("https://www.amazon.jobs/jobs/3059253/applied-scientist-ii-prime-video--personalization-and-discovery-science?cmpid=DA_INAD200785B", "https://www.amazon.jobs/jobs/3059253/applied-scientist-ii-prime-video--personalization-and-discovery-science?cmpid=DA_INAD200785B")</f>
        <v/>
      </c>
      <c r="G150" t="inlineStr">
        <is>
          <t>Sunnyvale, CA, US</t>
        </is>
      </c>
      <c r="H150" s="2" t="n">
        <v>45881</v>
      </c>
      <c r="I1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in-126d6f8d02d5cfc7</t>
        </is>
      </c>
      <c r="B151" t="inlineStr">
        <is>
          <t>Sr. Applied Scientist, Prime Video - Personalization and Discovery Science</t>
        </is>
      </c>
      <c r="C151" t="inlineStr">
        <is>
          <t>Amazon.com</t>
        </is>
      </c>
      <c r="D151" t="inlineStr">
        <is>
          <t>indeed</t>
        </is>
      </c>
      <c r="E151">
        <f>HYPERLINK("https://www.indeed.com/viewjob?jk=126d6f8d02d5cfc7", "https://www.indeed.com/viewjob?jk=126d6f8d02d5cfc7")</f>
        <v/>
      </c>
      <c r="F151">
        <f>HYPERLINK("https://www.amazon.jobs/jobs/3059256/sr-applied-scientist-prime-video--personalization-and-discovery-science?cmpid=DA_INAD200785B", "https://www.amazon.jobs/jobs/3059256/sr-applied-scientist-prime-video--personalization-and-discovery-science?cmpid=DA_INAD200785B")</f>
        <v/>
      </c>
      <c r="G151" t="inlineStr">
        <is>
          <t>Seattle, WA, US</t>
        </is>
      </c>
      <c r="H151" s="2" t="n">
        <v>45881</v>
      </c>
      <c r="I1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in-eb3231dae835e790</t>
        </is>
      </c>
      <c r="B152" t="inlineStr">
        <is>
          <t>Applied Scientist , Prime Video - Personalization and Discovery Science</t>
        </is>
      </c>
      <c r="C152" t="inlineStr">
        <is>
          <t>Amazon.com</t>
        </is>
      </c>
      <c r="D152" t="inlineStr">
        <is>
          <t>indeed</t>
        </is>
      </c>
      <c r="E152">
        <f>HYPERLINK("https://www.indeed.com/viewjob?jk=eb3231dae835e790", "https://www.indeed.com/viewjob?jk=eb3231dae835e790")</f>
        <v/>
      </c>
      <c r="F152">
        <f>HYPERLINK("https://www.amazon.jobs/jobs/3183547/applied-scientist--prime-video--personalization-and-discovery-science?cmpid=DA_INAD200785B", "https://www.amazon.jobs/jobs/3183547/applied-scientist--prime-video--personalization-and-discovery-science?cmpid=DA_INAD200785B")</f>
        <v/>
      </c>
      <c r="G152" t="inlineStr">
        <is>
          <t>Sunnyvale, CA, US</t>
        </is>
      </c>
      <c r="H152" s="2" t="n">
        <v>46069</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3">
      <c r="A153" t="inlineStr">
        <is>
          <t>in-196bfd6852b96d48</t>
        </is>
      </c>
      <c r="B153" t="inlineStr">
        <is>
          <t>Applied Scientist , Prime Video - Personalization and Discovery Science</t>
        </is>
      </c>
      <c r="C153" t="inlineStr">
        <is>
          <t>Amazon.com</t>
        </is>
      </c>
      <c r="D153" t="inlineStr">
        <is>
          <t>indeed</t>
        </is>
      </c>
      <c r="E153">
        <f>HYPERLINK("https://www.indeed.com/viewjob?jk=196bfd6852b96d48", "https://www.indeed.com/viewjob?jk=196bfd6852b96d48")</f>
        <v/>
      </c>
      <c r="F153">
        <f>HYPERLINK("https://www.amazon.jobs/jobs/3183547/applied-scientist--prime-video--personalization-and-discovery-science?cmpid=DA_INAD200785B", "https://www.amazon.jobs/jobs/3183547/applied-scientist--prime-video--personalization-and-discovery-science?cmpid=DA_INAD200785B")</f>
        <v/>
      </c>
      <c r="G153" t="inlineStr">
        <is>
          <t>Seattle, WA, US</t>
        </is>
      </c>
      <c r="H153" s="2" t="n">
        <v>46069</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4">
      <c r="A154" t="inlineStr">
        <is>
          <t>in-ea0bb4d01e1cbdc0</t>
        </is>
      </c>
      <c r="B154" t="inlineStr">
        <is>
          <t>Senior Applied Scientist, Customer Experience and Business Trends</t>
        </is>
      </c>
      <c r="C154" t="inlineStr">
        <is>
          <t>Amazon.com</t>
        </is>
      </c>
      <c r="D154" t="inlineStr">
        <is>
          <t>indeed</t>
        </is>
      </c>
      <c r="E154">
        <f>HYPERLINK("https://www.indeed.com/viewjob?jk=ea0bb4d01e1cbdc0", "https://www.indeed.com/viewjob?jk=ea0bb4d01e1cbdc0")</f>
        <v/>
      </c>
      <c r="F154">
        <f>HYPERLINK("https://www.amazon.jobs/jobs/3178338/senior-applied-scientist-customer-experience-and-business-trends-?cmpid=DA_INAD200785B", "https://www.amazon.jobs/jobs/3178338/senior-applied-scientist-customer-experience-and-business-trends-?cmpid=DA_INAD200785B")</f>
        <v/>
      </c>
      <c r="G154" t="inlineStr">
        <is>
          <t>Arlington, VA, US</t>
        </is>
      </c>
      <c r="H154" s="2" t="n">
        <v>46062</v>
      </c>
      <c r="I154" t="inlineStr">
        <is>
          <t>**DESCRIPTION**
---------------
Customer Experience and Business Trends (CXBT) is looking for an Applied Scientist to join their team. CXBT's mission is to create best\-in\-class AI agents that seamlessly integrate multimodal inputs like speech, images, and video, enabling natural, empathetic, and adaptive interactions. We leverage advanced architectures, cross\-modal learning, interpretability, and responsible AI techniques to provide coherent, context\-aware responses augmented by real\-time knowledge retrieval.  
The ideal candidate will have expertise in Large Language Models (LLMs), speech, audio, Natural Language processing (NLP) or multimodal learning to pioneer innovations in data simulation, representation, generation, reasoning, retrieval, and evaluation.  
Key job responsibilities  
* Build scalable solutions for real\-time conversational experiences, including multilingual support, customizable personalities, and conversational turn\-taking.
* Develop data simulation approaches that mimic real\-world speech interactions.
* Research and implement novel algorithms and modeling techniques.
* Acquire and curate diverse datasets while ensuring user privacy.
* Create robust evaluation metrics and test sets to assess language model performance.
* Integrate human feedback to improve data selection and model performance.
* Innovate in data representation and model training techniques.
* Apply responsible AI practices throughout the development process.
A day in the life  
Our team is dedicated to improving Amazon's products and services through evaluation of the end\-to\-end customer experience using both internal and external processes and technology. Our mission is to deeply understand our customers' experiences, challenge the status quo, and provide insights that drive innovation to improve that experience. Through our analysis and insights, we inform business decisions that directly impact customer experience as customers of new GenAI and LLM technologies.  
About the team  
Customer Experience and Business Trends (CXBT) is an organization made up of a diverse suite of functions dedicated to deeply understanding and improving customer experience, globally. We are a team of builders that develop products, services, ideas, and various ways of leveraging data to influence product and service offerings – for almost every business at Amazon – for every customer (e.g., consumers, developers, sellers/brands, employees, investors, streamers, gamers).  
Our approach is based on determining the customer need, along with problem solving, and we work backwards from there. We use technical and non\-technical approaches and stay aware of industry and business trends. We are a global team, made up of a diverse set of profiles, skills, and backgrounds – including: Product Managers, Software Developers, Computer Vision experts, Solutions Architects, Data Scientists, Business Intelligence Engineers, Business Analysts, Risk Managers, and more.**BASIC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\- 167,100\.00 \- 226,100\.00 USD annually  
USA, WA, Seattle \- 167,100\.00 \- 226,100\.00 USD annually</t>
        </is>
      </c>
    </row>
    <row r="155">
      <c r="A155" t="inlineStr">
        <is>
          <t>in-70393fd7f50d7b0f</t>
        </is>
      </c>
      <c r="B155" t="inlineStr">
        <is>
          <t>Applied Scientist, AWS Applied AI Solutions</t>
        </is>
      </c>
      <c r="C155" t="inlineStr">
        <is>
          <t>Amazon.com</t>
        </is>
      </c>
      <c r="D155" t="inlineStr">
        <is>
          <t>indeed</t>
        </is>
      </c>
      <c r="E155">
        <f>HYPERLINK("https://www.indeed.com/viewjob?jk=70393fd7f50d7b0f", "https://www.indeed.com/viewjob?jk=70393fd7f50d7b0f")</f>
        <v/>
      </c>
      <c r="F155">
        <f>HYPERLINK("https://www.amazon.jobs/jobs/3184564/applied-scientist-aws-applied-ai-solutions?cmpid=DA_INAD200785B", "https://www.amazon.jobs/jobs/3184564/applied-scientist-aws-applied-ai-solutions?cmpid=DA_INAD200785B")</f>
        <v/>
      </c>
      <c r="G155" t="inlineStr">
        <is>
          <t>New York, NY, US</t>
        </is>
      </c>
      <c r="H155" s="2" t="n">
        <v>46061</v>
      </c>
      <c r="I15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56">
      <c r="A156" t="inlineStr">
        <is>
          <t>in-510c750b9af9bab9</t>
        </is>
      </c>
      <c r="B156" t="inlineStr">
        <is>
          <t>Applied Scientist, AWS Applied AI Solutions</t>
        </is>
      </c>
      <c r="C156" t="inlineStr">
        <is>
          <t>Amazon.com</t>
        </is>
      </c>
      <c r="D156" t="inlineStr">
        <is>
          <t>indeed</t>
        </is>
      </c>
      <c r="E156">
        <f>HYPERLINK("https://www.indeed.com/viewjob?jk=510c750b9af9bab9", "https://www.indeed.com/viewjob?jk=510c750b9af9bab9")</f>
        <v/>
      </c>
      <c r="F156">
        <f>HYPERLINK("https://www.amazon.jobs/jobs/3184564/applied-scientist-aws-applied-ai-solutions?cmpid=DA_INAD200785B", "https://www.amazon.jobs/jobs/3184564/applied-scientist-aws-applied-ai-solutions?cmpid=DA_INAD200785B")</f>
        <v/>
      </c>
      <c r="G156" t="inlineStr">
        <is>
          <t>Seattle, WA, US</t>
        </is>
      </c>
      <c r="H156" s="2" t="n">
        <v>46061</v>
      </c>
      <c r="I156"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57">
      <c r="A157" t="inlineStr">
        <is>
          <t>in-7670f399e61c82a6</t>
        </is>
      </c>
      <c r="B157" t="inlineStr">
        <is>
          <t>Principal Applied Scientist, AWS Marketplace &amp; Partner Services</t>
        </is>
      </c>
      <c r="C157" t="inlineStr">
        <is>
          <t>Amazon Web Services</t>
        </is>
      </c>
      <c r="D157" t="inlineStr">
        <is>
          <t>indeed</t>
        </is>
      </c>
      <c r="E157">
        <f>HYPERLINK("https://www.indeed.com/viewjob?jk=7670f399e61c82a6", "https://www.indeed.com/viewjob?jk=7670f399e61c82a6")</f>
        <v/>
      </c>
      <c r="F157">
        <f>HYPERLINK("https://www.amazon.jobs/jobs/3177084/principal-applied-scientist-aws-marketplace--partner-services?cmpid=DA_INAD200785B", "https://www.amazon.jobs/jobs/3177084/principal-applied-scientist-aws-marketplace--partner-services?cmpid=DA_INAD200785B")</f>
        <v/>
      </c>
      <c r="G157" t="inlineStr">
        <is>
          <t>Seattle, WA, US</t>
        </is>
      </c>
      <c r="H157" s="2" t="n">
        <v>46056</v>
      </c>
      <c r="I157"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58">
      <c r="A158" t="inlineStr">
        <is>
          <t>in-735ad88dfa3739f7</t>
        </is>
      </c>
      <c r="B158" t="inlineStr">
        <is>
          <t>Principal Applied Scientist, AWS Marketplace &amp; Partner Services</t>
        </is>
      </c>
      <c r="C158" t="inlineStr">
        <is>
          <t>Amazon Web Services</t>
        </is>
      </c>
      <c r="D158" t="inlineStr">
        <is>
          <t>indeed</t>
        </is>
      </c>
      <c r="E158">
        <f>HYPERLINK("https://www.indeed.com/viewjob?jk=735ad88dfa3739f7", "https://www.indeed.com/viewjob?jk=735ad88dfa3739f7")</f>
        <v/>
      </c>
      <c r="F158">
        <f>HYPERLINK("https://www.amazon.jobs/jobs/3177084/principal-applied-scientist-aws-marketplace--partner-services?cmpid=DA_INAD200785B", "https://www.amazon.jobs/jobs/3177084/principal-applied-scientist-aws-marketplace--partner-services?cmpid=DA_INAD200785B")</f>
        <v/>
      </c>
      <c r="G158" t="inlineStr">
        <is>
          <t>New York, NY, US</t>
        </is>
      </c>
      <c r="H158" s="2" t="n">
        <v>46056</v>
      </c>
      <c r="I158"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59">
      <c r="A159" t="inlineStr">
        <is>
          <t>in-2496633d6a5fc200</t>
        </is>
      </c>
      <c r="B159" t="inlineStr">
        <is>
          <t>Principal Applied Scientist, AWS Marketplace &amp; Partner Services</t>
        </is>
      </c>
      <c r="C159" t="inlineStr">
        <is>
          <t>Amazon Web Services</t>
        </is>
      </c>
      <c r="D159" t="inlineStr">
        <is>
          <t>indeed</t>
        </is>
      </c>
      <c r="E159">
        <f>HYPERLINK("https://www.indeed.com/viewjob?jk=2496633d6a5fc200", "https://www.indeed.com/viewjob?jk=2496633d6a5fc200")</f>
        <v/>
      </c>
      <c r="F159">
        <f>HYPERLINK("https://www.amazon.jobs/jobs/3177084/principal-applied-scientist-aws-marketplace--partner-services?cmpid=DA_INAD200785B", "https://www.amazon.jobs/jobs/3177084/principal-applied-scientist-aws-marketplace--partner-services?cmpid=DA_INAD200785B")</f>
        <v/>
      </c>
      <c r="G159" t="inlineStr">
        <is>
          <t>Austin, TX, US</t>
        </is>
      </c>
      <c r="H159" s="2" t="n">
        <v>46056</v>
      </c>
      <c r="I159"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60">
      <c r="A160" t="inlineStr">
        <is>
          <t>in-6f0667dd6a6baebe</t>
        </is>
      </c>
      <c r="B160" t="inlineStr">
        <is>
          <t>Principal Applied Scientist, AWS Marketplace &amp; Partner Services</t>
        </is>
      </c>
      <c r="C160" t="inlineStr">
        <is>
          <t>Amazon Web Services</t>
        </is>
      </c>
      <c r="D160" t="inlineStr">
        <is>
          <t>indeed</t>
        </is>
      </c>
      <c r="E160">
        <f>HYPERLINK("https://www.indeed.com/viewjob?jk=6f0667dd6a6baebe", "https://www.indeed.com/viewjob?jk=6f0667dd6a6baebe")</f>
        <v/>
      </c>
      <c r="F160">
        <f>HYPERLINK("https://www.amazon.jobs/jobs/3177084/principal-applied-scientist-aws-marketplace--partner-services?cmpid=DA_INAD200785B", "https://www.amazon.jobs/jobs/3177084/principal-applied-scientist-aws-marketplace--partner-services?cmpid=DA_INAD200785B")</f>
        <v/>
      </c>
      <c r="G160" t="inlineStr">
        <is>
          <t>San Diego, CA, US</t>
        </is>
      </c>
      <c r="H160" s="2" t="n">
        <v>46056</v>
      </c>
      <c r="I160"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61">
      <c r="A161" t="inlineStr">
        <is>
          <t>in-4c7bf36cfc34c246</t>
        </is>
      </c>
      <c r="B161" t="inlineStr">
        <is>
          <t>Sr. Applied Scientist, AWS Healthcare-AI</t>
        </is>
      </c>
      <c r="C161" t="inlineStr">
        <is>
          <t>Amazon.com</t>
        </is>
      </c>
      <c r="D161" t="inlineStr">
        <is>
          <t>indeed</t>
        </is>
      </c>
      <c r="E161">
        <f>HYPERLINK("https://www.indeed.com/viewjob?jk=4c7bf36cfc34c246", "https://www.indeed.com/viewjob?jk=4c7bf36cfc34c246")</f>
        <v/>
      </c>
      <c r="F161">
        <f>HYPERLINK("https://www.amazon.jobs/jobs/3179064/sr-applied-scientist-aws-healthcareai?cmpid=DA_INAD200785B", "https://www.amazon.jobs/jobs/3179064/sr-applied-scientist-aws-healthcareai?cmpid=DA_INAD200785B")</f>
        <v/>
      </c>
      <c r="G161" t="inlineStr">
        <is>
          <t>Mountain View, CA, US</t>
        </is>
      </c>
      <c r="H161" s="2" t="n">
        <v>46055</v>
      </c>
      <c r="I161"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62">
      <c r="A162" t="inlineStr">
        <is>
          <t>in-6e24495d9fb0ceaf</t>
        </is>
      </c>
      <c r="B162" t="inlineStr">
        <is>
          <t>Sr. Applied Scientist, AWS Healthcare-AI</t>
        </is>
      </c>
      <c r="C162" t="inlineStr">
        <is>
          <t>Amazon.com</t>
        </is>
      </c>
      <c r="D162" t="inlineStr">
        <is>
          <t>indeed</t>
        </is>
      </c>
      <c r="E162">
        <f>HYPERLINK("https://www.indeed.com/viewjob?jk=6e24495d9fb0ceaf", "https://www.indeed.com/viewjob?jk=6e24495d9fb0ceaf")</f>
        <v/>
      </c>
      <c r="F162">
        <f>HYPERLINK("https://www.amazon.jobs/jobs/3179064/sr-applied-scientist-aws-healthcareai?cmpid=DA_INAD200785B", "https://www.amazon.jobs/jobs/3179064/sr-applied-scientist-aws-healthcareai?cmpid=DA_INAD200785B")</f>
        <v/>
      </c>
      <c r="G162" t="inlineStr">
        <is>
          <t>Seattle, WA, US</t>
        </is>
      </c>
      <c r="H162" s="2" t="n">
        <v>46055</v>
      </c>
      <c r="I162"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63">
      <c r="A163" t="inlineStr">
        <is>
          <t>in-63022226f289b24e</t>
        </is>
      </c>
      <c r="B163" t="inlineStr">
        <is>
          <t>Applied Scientist (Contract), Artificial General Intelligence</t>
        </is>
      </c>
      <c r="C163" t="inlineStr">
        <is>
          <t>Amazon.com</t>
        </is>
      </c>
      <c r="D163" t="inlineStr">
        <is>
          <t>indeed</t>
        </is>
      </c>
      <c r="E163">
        <f>HYPERLINK("https://www.indeed.com/viewjob?jk=63022226f289b24e", "https://www.indeed.com/viewjob?jk=63022226f289b24e")</f>
        <v/>
      </c>
      <c r="F163">
        <f>HYPERLINK("https://www.amazon.jobs/jobs/3179169/applied-scientist-contract-artificial-general-intelligence?cmpid=DA_INAD200785B", "https://www.amazon.jobs/jobs/3179169/applied-scientist-contract-artificial-general-intelligence?cmpid=DA_INAD200785B")</f>
        <v/>
      </c>
      <c r="G163" t="inlineStr">
        <is>
          <t>Boston, MA, US</t>
        </is>
      </c>
      <c r="H163" s="2" t="n">
        <v>46055</v>
      </c>
      <c r="I163"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4">
      <c r="A164" t="inlineStr">
        <is>
          <t>in-f80f2bb5871ad582</t>
        </is>
      </c>
      <c r="B164" t="inlineStr">
        <is>
          <t>Applied Scientist (Contract), Artificial General Intelligence</t>
        </is>
      </c>
      <c r="C164" t="inlineStr">
        <is>
          <t>Amazon.com</t>
        </is>
      </c>
      <c r="D164" t="inlineStr">
        <is>
          <t>indeed</t>
        </is>
      </c>
      <c r="E164">
        <f>HYPERLINK("https://www.indeed.com/viewjob?jk=f80f2bb5871ad582", "https://www.indeed.com/viewjob?jk=f80f2bb5871ad582")</f>
        <v/>
      </c>
      <c r="F164">
        <f>HYPERLINK("https://www.amazon.jobs/jobs/3179169/applied-scientist-contract-artificial-general-intelligence?cmpid=DA_INAD200785B", "https://www.amazon.jobs/jobs/3179169/applied-scientist-contract-artificial-general-intelligence?cmpid=DA_INAD200785B")</f>
        <v/>
      </c>
      <c r="G164" t="inlineStr">
        <is>
          <t>Bellevue, WA, US</t>
        </is>
      </c>
      <c r="H164" s="2" t="n">
        <v>46055</v>
      </c>
      <c r="I16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5">
      <c r="A165" t="inlineStr">
        <is>
          <t>in-7c5048ee1e95bcac</t>
        </is>
      </c>
      <c r="B165" t="inlineStr">
        <is>
          <t>Applied Scientist (Contract), Artificial General Intelligence</t>
        </is>
      </c>
      <c r="C165" t="inlineStr">
        <is>
          <t>Amazon.com</t>
        </is>
      </c>
      <c r="D165" t="inlineStr">
        <is>
          <t>indeed</t>
        </is>
      </c>
      <c r="E165">
        <f>HYPERLINK("https://www.indeed.com/viewjob?jk=7c5048ee1e95bcac", "https://www.indeed.com/viewjob?jk=7c5048ee1e95bcac")</f>
        <v/>
      </c>
      <c r="F165">
        <f>HYPERLINK("https://www.amazon.jobs/jobs/3179168/applied-scientist-contract-artificial-general-intelligence?cmpid=DA_INAD200785B", "https://www.amazon.jobs/jobs/3179168/applied-scientist-contract-artificial-general-intelligence?cmpid=DA_INAD200785B")</f>
        <v/>
      </c>
      <c r="G165" t="inlineStr">
        <is>
          <t>Bellevue, WA, US</t>
        </is>
      </c>
      <c r="H165" s="2" t="n">
        <v>46055</v>
      </c>
      <c r="I16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6">
      <c r="A166" t="inlineStr">
        <is>
          <t>in-c828d4612a499e20</t>
        </is>
      </c>
      <c r="B166" t="inlineStr">
        <is>
          <t>Applied Scientist (Contract), Artificial General Intelligence</t>
        </is>
      </c>
      <c r="C166" t="inlineStr">
        <is>
          <t>Amazon.com</t>
        </is>
      </c>
      <c r="D166" t="inlineStr">
        <is>
          <t>indeed</t>
        </is>
      </c>
      <c r="E166">
        <f>HYPERLINK("https://www.indeed.com/viewjob?jk=c828d4612a499e20", "https://www.indeed.com/viewjob?jk=c828d4612a499e20")</f>
        <v/>
      </c>
      <c r="F166">
        <f>HYPERLINK("https://www.amazon.jobs/jobs/3179188/applied-scientist-contract-artificial-general-intelligence?cmpid=DA_INAD200785B", "https://www.amazon.jobs/jobs/3179188/applied-scientist-contract-artificial-general-intelligence?cmpid=DA_INAD200785B")</f>
        <v/>
      </c>
      <c r="G166" t="inlineStr">
        <is>
          <t>Boston, MA, US</t>
        </is>
      </c>
      <c r="H166" s="2" t="n">
        <v>46055</v>
      </c>
      <c r="I16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7">
      <c r="A167" t="inlineStr">
        <is>
          <t>in-f26bd2c87d51c2fa</t>
        </is>
      </c>
      <c r="B167" t="inlineStr">
        <is>
          <t>Applied Scientist (Contract), Artificial General Intelligence</t>
        </is>
      </c>
      <c r="C167" t="inlineStr">
        <is>
          <t>Amazon.com</t>
        </is>
      </c>
      <c r="D167" t="inlineStr">
        <is>
          <t>indeed</t>
        </is>
      </c>
      <c r="E167">
        <f>HYPERLINK("https://www.indeed.com/viewjob?jk=f26bd2c87d51c2fa", "https://www.indeed.com/viewjob?jk=f26bd2c87d51c2fa")</f>
        <v/>
      </c>
      <c r="F167">
        <f>HYPERLINK("https://www.amazon.jobs/jobs/3179168/applied-scientist-contract-artificial-general-intelligence?cmpid=DA_INAD200785B", "https://www.amazon.jobs/jobs/3179168/applied-scientist-contract-artificial-general-intelligence?cmpid=DA_INAD200785B")</f>
        <v/>
      </c>
      <c r="G167" t="inlineStr">
        <is>
          <t>Boston, MA, US</t>
        </is>
      </c>
      <c r="H167" s="2" t="n">
        <v>46055</v>
      </c>
      <c r="I167"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8">
      <c r="A168" t="inlineStr">
        <is>
          <t>in-e1bd7ab29013c90a</t>
        </is>
      </c>
      <c r="B168" t="inlineStr">
        <is>
          <t>Applied Scientist (Contract), Artificial General Intelligence</t>
        </is>
      </c>
      <c r="C168" t="inlineStr">
        <is>
          <t>Amazon.com</t>
        </is>
      </c>
      <c r="D168" t="inlineStr">
        <is>
          <t>indeed</t>
        </is>
      </c>
      <c r="E168">
        <f>HYPERLINK("https://www.indeed.com/viewjob?jk=e1bd7ab29013c90a", "https://www.indeed.com/viewjob?jk=e1bd7ab29013c90a")</f>
        <v/>
      </c>
      <c r="F168">
        <f>HYPERLINK("https://www.amazon.jobs/jobs/3179188/applied-scientist-contract-artificial-general-intelligence?cmpid=DA_INAD200785B", "https://www.amazon.jobs/jobs/3179188/applied-scientist-contract-artificial-general-intelligence?cmpid=DA_INAD200785B")</f>
        <v/>
      </c>
      <c r="G168" t="inlineStr">
        <is>
          <t>Bellevue, WA, US</t>
        </is>
      </c>
      <c r="H168" s="2" t="n">
        <v>46055</v>
      </c>
      <c r="I168"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9">
      <c r="A169" t="inlineStr">
        <is>
          <t>in-8134391dda619170</t>
        </is>
      </c>
      <c r="B169" t="inlineStr">
        <is>
          <t>Applied Scientist (Contract), Artificial General Intelligence</t>
        </is>
      </c>
      <c r="C169" t="inlineStr">
        <is>
          <t>Amazon.com</t>
        </is>
      </c>
      <c r="D169" t="inlineStr">
        <is>
          <t>indeed</t>
        </is>
      </c>
      <c r="E169">
        <f>HYPERLINK("https://www.indeed.com/viewjob?jk=8134391dda619170", "https://www.indeed.com/viewjob?jk=8134391dda619170")</f>
        <v/>
      </c>
      <c r="F169">
        <f>HYPERLINK("https://www.amazon.jobs/jobs/3179187/applied-scientist-contract-artificial-general-intelligence?cmpid=DA_INAD200785B", "https://www.amazon.jobs/jobs/3179187/applied-scientist-contract-artificial-general-intelligence?cmpid=DA_INAD200785B")</f>
        <v/>
      </c>
      <c r="G169" t="inlineStr">
        <is>
          <t>Boston, MA, US</t>
        </is>
      </c>
      <c r="H169" s="2" t="n">
        <v>46051</v>
      </c>
      <c r="I16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0">
      <c r="A170" t="inlineStr">
        <is>
          <t>in-a70e9a009938febf</t>
        </is>
      </c>
      <c r="B170" t="inlineStr">
        <is>
          <t>Applied Scientist (Contract), Artificial General Intelligence</t>
        </is>
      </c>
      <c r="C170" t="inlineStr">
        <is>
          <t>Amazon.com</t>
        </is>
      </c>
      <c r="D170" t="inlineStr">
        <is>
          <t>indeed</t>
        </is>
      </c>
      <c r="E170">
        <f>HYPERLINK("https://www.indeed.com/viewjob?jk=a70e9a009938febf", "https://www.indeed.com/viewjob?jk=a70e9a009938febf")</f>
        <v/>
      </c>
      <c r="F170">
        <f>HYPERLINK("https://www.amazon.jobs/jobs/3179187/applied-scientist-contract-artificial-general-intelligence?cmpid=DA_INAD200785B", "https://www.amazon.jobs/jobs/3179187/applied-scientist-contract-artificial-general-intelligence?cmpid=DA_INAD200785B")</f>
        <v/>
      </c>
      <c r="G170" t="inlineStr">
        <is>
          <t>Bellevue, WA, US</t>
        </is>
      </c>
      <c r="H170" s="2" t="n">
        <v>46051</v>
      </c>
      <c r="I17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1">
      <c r="A171" t="inlineStr">
        <is>
          <t>in-19fd69b2876bf5a7</t>
        </is>
      </c>
      <c r="B171" t="inlineStr">
        <is>
          <t>Applied Scientist I, Customer Experience and Business Trends</t>
        </is>
      </c>
      <c r="C171" t="inlineStr">
        <is>
          <t>Amazon.com</t>
        </is>
      </c>
      <c r="D171" t="inlineStr">
        <is>
          <t>indeed</t>
        </is>
      </c>
      <c r="E171">
        <f>HYPERLINK("https://www.indeed.com/viewjob?jk=19fd69b2876bf5a7", "https://www.indeed.com/viewjob?jk=19fd69b2876bf5a7")</f>
        <v/>
      </c>
      <c r="F171">
        <f>HYPERLINK("https://www.amazon.jobs/jobs/3170930/applied-scientist-i-customer-experience-and-business-trends?cmpid=DA_INAD200785B", "https://www.amazon.jobs/jobs/3170930/applied-scientist-i-customer-experience-and-business-trends?cmpid=DA_INAD200785B")</f>
        <v/>
      </c>
      <c r="G171" t="inlineStr">
        <is>
          <t>Arlington, VA, US</t>
        </is>
      </c>
      <c r="H171" s="2" t="n">
        <v>46051</v>
      </c>
      <c r="I171" t="inlineStr">
        <is>
          <t>**DESCRIPTION**
---------------
Customer Experience and Business Trends (CXBT) is looking for an Applied Scientist to join its team. CXBT's mission is to create best\-in\-class AI agents that seamlessly integrate multimodal inputs, enabling natural, empathetic, and adaptive interactions. We leverage advanced architectures, cross\-modal learning, interpretability, and responsible AI techniques to provide coherent, context\-aware responses augmented by real\-time knowledge retrieval.  
As part of CXBT, we have a vision to revolutionize how we understand, test, and optimize customer experiences at scale. Where traditional testing approaches fall short, we create AI\-powered solutions that enable rapid experimentation, de\-risk product launches, and generate actionable insights, \-all before a single real customer is impacted.  
Be a part of our agentic initiative and shape how Amazon leverages artificial intelligence to run tests at scale and improve customer experiences.  
As an Applied Scientist, you will research state\-of\-the\-art techniques in agent\-based modeling, and lead scientific innovation by building foundational agentic simulation capabilities.
If you are passionate about the intersection of AI and human behavior modeling, and want to fundamentally influence how Amazon tests and improves customer experiences, this role offers a great opportunity to make your mark.  
Key job responsibilities  
* Design and implement frameworks for creating representative, diverse agents that faithfully capture real\-world characteristics
* Use state\-of\-the\-art techniques in user modeling and behavioral simulation to build robust agentic frameworks
* Develop data simulation approaches that mimic real\-world speech interactions.
* Research and implement novel algorithms and modeling techniques.
* Acquire and curate diverse datasets while ensuring user privacy.
* Create robust evaluation metrics and test sets to assess language model performance.
* Innovate in data representation and model training techniques.
* Apply responsible AI practices throughout the development process.
* Write clear, scientific documentation describing methodologies, solutions, and design choices.
A day in the life  
Our team is dedicated to improving Amazon's products and services through evaluation of the end\-to\-end customer experience using both internal and external processes and technology. Our mission is to deeply understand our customers' experiences, challenge the status quo, and provide insights that drive innovation to improve that experience. Through our analysis and insights, we inform business decisions that directly impact customer experience as customers of new GenAI and LLM technologies.  
About the team  
Customer Experience and Business Trends (CXBT) is an organization made up of a diverse suite of functions dedicated to deeply understanding and improving customer experience, globally. We are a team of builders that develop products, services, ideas, and various ways of leveraging data to influence product and service offerings – for almost every business at Amazon – for every customer (e.g., consumers, developers, sellers/brands, employees, investors, streamers, gamers).**BASIC QUALIFICATIONS**
------------------------
* 1\+ years of building models for business application experience
* Experience with any programming language such as Python, Java, C\+\+
* Experience in any of the following areas: algorithms and data structures, parsing, numerical optimization, data mining, parallel and distributed computing, high\-performance computing
* Experience with Machine Learning and Large Language Model fundamentals, including architecture, training/inference lifecycles, and optimization of model execution, or experience in developing and deploying LLMs in production on GPUs, Neuron, TPU or other AI acceleration hardware
* PhD, or Master's degree and 4\+ years of CS, CE, ML or related field experience
**PREFERRED QUALIFICATIONS**
----------------------------
* Experience in professional software development
* Experience building machine learning models or developing algorithms for business application
* Have publications on top\-tier conferences, such as CVPR, ICCV, ECCV or NeurIPS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WA, Seattle \- 136,000\.00 \- 184,000\.00 USD annually</t>
        </is>
      </c>
    </row>
    <row r="172">
      <c r="A172" t="inlineStr">
        <is>
          <t>in-5260368beb1a10d0</t>
        </is>
      </c>
      <c r="B172" t="inlineStr">
        <is>
          <t>Sr. Applied Scientist - SLAM, Amazon Industrial Robotics</t>
        </is>
      </c>
      <c r="C172" t="inlineStr">
        <is>
          <t>Amazon.com</t>
        </is>
      </c>
      <c r="D172" t="inlineStr">
        <is>
          <t>indeed</t>
        </is>
      </c>
      <c r="E172">
        <f>HYPERLINK("https://www.indeed.com/viewjob?jk=5260368beb1a10d0", "https://www.indeed.com/viewjob?jk=5260368beb1a10d0")</f>
        <v/>
      </c>
      <c r="F172">
        <f>HYPERLINK("https://www.amazon.jobs/jobs/3172078/sr-applied-scientist--slam-amazon-industrial-robotics?cmpid=DA_INAD200785B", "https://www.amazon.jobs/jobs/3172078/sr-applied-scientist--slam-amazon-industrial-robotics?cmpid=DA_INAD200785B")</f>
        <v/>
      </c>
      <c r="G172" t="inlineStr">
        <is>
          <t>Reading, MA, US</t>
        </is>
      </c>
      <c r="H172" s="2" t="n">
        <v>46050</v>
      </c>
      <c r="I172"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73">
      <c r="A173" t="inlineStr">
        <is>
          <t>in-e0dc602038ae82bf</t>
        </is>
      </c>
      <c r="B173" t="inlineStr">
        <is>
          <t>Sr. Applied Scientist - SLAM, Amazon Industrial Robotics</t>
        </is>
      </c>
      <c r="C173" t="inlineStr">
        <is>
          <t>Amazon.com</t>
        </is>
      </c>
      <c r="D173" t="inlineStr">
        <is>
          <t>indeed</t>
        </is>
      </c>
      <c r="E173">
        <f>HYPERLINK("https://www.indeed.com/viewjob?jk=e0dc602038ae82bf", "https://www.indeed.com/viewjob?jk=e0dc602038ae82bf")</f>
        <v/>
      </c>
      <c r="F173">
        <f>HYPERLINK("https://www.amazon.jobs/jobs/3172078/sr-applied-scientist--slam-amazon-industrial-robotics?cmpid=DA_INAD200785B", "https://www.amazon.jobs/jobs/3172078/sr-applied-scientist--slam-amazon-industrial-robotics?cmpid=DA_INAD200785B")</f>
        <v/>
      </c>
      <c r="G173" t="inlineStr">
        <is>
          <t>Reading, MA, US</t>
        </is>
      </c>
      <c r="H173" s="2" t="n">
        <v>46050</v>
      </c>
      <c r="I173"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74">
      <c r="A174" t="inlineStr">
        <is>
          <t>in-7fa5de97ec33aca2</t>
        </is>
      </c>
      <c r="B174" t="inlineStr">
        <is>
          <t>Principal Applied Scientist, Sensing, Industrial Robotics Group</t>
        </is>
      </c>
      <c r="C174" t="inlineStr">
        <is>
          <t>Amazon.com</t>
        </is>
      </c>
      <c r="D174" t="inlineStr">
        <is>
          <t>indeed</t>
        </is>
      </c>
      <c r="E174">
        <f>HYPERLINK("https://www.indeed.com/viewjob?jk=7fa5de97ec33aca2", "https://www.indeed.com/viewjob?jk=7fa5de97ec33aca2")</f>
        <v/>
      </c>
      <c r="F174">
        <f>HYPERLINK("https://www.amazon.jobs/jobs/3170953/principal-applied-scientist-sensing-industrial-robotics-group-?cmpid=DA_INAD200785B", "https://www.amazon.jobs/jobs/3170953/principal-applied-scientist-sensing-industrial-robotics-group-?cmpid=DA_INAD200785B")</f>
        <v/>
      </c>
      <c r="G174" t="inlineStr">
        <is>
          <t>Reading, MA, US</t>
        </is>
      </c>
      <c r="H174" s="2" t="n">
        <v>46050</v>
      </c>
      <c r="I174"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75">
      <c r="A175" t="inlineStr">
        <is>
          <t>in-a027a554d6dc6fc5</t>
        </is>
      </c>
      <c r="B175" t="inlineStr">
        <is>
          <t>Principal Applied Scientist, Sensing, Industrial Robotics Group</t>
        </is>
      </c>
      <c r="C175" t="inlineStr">
        <is>
          <t>Amazon.com</t>
        </is>
      </c>
      <c r="D175" t="inlineStr">
        <is>
          <t>indeed</t>
        </is>
      </c>
      <c r="E175">
        <f>HYPERLINK("https://www.indeed.com/viewjob?jk=a027a554d6dc6fc5", "https://www.indeed.com/viewjob?jk=a027a554d6dc6fc5")</f>
        <v/>
      </c>
      <c r="F175">
        <f>HYPERLINK("https://www.amazon.jobs/jobs/3170953/principal-applied-scientist-sensing-industrial-robotics-group-?cmpid=DA_INAD200785B", "https://www.amazon.jobs/jobs/3170953/principal-applied-scientist-sensing-industrial-robotics-group-?cmpid=DA_INAD200785B")</f>
        <v/>
      </c>
      <c r="G175" t="inlineStr">
        <is>
          <t>Reading, MA, US</t>
        </is>
      </c>
      <c r="H175" s="2" t="n">
        <v>46050</v>
      </c>
      <c r="I175"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76">
      <c r="A176" t="inlineStr">
        <is>
          <t>in-833498f149c9f0e1</t>
        </is>
      </c>
      <c r="B176" t="inlineStr">
        <is>
          <t>Applied Scientist, Amazon Connect</t>
        </is>
      </c>
      <c r="C176" t="inlineStr">
        <is>
          <t>Amazon Web Services</t>
        </is>
      </c>
      <c r="D176" t="inlineStr">
        <is>
          <t>indeed</t>
        </is>
      </c>
      <c r="E176">
        <f>HYPERLINK("https://www.indeed.com/viewjob?jk=833498f149c9f0e1", "https://www.indeed.com/viewjob?jk=833498f149c9f0e1")</f>
        <v/>
      </c>
      <c r="F176">
        <f>HYPERLINK("https://www.amazon.jobs/jobs/3168981/applied-scientist-amazon-connect?cmpid=DA_INAD200785B", "https://www.amazon.jobs/jobs/3168981/applied-scientist-amazon-connect?cmpid=DA_INAD200785B")</f>
        <v/>
      </c>
      <c r="G176" t="inlineStr">
        <is>
          <t>New York, NY, US</t>
        </is>
      </c>
      <c r="H176" s="2" t="n">
        <v>46047</v>
      </c>
      <c r="I17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7">
      <c r="A177" t="inlineStr">
        <is>
          <t>in-2d291fd23b13c448</t>
        </is>
      </c>
      <c r="B177" t="inlineStr">
        <is>
          <t>Applied Scientist II, Prime Video Personalization and Discovery Science</t>
        </is>
      </c>
      <c r="C177" t="inlineStr">
        <is>
          <t>Amazon.com</t>
        </is>
      </c>
      <c r="D177" t="inlineStr">
        <is>
          <t>indeed</t>
        </is>
      </c>
      <c r="E177">
        <f>HYPERLINK("https://www.indeed.com/viewjob?jk=2d291fd23b13c448", "https://www.indeed.com/viewjob?jk=2d291fd23b13c448")</f>
        <v/>
      </c>
      <c r="F177">
        <f>HYPERLINK("https://www.amazon.jobs/jobs/3168905/applied-scientist-ii-prime-video-personalization-and-discovery-science?cmpid=DA_INAD200785B", "https://www.amazon.jobs/jobs/3168905/applied-scientist-ii-prime-video-personalization-and-discovery-science?cmpid=DA_INAD200785B")</f>
        <v/>
      </c>
      <c r="G177" t="inlineStr">
        <is>
          <t>Seattle, WA, US</t>
        </is>
      </c>
      <c r="H177" s="2" t="n">
        <v>46047</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8">
      <c r="A178" t="inlineStr">
        <is>
          <t>in-0c44abc33d705ac1</t>
        </is>
      </c>
      <c r="B178" t="inlineStr">
        <is>
          <t>Applied Scientist, Amazon Connect</t>
        </is>
      </c>
      <c r="C178" t="inlineStr">
        <is>
          <t>Amazon Web Services</t>
        </is>
      </c>
      <c r="D178" t="inlineStr">
        <is>
          <t>indeed</t>
        </is>
      </c>
      <c r="E178">
        <f>HYPERLINK("https://www.indeed.com/viewjob?jk=0c44abc33d705ac1", "https://www.indeed.com/viewjob?jk=0c44abc33d705ac1")</f>
        <v/>
      </c>
      <c r="F178">
        <f>HYPERLINK("https://www.amazon.jobs/jobs/3168981/applied-scientist-amazon-connect?cmpid=DA_INAD200785B", "https://www.amazon.jobs/jobs/3168981/applied-scientist-amazon-connect?cmpid=DA_INAD200785B")</f>
        <v/>
      </c>
      <c r="G178" t="inlineStr">
        <is>
          <t>Seattle, WA, US</t>
        </is>
      </c>
      <c r="H178" s="2" t="n">
        <v>46047</v>
      </c>
      <c r="I178"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79">
      <c r="A179" t="inlineStr">
        <is>
          <t>in-e95e74979ed9113b</t>
        </is>
      </c>
      <c r="B179" t="inlineStr">
        <is>
          <t>Applied Scientist II, Prime Video Personalization and Discovery Science</t>
        </is>
      </c>
      <c r="C179" t="inlineStr">
        <is>
          <t>Amazon.com</t>
        </is>
      </c>
      <c r="D179" t="inlineStr">
        <is>
          <t>indeed</t>
        </is>
      </c>
      <c r="E179">
        <f>HYPERLINK("https://www.indeed.com/viewjob?jk=e95e74979ed9113b", "https://www.indeed.com/viewjob?jk=e95e74979ed9113b")</f>
        <v/>
      </c>
      <c r="F179">
        <f>HYPERLINK("https://www.amazon.jobs/jobs/3168905/applied-scientist-ii-prime-video-personalization-and-discovery-science?cmpid=DA_INAD200785B", "https://www.amazon.jobs/jobs/3168905/applied-scientist-ii-prime-video-personalization-and-discovery-science?cmpid=DA_INAD200785B")</f>
        <v/>
      </c>
      <c r="G179" t="inlineStr">
        <is>
          <t>New York, NY, US</t>
        </is>
      </c>
      <c r="H179" s="2" t="n">
        <v>46047</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0">
      <c r="A180" t="inlineStr">
        <is>
          <t>in-0cb2fb293db18bb2</t>
        </is>
      </c>
      <c r="B180" t="inlineStr">
        <is>
          <t>Applied Scientist II, Prime Video Personalization and Discovery Science</t>
        </is>
      </c>
      <c r="C180" t="inlineStr">
        <is>
          <t>Amazon.com</t>
        </is>
      </c>
      <c r="D180" t="inlineStr">
        <is>
          <t>indeed</t>
        </is>
      </c>
      <c r="E180">
        <f>HYPERLINK("https://www.indeed.com/viewjob?jk=0cb2fb293db18bb2", "https://www.indeed.com/viewjob?jk=0cb2fb293db18bb2")</f>
        <v/>
      </c>
      <c r="F180">
        <f>HYPERLINK("https://www.amazon.jobs/jobs/3168905/applied-scientist-ii-prime-video-personalization-and-discovery-science?cmpid=DA_INAD200785B", "https://www.amazon.jobs/jobs/3168905/applied-scientist-ii-prime-video-personalization-and-discovery-science?cmpid=DA_INAD200785B")</f>
        <v/>
      </c>
      <c r="G180" t="inlineStr">
        <is>
          <t>Sunnyvale, CA, US</t>
        </is>
      </c>
      <c r="H180" s="2" t="n">
        <v>46047</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1">
      <c r="A181" t="inlineStr">
        <is>
          <t>in-fee7026634cbb63e</t>
        </is>
      </c>
      <c r="B181" t="inlineStr">
        <is>
          <t>Applied Scientist, Safety ML</t>
        </is>
      </c>
      <c r="C181" t="inlineStr">
        <is>
          <t>Amazon.com</t>
        </is>
      </c>
      <c r="D181" t="inlineStr">
        <is>
          <t>indeed</t>
        </is>
      </c>
      <c r="E181">
        <f>HYPERLINK("https://www.indeed.com/viewjob?jk=fee7026634cbb63e", "https://www.indeed.com/viewjob?jk=fee7026634cbb63e")</f>
        <v/>
      </c>
      <c r="F181">
        <f>HYPERLINK("https://www.amazon.jobs/jobs/3161224/applied-scientist-safety-ml?cmpid=DA_INAD200785B", "https://www.amazon.jobs/jobs/3161224/applied-scientist-safety-ml?cmpid=DA_INAD200785B")</f>
        <v/>
      </c>
      <c r="G181" t="inlineStr">
        <is>
          <t>Seattle, WA, US</t>
        </is>
      </c>
      <c r="H181" s="2" t="n">
        <v>46037</v>
      </c>
      <c r="I1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82">
      <c r="A182" t="inlineStr">
        <is>
          <t>in-80248dd58f9f2353</t>
        </is>
      </c>
      <c r="B182" t="inlineStr">
        <is>
          <t>Applied Scientist, Safety ML</t>
        </is>
      </c>
      <c r="C182" t="inlineStr">
        <is>
          <t>Amazon.com</t>
        </is>
      </c>
      <c r="D182" t="inlineStr">
        <is>
          <t>indeed</t>
        </is>
      </c>
      <c r="E182">
        <f>HYPERLINK("https://www.indeed.com/viewjob?jk=80248dd58f9f2353", "https://www.indeed.com/viewjob?jk=80248dd58f9f2353")</f>
        <v/>
      </c>
      <c r="F182">
        <f>HYPERLINK("https://www.amazon.jobs/jobs/3161224/applied-scientist-safety-ml?cmpid=DA_INAD200785B", "https://www.amazon.jobs/jobs/3161224/applied-scientist-safety-ml?cmpid=DA_INAD200785B")</f>
        <v/>
      </c>
      <c r="G182" t="inlineStr">
        <is>
          <t>San Francisco, CA, US</t>
        </is>
      </c>
      <c r="H182" s="2" t="n">
        <v>46037</v>
      </c>
      <c r="I1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83">
      <c r="A183" t="inlineStr">
        <is>
          <t>in-b97f6fb656ecb739</t>
        </is>
      </c>
      <c r="B183" t="inlineStr">
        <is>
          <t>Principal Applied Scientist, Measurement, AdTech and Data Science, Ads Performance Measurement</t>
        </is>
      </c>
      <c r="C183" t="inlineStr">
        <is>
          <t>Amazon.com</t>
        </is>
      </c>
      <c r="D183" t="inlineStr">
        <is>
          <t>indeed</t>
        </is>
      </c>
      <c r="E183">
        <f>HYPERLINK("https://www.indeed.com/viewjob?jk=b97f6fb656ecb739", "https://www.indeed.com/viewjob?jk=b97f6fb656ecb739")</f>
        <v/>
      </c>
      <c r="F183">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183" t="inlineStr">
        <is>
          <t>New York, NY, US</t>
        </is>
      </c>
      <c r="H183" s="2" t="n">
        <v>46037</v>
      </c>
      <c r="I183"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84">
      <c r="A184" t="inlineStr">
        <is>
          <t>in-a29870894e27e08c</t>
        </is>
      </c>
      <c r="B184" t="inlineStr">
        <is>
          <t>Principal Applied Scientist, Measurement, AdTech and Data Science, Ads Performance Measurement</t>
        </is>
      </c>
      <c r="C184" t="inlineStr">
        <is>
          <t>Amazon.com</t>
        </is>
      </c>
      <c r="D184" t="inlineStr">
        <is>
          <t>indeed</t>
        </is>
      </c>
      <c r="E184">
        <f>HYPERLINK("https://www.indeed.com/viewjob?jk=a29870894e27e08c", "https://www.indeed.com/viewjob?jk=a29870894e27e08c")</f>
        <v/>
      </c>
      <c r="F184">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184" t="inlineStr">
        <is>
          <t>Palo Alto, CA, US</t>
        </is>
      </c>
      <c r="H184" s="2" t="n">
        <v>46037</v>
      </c>
      <c r="I184"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85">
      <c r="A185" t="inlineStr">
        <is>
          <t>in-f173bcc75e8d0a0a</t>
        </is>
      </c>
      <c r="B185" t="inlineStr">
        <is>
          <t>Principal Applied Scientist, Measurement, AdTech and Data Science, Ads Performance Measurement</t>
        </is>
      </c>
      <c r="C185" t="inlineStr">
        <is>
          <t>Amazon.com</t>
        </is>
      </c>
      <c r="D185" t="inlineStr">
        <is>
          <t>indeed</t>
        </is>
      </c>
      <c r="E185">
        <f>HYPERLINK("https://www.indeed.com/viewjob?jk=f173bcc75e8d0a0a", "https://www.indeed.com/viewjob?jk=f173bcc75e8d0a0a")</f>
        <v/>
      </c>
      <c r="F185">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185" t="inlineStr">
        <is>
          <t>Seattle, WA, US</t>
        </is>
      </c>
      <c r="H185" s="2" t="n">
        <v>46037</v>
      </c>
      <c r="I185"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86">
      <c r="A186" t="inlineStr">
        <is>
          <t>in-3a8634b4edbbe57a</t>
        </is>
      </c>
      <c r="B186" t="inlineStr">
        <is>
          <t>Applied Scientist III, Sponsored Products and Brands</t>
        </is>
      </c>
      <c r="C186" t="inlineStr">
        <is>
          <t>Amazon.com</t>
        </is>
      </c>
      <c r="D186" t="inlineStr">
        <is>
          <t>indeed</t>
        </is>
      </c>
      <c r="E186">
        <f>HYPERLINK("https://www.indeed.com/viewjob?jk=3a8634b4edbbe57a", "https://www.indeed.com/viewjob?jk=3a8634b4edbbe57a")</f>
        <v/>
      </c>
      <c r="F186">
        <f>HYPERLINK("https://www.amazon.jobs/jobs/3162901/applied-scientist-iii-sponsored-products-and-brands?cmpid=DA_INAD200785B", "https://www.amazon.jobs/jobs/3162901/applied-scientist-iii-sponsored-products-and-brands?cmpid=DA_INAD200785B")</f>
        <v/>
      </c>
      <c r="G186" t="inlineStr">
        <is>
          <t>Seattle, WA, US</t>
        </is>
      </c>
      <c r="H186" s="2" t="n">
        <v>46037</v>
      </c>
      <c r="I18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Demand Utilization team with Sponsored Products and Brands owns finding the appropriate ads to surface to customers when they search for products on Amazon. We strive to understand our customers’ intent and identify relevant ads which enable them to discover new and alternate products. This also enables sellers on Amazon to showcase their products to customers, which may at times be buried deeper in the search results.  
Our systems and algorithms operate on one of the world's largest product catalogs, matching shoppers with products \- with a high relevance bar and strict latency constraints. We are a team of machine learning scientists and software engineers working on complex solutions to understand the customer intent and present them with ads that are not only relevant to their actual shopping experience, but also non\-obtrusive. This area is of strategic importance to Amazon Retail and Marketplace business, driving long term\-growth.  
We are looking for an Applied Scientist III, with a background in Machine Learning to optimize serving ads on billions of product pages. The solutions you create would drive step increases in coverage of sponsored ads across the retail website and ensure relevant ads are served to Amazon's customers. You will directly impact our customers’ shopping experience while helping our sellers get the maximum ROI from advertising on Amazon. You will be expected to demonstrate strong ownership and should be curious to learn and leverage the rich textual, image, and other contextual signals. This role will challenge you to utilize innovative machine learning techniques in the domain of predictive modeling, natural language processing (NLP), deep learning, reinforcement learning, query understanding, vector search (kNN) and image recognition to deliver significant impact for the business. Ideal candidates will be able to work cross functionally across multiple stakeholders, synthesize the science needs of our business partners, develop models to solve business needs, and implement solutions in production. In addition to being a strongly motivated IC, you will also be responsible for mentoring junior scientists and guiding them to deliver high impacting products and services for Amazon customers and sellers.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Key job responsibilities  
As an Applied Scientist III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deploying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using managed ML/AI solutions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t>
        </is>
      </c>
    </row>
    <row r="187">
      <c r="A187" t="inlineStr">
        <is>
          <t>in-da7dbedf1c25f101</t>
        </is>
      </c>
      <c r="B187" t="inlineStr">
        <is>
          <t>Applied Scientist III, Sponsored Products and Brands</t>
        </is>
      </c>
      <c r="C187" t="inlineStr">
        <is>
          <t>Amazon.com</t>
        </is>
      </c>
      <c r="D187" t="inlineStr">
        <is>
          <t>indeed</t>
        </is>
      </c>
      <c r="E187">
        <f>HYPERLINK("https://www.indeed.com/viewjob?jk=da7dbedf1c25f101", "https://www.indeed.com/viewjob?jk=da7dbedf1c25f101")</f>
        <v/>
      </c>
      <c r="F187">
        <f>HYPERLINK("https://www.amazon.jobs/jobs/3162901/applied-scientist-iii-sponsored-products-and-brands?cmpid=DA_INAD200785B", "https://www.amazon.jobs/jobs/3162901/applied-scientist-iii-sponsored-products-and-brands?cmpid=DA_INAD200785B")</f>
        <v/>
      </c>
      <c r="G187" t="inlineStr">
        <is>
          <t>New York, NY, US</t>
        </is>
      </c>
      <c r="H187" s="2" t="n">
        <v>46037</v>
      </c>
      <c r="I18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Demand Utilization team with Sponsored Products and Brands owns finding the appropriate ads to surface to customers when they search for products on Amazon. We strive to understand our customers’ intent and identify relevant ads which enable them to discover new and alternate products. This also enables sellers on Amazon to showcase their products to customers, which may at times be buried deeper in the search results.  
Our systems and algorithms operate on one of the world's largest product catalogs, matching shoppers with products \- with a high relevance bar and strict latency constraints. We are a team of machine learning scientists and software engineers working on complex solutions to understand the customer intent and present them with ads that are not only relevant to their actual shopping experience, but also non\-obtrusive. This area is of strategic importance to Amazon Retail and Marketplace business, driving long term\-growth.  
We are looking for an Applied Scientist III, with a background in Machine Learning to optimize serving ads on billions of product pages. The solutions you create would drive step increases in coverage of sponsored ads across the retail website and ensure relevant ads are served to Amazon's customers. You will directly impact our customers’ shopping experience while helping our sellers get the maximum ROI from advertising on Amazon. You will be expected to demonstrate strong ownership and should be curious to learn and leverage the rich textual, image, and other contextual signals. This role will challenge you to utilize innovative machine learning techniques in the domain of predictive modeling, natural language processing (NLP), deep learning, reinforcement learning, query understanding, vector search (kNN) and image recognition to deliver significant impact for the business. Ideal candidates will be able to work cross functionally across multiple stakeholders, synthesize the science needs of our business partners, develop models to solve business needs, and implement solutions in production. In addition to being a strongly motivated IC, you will also be responsible for mentoring junior scientists and guiding them to deliver high impacting products and services for Amazon customers and sellers.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Key job responsibilities  
As an Applied Scientist III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deploying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using managed ML/AI solutions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\- 167,100\.00 \- 226,100\.00 USD annually</t>
        </is>
      </c>
    </row>
    <row r="188">
      <c r="A188" t="inlineStr">
        <is>
          <t>in-e24e543a8ebf992a</t>
        </is>
      </c>
      <c r="B188" t="inlineStr">
        <is>
          <t>Applied Scientist, LLM Code Agents, Kiro Science</t>
        </is>
      </c>
      <c r="C188" t="inlineStr">
        <is>
          <t>Amazon.com</t>
        </is>
      </c>
      <c r="D188" t="inlineStr">
        <is>
          <t>indeed</t>
        </is>
      </c>
      <c r="E188">
        <f>HYPERLINK("https://www.indeed.com/viewjob?jk=e24e543a8ebf992a", "https://www.indeed.com/viewjob?jk=e24e543a8ebf992a")</f>
        <v/>
      </c>
      <c r="F188">
        <f>HYPERLINK("https://www.amazon.jobs/jobs/3161363/applied-scientist-llm-code-agents-kiro-science?cmpid=DA_INAD200785B", "https://www.amazon.jobs/jobs/3161363/applied-scientist-llm-code-agents-kiro-science?cmpid=DA_INAD200785B")</f>
        <v/>
      </c>
      <c r="G188" t="inlineStr">
        <is>
          <t>Santa Clara, CA, US</t>
        </is>
      </c>
      <c r="H188" s="2" t="n">
        <v>46035</v>
      </c>
      <c r="I18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89">
      <c r="A189" t="inlineStr">
        <is>
          <t>in-945d0128237c657f</t>
        </is>
      </c>
      <c r="B189" t="inlineStr">
        <is>
          <t>Applied Scientist, LLM Code Agents, Kiro Science</t>
        </is>
      </c>
      <c r="C189" t="inlineStr">
        <is>
          <t>Amazon.com</t>
        </is>
      </c>
      <c r="D189" t="inlineStr">
        <is>
          <t>indeed</t>
        </is>
      </c>
      <c r="E189">
        <f>HYPERLINK("https://www.indeed.com/viewjob?jk=945d0128237c657f", "https://www.indeed.com/viewjob?jk=945d0128237c657f")</f>
        <v/>
      </c>
      <c r="F189">
        <f>HYPERLINK("https://www.amazon.jobs/jobs/3161363/applied-scientist-llm-code-agents-kiro-science?cmpid=DA_INAD200785B", "https://www.amazon.jobs/jobs/3161363/applied-scientist-llm-code-agents-kiro-science?cmpid=DA_INAD200785B")</f>
        <v/>
      </c>
      <c r="G189" t="inlineStr">
        <is>
          <t>Seattle, WA, US</t>
        </is>
      </c>
      <c r="H189" s="2" t="n">
        <v>46035</v>
      </c>
      <c r="I18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90">
      <c r="A190" t="inlineStr">
        <is>
          <t>in-48617a51d74d29c8</t>
        </is>
      </c>
      <c r="B190" t="inlineStr">
        <is>
          <t>Applied Scientist II, Prime Video Personalization and Discovery Science</t>
        </is>
      </c>
      <c r="C190" t="inlineStr">
        <is>
          <t>Amazon.com</t>
        </is>
      </c>
      <c r="D190" t="inlineStr">
        <is>
          <t>indeed</t>
        </is>
      </c>
      <c r="E190">
        <f>HYPERLINK("https://www.indeed.com/viewjob?jk=48617a51d74d29c8", "https://www.indeed.com/viewjob?jk=48617a51d74d29c8")</f>
        <v/>
      </c>
      <c r="F190">
        <f>HYPERLINK("https://www.amazon.jobs/jobs/3165157/applied-scientist-ii-prime-video-personalization-and-discovery-science?cmpid=DA_INAD200785B", "https://www.amazon.jobs/jobs/3165157/applied-scientist-ii-prime-video-personalization-and-discovery-science?cmpid=DA_INAD200785B")</f>
        <v/>
      </c>
      <c r="G190" t="inlineStr">
        <is>
          <t>Seattle, WA, US</t>
        </is>
      </c>
      <c r="H190" s="2" t="n">
        <v>46034</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1">
      <c r="A191" t="inlineStr">
        <is>
          <t>in-4a114f7218c4c89c</t>
        </is>
      </c>
      <c r="B191" t="inlineStr">
        <is>
          <t>Applied Scientist, Alexa Smart Home</t>
        </is>
      </c>
      <c r="C191" t="inlineStr">
        <is>
          <t>Amazon.com</t>
        </is>
      </c>
      <c r="D191" t="inlineStr">
        <is>
          <t>indeed</t>
        </is>
      </c>
      <c r="E191">
        <f>HYPERLINK("https://www.indeed.com/viewjob?jk=4a114f7218c4c89c", "https://www.indeed.com/viewjob?jk=4a114f7218c4c89c")</f>
        <v/>
      </c>
      <c r="F191">
        <f>HYPERLINK("https://www.amazon.jobs/jobs/3169205/applied-scientist-alexa-smart-home?cmpid=DA_INAD200785B", "https://www.amazon.jobs/jobs/3169205/applied-scientist-alexa-smart-home?cmpid=DA_INAD200785B")</f>
        <v/>
      </c>
      <c r="G191" t="inlineStr">
        <is>
          <t>Sunnyvale, CA, US</t>
        </is>
      </c>
      <c r="H191" s="2" t="n">
        <v>46033</v>
      </c>
      <c r="I19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2">
      <c r="A192" t="inlineStr">
        <is>
          <t>in-e2f7b1b8a2ea1773</t>
        </is>
      </c>
      <c r="B192" t="inlineStr">
        <is>
          <t>Applied Scientist, Alexa Smart Home</t>
        </is>
      </c>
      <c r="C192" t="inlineStr">
        <is>
          <t>Amazon.com</t>
        </is>
      </c>
      <c r="D192" t="inlineStr">
        <is>
          <t>indeed</t>
        </is>
      </c>
      <c r="E192">
        <f>HYPERLINK("https://www.indeed.com/viewjob?jk=e2f7b1b8a2ea1773", "https://www.indeed.com/viewjob?jk=e2f7b1b8a2ea1773")</f>
        <v/>
      </c>
      <c r="F192">
        <f>HYPERLINK("https://www.amazon.jobs/jobs/3169205/applied-scientist-alexa-smart-home?cmpid=DA_INAD200785B", "https://www.amazon.jobs/jobs/3169205/applied-scientist-alexa-smart-home?cmpid=DA_INAD200785B")</f>
        <v/>
      </c>
      <c r="G192" t="inlineStr">
        <is>
          <t>Seattle, WA, US</t>
        </is>
      </c>
      <c r="H192" s="2" t="n">
        <v>46033</v>
      </c>
      <c r="I19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3">
      <c r="A193" t="inlineStr">
        <is>
          <t>in-15ab749fb5ab5d7e</t>
        </is>
      </c>
      <c r="B193" t="inlineStr">
        <is>
          <t>Applied Scientist, AWS Applied AI Solutions</t>
        </is>
      </c>
      <c r="C193" t="inlineStr">
        <is>
          <t>Amazon Web Services</t>
        </is>
      </c>
      <c r="D193" t="inlineStr">
        <is>
          <t>indeed</t>
        </is>
      </c>
      <c r="E193">
        <f>HYPERLINK("https://www.indeed.com/viewjob?jk=15ab749fb5ab5d7e", "https://www.indeed.com/viewjob?jk=15ab749fb5ab5d7e")</f>
        <v/>
      </c>
      <c r="F193">
        <f>HYPERLINK("https://www.amazon.jobs/jobs/3166907/applied-scientist-aws-applied-ai-solutions?cmpid=DA_INAD200785B", "https://www.amazon.jobs/jobs/3166907/applied-scientist-aws-applied-ai-solutions?cmpid=DA_INAD200785B")</f>
        <v/>
      </c>
      <c r="G193" t="inlineStr">
        <is>
          <t>New York, NY, US</t>
        </is>
      </c>
      <c r="H193" s="2" t="n">
        <v>46030</v>
      </c>
      <c r="I193"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4">
      <c r="A194" t="inlineStr">
        <is>
          <t>in-858d56ed14088270</t>
        </is>
      </c>
      <c r="B194" t="inlineStr">
        <is>
          <t>Applied Scientist, AWS Applied AI Solutions</t>
        </is>
      </c>
      <c r="C194" t="inlineStr">
        <is>
          <t>Amazon Web Services</t>
        </is>
      </c>
      <c r="D194" t="inlineStr">
        <is>
          <t>indeed</t>
        </is>
      </c>
      <c r="E194">
        <f>HYPERLINK("https://www.indeed.com/viewjob?jk=858d56ed14088270", "https://www.indeed.com/viewjob?jk=858d56ed14088270")</f>
        <v/>
      </c>
      <c r="F194">
        <f>HYPERLINK("https://www.amazon.jobs/jobs/3166907/applied-scientist-aws-applied-ai-solutions?cmpid=DA_INAD200785B", "https://www.amazon.jobs/jobs/3166907/applied-scientist-aws-applied-ai-solutions?cmpid=DA_INAD200785B")</f>
        <v/>
      </c>
      <c r="G194" t="inlineStr">
        <is>
          <t>Seattle, WA, US</t>
        </is>
      </c>
      <c r="H194" s="2" t="n">
        <v>46030</v>
      </c>
      <c r="I194"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5">
      <c r="A195" t="inlineStr">
        <is>
          <t>in-3366442e5cc9df61</t>
        </is>
      </c>
      <c r="B195" t="inlineStr">
        <is>
          <t>Applied Scientist II, Prime Video Personalization and Discovery Science</t>
        </is>
      </c>
      <c r="C195" t="inlineStr">
        <is>
          <t>Amazon.com</t>
        </is>
      </c>
      <c r="D195" t="inlineStr">
        <is>
          <t>indeed</t>
        </is>
      </c>
      <c r="E195">
        <f>HYPERLINK("https://www.indeed.com/viewjob?jk=3366442e5cc9df61", "https://www.indeed.com/viewjob?jk=3366442e5cc9df61")</f>
        <v/>
      </c>
      <c r="F195">
        <f>HYPERLINK("https://www.amazon.jobs/jobs/3155448/applied-scientist-ii-prime-video-personalization-and-discovery-science?cmpid=DA_INAD200785B", "https://www.amazon.jobs/jobs/3155448/applied-scientist-ii-prime-video-personalization-and-discovery-science?cmpid=DA_INAD200785B")</f>
        <v/>
      </c>
      <c r="G195" t="inlineStr">
        <is>
          <t>Seattle, WA, US</t>
        </is>
      </c>
      <c r="H195" s="2" t="n">
        <v>46028</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6">
      <c r="A196" t="inlineStr">
        <is>
          <t>in-b7e493c5c32b0505</t>
        </is>
      </c>
      <c r="B196" t="inlineStr">
        <is>
          <t>Applied Scientist II, Prime Video Personalization and Discovery Science</t>
        </is>
      </c>
      <c r="C196" t="inlineStr">
        <is>
          <t>Amazon.com</t>
        </is>
      </c>
      <c r="D196" t="inlineStr">
        <is>
          <t>indeed</t>
        </is>
      </c>
      <c r="E196">
        <f>HYPERLINK("https://www.indeed.com/viewjob?jk=b7e493c5c32b0505", "https://www.indeed.com/viewjob?jk=b7e493c5c32b0505")</f>
        <v/>
      </c>
      <c r="F196">
        <f>HYPERLINK("https://www.amazon.jobs/jobs/3155448/applied-scientist-ii-prime-video-personalization-and-discovery-science?cmpid=DA_INAD200785B", "https://www.amazon.jobs/jobs/3155448/applied-scientist-ii-prime-video-personalization-and-discovery-science?cmpid=DA_INAD200785B")</f>
        <v/>
      </c>
      <c r="G196" t="inlineStr">
        <is>
          <t>Sunnyvale, CA, US</t>
        </is>
      </c>
      <c r="H196" s="2" t="n">
        <v>46028</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7">
      <c r="A197" t="inlineStr">
        <is>
          <t>in-aa7b5342d73957ee</t>
        </is>
      </c>
      <c r="B197" t="inlineStr">
        <is>
          <t>Applied Scientist II, Prime Video Personalization and Discovery Science</t>
        </is>
      </c>
      <c r="C197" t="inlineStr">
        <is>
          <t>Amazon.com</t>
        </is>
      </c>
      <c r="D197" t="inlineStr">
        <is>
          <t>indeed</t>
        </is>
      </c>
      <c r="E197">
        <f>HYPERLINK("https://www.indeed.com/viewjob?jk=aa7b5342d73957ee", "https://www.indeed.com/viewjob?jk=aa7b5342d73957ee")</f>
        <v/>
      </c>
      <c r="F197">
        <f>HYPERLINK("https://www.amazon.jobs/jobs/3155448/applied-scientist-ii-prime-video-personalization-and-discovery-science?cmpid=DA_INAD200785B", "https://www.amazon.jobs/jobs/3155448/applied-scientist-ii-prime-video-personalization-and-discovery-science?cmpid=DA_INAD200785B")</f>
        <v/>
      </c>
      <c r="G197" t="inlineStr">
        <is>
          <t>New York, NY, US</t>
        </is>
      </c>
      <c r="H197" s="2" t="n">
        <v>46028</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98">
      <c r="A198" t="inlineStr">
        <is>
          <t>in-602a3890cc115d56</t>
        </is>
      </c>
      <c r="B198" t="inlineStr">
        <is>
          <t>Applied Scientist II, Locomotion, Amazon Industrial Robotics</t>
        </is>
      </c>
      <c r="C198" t="inlineStr">
        <is>
          <t>Amazon.com</t>
        </is>
      </c>
      <c r="D198" t="inlineStr">
        <is>
          <t>indeed</t>
        </is>
      </c>
      <c r="E198">
        <f>HYPERLINK("https://www.indeed.com/viewjob?jk=602a3890cc115d56", "https://www.indeed.com/viewjob?jk=602a3890cc115d56")</f>
        <v/>
      </c>
      <c r="F198">
        <f>HYPERLINK("https://www.amazon.jobs/jobs/3154607/applied-scientist-ii-locomotion-amazon-industrial-robotics?cmpid=DA_INAD200785B", "https://www.amazon.jobs/jobs/3154607/applied-scientist-ii-locomotion-amazon-industrial-robotics?cmpid=DA_INAD200785B")</f>
        <v/>
      </c>
      <c r="G198" t="inlineStr">
        <is>
          <t>Reading, MA, US</t>
        </is>
      </c>
      <c r="H198" s="2" t="n">
        <v>46028</v>
      </c>
      <c r="I19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199">
      <c r="A199" t="inlineStr">
        <is>
          <t>in-15677f3d3d70263e</t>
        </is>
      </c>
      <c r="B199" t="inlineStr">
        <is>
          <t>Applied Scientist II, Locomotion, Amazon Industrial Robotics</t>
        </is>
      </c>
      <c r="C199" t="inlineStr">
        <is>
          <t>Amazon.com</t>
        </is>
      </c>
      <c r="D199" t="inlineStr">
        <is>
          <t>indeed</t>
        </is>
      </c>
      <c r="E199">
        <f>HYPERLINK("https://www.indeed.com/viewjob?jk=15677f3d3d70263e", "https://www.indeed.com/viewjob?jk=15677f3d3d70263e")</f>
        <v/>
      </c>
      <c r="F199">
        <f>HYPERLINK("https://www.amazon.jobs/jobs/3154607/applied-scientist-ii-locomotion-amazon-industrial-robotics?cmpid=DA_INAD200785B", "https://www.amazon.jobs/jobs/3154607/applied-scientist-ii-locomotion-amazon-industrial-robotics?cmpid=DA_INAD200785B")</f>
        <v/>
      </c>
      <c r="G199" t="inlineStr">
        <is>
          <t>Reading, MA, US</t>
        </is>
      </c>
      <c r="H199" s="2" t="n">
        <v>46028</v>
      </c>
      <c r="I19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200">
      <c r="A200" t="inlineStr">
        <is>
          <t>in-fd1d8c0275b2900f</t>
        </is>
      </c>
      <c r="B200" t="inlineStr">
        <is>
          <t>Senior Applied Scientist, Industrial Robotics Group</t>
        </is>
      </c>
      <c r="C200" t="inlineStr">
        <is>
          <t>Amazon.com</t>
        </is>
      </c>
      <c r="D200" t="inlineStr">
        <is>
          <t>indeed</t>
        </is>
      </c>
      <c r="E200">
        <f>HYPERLINK("https://www.indeed.com/viewjob?jk=fd1d8c0275b2900f", "https://www.indeed.com/viewjob?jk=fd1d8c0275b2900f")</f>
        <v/>
      </c>
      <c r="F200">
        <f>HYPERLINK("https://www.amazon.jobs/jobs/3154866/senior-applied-scientist-industrial-robotics-group?cmpid=DA_INAD200785B", "https://www.amazon.jobs/jobs/3154866/senior-applied-scientist-industrial-robotics-group?cmpid=DA_INAD200785B")</f>
        <v/>
      </c>
      <c r="G200" t="inlineStr">
        <is>
          <t>Reading, MA, US</t>
        </is>
      </c>
      <c r="H200" s="2" t="n">
        <v>46027</v>
      </c>
      <c r="I200"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01">
      <c r="A201" t="inlineStr">
        <is>
          <t>in-628f319cce195b52</t>
        </is>
      </c>
      <c r="B201" t="inlineStr">
        <is>
          <t>Senior Applied Scientist, Industrial Robotics Group</t>
        </is>
      </c>
      <c r="C201" t="inlineStr">
        <is>
          <t>Amazon.com</t>
        </is>
      </c>
      <c r="D201" t="inlineStr">
        <is>
          <t>indeed</t>
        </is>
      </c>
      <c r="E201">
        <f>HYPERLINK("https://www.indeed.com/viewjob?jk=628f319cce195b52", "https://www.indeed.com/viewjob?jk=628f319cce195b52")</f>
        <v/>
      </c>
      <c r="F201">
        <f>HYPERLINK("https://www.amazon.jobs/jobs/3154866/senior-applied-scientist-industrial-robotics-group?cmpid=DA_INAD200785B", "https://www.amazon.jobs/jobs/3154866/senior-applied-scientist-industrial-robotics-group?cmpid=DA_INAD200785B")</f>
        <v/>
      </c>
      <c r="G201" t="inlineStr">
        <is>
          <t>Reading, MA, US</t>
        </is>
      </c>
      <c r="H201" s="2" t="n">
        <v>46027</v>
      </c>
      <c r="I201"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202">
      <c r="A202" t="inlineStr">
        <is>
          <t>in-6648c61aaff3fbfa</t>
        </is>
      </c>
      <c r="B202" t="inlineStr">
        <is>
          <t>Senior Applied Scientist, Distributed SQL</t>
        </is>
      </c>
      <c r="C202" t="inlineStr">
        <is>
          <t>Amazon Web Services</t>
        </is>
      </c>
      <c r="D202" t="inlineStr">
        <is>
          <t>indeed</t>
        </is>
      </c>
      <c r="E202">
        <f>HYPERLINK("https://www.indeed.com/viewjob?jk=6648c61aaff3fbfa", "https://www.indeed.com/viewjob?jk=6648c61aaff3fbfa")</f>
        <v/>
      </c>
      <c r="F202">
        <f>HYPERLINK("https://www.amazon.jobs/jobs/3148444/senior-applied-scientist-distributed-sql?cmpid=DA_INAD200785B", "https://www.amazon.jobs/jobs/3148444/senior-applied-scientist-distributed-sql?cmpid=DA_INAD200785B")</f>
        <v/>
      </c>
      <c r="G202" t="inlineStr">
        <is>
          <t>East Palo Alto, CA, US</t>
        </is>
      </c>
      <c r="H202" s="2" t="n">
        <v>46012</v>
      </c>
      <c r="I20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03">
      <c r="A203" t="inlineStr">
        <is>
          <t>in-55cb526842fd3431</t>
        </is>
      </c>
      <c r="B203" t="inlineStr">
        <is>
          <t>Senior Applied Scientist, Distributed SQL</t>
        </is>
      </c>
      <c r="C203" t="inlineStr">
        <is>
          <t>Amazon Web Services</t>
        </is>
      </c>
      <c r="D203" t="inlineStr">
        <is>
          <t>indeed</t>
        </is>
      </c>
      <c r="E203">
        <f>HYPERLINK("https://www.indeed.com/viewjob?jk=55cb526842fd3431", "https://www.indeed.com/viewjob?jk=55cb526842fd3431")</f>
        <v/>
      </c>
      <c r="F203">
        <f>HYPERLINK("https://www.amazon.jobs/jobs/3148444/senior-applied-scientist-distributed-sql?cmpid=DA_INAD200785B", "https://www.amazon.jobs/jobs/3148444/senior-applied-scientist-distributed-sql?cmpid=DA_INAD200785B")</f>
        <v/>
      </c>
      <c r="G203" t="inlineStr">
        <is>
          <t>Seattle, WA, US</t>
        </is>
      </c>
      <c r="H203" s="2" t="n">
        <v>46012</v>
      </c>
      <c r="I20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04">
      <c r="A204" t="inlineStr">
        <is>
          <t>in-64db3562cf5deee2</t>
        </is>
      </c>
      <c r="B204" t="inlineStr">
        <is>
          <t>Principal Applied Scientist, Kiro Science</t>
        </is>
      </c>
      <c r="C204" t="inlineStr">
        <is>
          <t>Amazon Web Services</t>
        </is>
      </c>
      <c r="D204" t="inlineStr">
        <is>
          <t>indeed</t>
        </is>
      </c>
      <c r="E204">
        <f>HYPERLINK("https://www.indeed.com/viewjob?jk=64db3562cf5deee2", "https://www.indeed.com/viewjob?jk=64db3562cf5deee2")</f>
        <v/>
      </c>
      <c r="F204">
        <f>HYPERLINK("https://www.amazon.jobs/jobs/3161064/principal-applied-scientist-kiro-science?cmpid=DA_INAD200785B", "https://www.amazon.jobs/jobs/3161064/principal-applied-scientist-kiro-science?cmpid=DA_INAD200785B")</f>
        <v/>
      </c>
      <c r="G204" t="inlineStr">
        <is>
          <t>New York, NY, US</t>
        </is>
      </c>
      <c r="H204" s="2" t="n">
        <v>45999</v>
      </c>
      <c r="I204"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05">
      <c r="A205" t="inlineStr">
        <is>
          <t>in-1399b7bbc6791a91</t>
        </is>
      </c>
      <c r="B205" t="inlineStr">
        <is>
          <t>Principal Applied Scientist, Kiro Science</t>
        </is>
      </c>
      <c r="C205" t="inlineStr">
        <is>
          <t>Amazon Web Services</t>
        </is>
      </c>
      <c r="D205" t="inlineStr">
        <is>
          <t>indeed</t>
        </is>
      </c>
      <c r="E205">
        <f>HYPERLINK("https://www.indeed.com/viewjob?jk=1399b7bbc6791a91", "https://www.indeed.com/viewjob?jk=1399b7bbc6791a91")</f>
        <v/>
      </c>
      <c r="F205">
        <f>HYPERLINK("https://www.amazon.jobs/jobs/3161064/principal-applied-scientist-kiro-science?cmpid=DA_INAD200785B", "https://www.amazon.jobs/jobs/3161064/principal-applied-scientist-kiro-science?cmpid=DA_INAD200785B")</f>
        <v/>
      </c>
      <c r="G205" t="inlineStr">
        <is>
          <t>Santa Clara, CA, US</t>
        </is>
      </c>
      <c r="H205" s="2" t="n">
        <v>45999</v>
      </c>
      <c r="I205"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06">
      <c r="A206" t="inlineStr">
        <is>
          <t>in-ac101e9384975175</t>
        </is>
      </c>
      <c r="B206" t="inlineStr">
        <is>
          <t>Principal Applied Scientist, Sponsored Products and Brands</t>
        </is>
      </c>
      <c r="C206" t="inlineStr">
        <is>
          <t>Amazon.com</t>
        </is>
      </c>
      <c r="D206" t="inlineStr">
        <is>
          <t>indeed</t>
        </is>
      </c>
      <c r="E206">
        <f>HYPERLINK("https://www.indeed.com/viewjob?jk=ac101e9384975175", "https://www.indeed.com/viewjob?jk=ac101e9384975175")</f>
        <v/>
      </c>
      <c r="F206">
        <f>HYPERLINK("https://www.amazon.jobs/jobs/3130855/principal-applied-scientist-sponsored-products-and-brands?cmpid=DA_INAD200785B", "https://www.amazon.jobs/jobs/3130855/principal-applied-scientist-sponsored-products-and-brands?cmpid=DA_INAD200785B")</f>
        <v/>
      </c>
      <c r="G206" t="inlineStr">
        <is>
          <t>Seattle, WA, US</t>
        </is>
      </c>
      <c r="H206" s="2" t="n">
        <v>45979</v>
      </c>
      <c r="I20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in-4a11bec037f024fb</t>
        </is>
      </c>
      <c r="B207" t="inlineStr">
        <is>
          <t>Principal Applied Scientist, Sponsored Products and Brands</t>
        </is>
      </c>
      <c r="C207" t="inlineStr">
        <is>
          <t>Amazon.com</t>
        </is>
      </c>
      <c r="D207" t="inlineStr">
        <is>
          <t>indeed</t>
        </is>
      </c>
      <c r="E207">
        <f>HYPERLINK("https://www.indeed.com/viewjob?jk=4a11bec037f024fb", "https://www.indeed.com/viewjob?jk=4a11bec037f024fb")</f>
        <v/>
      </c>
      <c r="F207">
        <f>HYPERLINK("https://www.amazon.jobs/jobs/3130855/principal-applied-scientist-sponsored-products-and-brands?cmpid=DA_INAD200785B", "https://www.amazon.jobs/jobs/3130855/principal-applied-scientist-sponsored-products-and-brands?cmpid=DA_INAD200785B")</f>
        <v/>
      </c>
      <c r="G207" t="inlineStr">
        <is>
          <t>New York, NY, US</t>
        </is>
      </c>
      <c r="H207" s="2" t="n">
        <v>45979</v>
      </c>
      <c r="I20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in-67b7f82888727295</t>
        </is>
      </c>
      <c r="B208" t="inlineStr">
        <is>
          <t>Sr. Applied Scientist, Sponsored Products</t>
        </is>
      </c>
      <c r="C208" t="inlineStr">
        <is>
          <t>Amazon.com</t>
        </is>
      </c>
      <c r="D208" t="inlineStr">
        <is>
          <t>indeed</t>
        </is>
      </c>
      <c r="E208">
        <f>HYPERLINK("https://www.indeed.com/viewjob?jk=67b7f82888727295", "https://www.indeed.com/viewjob?jk=67b7f82888727295")</f>
        <v/>
      </c>
      <c r="F208">
        <f>HYPERLINK("https://www.amazon.jobs/jobs/3136156/sr-applied-scientist-sponsored-products?cmpid=DA_INAD200785B", "https://www.amazon.jobs/jobs/3136156/sr-applied-scientist-sponsored-products?cmpid=DA_INAD200785B")</f>
        <v/>
      </c>
      <c r="G208" t="inlineStr">
        <is>
          <t>Seattle, WA, US</t>
        </is>
      </c>
      <c r="H208" s="2" t="n">
        <v>45976</v>
      </c>
      <c r="I20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09">
      <c r="A209" t="inlineStr">
        <is>
          <t>in-b939eaa509bfff2b</t>
        </is>
      </c>
      <c r="B209" t="inlineStr">
        <is>
          <t>Sr. Applied Scientist, Sponsored Products</t>
        </is>
      </c>
      <c r="C209" t="inlineStr">
        <is>
          <t>Amazon.com</t>
        </is>
      </c>
      <c r="D209" t="inlineStr">
        <is>
          <t>indeed</t>
        </is>
      </c>
      <c r="E209">
        <f>HYPERLINK("https://www.indeed.com/viewjob?jk=b939eaa509bfff2b", "https://www.indeed.com/viewjob?jk=b939eaa509bfff2b")</f>
        <v/>
      </c>
      <c r="F209">
        <f>HYPERLINK("https://www.amazon.jobs/jobs/3136156/sr-applied-scientist-sponsored-products?cmpid=DA_INAD200785B", "https://www.amazon.jobs/jobs/3136156/sr-applied-scientist-sponsored-products?cmpid=DA_INAD200785B")</f>
        <v/>
      </c>
      <c r="G209" t="inlineStr">
        <is>
          <t>New York, NY, US</t>
        </is>
      </c>
      <c r="H209" s="2" t="n">
        <v>45976</v>
      </c>
      <c r="I209"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10">
      <c r="A210" t="inlineStr">
        <is>
          <t>in-dbca0a156d208949</t>
        </is>
      </c>
      <c r="B210" t="inlineStr">
        <is>
          <t>Sr. Applied Scientist, Sponsored Products</t>
        </is>
      </c>
      <c r="C210" t="inlineStr">
        <is>
          <t>Amazon.com</t>
        </is>
      </c>
      <c r="D210" t="inlineStr">
        <is>
          <t>indeed</t>
        </is>
      </c>
      <c r="E210">
        <f>HYPERLINK("https://www.indeed.com/viewjob?jk=dbca0a156d208949", "https://www.indeed.com/viewjob?jk=dbca0a156d208949")</f>
        <v/>
      </c>
      <c r="F210">
        <f>HYPERLINK("https://www.amazon.jobs/jobs/3136156/sr-applied-scientist-sponsored-products?cmpid=DA_INAD200785B", "https://www.amazon.jobs/jobs/3136156/sr-applied-scientist-sponsored-products?cmpid=DA_INAD200785B")</f>
        <v/>
      </c>
      <c r="G210" t="inlineStr">
        <is>
          <t>Arlington, VA, US</t>
        </is>
      </c>
      <c r="H210" s="2" t="n">
        <v>45976</v>
      </c>
      <c r="I210"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11">
      <c r="A211" t="inlineStr">
        <is>
          <t>in-ab9fba2b3447e984</t>
        </is>
      </c>
      <c r="B211" t="inlineStr">
        <is>
          <t>Principal Applied Scientist, AWS Agentic AI Science</t>
        </is>
      </c>
      <c r="C211" t="inlineStr">
        <is>
          <t>Amazon Web Services</t>
        </is>
      </c>
      <c r="D211" t="inlineStr">
        <is>
          <t>indeed</t>
        </is>
      </c>
      <c r="E211">
        <f>HYPERLINK("https://www.indeed.com/viewjob?jk=ab9fba2b3447e984", "https://www.indeed.com/viewjob?jk=ab9fba2b3447e984")</f>
        <v/>
      </c>
      <c r="F211">
        <f>HYPERLINK("https://www.amazon.jobs/jobs/3132887/principal-applied-scientist-aws-agentic-ai-science?cmpid=DA_INAD200785B", "https://www.amazon.jobs/jobs/3132887/principal-applied-scientist-aws-agentic-ai-science?cmpid=DA_INAD200785B")</f>
        <v/>
      </c>
      <c r="G211" t="inlineStr">
        <is>
          <t>New York, NY, US</t>
        </is>
      </c>
      <c r="H211" s="2" t="n">
        <v>45963</v>
      </c>
      <c r="I211"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12">
      <c r="A212" t="inlineStr">
        <is>
          <t>in-3c35b8c8157deebf</t>
        </is>
      </c>
      <c r="B212" t="inlineStr">
        <is>
          <t>Principal Applied Scientist, AWS Agentic AI Science</t>
        </is>
      </c>
      <c r="C212" t="inlineStr">
        <is>
          <t>Amazon Web Services</t>
        </is>
      </c>
      <c r="D212" t="inlineStr">
        <is>
          <t>indeed</t>
        </is>
      </c>
      <c r="E212">
        <f>HYPERLINK("https://www.indeed.com/viewjob?jk=3c35b8c8157deebf", "https://www.indeed.com/viewjob?jk=3c35b8c8157deebf")</f>
        <v/>
      </c>
      <c r="F212">
        <f>HYPERLINK("https://www.amazon.jobs/jobs/3132887/principal-applied-scientist-aws-agentic-ai-science?cmpid=DA_INAD200785B", "https://www.amazon.jobs/jobs/3132887/principal-applied-scientist-aws-agentic-ai-science?cmpid=DA_INAD200785B")</f>
        <v/>
      </c>
      <c r="G212" t="inlineStr">
        <is>
          <t>Santa Clara, CA, US</t>
        </is>
      </c>
      <c r="H212" s="2" t="n">
        <v>45963</v>
      </c>
      <c r="I212"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13">
      <c r="A213" t="inlineStr">
        <is>
          <t>in-bc1830e5b687d5ec</t>
        </is>
      </c>
      <c r="B213" t="inlineStr">
        <is>
          <t>Applied Scientist, AWS Agentic AI</t>
        </is>
      </c>
      <c r="C213" t="inlineStr">
        <is>
          <t>Amazon Web Services</t>
        </is>
      </c>
      <c r="D213" t="inlineStr">
        <is>
          <t>indeed</t>
        </is>
      </c>
      <c r="E213">
        <f>HYPERLINK("https://www.indeed.com/viewjob?jk=bc1830e5b687d5ec", "https://www.indeed.com/viewjob?jk=bc1830e5b687d5ec")</f>
        <v/>
      </c>
      <c r="F213">
        <f>HYPERLINK("https://www.amazon.jobs/jobs/3141517/applied-scientist-aws-agentic-ai-?cmpid=DA_INAD200785B", "https://www.amazon.jobs/jobs/3141517/applied-scientist-aws-agentic-ai-?cmpid=DA_INAD200785B")</f>
        <v/>
      </c>
      <c r="G213" t="inlineStr">
        <is>
          <t>Santa Clara, CA, US</t>
        </is>
      </c>
      <c r="H213" s="2" t="n">
        <v>45962</v>
      </c>
      <c r="I21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in-1cad994a142b2d7a</t>
        </is>
      </c>
      <c r="B214" t="inlineStr">
        <is>
          <t>Applied Scientist, AWS Agentic AI</t>
        </is>
      </c>
      <c r="C214" t="inlineStr">
        <is>
          <t>Amazon Web Services</t>
        </is>
      </c>
      <c r="D214" t="inlineStr">
        <is>
          <t>indeed</t>
        </is>
      </c>
      <c r="E214">
        <f>HYPERLINK("https://www.indeed.com/viewjob?jk=1cad994a142b2d7a", "https://www.indeed.com/viewjob?jk=1cad994a142b2d7a")</f>
        <v/>
      </c>
      <c r="F214">
        <f>HYPERLINK("https://www.amazon.jobs/jobs/3141517/applied-scientist-aws-agentic-ai-?cmpid=DA_INAD200785B", "https://www.amazon.jobs/jobs/3141517/applied-scientist-aws-agentic-ai-?cmpid=DA_INAD200785B")</f>
        <v/>
      </c>
      <c r="G214" t="inlineStr">
        <is>
          <t>Seattle, WA, US</t>
        </is>
      </c>
      <c r="H214" s="2" t="n">
        <v>45962</v>
      </c>
      <c r="I21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in-4f22893d1ff43535</t>
        </is>
      </c>
      <c r="B215" t="inlineStr">
        <is>
          <t>Applied Scientist, AWS Agentic AI</t>
        </is>
      </c>
      <c r="C215" t="inlineStr">
        <is>
          <t>Amazon Web Services</t>
        </is>
      </c>
      <c r="D215" t="inlineStr">
        <is>
          <t>indeed</t>
        </is>
      </c>
      <c r="E215">
        <f>HYPERLINK("https://www.indeed.com/viewjob?jk=4f22893d1ff43535", "https://www.indeed.com/viewjob?jk=4f22893d1ff43535")</f>
        <v/>
      </c>
      <c r="F215">
        <f>HYPERLINK("https://www.amazon.jobs/jobs/3141517/applied-scientist-aws-agentic-ai-?cmpid=DA_INAD200785B", "https://www.amazon.jobs/jobs/3141517/applied-scientist-aws-agentic-ai-?cmpid=DA_INAD200785B")</f>
        <v/>
      </c>
      <c r="G215" t="inlineStr">
        <is>
          <t>New York, NY, US</t>
        </is>
      </c>
      <c r="H215" s="2" t="n">
        <v>45962</v>
      </c>
      <c r="I21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in-24db83ad97e7a494</t>
        </is>
      </c>
      <c r="B216" t="inlineStr">
        <is>
          <t>Applied Scientist, Prime Video - Content Understanding, Localization &amp; Enrichment Team</t>
        </is>
      </c>
      <c r="C216" t="inlineStr">
        <is>
          <t>Amazon.com</t>
        </is>
      </c>
      <c r="D216" t="inlineStr">
        <is>
          <t>indeed</t>
        </is>
      </c>
      <c r="E216">
        <f>HYPERLINK("https://www.indeed.com/viewjob?jk=24db83ad97e7a494", "https://www.indeed.com/viewjob?jk=24db83ad97e7a494")</f>
        <v/>
      </c>
      <c r="F216">
        <f>HYPERLINK("https://www.amazon.jobs/jobs/3111928/applied-scientist-prime-video--content-understanding-localization--enrichment-team?cmpid=DA_INAD200785B", "https://www.amazon.jobs/jobs/3111928/applied-scientist-prime-video--content-understanding-localization--enrichment-team?cmpid=DA_INAD200785B")</f>
        <v/>
      </c>
      <c r="G216" t="inlineStr">
        <is>
          <t>San Francisco, CA, US</t>
        </is>
      </c>
      <c r="H216" s="2" t="n">
        <v>45943</v>
      </c>
      <c r="I2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17">
      <c r="A217" t="inlineStr">
        <is>
          <t>in-b492520b9b88192d</t>
        </is>
      </c>
      <c r="B217" t="inlineStr">
        <is>
          <t>Applied Scientist, Prime Video - Content Understanding, Localization &amp; Enrichment Team</t>
        </is>
      </c>
      <c r="C217" t="inlineStr">
        <is>
          <t>Amazon.com</t>
        </is>
      </c>
      <c r="D217" t="inlineStr">
        <is>
          <t>indeed</t>
        </is>
      </c>
      <c r="E217">
        <f>HYPERLINK("https://www.indeed.com/viewjob?jk=b492520b9b88192d", "https://www.indeed.com/viewjob?jk=b492520b9b88192d")</f>
        <v/>
      </c>
      <c r="F217">
        <f>HYPERLINK("https://www.amazon.jobs/jobs/3111928/applied-scientist-prime-video--content-understanding-localization--enrichment-team?cmpid=DA_INAD200785B", "https://www.amazon.jobs/jobs/3111928/applied-scientist-prime-video--content-understanding-localization--enrichment-team?cmpid=DA_INAD200785B")</f>
        <v/>
      </c>
      <c r="G217" t="inlineStr">
        <is>
          <t>Seattle, WA, US</t>
        </is>
      </c>
      <c r="H217" s="2" t="n">
        <v>45943</v>
      </c>
      <c r="I2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18">
      <c r="A218" t="inlineStr">
        <is>
          <t>in-e6998c9353f1675c</t>
        </is>
      </c>
      <c r="B218" t="inlineStr">
        <is>
          <t>Principal Applied Scientist, Advertiser Growth, Amazon Sponsored Products &amp; Brands</t>
        </is>
      </c>
      <c r="C218" t="inlineStr">
        <is>
          <t>Amazon.com</t>
        </is>
      </c>
      <c r="D218" t="inlineStr">
        <is>
          <t>indeed</t>
        </is>
      </c>
      <c r="E218">
        <f>HYPERLINK("https://www.indeed.com/viewjob?jk=e6998c9353f1675c", "https://www.indeed.com/viewjob?jk=e6998c9353f1675c")</f>
        <v/>
      </c>
      <c r="F218">
        <f>HYPERLINK("https://www.amazon.jobs/jobs/3115279/principal-applied-scientist-advertiser-growth-amazon-sponsored-products--brands?cmpid=DA_INAD200785B", "https://www.amazon.jobs/jobs/3115279/principal-applied-scientist-advertiser-growth-amazon-sponsored-products--brands?cmpid=DA_INAD200785B")</f>
        <v/>
      </c>
      <c r="G218" t="inlineStr">
        <is>
          <t>Seattle, WA, US</t>
        </is>
      </c>
      <c r="H218" s="2" t="n">
        <v>45942</v>
      </c>
      <c r="I21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in-9c4b631400f877d4</t>
        </is>
      </c>
      <c r="B219" t="inlineStr">
        <is>
          <t>Principal Applied Scientist, Advertiser Growth, Amazon Sponsored Products &amp; Brands</t>
        </is>
      </c>
      <c r="C219" t="inlineStr">
        <is>
          <t>Amazon.com</t>
        </is>
      </c>
      <c r="D219" t="inlineStr">
        <is>
          <t>indeed</t>
        </is>
      </c>
      <c r="E219">
        <f>HYPERLINK("https://www.indeed.com/viewjob?jk=9c4b631400f877d4", "https://www.indeed.com/viewjob?jk=9c4b631400f877d4")</f>
        <v/>
      </c>
      <c r="F219">
        <f>HYPERLINK("https://www.amazon.jobs/jobs/3115279/principal-applied-scientist-advertiser-growth-amazon-sponsored-products--brands?cmpid=DA_INAD200785B", "https://www.amazon.jobs/jobs/3115279/principal-applied-scientist-advertiser-growth-amazon-sponsored-products--brands?cmpid=DA_INAD200785B")</f>
        <v/>
      </c>
      <c r="G219" t="inlineStr">
        <is>
          <t>New York, NY, US</t>
        </is>
      </c>
      <c r="H219" s="2" t="n">
        <v>45942</v>
      </c>
      <c r="I21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in-a41206b97ea99470</t>
        </is>
      </c>
      <c r="B220" t="inlineStr">
        <is>
          <t>Principal Applied Scientist, Advertiser Growth, Amazon Sponsored Products &amp; Brands</t>
        </is>
      </c>
      <c r="C220" t="inlineStr">
        <is>
          <t>Amazon.com</t>
        </is>
      </c>
      <c r="D220" t="inlineStr">
        <is>
          <t>indeed</t>
        </is>
      </c>
      <c r="E220">
        <f>HYPERLINK("https://www.indeed.com/viewjob?jk=a41206b97ea99470", "https://www.indeed.com/viewjob?jk=a41206b97ea99470")</f>
        <v/>
      </c>
      <c r="F220">
        <f>HYPERLINK("https://www.amazon.jobs/jobs/3115279/principal-applied-scientist-advertiser-growth-amazon-sponsored-products--brands?cmpid=DA_INAD200785B", "https://www.amazon.jobs/jobs/3115279/principal-applied-scientist-advertiser-growth-amazon-sponsored-products--brands?cmpid=DA_INAD200785B")</f>
        <v/>
      </c>
      <c r="G220" t="inlineStr">
        <is>
          <t>Palo Alto, CA, US</t>
        </is>
      </c>
      <c r="H220" s="2" t="n">
        <v>45942</v>
      </c>
      <c r="I22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in-b79571060ef13c2d</t>
        </is>
      </c>
      <c r="B221" t="inlineStr">
        <is>
          <t>Sr. Applied Scientist, Prime Video - Personalization and Discovery Science</t>
        </is>
      </c>
      <c r="C221" t="inlineStr">
        <is>
          <t>Amazon.com</t>
        </is>
      </c>
      <c r="D221" t="inlineStr">
        <is>
          <t>indeed</t>
        </is>
      </c>
      <c r="E221">
        <f>HYPERLINK("https://www.indeed.com/viewjob?jk=b79571060ef13c2d", "https://www.indeed.com/viewjob?jk=b79571060ef13c2d")</f>
        <v/>
      </c>
      <c r="F221">
        <f>HYPERLINK("https://www.amazon.jobs/jobs/3084479/sr-applied-scientist-prime-video--personalization-and-discovery-science?cmpid=DA_INAD200785B", "https://www.amazon.jobs/jobs/3084479/sr-applied-scientist-prime-video--personalization-and-discovery-science?cmpid=DA_INAD200785B")</f>
        <v/>
      </c>
      <c r="G221" t="inlineStr">
        <is>
          <t>New York, NY, US</t>
        </is>
      </c>
      <c r="H221" s="2" t="n">
        <v>45896</v>
      </c>
      <c r="I2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2">
      <c r="A222" t="inlineStr">
        <is>
          <t>in-209465de9e50ba21</t>
        </is>
      </c>
      <c r="B222" t="inlineStr">
        <is>
          <t>Sr. Applied Scientist, Prime Video - Personalization and Discovery Science</t>
        </is>
      </c>
      <c r="C222" t="inlineStr">
        <is>
          <t>Amazon.com</t>
        </is>
      </c>
      <c r="D222" t="inlineStr">
        <is>
          <t>indeed</t>
        </is>
      </c>
      <c r="E222">
        <f>HYPERLINK("https://www.indeed.com/viewjob?jk=209465de9e50ba21", "https://www.indeed.com/viewjob?jk=209465de9e50ba21")</f>
        <v/>
      </c>
      <c r="F222">
        <f>HYPERLINK("https://www.amazon.jobs/jobs/3084479/sr-applied-scientist-prime-video--personalization-and-discovery-science?cmpid=DA_INAD200785B", "https://www.amazon.jobs/jobs/3084479/sr-applied-scientist-prime-video--personalization-and-discovery-science?cmpid=DA_INAD200785B")</f>
        <v/>
      </c>
      <c r="G222" t="inlineStr">
        <is>
          <t>Seattle, WA, US</t>
        </is>
      </c>
      <c r="H222" s="2" t="n">
        <v>45896</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3">
      <c r="A223" t="inlineStr">
        <is>
          <t>in-5004b86d37ae17e7</t>
        </is>
      </c>
      <c r="B223" t="inlineStr">
        <is>
          <t>Sr. Applied Scientist, Amazon Advertising</t>
        </is>
      </c>
      <c r="C223" t="inlineStr">
        <is>
          <t>Amazon.com</t>
        </is>
      </c>
      <c r="D223" t="inlineStr">
        <is>
          <t>indeed</t>
        </is>
      </c>
      <c r="E223">
        <f>HYPERLINK("https://www.indeed.com/viewjob?jk=5004b86d37ae17e7", "https://www.indeed.com/viewjob?jk=5004b86d37ae17e7")</f>
        <v/>
      </c>
      <c r="F223">
        <f>HYPERLINK("https://www.amazon.jobs/jobs/3035686/sr-applied-scientist-amazon-advertising?cmpid=DA_INAD200785B", "https://www.amazon.jobs/jobs/3035686/sr-applied-scientist-amazon-advertising?cmpid=DA_INAD200785B")</f>
        <v/>
      </c>
      <c r="G223" t="inlineStr">
        <is>
          <t>Los Angeles, CA, US</t>
        </is>
      </c>
      <c r="H223" s="2" t="n">
        <v>45851</v>
      </c>
      <c r="I2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in-b09b95e68dcbabe4</t>
        </is>
      </c>
      <c r="B224" t="inlineStr">
        <is>
          <t>Sr. Applied Scientist, Amazon Advertising</t>
        </is>
      </c>
      <c r="C224" t="inlineStr">
        <is>
          <t>Amazon.com</t>
        </is>
      </c>
      <c r="D224" t="inlineStr">
        <is>
          <t>indeed</t>
        </is>
      </c>
      <c r="E224">
        <f>HYPERLINK("https://www.indeed.com/viewjob?jk=b09b95e68dcbabe4", "https://www.indeed.com/viewjob?jk=b09b95e68dcbabe4")</f>
        <v/>
      </c>
      <c r="F224">
        <f>HYPERLINK("https://www.amazon.jobs/jobs/3035686/sr-applied-scientist-amazon-advertising?cmpid=DA_INAD200785B", "https://www.amazon.jobs/jobs/3035686/sr-applied-scientist-amazon-advertising?cmpid=DA_INAD200785B")</f>
        <v/>
      </c>
      <c r="G224" t="inlineStr">
        <is>
          <t>Palo Alto, CA, US</t>
        </is>
      </c>
      <c r="H224" s="2" t="n">
        <v>45851</v>
      </c>
      <c r="I22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in-60ca35d3657a32a3</t>
        </is>
      </c>
      <c r="B225" t="inlineStr">
        <is>
          <t>Sr. Applied Scientist, Amazon Advertising</t>
        </is>
      </c>
      <c r="C225" t="inlineStr">
        <is>
          <t>Amazon.com</t>
        </is>
      </c>
      <c r="D225" t="inlineStr">
        <is>
          <t>indeed</t>
        </is>
      </c>
      <c r="E225">
        <f>HYPERLINK("https://www.indeed.com/viewjob?jk=60ca35d3657a32a3", "https://www.indeed.com/viewjob?jk=60ca35d3657a32a3")</f>
        <v/>
      </c>
      <c r="F225">
        <f>HYPERLINK("https://www.amazon.jobs/jobs/3035686/sr-applied-scientist-amazon-advertising?cmpid=DA_INAD200785B", "https://www.amazon.jobs/jobs/3035686/sr-applied-scientist-amazon-advertising?cmpid=DA_INAD200785B")</f>
        <v/>
      </c>
      <c r="G225" t="inlineStr">
        <is>
          <t>Arlington, VA, US</t>
        </is>
      </c>
      <c r="H225" s="2" t="n">
        <v>45851</v>
      </c>
      <c r="I22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in-e81fa3a21ab36859</t>
        </is>
      </c>
      <c r="B226" t="inlineStr">
        <is>
          <t>Sr. Applied Scientist, Amazon Advertising</t>
        </is>
      </c>
      <c r="C226" t="inlineStr">
        <is>
          <t>Amazon.com</t>
        </is>
      </c>
      <c r="D226" t="inlineStr">
        <is>
          <t>indeed</t>
        </is>
      </c>
      <c r="E226">
        <f>HYPERLINK("https://www.indeed.com/viewjob?jk=e81fa3a21ab36859", "https://www.indeed.com/viewjob?jk=e81fa3a21ab36859")</f>
        <v/>
      </c>
      <c r="F226">
        <f>HYPERLINK("https://www.amazon.jobs/jobs/3035686/sr-applied-scientist-amazon-advertising?cmpid=DA_INAD200785B", "https://www.amazon.jobs/jobs/3035686/sr-applied-scientist-amazon-advertising?cmpid=DA_INAD200785B")</f>
        <v/>
      </c>
      <c r="G226" t="inlineStr">
        <is>
          <t>New York, NY, US</t>
        </is>
      </c>
      <c r="H226" s="2" t="n">
        <v>45851</v>
      </c>
      <c r="I22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in-2792630a6d506353</t>
        </is>
      </c>
      <c r="B227" t="inlineStr">
        <is>
          <t>Sr. Applied Scientist, Amazon Advertising</t>
        </is>
      </c>
      <c r="C227" t="inlineStr">
        <is>
          <t>Amazon.com</t>
        </is>
      </c>
      <c r="D227" t="inlineStr">
        <is>
          <t>indeed</t>
        </is>
      </c>
      <c r="E227">
        <f>HYPERLINK("https://www.indeed.com/viewjob?jk=2792630a6d506353", "https://www.indeed.com/viewjob?jk=2792630a6d506353")</f>
        <v/>
      </c>
      <c r="F227">
        <f>HYPERLINK("https://www.amazon.jobs/jobs/3035686/sr-applied-scientist-amazon-advertising?cmpid=DA_INAD200785B", "https://www.amazon.jobs/jobs/3035686/sr-applied-scientist-amazon-advertising?cmpid=DA_INAD200785B")</f>
        <v/>
      </c>
      <c r="G227" t="inlineStr">
        <is>
          <t>Austin, TX, US</t>
        </is>
      </c>
      <c r="H227" s="2" t="n">
        <v>45851</v>
      </c>
      <c r="I22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in-0778a2249bc20df8</t>
        </is>
      </c>
      <c r="B228" t="inlineStr">
        <is>
          <t>Sr. Applied Scientist, Amazon Advertising</t>
        </is>
      </c>
      <c r="C228" t="inlineStr">
        <is>
          <t>Amazon.com</t>
        </is>
      </c>
      <c r="D228" t="inlineStr">
        <is>
          <t>indeed</t>
        </is>
      </c>
      <c r="E228">
        <f>HYPERLINK("https://www.indeed.com/viewjob?jk=0778a2249bc20df8", "https://www.indeed.com/viewjob?jk=0778a2249bc20df8")</f>
        <v/>
      </c>
      <c r="F228">
        <f>HYPERLINK("https://www.amazon.jobs/jobs/3035686/sr-applied-scientist-amazon-advertising?cmpid=DA_INAD200785B", "https://www.amazon.jobs/jobs/3035686/sr-applied-scientist-amazon-advertising?cmpid=DA_INAD200785B")</f>
        <v/>
      </c>
      <c r="G228" t="inlineStr">
        <is>
          <t>Simi Valley, CA, US</t>
        </is>
      </c>
      <c r="H228" s="2" t="n">
        <v>45851</v>
      </c>
      <c r="I22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in-696a3c91a7288b7a</t>
        </is>
      </c>
      <c r="B229" t="inlineStr">
        <is>
          <t>Sr. Applied Scientist, Amazon Advertising</t>
        </is>
      </c>
      <c r="C229" t="inlineStr">
        <is>
          <t>Amazon.com</t>
        </is>
      </c>
      <c r="D229" t="inlineStr">
        <is>
          <t>indeed</t>
        </is>
      </c>
      <c r="E229">
        <f>HYPERLINK("https://www.indeed.com/viewjob?jk=696a3c91a7288b7a", "https://www.indeed.com/viewjob?jk=696a3c91a7288b7a")</f>
        <v/>
      </c>
      <c r="F229">
        <f>HYPERLINK("https://www.amazon.jobs/jobs/3035686/sr-applied-scientist-amazon-advertising?cmpid=DA_INAD200785B", "https://www.amazon.jobs/jobs/3035686/sr-applied-scientist-amazon-advertising?cmpid=DA_INAD200785B")</f>
        <v/>
      </c>
      <c r="G229" t="inlineStr">
        <is>
          <t>West Hollywood, CA, US</t>
        </is>
      </c>
      <c r="H229" s="2" t="n">
        <v>45851</v>
      </c>
      <c r="I22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in-938403ba95f191a1</t>
        </is>
      </c>
      <c r="B230" t="inlineStr">
        <is>
          <t>Sr. Applied Scientist, Amazon Advertising</t>
        </is>
      </c>
      <c r="C230" t="inlineStr">
        <is>
          <t>Amazon.com</t>
        </is>
      </c>
      <c r="D230" t="inlineStr">
        <is>
          <t>indeed</t>
        </is>
      </c>
      <c r="E230">
        <f>HYPERLINK("https://www.indeed.com/viewjob?jk=938403ba95f191a1", "https://www.indeed.com/viewjob?jk=938403ba95f191a1")</f>
        <v/>
      </c>
      <c r="F230">
        <f>HYPERLINK("https://www.amazon.jobs/jobs/3035686/sr-applied-scientist-amazon-advertising?cmpid=DA_INAD200785B", "https://www.amazon.jobs/jobs/3035686/sr-applied-scientist-amazon-advertising?cmpid=DA_INAD200785B")</f>
        <v/>
      </c>
      <c r="G230" t="inlineStr">
        <is>
          <t>Seattle, WA, US</t>
        </is>
      </c>
      <c r="H230" s="2" t="n">
        <v>45851</v>
      </c>
      <c r="I23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in-52f0fa76aa7a1943</t>
        </is>
      </c>
      <c r="B231" t="inlineStr">
        <is>
          <t>Applied Scientist, Prime Video - Personalization and Discovery Science</t>
        </is>
      </c>
      <c r="C231" t="inlineStr">
        <is>
          <t>Amazon.com</t>
        </is>
      </c>
      <c r="D231" t="inlineStr">
        <is>
          <t>indeed</t>
        </is>
      </c>
      <c r="E231">
        <f>HYPERLINK("https://www.indeed.com/viewjob?jk=52f0fa76aa7a1943", "https://www.indeed.com/viewjob?jk=52f0fa76aa7a1943")</f>
        <v/>
      </c>
      <c r="F231">
        <f>HYPERLINK("https://www.amazon.jobs/jobs/3033050/applied-scientist-prime-video--personalization-and-discovery-science?cmpid=DA_INAD200785B", "https://www.amazon.jobs/jobs/3033050/applied-scientist-prime-video--personalization-and-discovery-science?cmpid=DA_INAD200785B")</f>
        <v/>
      </c>
      <c r="G231" t="inlineStr">
        <is>
          <t>Sunnyvale, CA, US</t>
        </is>
      </c>
      <c r="H231" s="2" t="n">
        <v>45845</v>
      </c>
      <c r="I2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32">
      <c r="A232" t="inlineStr">
        <is>
          <t>in-6b305f187c2053fa</t>
        </is>
      </c>
      <c r="B232" t="inlineStr">
        <is>
          <t>Applied Scientist, Prime Video - Personalization and Discovery Science</t>
        </is>
      </c>
      <c r="C232" t="inlineStr">
        <is>
          <t>Amazon.com</t>
        </is>
      </c>
      <c r="D232" t="inlineStr">
        <is>
          <t>indeed</t>
        </is>
      </c>
      <c r="E232">
        <f>HYPERLINK("https://www.indeed.com/viewjob?jk=6b305f187c2053fa", "https://www.indeed.com/viewjob?jk=6b305f187c2053fa")</f>
        <v/>
      </c>
      <c r="F232">
        <f>HYPERLINK("https://www.amazon.jobs/jobs/3033050/applied-scientist-prime-video--personalization-and-discovery-science?cmpid=DA_INAD200785B", "https://www.amazon.jobs/jobs/3033050/applied-scientist-prime-video--personalization-and-discovery-science?cmpid=DA_INAD200785B")</f>
        <v/>
      </c>
      <c r="G232" t="inlineStr">
        <is>
          <t>New York, NY, US</t>
        </is>
      </c>
      <c r="H232" s="2" t="n">
        <v>45845</v>
      </c>
      <c r="I2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33">
      <c r="A233" t="inlineStr">
        <is>
          <t>in-9e1e02438f97ed7d</t>
        </is>
      </c>
      <c r="B233" t="inlineStr">
        <is>
          <t>Applied Scientist, Prime Video - Personalization and Discovery Science</t>
        </is>
      </c>
      <c r="C233" t="inlineStr">
        <is>
          <t>Amazon.com</t>
        </is>
      </c>
      <c r="D233" t="inlineStr">
        <is>
          <t>indeed</t>
        </is>
      </c>
      <c r="E233">
        <f>HYPERLINK("https://www.indeed.com/viewjob?jk=9e1e02438f97ed7d", "https://www.indeed.com/viewjob?jk=9e1e02438f97ed7d")</f>
        <v/>
      </c>
      <c r="F233">
        <f>HYPERLINK("https://www.amazon.jobs/jobs/3033050/applied-scientist-prime-video--personalization-and-discovery-science?cmpid=DA_INAD200785B", "https://www.amazon.jobs/jobs/3033050/applied-scientist-prime-video--personalization-and-discovery-science?cmpid=DA_INAD200785B")</f>
        <v/>
      </c>
      <c r="G233" t="inlineStr">
        <is>
          <t>Seattle, WA, US</t>
        </is>
      </c>
      <c r="H233" s="2" t="n">
        <v>45845</v>
      </c>
      <c r="I2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34">
      <c r="A234" t="inlineStr">
        <is>
          <t>in-131f3d55334da95c</t>
        </is>
      </c>
      <c r="B234" t="inlineStr">
        <is>
          <t>Principal Applied Scientist, Delivery Foundation Model</t>
        </is>
      </c>
      <c r="C234" t="inlineStr">
        <is>
          <t>Amazon.com</t>
        </is>
      </c>
      <c r="D234" t="inlineStr">
        <is>
          <t>indeed</t>
        </is>
      </c>
      <c r="E234">
        <f>HYPERLINK("https://www.indeed.com/viewjob?jk=131f3d55334da95c", "https://www.indeed.com/viewjob?jk=131f3d55334da95c")</f>
        <v/>
      </c>
      <c r="F234">
        <f>HYPERLINK("https://www.amazon.jobs/jobs/3006938/principal-applied-scientist-delivery-foundation-model-?cmpid=DA_INAD200785B", "https://www.amazon.jobs/jobs/3006938/principal-applied-scientist-delivery-foundation-model-?cmpid=DA_INAD200785B")</f>
        <v/>
      </c>
      <c r="G234" t="inlineStr">
        <is>
          <t>New York, NY, US</t>
        </is>
      </c>
      <c r="H234" s="2" t="n">
        <v>45810</v>
      </c>
      <c r="I23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35">
      <c r="A235" t="inlineStr">
        <is>
          <t>in-86824e3507eb5553</t>
        </is>
      </c>
      <c r="B235" t="inlineStr">
        <is>
          <t>Principal Applied Scientist, Delivery Foundation Model</t>
        </is>
      </c>
      <c r="C235" t="inlineStr">
        <is>
          <t>Amazon.com</t>
        </is>
      </c>
      <c r="D235" t="inlineStr">
        <is>
          <t>indeed</t>
        </is>
      </c>
      <c r="E235">
        <f>HYPERLINK("https://www.indeed.com/viewjob?jk=86824e3507eb5553", "https://www.indeed.com/viewjob?jk=86824e3507eb5553")</f>
        <v/>
      </c>
      <c r="F235">
        <f>HYPERLINK("https://www.amazon.jobs/jobs/3006938/principal-applied-scientist-delivery-foundation-model-?cmpid=DA_INAD200785B", "https://www.amazon.jobs/jobs/3006938/principal-applied-scientist-delivery-foundation-model-?cmpid=DA_INAD200785B")</f>
        <v/>
      </c>
      <c r="G235" t="inlineStr">
        <is>
          <t>Austin, TX, US</t>
        </is>
      </c>
      <c r="H235" s="2" t="n">
        <v>45810</v>
      </c>
      <c r="I23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36">
      <c r="A236" t="inlineStr">
        <is>
          <t>in-d07f8afe8afeb19f</t>
        </is>
      </c>
      <c r="B236" t="inlineStr">
        <is>
          <t>Principal Applied Scientist, Delivery Foundation Model</t>
        </is>
      </c>
      <c r="C236" t="inlineStr">
        <is>
          <t>Amazon.com</t>
        </is>
      </c>
      <c r="D236" t="inlineStr">
        <is>
          <t>indeed</t>
        </is>
      </c>
      <c r="E236">
        <f>HYPERLINK("https://www.indeed.com/viewjob?jk=d07f8afe8afeb19f", "https://www.indeed.com/viewjob?jk=d07f8afe8afeb19f")</f>
        <v/>
      </c>
      <c r="F236">
        <f>HYPERLINK("https://www.amazon.jobs/jobs/3006938/principal-applied-scientist-delivery-foundation-model-?cmpid=DA_INAD200785B", "https://www.amazon.jobs/jobs/3006938/principal-applied-scientist-delivery-foundation-model-?cmpid=DA_INAD200785B")</f>
        <v/>
      </c>
      <c r="G236" t="inlineStr">
        <is>
          <t>Bellevue, WA, US</t>
        </is>
      </c>
      <c r="H236" s="2" t="n">
        <v>45810</v>
      </c>
      <c r="I23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37">
      <c r="A237" t="inlineStr">
        <is>
          <t>in-49584ae609748e7f</t>
        </is>
      </c>
      <c r="B237" t="inlineStr">
        <is>
          <t>Principal Applied Scientist, Delivery Foundation Model</t>
        </is>
      </c>
      <c r="C237" t="inlineStr">
        <is>
          <t>Amazon.com</t>
        </is>
      </c>
      <c r="D237" t="inlineStr">
        <is>
          <t>indeed</t>
        </is>
      </c>
      <c r="E237">
        <f>HYPERLINK("https://www.indeed.com/viewjob?jk=49584ae609748e7f", "https://www.indeed.com/viewjob?jk=49584ae609748e7f")</f>
        <v/>
      </c>
      <c r="F237">
        <f>HYPERLINK("https://www.amazon.jobs/jobs/3006938/principal-applied-scientist-delivery-foundation-model-?cmpid=DA_INAD200785B", "https://www.amazon.jobs/jobs/3006938/principal-applied-scientist-delivery-foundation-model-?cmpid=DA_INAD200785B")</f>
        <v/>
      </c>
      <c r="G237" t="inlineStr">
        <is>
          <t>Santa Clara, CA, US</t>
        </is>
      </c>
      <c r="H237" s="2" t="n">
        <v>45810</v>
      </c>
      <c r="I23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38">
      <c r="A238" t="inlineStr">
        <is>
          <t>in-c4041dc7d4be1834</t>
        </is>
      </c>
      <c r="B238" t="inlineStr">
        <is>
          <t>Senior Applied Scientist, Delivery Foundation Model</t>
        </is>
      </c>
      <c r="C238" t="inlineStr">
        <is>
          <t>Amazon.com</t>
        </is>
      </c>
      <c r="D238" t="inlineStr">
        <is>
          <t>indeed</t>
        </is>
      </c>
      <c r="E238">
        <f>HYPERLINK("https://www.indeed.com/viewjob?jk=c4041dc7d4be1834", "https://www.indeed.com/viewjob?jk=c4041dc7d4be1834")</f>
        <v/>
      </c>
      <c r="F238">
        <f>HYPERLINK("https://www.amazon.jobs/jobs/2998435/senior-applied-scientist-delivery-foundation-model-?cmpid=DA_INAD200785B", "https://www.amazon.jobs/jobs/2998435/senior-applied-scientist-delivery-foundation-model-?cmpid=DA_INAD200785B")</f>
        <v/>
      </c>
      <c r="G238" t="inlineStr">
        <is>
          <t>Santa Clara, CA, US</t>
        </is>
      </c>
      <c r="H238" s="2" t="n">
        <v>45806</v>
      </c>
      <c r="I23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in-05dfc94085c5b50f</t>
        </is>
      </c>
      <c r="B239" t="inlineStr">
        <is>
          <t>Senior Applied Scientist, Delivery Foundation Model</t>
        </is>
      </c>
      <c r="C239" t="inlineStr">
        <is>
          <t>Amazon.com</t>
        </is>
      </c>
      <c r="D239" t="inlineStr">
        <is>
          <t>indeed</t>
        </is>
      </c>
      <c r="E239">
        <f>HYPERLINK("https://www.indeed.com/viewjob?jk=05dfc94085c5b50f", "https://www.indeed.com/viewjob?jk=05dfc94085c5b50f")</f>
        <v/>
      </c>
      <c r="F239">
        <f>HYPERLINK("https://www.amazon.jobs/jobs/2998435/senior-applied-scientist-delivery-foundation-model-?cmpid=DA_INAD200785B", "https://www.amazon.jobs/jobs/2998435/senior-applied-scientist-delivery-foundation-model-?cmpid=DA_INAD200785B")</f>
        <v/>
      </c>
      <c r="G239" t="inlineStr">
        <is>
          <t>New York, NY, US</t>
        </is>
      </c>
      <c r="H239" s="2" t="n">
        <v>45806</v>
      </c>
      <c r="I23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in-e0ff980af64fdd23</t>
        </is>
      </c>
      <c r="B240" t="inlineStr">
        <is>
          <t>Senior Applied Scientist, Delivery Foundation Model</t>
        </is>
      </c>
      <c r="C240" t="inlineStr">
        <is>
          <t>Amazon.com</t>
        </is>
      </c>
      <c r="D240" t="inlineStr">
        <is>
          <t>indeed</t>
        </is>
      </c>
      <c r="E240">
        <f>HYPERLINK("https://www.indeed.com/viewjob?jk=e0ff980af64fdd23", "https://www.indeed.com/viewjob?jk=e0ff980af64fdd23")</f>
        <v/>
      </c>
      <c r="F240">
        <f>HYPERLINK("https://www.amazon.jobs/jobs/2998435/senior-applied-scientist-delivery-foundation-model-?cmpid=DA_INAD200785B", "https://www.amazon.jobs/jobs/2998435/senior-applied-scientist-delivery-foundation-model-?cmpid=DA_INAD200785B")</f>
        <v/>
      </c>
      <c r="G240" t="inlineStr">
        <is>
          <t>Bellevue, WA, US</t>
        </is>
      </c>
      <c r="H240" s="2" t="n">
        <v>45806</v>
      </c>
      <c r="I24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in-cb342b7153f635aa</t>
        </is>
      </c>
      <c r="B241" t="inlineStr">
        <is>
          <t>Sr. Applied Scientist - Privacy, Privacy Engineering</t>
        </is>
      </c>
      <c r="C241" t="inlineStr">
        <is>
          <t>Amazon.com</t>
        </is>
      </c>
      <c r="D241" t="inlineStr">
        <is>
          <t>indeed</t>
        </is>
      </c>
      <c r="E241">
        <f>HYPERLINK("https://www.indeed.com/viewjob?jk=cb342b7153f635aa", "https://www.indeed.com/viewjob?jk=cb342b7153f635aa")</f>
        <v/>
      </c>
      <c r="F241">
        <f>HYPERLINK("https://www.amazon.jobs/jobs/2997657/sr-applied-scientist--privacy-privacy-engineering?cmpid=DA_INAD200785B", "https://www.amazon.jobs/jobs/2997657/sr-applied-scientist--privacy-privacy-engineering?cmpid=DA_INAD200785B")</f>
        <v/>
      </c>
      <c r="G241" t="inlineStr">
        <is>
          <t>San Francisco, CA, US</t>
        </is>
      </c>
      <c r="H241" s="2" t="n">
        <v>45787</v>
      </c>
      <c r="I24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in-7312be42ec972f31</t>
        </is>
      </c>
      <c r="B242" t="inlineStr">
        <is>
          <t>Sr. Applied Scientist - Privacy, Privacy Engineering</t>
        </is>
      </c>
      <c r="C242" t="inlineStr">
        <is>
          <t>Amazon.com</t>
        </is>
      </c>
      <c r="D242" t="inlineStr">
        <is>
          <t>indeed</t>
        </is>
      </c>
      <c r="E242">
        <f>HYPERLINK("https://www.indeed.com/viewjob?jk=7312be42ec972f31", "https://www.indeed.com/viewjob?jk=7312be42ec972f31")</f>
        <v/>
      </c>
      <c r="F242">
        <f>HYPERLINK("https://www.amazon.jobs/jobs/2997657/sr-applied-scientist--privacy-privacy-engineering?cmpid=DA_INAD200785B", "https://www.amazon.jobs/jobs/2997657/sr-applied-scientist--privacy-privacy-engineering?cmpid=DA_INAD200785B")</f>
        <v/>
      </c>
      <c r="G242" t="inlineStr">
        <is>
          <t>Seattle, WA, US</t>
        </is>
      </c>
      <c r="H242" s="2" t="n">
        <v>45787</v>
      </c>
      <c r="I24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in-264c98c46f64882c</t>
        </is>
      </c>
      <c r="B243" t="inlineStr">
        <is>
          <t>Sr. Applied Scientist - Privacy, Privacy Engineering</t>
        </is>
      </c>
      <c r="C243" t="inlineStr">
        <is>
          <t>Amazon.com</t>
        </is>
      </c>
      <c r="D243" t="inlineStr">
        <is>
          <t>indeed</t>
        </is>
      </c>
      <c r="E243">
        <f>HYPERLINK("https://www.indeed.com/viewjob?jk=264c98c46f64882c", "https://www.indeed.com/viewjob?jk=264c98c46f64882c")</f>
        <v/>
      </c>
      <c r="F243">
        <f>HYPERLINK("https://www.amazon.jobs/jobs/2997657/sr-applied-scientist--privacy-privacy-engineering?cmpid=DA_INAD200785B", "https://www.amazon.jobs/jobs/2997657/sr-applied-scientist--privacy-privacy-engineering?cmpid=DA_INAD200785B")</f>
        <v/>
      </c>
      <c r="G243" t="inlineStr">
        <is>
          <t>Sunnyvale, CA, US</t>
        </is>
      </c>
      <c r="H243" s="2" t="n">
        <v>45787</v>
      </c>
      <c r="I24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in-ac595b6627c614ba</t>
        </is>
      </c>
      <c r="B244" t="inlineStr">
        <is>
          <t>Sr. Applied Scientist - Privacy, Privacy Engineering</t>
        </is>
      </c>
      <c r="C244" t="inlineStr">
        <is>
          <t>Amazon.com</t>
        </is>
      </c>
      <c r="D244" t="inlineStr">
        <is>
          <t>indeed</t>
        </is>
      </c>
      <c r="E244">
        <f>HYPERLINK("https://www.indeed.com/viewjob?jk=ac595b6627c614ba", "https://www.indeed.com/viewjob?jk=ac595b6627c614ba")</f>
        <v/>
      </c>
      <c r="F244">
        <f>HYPERLINK("https://www.amazon.jobs/jobs/2997657/sr-applied-scientist--privacy-privacy-engineering?cmpid=DA_INAD200785B", "https://www.amazon.jobs/jobs/2997657/sr-applied-scientist--privacy-privacy-engineering?cmpid=DA_INAD200785B")</f>
        <v/>
      </c>
      <c r="G244" t="inlineStr">
        <is>
          <t>Santa Clara, CA, US</t>
        </is>
      </c>
      <c r="H244" s="2" t="n">
        <v>45787</v>
      </c>
      <c r="I24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in-f81286234e298c76</t>
        </is>
      </c>
      <c r="B245" t="inlineStr">
        <is>
          <t>Principal Applied Scientist, Delivery Foundation Model</t>
        </is>
      </c>
      <c r="C245" t="inlineStr">
        <is>
          <t>Amazon.com</t>
        </is>
      </c>
      <c r="D245" t="inlineStr">
        <is>
          <t>indeed</t>
        </is>
      </c>
      <c r="E245">
        <f>HYPERLINK("https://www.indeed.com/viewjob?jk=f81286234e298c76", "https://www.indeed.com/viewjob?jk=f81286234e298c76")</f>
        <v/>
      </c>
      <c r="F245">
        <f>HYPERLINK("https://www.amazon.jobs/jobs/2998635/principal-applied-scientist-delivery-foundation-model-?cmpid=DA_INAD200785B", "https://www.amazon.jobs/jobs/2998635/principal-applied-scientist-delivery-foundation-model-?cmpid=DA_INAD200785B")</f>
        <v/>
      </c>
      <c r="G245" t="inlineStr">
        <is>
          <t>New York, NY, US</t>
        </is>
      </c>
      <c r="H245" s="2" t="n">
        <v>45757</v>
      </c>
      <c r="I24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46">
      <c r="A246" t="inlineStr">
        <is>
          <t>in-19867e163a4f6697</t>
        </is>
      </c>
      <c r="B246" t="inlineStr">
        <is>
          <t>Principal Applied Scientist, Delivery Foundation Model</t>
        </is>
      </c>
      <c r="C246" t="inlineStr">
        <is>
          <t>Amazon.com</t>
        </is>
      </c>
      <c r="D246" t="inlineStr">
        <is>
          <t>indeed</t>
        </is>
      </c>
      <c r="E246">
        <f>HYPERLINK("https://www.indeed.com/viewjob?jk=19867e163a4f6697", "https://www.indeed.com/viewjob?jk=19867e163a4f6697")</f>
        <v/>
      </c>
      <c r="F246">
        <f>HYPERLINK("https://www.amazon.jobs/jobs/2998635/principal-applied-scientist-delivery-foundation-model-?cmpid=DA_INAD200785B", "https://www.amazon.jobs/jobs/2998635/principal-applied-scientist-delivery-foundation-model-?cmpid=DA_INAD200785B")</f>
        <v/>
      </c>
      <c r="G246" t="inlineStr">
        <is>
          <t>Bellevue, WA, US</t>
        </is>
      </c>
      <c r="H246" s="2" t="n">
        <v>45757</v>
      </c>
      <c r="I24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47">
      <c r="A247" t="inlineStr">
        <is>
          <t>in-a62cb060bcd8c405</t>
        </is>
      </c>
      <c r="B247" t="inlineStr">
        <is>
          <t>Principal Applied Scientist, Delivery Foundation Model</t>
        </is>
      </c>
      <c r="C247" t="inlineStr">
        <is>
          <t>Amazon.com</t>
        </is>
      </c>
      <c r="D247" t="inlineStr">
        <is>
          <t>indeed</t>
        </is>
      </c>
      <c r="E247">
        <f>HYPERLINK("https://www.indeed.com/viewjob?jk=a62cb060bcd8c405", "https://www.indeed.com/viewjob?jk=a62cb060bcd8c405")</f>
        <v/>
      </c>
      <c r="F247">
        <f>HYPERLINK("https://www.amazon.jobs/jobs/2998635/principal-applied-scientist-delivery-foundation-model-?cmpid=DA_INAD200785B", "https://www.amazon.jobs/jobs/2998635/principal-applied-scientist-delivery-foundation-model-?cmpid=DA_INAD200785B")</f>
        <v/>
      </c>
      <c r="G247" t="inlineStr">
        <is>
          <t>Santa Clara, CA, US</t>
        </is>
      </c>
      <c r="H247" s="2" t="n">
        <v>45757</v>
      </c>
      <c r="I24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48">
      <c r="A248" t="inlineStr">
        <is>
          <t>in-12a20329c1dabe3c</t>
        </is>
      </c>
      <c r="B248" t="inlineStr">
        <is>
          <t>Principal Applied Scientist, FAR (Frontier AI &amp; Robotics)</t>
        </is>
      </c>
      <c r="C248" t="inlineStr">
        <is>
          <t>Amazon.com</t>
        </is>
      </c>
      <c r="D248" t="inlineStr">
        <is>
          <t>indeed</t>
        </is>
      </c>
      <c r="E248">
        <f>HYPERLINK("https://www.indeed.com/viewjob?jk=12a20329c1dabe3c", "https://www.indeed.com/viewjob?jk=12a20329c1dabe3c")</f>
        <v/>
      </c>
      <c r="F248">
        <f>HYPERLINK("https://www.amazon.jobs/jobs/2938625/principal-applied-scientist-far-frontier-ai--robotics?cmpid=DA_INAD200785B", "https://www.amazon.jobs/jobs/2938625/principal-applied-scientist-far-frontier-ai--robotics?cmpid=DA_INAD200785B")</f>
        <v/>
      </c>
      <c r="G248" t="inlineStr">
        <is>
          <t>Seattle, WA, US</t>
        </is>
      </c>
      <c r="H248" s="2" t="n">
        <v>45740</v>
      </c>
      <c r="I24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\- 228,700\.00 \- 309,400\.00 USD annually  
USA, WA, Seattle \- 198,900\.00 \- 269,000\.00 USD annually</t>
        </is>
      </c>
    </row>
    <row r="249">
      <c r="A249" t="inlineStr">
        <is>
          <t>in-23712d803d3f1672</t>
        </is>
      </c>
      <c r="B249" t="inlineStr">
        <is>
          <t>Principal Applied Scientist, FAR (Frontier AI &amp; Robotics)</t>
        </is>
      </c>
      <c r="C249" t="inlineStr">
        <is>
          <t>Amazon.com</t>
        </is>
      </c>
      <c r="D249" t="inlineStr">
        <is>
          <t>indeed</t>
        </is>
      </c>
      <c r="E249">
        <f>HYPERLINK("https://www.indeed.com/viewjob?jk=23712d803d3f1672", "https://www.indeed.com/viewjob?jk=23712d803d3f1672")</f>
        <v/>
      </c>
      <c r="F249">
        <f>HYPERLINK("https://www.amazon.jobs/jobs/2938625/principal-applied-scientist-far-frontier-ai--robotics?cmpid=DA_INAD200785B", "https://www.amazon.jobs/jobs/2938625/principal-applied-scientist-far-frontier-ai--robotics?cmpid=DA_INAD200785B")</f>
        <v/>
      </c>
      <c r="G249" t="inlineStr">
        <is>
          <t>San Francisco, CA, US</t>
        </is>
      </c>
      <c r="H249" s="2" t="n">
        <v>45740</v>
      </c>
      <c r="I24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\- 228,700\.00 \- 309,400\.00 USD annually  
USA, WA, Seattle \- 198,900\.00 \- 269,000\.00 USD annually</t>
        </is>
      </c>
    </row>
    <row r="250">
      <c r="A250" t="inlineStr">
        <is>
          <t>in-e444f2a52ddcb696</t>
        </is>
      </c>
      <c r="B250" t="inlineStr">
        <is>
          <t>Senior Manager, Machine Learning Engineering</t>
        </is>
      </c>
      <c r="C250" t="inlineStr">
        <is>
          <t>Capital One</t>
        </is>
      </c>
      <c r="D250" t="inlineStr">
        <is>
          <t>indeed</t>
        </is>
      </c>
      <c r="E250">
        <f>HYPERLINK("https://www.indeed.com/viewjob?jk=e444f2a52ddcb696", "https://www.indeed.com/viewjob?jk=e444f2a52ddcb696")</f>
        <v/>
      </c>
      <c r="F250">
        <f>HYPERLINK("https://www.capitalonecareers.com/job/-/-/1732/92474028368", "https://www.capitalonecareers.com/job/-/-/1732/92474028368")</f>
        <v/>
      </c>
      <c r="G250" t="inlineStr">
        <is>
          <t>McLean, VA, US</t>
        </is>
      </c>
      <c r="H250" s="2" t="n">
        <v>46086</v>
      </c>
      <c r="I250" t="inlineStr">
        <is>
          <t>Senior Manager, Machine Learning Engineering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 At least 4 years of people management experience
Preferred Qualifications:
* Master's or Doctoral Degree in computer science, electrical engineering, mathematics, or a similar field
* 4\+ years of on\-the\-job experience with an industry recognized ML framework such as scikit\-learn, PyTorch, Dask, Spark, or TensorFlow
* 3\+ years of experience developing performant, resilient, and maintainable code
* 3\+ years of experience with data gathering and preparation for ML models
* Experience developing and deploying ML solutions in a public cloud such as AWS, Azure, or Google Cloud Platform
* 3\+ years of experience building production\-ready data pipelines that feed ML models
* Ability to communicate complex technical concepts clearly to a variety of audiences
* ML industry impact through conference presentations, papers, blog posts, open source contributions, or patents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Machine Learning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51">
      <c r="A251" t="inlineStr">
        <is>
          <t>in-d9f4cd1d239989a5</t>
        </is>
      </c>
      <c r="B251" t="inlineStr">
        <is>
          <t>Machine Learning Engineer 1</t>
        </is>
      </c>
      <c r="C251" t="inlineStr">
        <is>
          <t>Comcast</t>
        </is>
      </c>
      <c r="D251" t="inlineStr">
        <is>
          <t>indeed</t>
        </is>
      </c>
      <c r="E251">
        <f>HYPERLINK("https://www.indeed.com/viewjob?jk=d9f4cd1d239989a5", "https://www.indeed.com/viewjob?jk=d9f4cd1d239989a5")</f>
        <v/>
      </c>
      <c r="F251">
        <f>HYPERLINK("https://jobs.comcast.com/job/-/-/45483/92459419776?source=ind_orga_at", "https://jobs.comcast.com/job/-/-/45483/92459419776?source=ind_orga_at")</f>
        <v/>
      </c>
      <c r="G251" t="inlineStr">
        <is>
          <t>Philadelphia, PA, US</t>
        </is>
      </c>
      <c r="H251" s="2" t="n">
        <v>46086</v>
      </c>
      <c r="I251"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Responsible for collaborating effectively with peers to contribute to the team's machine learning algorithm development and the software development process. Participates in the evaluation of accuracy and functionality of machine learning algorithms as a part of a larger team. Contributes to translating application requirements into machine learning problem statements. Analyzes and evaluates solutions both internally generated as well as third party supplied. Collaborates with peers to develop ways to use machine learning to solve problems and discover new products, working on a portion of the problem and collaborating with more senior researchers and engineers as needed. Works with moderate guidance in own area of knowledge.**Job Description**
**This position is ineligible for visa sponsorship. To be considered for this role, you must be legally authorized to work in the United States and not require sponsorship for employment now or in the future.**
**Responsibilities:**
* Building a strong intuitive understanding of the problem domain (Next Generation Access Networks). Identify testable hypotheses to explain interesting phenomena in this domain.
* Integrating data from multiple sources including third party sources.
* Data mining using state\-of\-the\-art methods
* Developing actionable quantitative models in the areas of effectiveness, ROI, pricing and optimization.
* Doing ad\-hoc analysis and presenting results in a clear manner
* Creating automated anomaly detection systems and constant tracking of its performance
* Creating automated evaluation environment of complex models and constant tracking of relevant performance
 **Here are some of the specific technologies we use:**
* Spark (AWS EMR, Databricks), AWS Lambda
* Spark Streaming and Batch
* MySQL, Cassandra, HBase, MongoDB, RDBMS
* Java, Scala, Go, Python, R
* Git, Maven, Gradle, Jenkins
* Visualization suite (Tableau, Grafana)
 **Required Skills:**
* College degree in the following areas: Statistics, Data Science, Computer Science or relevant science or engineering discipline.
Understanding of machine learning techniques and algorithms, especially in the deep learning area * \- both theoretical underpinnings and craft (Systems such as Tensorflow, Theano, Caffe, scikit.learn and their APIs).
* Applied statistics skills and understanding of probability distributions, statistical testing, regression, etc.
* Experience with common data science toolkits, such as scikit\-learn, R, etc. Excellence in at least one of these is highly desirable.
* Great communication skills.
* Experience with data visualization tools, such as D3\.js, GGplot, Matplotlib, etc.
* Comfortable in using query languages such as SQL and Hive.
**Here's a look at just some of the perks and benefits we make available to our US\-based employees:**
* Medical \&amp; Dental
* 401(k) Savings Plan
* Generous paid time off
* Life Milestones \- from adoption assistance, childcare resources, pet insurance, and more, Comcast supports you at all life stages.
* Courtesy Services \- We offer all of our full\-time employees in serviceable areas free digital TV and internet.
* **Learn more at****jobs.comcast.com/life\-at\-comcast/benefits**
----------------------------------------------------------------
We will ensure that individuals with disabilities are provided reasonable accommodation to participate in the job application or interview process, perform essential job functions, and receive other benefits and privileges of employment. Please contact us to request an accommodation.
* This information has been designed to indicate the general nature and level of work performed by employees in this role. It is not designed to contain or be interpreted as a comprehensive inventory of all duties, responsibilities and qualifications.
* **Comcast is an EOE/Veterans/Disabled/LGBT employer.**
* Discount tickets for Universal Resorts, including theme park tickets and onsite hotel rooms.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Customer Experience (CX); Machine Learning (ML); Problem Solving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0\-2 Years</t>
        </is>
      </c>
    </row>
    <row r="252">
      <c r="A252" t="inlineStr">
        <is>
          <t>in-fd9fa865a7561584</t>
        </is>
      </c>
      <c r="B252" t="inlineStr">
        <is>
          <t>ML Engineer, GO-AI Technology &amp; Development Team</t>
        </is>
      </c>
      <c r="C252" t="inlineStr">
        <is>
          <t>Amazon.com</t>
        </is>
      </c>
      <c r="D252" t="inlineStr">
        <is>
          <t>indeed</t>
        </is>
      </c>
      <c r="E252">
        <f>HYPERLINK("https://www.indeed.com/viewjob?jk=fd9fa865a7561584", "https://www.indeed.com/viewjob?jk=fd9fa865a7561584")</f>
        <v/>
      </c>
      <c r="F252">
        <f>HYPERLINK("https://www.amazon.jobs/jobs/3173298/ml-engineer-goai-technology--development-team?cmpid=DA_INAD200785B", "https://www.amazon.jobs/jobs/3173298/ml-engineer-goai-technology--development-team?cmpid=DA_INAD200785B")</f>
        <v/>
      </c>
      <c r="G252" t="inlineStr">
        <is>
          <t>Westborough, MA, US</t>
        </is>
      </c>
      <c r="H252" s="2" t="n">
        <v>45998</v>
      </c>
      <c r="I25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53">
      <c r="A253" t="inlineStr">
        <is>
          <t>in-12a231b8917271de</t>
        </is>
      </c>
      <c r="B253" t="inlineStr">
        <is>
          <t>ML Engineer, GO-AI Technology &amp; Development Team</t>
        </is>
      </c>
      <c r="C253" t="inlineStr">
        <is>
          <t>Amazon.com</t>
        </is>
      </c>
      <c r="D253" t="inlineStr">
        <is>
          <t>indeed</t>
        </is>
      </c>
      <c r="E253">
        <f>HYPERLINK("https://www.indeed.com/viewjob?jk=12a231b8917271de", "https://www.indeed.com/viewjob?jk=12a231b8917271de")</f>
        <v/>
      </c>
      <c r="F253">
        <f>HYPERLINK("https://www.amazon.jobs/jobs/3173298/ml-engineer-goai-technology--development-team?cmpid=DA_INAD200785B", "https://www.amazon.jobs/jobs/3173298/ml-engineer-goai-technology--development-team?cmpid=DA_INAD200785B")</f>
        <v/>
      </c>
      <c r="G253" t="inlineStr">
        <is>
          <t>Reading, MA, US</t>
        </is>
      </c>
      <c r="H253" s="2" t="n">
        <v>45998</v>
      </c>
      <c r="I25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54">
      <c r="A254" t="inlineStr">
        <is>
          <t>in-a23fb20f99c2da2d</t>
        </is>
      </c>
      <c r="B254" t="inlineStr">
        <is>
          <t>ML Engineer, GO-AI Technology &amp; Development Team</t>
        </is>
      </c>
      <c r="C254" t="inlineStr">
        <is>
          <t>Amazon.com</t>
        </is>
      </c>
      <c r="D254" t="inlineStr">
        <is>
          <t>indeed</t>
        </is>
      </c>
      <c r="E254">
        <f>HYPERLINK("https://www.indeed.com/viewjob?jk=a23fb20f99c2da2d", "https://www.indeed.com/viewjob?jk=a23fb20f99c2da2d")</f>
        <v/>
      </c>
      <c r="F254">
        <f>HYPERLINK("https://www.amazon.jobs/jobs/3173298/ml-engineer-goai-technology--development-team?cmpid=DA_INAD200785B", "https://www.amazon.jobs/jobs/3173298/ml-engineer-goai-technology--development-team?cmpid=DA_INAD200785B")</f>
        <v/>
      </c>
      <c r="G254" t="inlineStr">
        <is>
          <t>Seattle, WA, US</t>
        </is>
      </c>
      <c r="H254" s="2" t="n">
        <v>45998</v>
      </c>
      <c r="I25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55">
      <c r="A255" t="inlineStr">
        <is>
          <t>in-8138716d3cc4262e</t>
        </is>
      </c>
      <c r="B255" t="inlineStr">
        <is>
          <t>ML Engineer, GO-AI Technology &amp; Development Team</t>
        </is>
      </c>
      <c r="C255" t="inlineStr">
        <is>
          <t>Amazon.com</t>
        </is>
      </c>
      <c r="D255" t="inlineStr">
        <is>
          <t>indeed</t>
        </is>
      </c>
      <c r="E255">
        <f>HYPERLINK("https://www.indeed.com/viewjob?jk=8138716d3cc4262e", "https://www.indeed.com/viewjob?jk=8138716d3cc4262e")</f>
        <v/>
      </c>
      <c r="F255">
        <f>HYPERLINK("https://www.amazon.jobs/jobs/3173298/ml-engineer-goai-technology--development-team?cmpid=DA_INAD200785B", "https://www.amazon.jobs/jobs/3173298/ml-engineer-goai-technology--development-team?cmpid=DA_INAD200785B")</f>
        <v/>
      </c>
      <c r="G255" t="inlineStr">
        <is>
          <t>Boston, MA, US</t>
        </is>
      </c>
      <c r="H255" s="2" t="n">
        <v>45998</v>
      </c>
      <c r="I25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li-4381363740</t>
        </is>
      </c>
      <c r="B2" t="inlineStr">
        <is>
          <t>Business Intelligence Analyst &amp; Ai Engineer</t>
        </is>
      </c>
      <c r="C2" t="inlineStr">
        <is>
          <t>SetupBoxs</t>
        </is>
      </c>
      <c r="D2" t="inlineStr">
        <is>
          <t>linkedin</t>
        </is>
      </c>
      <c r="E2" t="inlineStr"/>
      <c r="F2" t="inlineStr"/>
      <c r="G2" t="inlineStr">
        <is>
          <t>St Louis, MO</t>
        </is>
      </c>
      <c r="H2" t="inlineStr"/>
      <c r="I2" t="inlineStr">
        <is>
          <t>**Software Engineer \&amp; DevOps Engineer – St. Louis, Missouri (On\-Site)** 
**Full\-Time \| Immediate Onboarding** 
 We are a dynamic IT consulting firm dedicated to supporting and advancing emerging technology professionals across the United States. We are currently onboarding candidates for multiple exciting on\-site opportunities in St. Louis, Missouri.
 Open Positions:
 ·       IT Operations Engineer
 ·       Cloud Security Engineer
 ·       Infrastructure Engineer
 ·       Site Reliability Engineer (SRE)
 ·       Security Operations Center (SOC) Analyst
 ·       Data Engineer
 ·       Platform Engineer
 ·       AI Engineer
 ·       Business Intelligence (BI) Analyst
 ·       QA Engineer
 What We Provide:
 ·       Comprehensive support including accommodation and job placement
 ·       H\-1B and Green Card sponsorship pathways
 Benefits of Joining:
 ·       Fully arranged accommodation facilities
 ·       Soft skills training and career development sessions
**Interested in applying?** 
 Secure your slot by completing the form below:
 Form: https://forms.gle/Z5V2JWHnGzJkom9B8</t>
        </is>
      </c>
    </row>
    <row r="3">
      <c r="A3" t="inlineStr">
        <is>
          <t>li-4372783423</t>
        </is>
      </c>
      <c r="B3" t="inlineStr">
        <is>
          <t>Senior Applied Scientist, Forecasting</t>
        </is>
      </c>
      <c r="C3" t="inlineStr">
        <is>
          <t>Zillow</t>
        </is>
      </c>
      <c r="D3" t="inlineStr">
        <is>
          <t>linkedin</t>
        </is>
      </c>
      <c r="E3" t="inlineStr"/>
      <c r="F3" t="inlineStr"/>
      <c r="G3" t="inlineStr"/>
      <c r="H3" t="inlineStr"/>
      <c r="I3" t="inlineStr">
        <is>
          <t>**About The Team**
 The forecasting group at Zillow provides critical visibility through macroeconomic and housing market uncertainty, shaping planning across Zillow’s businesses. We bring together forecasters, economists, applied scientists, data scientists, and data visualization engineers to build and maintain the forecasts that guide decision‑making. Working with proprietary, industry‑leading data and rigorous forecasting methods, we translate housing market signals into actionable business outlooks. In close partnership with finance, product, and other business teams, we are modernizing how forecasts are produced, evaluated, and operationalized to create a more automated, scalable, and decision‑focused forecasting function.
**About The Role**
 Zillow is seeking a Senior Applied Scientist to join our forecasting organization. In this role, you will design, test, and deploy advanced forecasting models that shape strategic and operational decisions across Zillow. You will work at the intersection of data, economics, and business context to develop and continuously improve forecasts that matter for our customers and our business. You will regularly translate forecast results into clear insights for senior leaders, clarifying current performance, expected trajectories, key drivers, and the uncertainty and trade‑offs that shape our plans.
**You Will Get To:**
* Analyze large, complex datasets to understand buyer and seller behavior and uncover the drivers of key real estate and business outcomes.
* Develop and deploy time‑series and econometric forecasting models that address critical customer, housing market, and business questions, without exposing proprietary product details.
* Own the end‑to‑end modeling lifecycle, including scoping, feature engineering, model development, experimentation, deployment, monitoring, and model explainability.
* Translate forecasts into clear insights and recommendations for senior leadership, helping stakeholders understand drivers, uncertainty, and trade‑offs that guide Zillow’s strategy.
* Partner cross‑functionally with finance, product, engineering, marketing, and operations to scale and improve forecasting capabilities across Zillow.
* Improve and contribute to shared forecasting tools, data pipelines, and processes used across the company.
* Collaborate with other applied scientists and data scientists to develop novel solutions to real estate and business problems.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$160,900\.00 \- $257,100\.00 annually. This base pay range is specific to these locations and may not be applicable to other locations. In Colorado, Hawaii, Illinois, Minnesota, Nevada, Ohio, Rhode Island, and Vermont the standard base pay range for this role is $152,900\.00 \- $244,300\.00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Strong experience with quantitative time‑series forecasting techniques and a practical understanding of trade‑offs between performance, explainability, and scalability.
* Approximately 7\+ years of applied data science experience, including substantial hands‑on work in forecasting, predictive modeling, or econometric analysis (industry or equivalent research experience).
* Advanced degree (MS or PhD) in a quantitative field (e.g., Economics, Operations Research, Data Analytics, Statistics, Computer Science, Mathematics, Information Management, Engineering, or related quantitative discipline), or equivalent practical experience.
* Proficient in Python and SQL for building, evaluating, and deploying models.
* Demonstrated experience monitoring, debugging, and maintaining models in production environments.
* Experience explaining complex models and analytical concepts to stakeholders with varied technical backgrounds, using clear takeaways, succinct insights, and effective visualizations.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4">
      <c r="A4" t="inlineStr">
        <is>
          <t>li-4349682593</t>
        </is>
      </c>
      <c r="B4" t="inlineStr">
        <is>
          <t>Senior Applied Scientist, DSP/ML</t>
        </is>
      </c>
      <c r="C4" t="inlineStr">
        <is>
          <t>Gridware</t>
        </is>
      </c>
      <c r="D4" t="inlineStr">
        <is>
          <t>linkedin</t>
        </is>
      </c>
      <c r="E4" t="inlineStr"/>
      <c r="F4" t="inlineStr"/>
      <c r="G4" t="inlineStr"/>
      <c r="H4" t="inlineStr"/>
      <c r="I4"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Description:
 We are seeking a Senior Applied Scientist with expertise in machine learning and digital signal processing (DSP) to design models that operate on multimodal time\-series sensor data in highly resource\-constrained environments. You will develop algorithms that balance accuracy with strict power and memory limits, helping advance the next generation of Gridware’s edge intelligence. This role blends applied research, model optimization, and low\-level implementation in collaboration with hardware and firmware teams. 
**Responsibilities** 
* Execute end\-to\-end ML workflows, including exploratory data analysis, feature engineering, model training, evaluation, and optimization.
* Design and evaluate machine learning and DSP algorithms that meet strict power, memory, and latency constraints on embedded hardware.
* Conduct research and literature reviews on edge ML, resource\-constrained inference, and efficient training techniques.
* Partner closely with hardware, firmware, and product teams to ensure seamless integration of models into the full system.
**Required Skills** 
* MS or PhD in Computer Science, Electrical Engineering, or a related technical field.
* 3\+ years of experience developing and deploying production ML models.
* 3\+ years of applied research experience in ML, DSP, or algorithm development.
* Hands\-on experience working with physical sensors and modeling time\-series data.
* Strong foundation in ML architectures, DSP theory, and algorithm design for real\-world systems.
**Bonus Skills** 
* Experience developing or optimizing algorithms in C/C\+\+ for resource\-constrained embedded systems.
* Experience porting ML models from Python frameworks to firmware\-level implementations.
* Familiarity with edge ML tools, quantization, model compression, or on\-device inference strategies.
*\*\*At this time, Gridware is unable to provide visa sponsorship or immigration support for this role. We’re only able to consider candidates who are currently authorized to work in the country of employment without visa sponsorship now or in the future.\*\**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5">
      <c r="A5" t="inlineStr">
        <is>
          <t>li-4332803693</t>
        </is>
      </c>
      <c r="B5" t="inlineStr">
        <is>
          <t>Machine Learning Engineer</t>
        </is>
      </c>
      <c r="C5" t="inlineStr">
        <is>
          <t>ExxonMobil</t>
        </is>
      </c>
      <c r="D5" t="inlineStr">
        <is>
          <t>linkedin</t>
        </is>
      </c>
      <c r="E5" t="inlineStr"/>
      <c r="F5" t="inlineStr"/>
      <c r="G5" t="inlineStr">
        <is>
          <t>Spring, TX</t>
        </is>
      </c>
      <c r="H5" t="inlineStr"/>
      <c r="I5"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
**About Houston**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**Job Role Summary**
 Learn more about what we do in Houston
 **here** 
**.**
 ML Engineering is a technical field that deals with the automation of deployment and sustainment of Data Science work products at scale to deliver value to customers on a reproducible way.
 The Machine Learning Engineer role leads and coordinates work efforts to apply technical skills, domain knowledge and agile techniques to deliver commercial\-grade, automated data science solutions including essential data pipeline, ML model retraining pipeline and user interface development in partnership with Data Scientist and business units. Machine Learning Engineer also identifies effective design for new Data Science model deployment and sustainment opportunities and mentors less experienced team members.
**About You**
* Applies Software Development methodologies, DevOps toolsets and ML techniques and coordinates the implementation effort of an end\-to\-end machine learning workflow that effectively brings ML models to production.
* Contribution: Leads the scoping and identifies the appropriate solution design of a deployment of a new data science solution. This may require provisioning deployment environments via Infrastructure as Code, applying
* Continuous Integration \&amp; Continuous Deployment principles, developing relevant source code, ML Pipelines, APIs, and user interfaces, and employing multiple testing methods to transform and scale a prototype data science model to a multi\-user environment across business lines.
* Sustains solutions by enabling continuous ML model and/or service performance monitoring, training, and re\-training of models, including the implementation of proactive alerting methods.
* Sphere of Influence: Across projects and business lines, acts as a primary contact for business requests.
* Represents ExxonMobil in interactions with key competitors, vendors, partners, joint ventures, NOCs, government officials, industry associations, academia, and industry forums.
* Knowledge Sharing: Mentors early career professionals and utilizes depth and/or breadth of experience to identify cross\-functional business opportunities visible mentor beyond immediate business line or team.
* Participates in internal networks through which their capabilities can be disseminated to the benefit of others.
* Coaches users to improve ability to derive value out of processes, systems, and data.
* Business Acumen: Application of business acumen functional skill applied to C\&amp;DS JF.
**Your Benefits**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Learn more at our
 **website**
 Follow us on
 **LinkedIN** 
 and
 **Instagram**
 Like us on
 **Facebook** 
 Subscribe our channel at
 **YouTube**
**Employee equal opportunity**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80901**</t>
        </is>
      </c>
    </row>
    <row r="6">
      <c r="A6" t="inlineStr">
        <is>
          <t>li-4381373370</t>
        </is>
      </c>
      <c r="B6" t="inlineStr">
        <is>
          <t>Senior Applied Scientist</t>
        </is>
      </c>
      <c r="C6" t="inlineStr">
        <is>
          <t>CHEManager International</t>
        </is>
      </c>
      <c r="D6" t="inlineStr">
        <is>
          <t>linkedin</t>
        </is>
      </c>
      <c r="E6" t="inlineStr"/>
      <c r="F6" t="inlineStr"/>
      <c r="G6" t="inlineStr">
        <is>
          <t>Seattle, WA</t>
        </is>
      </c>
      <c r="H6" t="inlineStr"/>
      <c r="I6" t="inlineStr">
        <is>
          <t>**We're looking for bold, entrepreneurial talent ready to help build something extraordinary \- and reshape the future of building products distribution.**
 QXO is a publicly traded company founded by Brad Jacobs with the goal of building the market\-leading company in the building products distribution industry. On April 30, 2025, QXO completed its first acquisition: Beacon Building Products, a leading distributor in the sector.
 We are building a customer\-focused, tech\-enabled, and innovation\-driven business that will scale rapidly through accretive M\&amp;A, organic growth, and greenfield expansion. Our strategy is rooted in delivering exceptional customer experiences, improving operational efficiency, and leveraging data, digital tools, and AI to modernize a historically under\-digitized industry.
**What You'll Do**
**Modeling \&amp; Research**
 Depending on your expertise, you may focus on some of the following:
* Forecasting
* Build and productionize time series models for demand, sales, and inventory (e.g., hierarchical forecasting, intermittent demand, seasonality/trend modeling, multivariate forecasting).
* Develop approaches to handle sparse, volatile, and evolving data environments.
* Pricing \&amp; Revenue
* Develop pricing models and policies, including elasticity estimation, margin optimization, and discounting/contract structures.
* Support pricing for quotes and BOMs, including guardrails, risk/margin checks, and complex B2B rules around bundling and substitution.
* Supply Chain \&amp; Inventory
* Design models for inventory planning, replenishment, and allocation under real\-world constraints (lead times, MOQs, service levels).
* Build tools to improve fill rates, reduce stockouts, and manage working capital.
* Formulate and solve optimization problems (linear, mixed\-integer, non\-linear, heuristics/approximation) for routing, allocation, capacity, and network flows.
* Integrate optimization with forecasting/pricing models to support end\-to\-end decisions.
**Across All Areas, You'll**
* Combine statistical methods, machine learning, and operations research techniques as appropriate.
* Stay current on relevant research and bring practical, scalable methods into production.
**Decision Systems \&amp; Product Integration**
* Translate messy business problems into clear technical formulations and evaluate alternative approaches.
* Work with engineers to turn models into robust services powering internal tools, APIs, and AI agents (e.g., quoting \&amp; BOM agents, pricing copilots, supply planning tools).
* Build or contribute to simulation and scenario analysis frameworks to test policies before rollout.
* Define and implement offline and online evaluation (experiments, policy evaluation, counterfactual analysis).
 Data, Measurement \&amp; Experimentation
* Partner with data engineering to ensure data quality, structure, and accessibility for modeling.
* Define metrics for your domain (forecast accuracy, stockouts, margin impact, quote win rates, price realization, etc.).
* Design experiments and quasi\-experiments to measure the business impact of new models and policies.
* Clearly communicate findings, trade\-offs, and recommendations to stakeholders.
 Collaboration \&amp; Leadership
* Work closely with Sales, Marketing, Supply Chain, Finance, and Product teams to understand constraints, workflows, and incentives.
* Collaborate with AI Engineers who will embed your models inside intelligent agents and applications.
* Mentor other scientists and engineers; elevate standards around methodology, code quality, and evaluation.
* Influence roadmap and strategy by highlighting long\-term modeling opportunities and risks.
**Required**
 What you'll bring:
* 5\-10\+ years of experience in Applied Science / Data Science / Quantitative Research, with a strong record of shipping models into production.
* Deep expertise in one or more of the following:
* Time series forecasting
* Pricing \&amp; revenue management
* Supply chain / inventory / logistics modeling
* Operations research / mathematical optimization
* Strong proficiency in Python and scientific computing libraries (NumPy, pandas, etc.).
* Solid SQL skills and experience working with modern data warehouses/lakehouses.
* Hands\-on experience designing experiments, analyzing results, and working with ambiguous real\-world data.
* Excellent communication skills and demonstrated ability to lead projects spanning multiple teams.
**Preferred**
* Prior experience in retail, B2B distribution, manufacturing, or the building materials / construction industry.
* Experience with revenue management, discounting, and contract/pricing architectures.
* Experience with supply chain planning systems (MRP/DRP, S\&amp;OP) and operational constraints.
* Familiarity with deep learning libraries (e.g., PyTorch, TensorFlow, JAX).
* Experience integrating models with downstream applications or AI agents, including considerations for latency, reliability, and interpretability.
* Experience with large\-scale or distributed data/compute systems and ML platforms (MLOps, feature stores, model registries, CI/CD for models).
* Advanced degree (MS or PhD) in a quantitative field such as Statistics, Operations Research, Applied Mathematics, Computer Science, or a related discipline.
 What you'll earn
* Base pay range: $159,000 \- $287,800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To comply with Pay Transparency laws, employers must disclose an annual salary range. Actual offers depend on factors such as location, experience, skills, and market data. This position may also offer variable compensation.
 Please contact careers@QXO.com if you have any questions related to this job posting.
**Salary Range**
 USD $159,000\.00 \- USD $287,800\.00 /Yr.</t>
        </is>
      </c>
    </row>
    <row r="7">
      <c r="A7" t="inlineStr">
        <is>
          <t>li-4381371632</t>
        </is>
      </c>
      <c r="B7" t="inlineStr">
        <is>
          <t>Senior Applied Scientist</t>
        </is>
      </c>
      <c r="C7" t="inlineStr">
        <is>
          <t>CHEManager International</t>
        </is>
      </c>
      <c r="D7" t="inlineStr">
        <is>
          <t>linkedin</t>
        </is>
      </c>
      <c r="E7" t="inlineStr"/>
      <c r="F7" t="inlineStr"/>
      <c r="G7" t="inlineStr">
        <is>
          <t>Seattle, WA</t>
        </is>
      </c>
      <c r="H7" t="inlineStr"/>
      <c r="I7" t="inlineStr">
        <is>
          <t>**We're looking for bold, entrepreneurial talent ready to help build something extraordinary \- and reshape the future of building products distribution.**
 QXO is a publicly traded company founded by Brad Jacobs with the goal of building the market\-leading company in the building products distribution industry. On April 30, 2025, QXO completed its first acquisition: Beacon Building Products, a leading distributor in the sector.
 We are building a customer\-focused, tech\-enabled, and innovation\-driven business that will scale rapidly through accretive M\&amp;A, organic growth, and greenfield expansion. Our strategy is rooted in delivering exceptional customer experiences, improving operational efficiency, and leveraging data, digital tools, and AI to modernize a historically under\-digitized industry.
**What You'll Do**
**Modeling \&amp; Research**
 Depending on your expertise, you may focus on some of the following:
* Forecasting
* Build and productionize time series models for demand, sales, and inventory (e.g., hierarchical forecasting, intermittent demand, seasonality/trend modeling, multivariate forecasting).
* Develop approaches to handle sparse, volatile, and evolving data environments.
* Pricing \&amp; Revenue
* Develop pricing models and policies, including elasticity estimation, margin optimization, and discounting/contract structures.
* Support pricing for quotes and BOMs, including guardrails, risk/margin checks, and complex B2B rules around bundling and substitution.
* Supply Chain \&amp; Inventory
* Design models for inventory planning, replenishment, and allocation under real\-world constraints (lead times, MOQs, service levels).
* Build tools to improve fill rates, reduce stockouts, and manage working capital.
* Formulate and solve optimization problems (linear, mixed\-integer, non\-linear, heuristics/approximation) for routing, allocation, capacity, and network flows.
* Integrate optimization with forecasting/pricing models to support end\-to\-end decisions.
**Across All Areas, You'll**
* Combine statistical methods, machine learning, and operations research techniques as appropriate.
* Stay current on relevant research and bring practical, scalable methods into production.
**Decision Systems \&amp; Product Integration**
* Translate messy business problems into clear technical formulations and evaluate alternative approaches.
* Work with engineers to turn models into robust services powering internal tools, APIs, and AI agents (e.g., quoting \&amp; BOM agents, pricing copilots, supply planning tools).
* Build or contribute to simulation and scenario analysis frameworks to test policies before rollout.
* Define and implement offline and online evaluation (experiments, policy evaluation, counterfactual analysis).
**Data, Measurement \&amp; Experimentation**
* Partner with data engineering to ensure data quality, structure, and accessibility for modeling.
* Define metrics for your domain (forecast accuracy, stockouts, margin impact, quote win rates, price realization, etc.).
* Design experiments and quasi\-experiments to measure the business impact of new models and policies.
* Clearly communicate findings, trade\-offs, and recommendations to stakeholders.
**Collaboration \&amp; Leadership**
* Work closely with Sales, Marketing, Supply Chain, Finance, and Product teams to understand constraints, workflows, and incentives.
* Collaborate with AI Engineers who will embed your models inside intelligent agents and applications.
* Mentor other scientists and engineers; elevate standards around methodology, code quality, and evaluation.
* Influence roadmap and strategy by highlighting long\-term modeling opportunities and risks.
**Required**
 What you'll bring:
* 2\+ years of experience in Applied Science / Data Science / Quantitative Research, with a strong record of shipping models into production.
* Expertise in one or more of the following:
* Time series forecasting
* Pricing \&amp; revenue management
* Supply chain / inventory / logistics modeling
* Operations research / mathematical optimization
* Proficiency in Python and scientific computing libraries (NumPy, pandas, etc.).
* Solid SQL skills and experience working with modern data warehouses/lakehouses.
* Hands\-on experience designing experiments, analyzing results, and working with ambiguous real\-world data.
* Excellent communication skills and demonstrated ability to lead projects spanning multiple teams.
**Preferred**
* Prior experience in retail, B2B distribution, manufacturing, or the building materials / construction industry.
* Experience with revenue management, discounting, and contract/pricing architectures.
* Experience with supply chain planning systems (MRP/DRP, S\&amp;OP) and operational constraints.
* Familiarity with deep learning libraries (e.g., PyTorch, TensorFlow, JAX).
* Experience integrating models with downstream applications or AI agents, including considerations for latency, reliability, and interpretability.
* Experience with large\-scale or distributed data/compute systems and ML platforms (MLOps, feature stores, model registries, CI/CD for models).
* Advanced degree (MS or PhD) in a quantitative field such as Statistics, Operations Research, Applied Mathematics, Computer Science, or a related discipline.
 What you'll earn
* Base pay range: $159,000 \- $287,000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To comply with Pay Transparency laws, employers must disclose an annual salary range. Actual offers depend on factors such as location, experience, skills, and market data. This position may also offer variable compensation.
 Please contact careers@QXO.com if you have any questions related to this job posting.
**Salary Range**
 USD $159,000\.00 \- USD $287,000\.00 /Yr.</t>
        </is>
      </c>
    </row>
    <row r="8">
      <c r="A8" t="inlineStr">
        <is>
          <t>li-4381371630</t>
        </is>
      </c>
      <c r="B8" t="inlineStr">
        <is>
          <t>Senior Applied Scientist</t>
        </is>
      </c>
      <c r="C8" t="inlineStr">
        <is>
          <t>CHEManager International</t>
        </is>
      </c>
      <c r="D8" t="inlineStr">
        <is>
          <t>linkedin</t>
        </is>
      </c>
      <c r="E8" t="inlineStr"/>
      <c r="F8" t="inlineStr"/>
      <c r="G8" t="inlineStr">
        <is>
          <t>Seattle, WA</t>
        </is>
      </c>
      <c r="H8" t="inlineStr"/>
      <c r="I8" t="inlineStr">
        <is>
          <t>**We're looking for bold, entrepreneurial talent ready to help build something extraordinary \- and reshape the future of building products distribution.**
 QXO is a publicly traded company founded by Brad Jacobs with the goal of building the market\-leading company in the building products distribution industry. On April 30, 2025, QXO completed its first acquisition: Beacon Building Products, a leading distributor in the sector.
 We are building a customer\-focused, tech\-enabled, and innovation\-driven business that will scale rapidly through accretive M\&amp;A, organic growth, and greenfield expansion. Our strategy is rooted in delivering exceptional customer experiences, improving operational efficiency, and leveraging data, digital tools, and AI to modernize a historically under\-digitized industry.
**What You'll Do**
**Modeling \&amp; Research**
 Depending on your expertise, you may focus on some of the following:
* Forecasting
* Build and productionize time series models for demand, sales, and inventory (e.g., hierarchical forecasting, intermittent demand, seasonality/trend modeling, multivariate forecasting).
* Develop approaches to handle sparse, volatile, and evolving data environments.
* Pricing \&amp; Revenue
* Develop pricing models and policies, including elasticity estimation, margin optimization, and discounting/contract structures.
* Support pricing for quotes and BOMs, including guardrails, risk/margin checks, and complex B2B rules around bundling and substitution.
* Supply Chain \&amp; Inventory
* Design models for inventory planning, replenishment, and allocation under real\-world constraints (lead times, MOQs, service levels).
* Build tools to improve fill rates, reduce stockouts, and manage working capital.
* Formulate and solve optimization problems (linear, mixed\-integer, non\-linear, heuristics/approximation) for routing, allocation, capacity, and network flows.
* Integrate optimization with forecasting/pricing models to support end\-to\-end decisions.
**Across All Areas, You'll**
* Combine statistical methods, machine learning, and operations research techniques as appropriate.
* Stay current on relevant research and bring practical, scalable methods into production.
**Decision Systems \&amp; Product Integration**
* Translate messy business problems into clear technical formulations and evaluate alternative approaches.
* Work with engineers to turn models into robust services powering internal tools, APIs, and AI agents (e.g., quoting \&amp; BOM agents, pricing copilots, supply planning tools).
* Build or contribute to simulation and scenario analysis frameworks to test policies before rollout.
* Define and implement offline and online evaluation (experiments, policy evaluation, counterfactual analysis).
**Data, Measurement \&amp; Experimentation**
* Partner with data engineering to ensure data quality, structure, and accessibility for modeling.
* Define metrics for your domain (forecast accuracy, stockouts, margin impact, quote win rates, price realization, etc.).
* Design experiments and quasi\-experiments to measure the business impact of new models and policies.
* Clearly communicate findings, trade\-offs, and recommendations to stakeholders.
**Collaboration \&amp; Leadership**
* Work closely with Sales, Marketing, Supply Chain, Finance, and Product teams to understand constraints, workflows, and incentives.
* Collaborate with AI Engineers who will embed your models inside intelligent agents and applications.
* Mentor other scientists and engineers; elevate standards around methodology, code quality, and evaluation.
* Influence roadmap and strategy by highlighting long\-term modeling opportunities and risks.
**Required**
 What you'll bring:
* 2\+ years of experience in Applied Science / Data Science / Quantitative Research, with a strong record of shipping models into production.
* Expertise in one or more of the following:
* Time series forecasting
* Pricing \&amp; revenue management
* Supply chain / inventory / logistics modeling
* Operations research / mathematical optimization
* Proficiency in Python and scientific computing libraries (NumPy, pandas, etc.).
* Solid SQL skills and experience working with modern data warehouses/lakehouses.
* Hands\-on experience designing experiments, analyzing results, and working with ambiguous real\-world data.
* Excellent communication skills and demonstrated ability to lead projects spanning multiple teams.
**Preferred**
* Prior experience in retail, B2B distribution, manufacturing, or the building materials / construction industry.
* Experience with revenue management, discounting, and contract/pricing architectures.
* Experience with supply chain planning systems (MRP/DRP, S\&amp;OP) and operational constraints.
* Familiarity with deep learning libraries (e.g., PyTorch, TensorFlow, JAX).
* Experience integrating models with downstream applications or AI agents, including considerations for latency, reliability, and interpretability.
* Experience with large\-scale or distributed data/compute systems and ML platforms (MLOps, feature stores, model registries, CI/CD for models).
* Advanced degree (MS or PhD) in a quantitative field such as Statistics, Operations Research, Applied Mathematics, Computer Science, or a related discipline.
 What you'll earn
* Base pay range: $159,000 \- $287,000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To comply with Pay Transparency laws, employers must disclose an annual salary range. Actual offers depend on factors such as location, experience, skills, and market data. This position may also offer variable compensation.
 Please contact careers@QXO.com if you have any questions related to this job posting.
**Salary Range**
 USD $159,000\.00 \- USD $287,000\.00 /Yr.</t>
        </is>
      </c>
    </row>
    <row r="9">
      <c r="A9" t="inlineStr">
        <is>
          <t>li-4343472841</t>
        </is>
      </c>
      <c r="B9" t="inlineStr">
        <is>
          <t>Applied Scientist II</t>
        </is>
      </c>
      <c r="C9" t="inlineStr">
        <is>
          <t>Microsoft</t>
        </is>
      </c>
      <c r="D9" t="inlineStr">
        <is>
          <t>linkedin</t>
        </is>
      </c>
      <c r="E9" t="inlineStr"/>
      <c r="F9" t="inlineStr"/>
      <c r="G9" t="inlineStr">
        <is>
          <t>Redmond, WA</t>
        </is>
      </c>
      <c r="H9" t="inlineStr"/>
      <c r="I9" t="inlineStr">
        <is>
          <t>**Overview**
 Our team focuses on understanding and predicting how the user interacts with the ads on the search results page. The probability that a user will click on an ad is one of the most critical inputs used in ranking the ads. Similarly, the probability of interacting with the advertiser’s page is important for measuring advertiser and user satisfaction. This position as an
 **Applied Scientist II** 
 is for the modeling team, which builds machine learned models for predicting such events. The team looks at all aspects of modeling including training data, features, the actual model (neural nets, linear models, decision trees etc.) and offline and online evaluation of those models. Engineers and scientists on our team work at the edge of machine learning and economics developing in the online stack as well as offline workflows. At its core, our team utilizes signals of user and advertiser intent to determine which ads are allocated and at what price.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Designing and building efficient models for predicting user interactions with ads and advertiser’s pages.
* Designing and overseeing large\-scale, long\-term experiments to improve the health of the marketplace using advanced statistics and machine learning.
* Designing automation algorithms for advertisers using techniques from AI and ML to improve advertiser’s return on investment.
* Develop models for causal reasoning using techniques from AI, ML, and statistics.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Experience in any of the following areas statistical machine learning, deep learning, data mining, causal inference, information retrieval, game theory, mechanism design, optimization and Bayesian inference.
* Excellent problem solving and data analysis skills, effective communication skills, both verbal and written.
* Solid software design and development skills/experience.
* 1\+ year(s) experience creating publications (e.g., patents, peer\-reviewed academic papers).
* Research experience (publications) in the following areas is preferred statistical machine learning, deep learning, data mining, causal inference, information retrieval, and Bayesian inference.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
      <c r="A10" t="inlineStr">
        <is>
          <t>li-4338421711</t>
        </is>
      </c>
      <c r="B10" t="inlineStr">
        <is>
          <t>Senior Applied Scientist, Sponsored Products and Brands</t>
        </is>
      </c>
      <c r="C10" t="inlineStr">
        <is>
          <t>Amazon</t>
        </is>
      </c>
      <c r="D10" t="inlineStr">
        <is>
          <t>linkedin</t>
        </is>
      </c>
      <c r="E10" t="inlineStr"/>
      <c r="F10" t="inlineStr"/>
      <c r="G10" t="inlineStr">
        <is>
          <t>New York, United States</t>
        </is>
      </c>
      <c r="H10" t="inlineStr"/>
      <c r="I10"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
**Company** 
 \- Amazon.com Services LLC
 Job ID: A3130062</t>
        </is>
      </c>
    </row>
    <row r="11">
      <c r="A11" t="inlineStr">
        <is>
          <t>li-4364159756</t>
        </is>
      </c>
      <c r="B11" t="inlineStr">
        <is>
          <t>Applied Scientist II, Personalization</t>
        </is>
      </c>
      <c r="C11" t="inlineStr">
        <is>
          <t>Amazon</t>
        </is>
      </c>
      <c r="D11" t="inlineStr">
        <is>
          <t>linkedin</t>
        </is>
      </c>
      <c r="E11" t="inlineStr"/>
      <c r="F11" t="inlineStr"/>
      <c r="G11" t="inlineStr">
        <is>
          <t>Seattle, WA</t>
        </is>
      </c>
      <c r="H11" t="inlineStr"/>
      <c r="I11" t="inlineStr">
        <is>
          <t>**Description**
 Our team is part of Amazon’s Personalization organization, a high\-performing group that leverages Amazon’s expertise in machine learning, big data, distributed systems, and user experience design to deliver the best shopping experiences for our customers. We run global experiments and our work has revolutionized e\-commerce with features such as "Keep shopping for", “Customers who bought this item also bought”, and “Frequently bought together” among others.
 We are building the next generation of personalized shopping experiences at Amazon through deep understanding of our customer's intent and our product catalog. We aim to create an experience akin to that of a talented personal shopping assistant — a partner that is knowledgeable, understands your preferences, and helps you find the right solution for your needs. We hope you will join us!
 Key job responsibilities
 As an Applied Scientist on the team you will be working on ways to help customers find the right products on their shopping journey.
 You will hone your skills in areas such as Multimodal LLM post\-training and cross\-modal vision\-language reasoning, while building scalable, agentic industry\-grade systems.
 To be highly successful in this role, the following background is preferred (or expected to be ramped up quickly):
* A strong Computer Vision foundation
* Familiarity with multimodal encoders, with hands\-on experience training multimodal models
* End\-to\-end ML pipeline experience, spanning data curation, model training, and production deployment
* Experience with LLMs, particularly using LLM\-as\-a\-judge for synthetic data generation
* Experience with online experimentation, including experiment setup and post\-analysis
* Expertise in multimodal domain generalization is a strong plus
**Basic Qualifications**
* 3\+ years of building models for business application experience
* PhD, or Master's degree and 4\+ years of CS, CE, ML or related field experience
* Experience programming in Java, C\+\+, Python or related language
**Preferred Qualifications**
* Experience in patents or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A3181196</t>
        </is>
      </c>
    </row>
    <row r="12">
      <c r="A12" t="inlineStr">
        <is>
          <t>li-4365630276</t>
        </is>
      </c>
      <c r="B12" t="inlineStr">
        <is>
          <t>Applied Scientist (Contract), Artificial General Intelligence</t>
        </is>
      </c>
      <c r="C12" t="inlineStr">
        <is>
          <t>Amazon</t>
        </is>
      </c>
      <c r="D12" t="inlineStr">
        <is>
          <t>linkedin</t>
        </is>
      </c>
      <c r="E12" t="inlineStr"/>
      <c r="F12" t="inlineStr"/>
      <c r="G12" t="inlineStr">
        <is>
          <t>Boston, MA</t>
        </is>
      </c>
      <c r="H12" t="inlineStr"/>
      <c r="I12"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A3165525</t>
        </is>
      </c>
    </row>
    <row r="13">
      <c r="A13" t="inlineStr">
        <is>
          <t>li-4372940488</t>
        </is>
      </c>
      <c r="B13" t="inlineStr">
        <is>
          <t>Machine Learning Engineer, Search</t>
        </is>
      </c>
      <c r="C13" t="inlineStr">
        <is>
          <t>Etsy</t>
        </is>
      </c>
      <c r="D13" t="inlineStr">
        <is>
          <t>linkedin</t>
        </is>
      </c>
      <c r="E13" t="inlineStr"/>
      <c r="F13" t="inlineStr"/>
      <c r="G13" t="inlineStr">
        <is>
          <t>Brooklyn, NY</t>
        </is>
      </c>
      <c r="H13" t="inlineStr"/>
      <c r="I13"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$153,000\.00 \- $199,000\.00
**What’s the role?**
 We are looking for a Machine Learning Engineer to join the Search team at Etsy. Our team develops custom machine\-learning models that can drive product vision and customer impact. We’re a cross\-functional group of applied scientists, machine learning engineers, and product managers. As an engineer on our team, you will play a major role in improving the shopping experience for millions of Etsy buyers. We are looking for individuals who are product and delivery\-driven, and are passionate about using ML to improve Etsy for both buyers and sellers.
 This is a fantastic opportunity for someone interested in building state\-of\-the\-art ML systems for a two\-sided marketplace with 90\+ million buyers, 6\+ million sellers, and hundreds of millions of unique, handmade, vintage listings.
 This is a full\-time position reporting to the Engineering Manager.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
****What’s this team like at Etsy?****
 Here’s a taste of the problems we’re solving:
* How can we help buyers find the high quality and relevant products at Etsy?
* How can we help buyers when they don’t know how to describe what they’re looking for?
* How can we extract uniqueness from product description and reviews?
* How can we improve the filtering experience for buyers?
****What does the day\-to\-day look like?****
* You will work in a cross\-functional team to prioritize projects which help achieve our product targets.
* Push the state of the art and apply the latest advances in Large Language Model and machine learning field to improve buyer experiences on Etsy
* Prototype, optimize, and productionize large\-scale ML models that help deliver key results
* Conduct A/B experiments to validate the effectiveness of ML models and pipelines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You have experience of applying machine learning techniques in addressing real\-world problems
* You have experience of writing training data pipelines, training and evaluating models, deploying models and monitoring production machine learning systems.
* You have experience working with machine learning frameworks and technologies such as Tensorflow/TFX, PyTorch, Kubeflow.
* You have experience of fine\-tuning and evaluating pre\-trained language models like Qwen and Llama models.
* You are proficient with databases, SQL, and scripting languages.
* You have strong engineering and coding skills, with the ability to write high quality production code. Proficiency in Python, Scala, Java and/or other equivalent languages.
* You are a mindful, empathetic, and communicative member of your team.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14">
      <c r="A14" t="inlineStr">
        <is>
          <t>li-4297979510</t>
        </is>
      </c>
      <c r="B14" t="inlineStr">
        <is>
          <t>AI/ML Engineer</t>
        </is>
      </c>
      <c r="C14" t="inlineStr">
        <is>
          <t>hackajob</t>
        </is>
      </c>
      <c r="D14" t="inlineStr">
        <is>
          <t>linkedin</t>
        </is>
      </c>
      <c r="E14" t="inlineStr"/>
      <c r="F14" t="inlineStr"/>
      <c r="G14" t="inlineStr"/>
      <c r="H14" t="inlineStr"/>
      <c r="I14" t="inlineStr">
        <is>
          <t>***hackajob** 
 is collaborating with
 **Leo Technologies** 
 to connect them with exceptional professionals for this role.*
 As an AI/NLP Engineer on our Data Science team, you will be at the forefront of leveraging Large Language Models (LLMs) and cutting\-edge AI techniques to create transformative solutions for public safety and intelligence workflows. You will apply your expertise in LLMs, Retrieval\-Augmented Generation (RAG), semantic search, Agentic AI, GraphRAG, and other advanced AI solutions to develop, enhance, and deploy robust features that enable real\-time decision\-making for our end users. You will work closely with product, engineering, and data science teams to translate real\-world problems into scalable, production\-grade solutions. This is an individual contributor (IC) role that emphasizes technical depth, experimentation, and hands\-on engineering. You will participate in all phases of the AI solution lifecycle, from architecture and design through prototyping, implementation, evaluation, productionization and continuous improvement.
* Design, build, and optimize AI\-powered solutions using LLMs, RAG pipelines, semantic search, GraphRAG, and Agentic AI architectures.
* Implement and experiment with the latest advancements in large\-scale language modeling, including prompt engineering, model fine\-tuning, evaluation, and monitoring.
* Collaborate with product, backend, and data engineering teams to define requirements, break down complex problems, and deliver high\-impact features aligned with business objectives.
* Inform robust data ingestion and retrieval pipelines that power real\-time and batch AI applications using open\-source and proprietary tools.
* Integrate external data sources (e.g., knowledge graphs, internal databases, third\-party APIs) to enhance the context\-awareness and capabilities of LLM\-based workflows.
* Evaluate and implement best practices for prompt design, model alignment, safety, and guardrails for responsible AI deployment.
* Stay on top of emerging AI research and contribute to internal knowledge\-sharing, tech talks, and proof\-of\-concept projects.
* Author clean, well\-documented, and testable code; participate in peer code reviews and engineering design discussions.
* Proactively identify bottlenecks and propose solutions to improve system scalability, efficiency, and reliability.
* Bachelor's or Master's degree in Computer Science, Artificial Intelligence, Data Science, or a related field.
* 5\+ years of hands\-on experience in applied AI, NLP, or ML engineering (with at least 2 years working directly with LLMs, RAG, semantic search and Agentic AI).
* Deep familiarity with LLMs (e.g. OpenAI, Claude, Gemini), prompt engineering, and responsible deployment in production settings.
* Experience designing, building, and optimizing RAG pipelines, semantic search, vector databases (e.g. ElasticSearch, Pinecone), and Agentic or multi\-agent AI workflows in in large scale production setup. Exposure to MCP and A2A protocol is a plus.
* Exposure to GraphRAG or graph\-based knowledge retrieval techniques is a strong plus.
* Strong proficiency with modern ML frameworks and libraries (e.g. LangChain, LlamaIndex, PyTorch, HuggingFace Transformers).
* Ability to design APIs and scalable backend services, with hands\-on experience in Python.
* Experience building, deploying, and monitoring AI/ML workloads in cloud environments (AWS, Azure) using services like AWS SageMaker, AWS Bedrock, AzureAI, etc. Experience with tools to load balance different LLMs providers is a plus.
* Familiarity with MLOps practices, CI/CD for AI, model monitoring, data versioning, and continuous integration.
* Demonstrated ability to work with large, complex datasets, perform data cleaning, feature engineering, and develop scalable data pipelines.
* Excellent problem\-solving, collaboration, and communication skills; able to work effectively across remote and distributed teams.
* Proven record of shipping robust, high\-impact AI solutions, ideally in fast\-paced or regulated environments.</t>
        </is>
      </c>
    </row>
    <row r="15">
      <c r="A15" t="inlineStr">
        <is>
          <t>li-4382397490</t>
        </is>
      </c>
      <c r="B15" t="inlineStr">
        <is>
          <t>Machine Learning Engineer</t>
        </is>
      </c>
      <c r="C15" t="inlineStr">
        <is>
          <t>James Search Group</t>
        </is>
      </c>
      <c r="D15" t="inlineStr">
        <is>
          <t>linkedin</t>
        </is>
      </c>
      <c r="E15" t="inlineStr"/>
      <c r="F15" t="inlineStr"/>
      <c r="G15" t="inlineStr">
        <is>
          <t>New York, NY</t>
        </is>
      </c>
      <c r="H15" t="inlineStr"/>
      <c r="I15" t="inlineStr">
        <is>
          <t>**AI/ML Engineer** 
**Location:** 
 New York, NY
**Compensation:** 
 $135,000 – $175,000 base \+ bonus \+ full benefits, (401(k), and more)
**Industry:** 
 Global P\&amp;C Insurance
**About the role and the company.** 
 James Search Group is working closely with a top\-tier global property \&amp; casualty insurance carrier to identify an
 **AI/ML Engineer** 
 to join their enterprise Data and Artificial Intelligence division. This team is driving innovation across the business by developing and scaling AI capabilities that unlock new value and improve decision\-making across underwriting, claims, and customer engagement.
 As an AI/ML Engineer, you'll collaborate with senior team members to build, refine, and deploy predictive models and intelligent systems. The ideal candidate is skilled in analytics, curious by nature, and passionate about transforming complex data into practical solutions that deliver measurable business impact.
**Key Responsibilities:** 
* Support the development and deployment of AI/ML models—including classification, forecasting, uplift and propensity modeling, and foundational model tuning.
* Collaborate with cross\-functional teams to identify use cases where data science can enhance operational efficiency and business performance.
* Partner with business, IT, and strategy teams to ensure AI models are scalable, impactful, and aligned with organizational goals.
* Communicate analytical findings clearly to stakeholders with varying levels of technical knowledge.
**Required Qualifications:** 
* Master’s degree in Data Science, Statistics, Mathematics, Computer Science, or a related quantitative discipline; Ph.D. a plus.
* Minimum of 2 years’ experience applying advanced analytics methods (e.g., decision trees, logistic regression, neural networks, random forests).
* Proficiency in R or Python for analytics and model development, including work with both structured and unstructured data.
* Proven ability to manage and integrate large, complex datasets and an understanding of end\-to\-end data modeling processes.
* Strong written and verbal communication skills with the ability to connect technical outputs to business strategy.
**Preferred Qualifications:** 
* Internship or project experience in machine learning, AI engineering, or related roles—especially in insurance or financial services.
* Familiarity with actuarial concepts or insurance\-specific data models.
* Enthusiastic about continued learning in AI/ML and staying current with new tools and methodologies.
* Comfortable in a collaborative, fast\-paced, and agile working environment.
 This is a unique opportunity to grow your career with a highly respected organization investing in next\-generation analytics.
**Apply today** 
 to help reshape the future of insurance through data and AI innovation.</t>
        </is>
      </c>
    </row>
    <row r="16">
      <c r="A16" t="inlineStr">
        <is>
          <t>li-4381371484</t>
        </is>
      </c>
      <c r="B16" t="inlineStr">
        <is>
          <t>Machine Learning Engineer - Early Career</t>
        </is>
      </c>
      <c r="C16" t="inlineStr">
        <is>
          <t>Jobright.ai</t>
        </is>
      </c>
      <c r="D16" t="inlineStr">
        <is>
          <t>linkedin</t>
        </is>
      </c>
      <c r="E16" t="inlineStr"/>
      <c r="F16" t="inlineStr"/>
      <c r="G16" t="inlineStr"/>
      <c r="H16" t="inlineStr"/>
      <c r="I16"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maintain the scalable infrastructure required to deploy and serve production\-grade AI agents
* Implement and optimize Large Language Model (LLM) pipelines, focusing on latency reduction, throughput, and efficient resource utilization
* Develop automated systems for model monitoring, testing, and continuous integration to ensure the reliability of our AI agents
* Optimize data ingestion and processing layers to support real\-time agent responsiveness and complex RAG (Retrieval\-Augmented Generation) architectures
* Architect and refine APIs and backend services that bridge the gap between AI models and the user\-facing product
**Qualification** 
 Required
* Recent graduate or early\-career professional (0–2 years of experience) with a degree in Computer Science, Software Engineering, or a related technical field
* Strong proficiency in Python and experience with backend frameworks (such as FastAPI, Flask, or Django)
* Practical experience with machine learning frameworks (PyTorch or TensorFlow) and a solid understanding of software engineering best practices (version control, CI/CD, unit testing)
* Familiarity with the deployment of LLMs and an understanding of the infrastructure required to support autonomous agents
* Must live in and be authorized to work in the United States
 Preferred
* Previous internship or project experience in ML Ops, backend engineering, or distributed systems within an AI\-focused company
* Hands\-on experience with containerization (Docker, Kubernetes) and cloud infrastructure (AWS, GCP, or Azure)
* Knowledge of vector databases (such as Pinecone, Milvus, or Weaviate) and their role in production AI systems
* Strong foundation in SQL and NoSQL database management for high\-scale data handling</t>
        </is>
      </c>
    </row>
    <row r="17">
      <c r="A17" t="inlineStr">
        <is>
          <t>li-4382384163</t>
        </is>
      </c>
      <c r="B17" t="inlineStr">
        <is>
          <t>Machine Learning Engineer</t>
        </is>
      </c>
      <c r="C17" t="inlineStr">
        <is>
          <t>Wiraa</t>
        </is>
      </c>
      <c r="D17" t="inlineStr">
        <is>
          <t>linkedin</t>
        </is>
      </c>
      <c r="E17" t="inlineStr"/>
      <c r="F17" t="inlineStr"/>
      <c r="G17" t="inlineStr"/>
      <c r="H17" t="inlineStr"/>
      <c r="I17" t="inlineStr">
        <is>
          <t>**About The Company**
 Samsara (NYSE: IOT) is at the forefront of innovation with its Connected Operations™ Cloud platform, which empowers organizations reliant on physical operations to leverage Internet of Things (IoT) data for actionable insights and operational improvements. Our mission is to enhance safety, efficiency, and sustainability across industries that form the backbone of the global economy, including agriculture, construction, field services, transportation, and manufacturing. As a pioneer in the IoT space, Samsara helps transform traditional industries at scale by providing cutting\-edge solutions such as Video\-Based Safety, Vehicle Telematics, Apps, Driver Workflows, and Equipment Monitoring. Being a recently public company, we offer a dynamic environment where employees can make meaningful contributions and shape the future of physical operations globally.
**About The Role**
 The Samsara AI team develops comprehensive end\-to\-end AI solutions that serve our diverse customer base, alongside building core machine learning (ML) infrastructure for the company. As a Staff Machine Learning Engineer, you will work with petabyte\-scale datasets, including sensor data, diagnostics, video, and text, to address critical challenges faced by our Physical Operations clients worldwide. Your role involves close collaboration with ML Engineers, Scientists, full\-stack developers, and firmware engineers to deliver key product features, services, and system optimizations. This remote position is open to candidates residing within the United States and may require up to 5% travel. Please note that relocation assistance is not provided for this role.
**Qualifications**
* 8\+ years of experience as a Machine Learning Engineer
* Proficiency in optimizing ML models for edge computing constraints
* Experience with frameworks such as Spark, Ray, or similar
* Strong coding skills in Python or equivalent languages
* Proficiency in C\+\+ or Rust
* Deep understanding of the iterative machine learning product development process
* Experience developing and deploying production\-grade code at large scale
* Ability to translate ambiguous customer and business requirements into clear problem definitions
* Excellent verbal and written communication skills for technical and non\-technical audiences
* Experience mentoring and coaching ML engineers
**Responsibilities**
* Lead the design and implementation of critical AI product initiatives on edge devices
* Develop both tactical AI solutions and strategic research projects for long\-term impact
* Work with petabyte\-scale data, including text, diagnostics, sensor, video, and location data, to develop innovative AI models
* Collaborate across business units to prototype new AI experiences and optimize model performance on edge hardware
* Stay current with industry and academic research, adopting new technologies that align with Samsara’s objectives
* Promote and embody Samsara’s cultural principles: Customer Success, Building for the Long Term, Growth Mindset, Inclusivity, and Teamwork
**Benefits**
* Competitive salary range of $165,200 to $295,000 USD annually, commensurate with experience and location
* Comprehensive health benefits and wellness programs
* Flexible remote and hybrid work arrangements
* Generous paid time off and leave policies
* Opportunities for professional development and continuous learning
* Inclusive and diverse work environment that values innovation and collaboration
 Equal Opportunity
 Samsara is committed to fostering an inclusive workplace where everyone has equal opportunity regardless of race, color, religion, national origin, sex, gender identity, sexual orientation, protected veteran status, disability, age, or other characteristics protected by law. We believe that diverse perspectives drive innovation and are essential to our success. All qualified applicants will receive consideration for employment without regard to any protected characteristic. We encourage individuals from all backgrounds to apply and contribute to our mission of transforming physical operations worldwide.</t>
        </is>
      </c>
    </row>
    <row r="18">
      <c r="A18" t="inlineStr">
        <is>
          <t>li-4361558997</t>
        </is>
      </c>
      <c r="B18" t="inlineStr">
        <is>
          <t>Machine Learning Engineer - Ranking &amp; Recommendations</t>
        </is>
      </c>
      <c r="C18" t="inlineStr">
        <is>
          <t>Uber</t>
        </is>
      </c>
      <c r="D18" t="inlineStr">
        <is>
          <t>linkedin</t>
        </is>
      </c>
      <c r="E18" t="inlineStr"/>
      <c r="F18" t="inlineStr"/>
      <c r="G18" t="inlineStr">
        <is>
          <t>Seattle, WA</t>
        </is>
      </c>
      <c r="H18" t="inlineStr"/>
      <c r="I18"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individuals who excel in problem\-solving and critical thinking, are proficient in coding, with proven track records of learning and growth, and have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Generative AI \- shopping ranking and recommendation systems.
**What The Candidate Will Do**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2\+ years of experience building and deploying machine learning models (or a PhD in a relevant field)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9">
      <c r="A19" t="inlineStr">
        <is>
          <t>li-4382386945</t>
        </is>
      </c>
      <c r="B19" t="inlineStr">
        <is>
          <t>Senior AI Engineer</t>
        </is>
      </c>
      <c r="C19" t="inlineStr">
        <is>
          <t>Paper</t>
        </is>
      </c>
      <c r="D19" t="inlineStr">
        <is>
          <t>linkedin</t>
        </is>
      </c>
      <c r="E19" t="inlineStr"/>
      <c r="F19" t="inlineStr"/>
      <c r="G19" t="inlineStr"/>
      <c r="H19" t="inlineStr"/>
      <c r="I19" t="inlineStr">
        <is>
          <t>We’re building the first B2B, in\-classroom Voice \+ Video AI Tutor designed for real\-world learning environments. This system operates in live classrooms—processing noisy audio, interpreting visual signals, and delivering low\-latency, safe, pedagogically aligned AI support to educators and students.
 We are seeking a Senior AI Engineer to architect and operationalize multimodal AI systems at production scale. You will own end\-to\-end AI initiatives—from research and experimentation through deployment and continuous optimization—powering AI features used by millions of learners.
 This is a high\-impact role with significant technical ownership in defining how AI is embedded into our platform.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**What You’ll Own**
**Multimodal AI Architecture**
* Design and deploy real\-time voice and vision AI systems for classroom environments.
* Evaluate tradeoffs between fine\-tuning, RAG pipelines, prompt\-based approaches, and tool\-using agents.
* Build scalable inference systems with strict latency and cost constraints.
**Model Development \&amp; Experimentation**
* Fine\-tune and evaluate LLMs, ASR models, and vision/multimodal architectures.
* Design robust evaluation frameworks (offline \+ online).
* Implement safety guardrails and bias mitigation strategies.
**Productionization**
* Own the full ML lifecycle: data ingestion, training, validation, deployment, monitoring, and iteration.
* Optimize infrastructure for GPU utilization, latency, and cost efficiency.
* Partner with MLOps to build reliable, versioned AI pipelines.
**Cross\-Functional Collaboration**
* Work closely with Product and Engineering to translate classroom needs into production\-ready AI systems.
* Clearly communicate tradeoffs between model complexity, performance, and cost.
* Contribute to long\-term AI roadmap and architecture decisions.
**Required Experience**
* 5\+ years building and deploying production AI/ML systems.
* Hands\-on experience operationalizing LLM\-based systems (RAG, agents, prompt workflows, fine\-tuning).
* Experience with multimodal or vision systems.
* Demonstrated ownership of AI systems in production (monitoring, evaluation, iteration).
* Strong Python proficiency and experience with PyTorch or TensorFlow.
* Experience working with distributed/cloud infrastructure for ML workloads.
**Strongly Preferred**
* Experience building real\-time or low\-latency ML systems.
* Experience working with educational data or regulated environments (FERPA/COPPA).
* Experience designing evaluation frameworks for generative systems.
* Background in optimizing ML systems for cost at scale.
*The annual salary range for this position is $160000 \- $190,000 USD or $145,000 \- $173,000 CAD, plus equity. Please note that the final offer amount is determined by multiple factors, including geographic location as well as candidate experience, and may vary from the amounts listed above*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R\-100319</t>
        </is>
      </c>
    </row>
    <row r="20">
      <c r="A20" t="inlineStr">
        <is>
          <t>li-4382603098</t>
        </is>
      </c>
      <c r="B20" t="inlineStr">
        <is>
          <t>Senior Machine Learning Engineer</t>
        </is>
      </c>
      <c r="C20" t="inlineStr">
        <is>
          <t>People In AI</t>
        </is>
      </c>
      <c r="D20" t="inlineStr">
        <is>
          <t>linkedin</t>
        </is>
      </c>
      <c r="E20" t="inlineStr"/>
      <c r="F20" t="inlineStr"/>
      <c r="G20" t="inlineStr"/>
      <c r="H20" t="inlineStr"/>
      <c r="I20" t="inlineStr">
        <is>
          <t>**Job Title:** 
 Senior Machine Learning Engineer
**Compensation:** 
 $180,000 \- $200,000 base \+ 10% bonus
**Location:** 
 Fully Remote (United States only)
**About the Company** 
 We’re partnering with a fast\-growing technology company building a modern operating system for small and mid\-sized businesses in a large, historically under\-digitized industry. With tens of thousands of active users and millions of transactions flowing through the platform every year, the company has become a critical piece of infrastructure for its customers \- helping them manage everything from quoting and workflow management through to payments in a single cloud\-based system.
 As the platform continues to scale, the team is investing heavily in AI and machine learning to unlock new intelligent product capabilities powered by proprietary operational data.
**The Role** 
 As a Senior Machine Learning Engineer, you’ll work across the full ML lifecycle \- from identifying opportunities and developing models through to deploying and operating production systems used by tens of thousands of real\-world users. This is not an experimentation\-only role. You’ll be building robust ML systems that directly impact how businesses operate day to day.
 The environment is highly collaborative and product\-focused. You’ll work closely with engineering, product, data science, and data engineering to design scalable systems that combine traditional machine learning approaches with emerging LLM and agent\-based workflows.
**What You’ll Do** 
* Design, build, and deploy machine learning systems in production environments
* Develop models across a range of techniques, including regression, classification, clustering, ranking, and recommendation systems
* Own the ML lifecycle from data exploration and feature engineering through to deployment, monitoring, and iteration
* Build intelligent product features using large\-scale proprietary operational datasets
* Contribute to the development of AI agents and LLM\-powered workflows integrated into core product experiences
* Design and maintain scalable ML infrastructure, including feature stores, model serving, and CI/CD pipelines
* Partner closely with product and engineering teams to translate real\-world business problems into ML solutions
* Help shape the architecture, tooling, and best practices of a growing ML function
**What You’ll Bring** 
* Ample applied machine learning experience in production environments
* Proven experience shipping ML models and systems beyond research or notebooks
* Strong Python skills with hands\-on experience using frameworks such as PyTorch or TensorFlow
* Solid foundation in classical machine learning techniques (regression, classification, clustering, ranking, feature engineering, experimentation)
* Experience with modern MLOps practices, including model versioning, deployment pipelines, monitoring, and orchestration
* Strong SQL and experience working with large\-scale structured datasets
* Exposure to NLP, LLM\-based systems, or vector databases is a plus
* Experience in startup or high\-ownership environments where ambiguity and autonomy are expected
* A collaborative mindset \- low ego, high ownership, and strong cross\-functional communication
**About People In AI** 
 People In AI is a specialist recruitment partner focused on building world\-class AI, machine learning, and data teams. We work closely with high\-growth companies \- from ambitious startups to global technology leaders \- helping them hire the engineers and researchers shaping the future of intelligent systems.</t>
        </is>
      </c>
    </row>
    <row r="21">
      <c r="A21" t="inlineStr">
        <is>
          <t>li-4364128914</t>
        </is>
      </c>
      <c r="B21" t="inlineStr">
        <is>
          <t>Sr. AI/ML Engineer I (6407)</t>
        </is>
      </c>
      <c r="C21" t="inlineStr">
        <is>
          <t>MetroStar</t>
        </is>
      </c>
      <c r="D21" t="inlineStr">
        <is>
          <t>linkedin</t>
        </is>
      </c>
      <c r="E21" t="inlineStr"/>
      <c r="F21" t="inlineStr"/>
      <c r="G21" t="inlineStr">
        <is>
          <t>Washington, DC</t>
        </is>
      </c>
      <c r="H21" t="inlineStr"/>
      <c r="I21" t="inlineStr">
        <is>
          <t>As a
 **Sr. AI/ML Engineer I** 
 , you’ll design, develop, and deploy machine learning solutions supporting secure, web\-based applications in a dynamic, mission\-focused environment. This role emphasizes applied AI, experimentation, and collaboration with cross\-functional teams to deliver production\-ready capabilities that evolve as mission needs change.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develop, implement, and fine\-tune AI and machine learning models to support web\-based applications in secure environments with evolving use cases..
* Build and maintain data pipelines, training workflows, and experimentation environments to enable rapid model iteration and evaluation.
* Evaluate model performance using quantitative and qualitative metrics (e.g., accuracy, robustness, stability, efficiency, generalization) and translate results into actionable improvements.
* Analyze data, model outputs, and experimental results to recommend changes to algorithms, features, data sources, or system architecture.
* Proactively identify and assess tools, frameworks, and technologies that best support platform goals, balancing performance, scalability, and maintainability.
* Collaborate closely with software developers, data engineers, DevSecOps teams, and stakeholders to integrate AI capabilities into production systems.
* Ensure AI and data science solutions are transparent, testable, and maintainable to support long\-term operational use.
* Communicate technical approaches, assumptions, tradeoffs, and results clearly to both technical and non\-technical audiences, including during design reviews and demonstrations.
**What you’ll need to succeed:** 
* Bachelor’s degree in Computer Science, Engineering, Data Science, or a related technical discipline.
* Active Secret security clearance (required).
* 4\+ years of experience in data science, machine learning, or applied artificial intelligence.
* Strong hands\-on experience developing, training, and tuning AI/ML models using Python and modern ML frameworks (e.g., PyTorch, TensorFlow, scikit\-learn).
* Experience selecting and applying appropriate modeling approaches (e.g., supervised, unsupervised, reinforcement learning, or hybrid methods) based on problem context.
* Strong software engineering fundamentals including API design, clean architecture, testing, and Git\-based workflows.
* Ability to work effectively in ambiguous problem spaces, defining requirements, success metrics, and implementation steps as understanding evolves.
* Experience integrating AI models into web\-based or service\-oriented platforms, working alongside DevSecOps engineering teams.
* Solid understanding of the full AI lifecycle, including data preparation, experimentation, validation, deployment considerations, and ongoing model improvement.
* Strong analytical and problem\-solving skills, with sound judgment on when to prototype, iterate, or rethink an approach.
 SALARY RANGE: $133,000 \- $147,000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22">
      <c r="A22" t="inlineStr">
        <is>
          <t>li-4381371486</t>
        </is>
      </c>
      <c r="B22" t="inlineStr">
        <is>
          <t>AI Engineer, Entry Level</t>
        </is>
      </c>
      <c r="C22" t="inlineStr">
        <is>
          <t>Jobright.ai</t>
        </is>
      </c>
      <c r="D22" t="inlineStr">
        <is>
          <t>linkedin</t>
        </is>
      </c>
      <c r="E22" t="inlineStr"/>
      <c r="F22" t="inlineStr"/>
      <c r="G22" t="inlineStr"/>
      <c r="H22" t="inlineStr"/>
      <c r="I22"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Build and refine autonomous AI agents that interact with complex environments to solve real\-world user problems
* Develop and optimize sophisticated prompt engineering workflows and multi\-agent orchestration frameworks to enhance product capabilities
* Integrate Large Language Models (LLMs) into the Jobright application, ensuring high\-quality, low\-latency, and reliable AI responses
* Work at the intersection of product and engineering to transform user requirements into functional AI\-driven features
* Implement Retrieval\-Augmented Generation (RAG) systems and fine\-tune models to improve the accuracy and context\-awareness of our agents
**Qualification** 
 Required
* Recent graduate or entry\-level professional (0–2 years of experience) with a degree in Computer Science, AI, or a related technical field
* Strong proficiency in Python and experience working with LLM APIs (such as OpenAI, Anthropic, or open\-source models via Hugging Face)
* Practical understanding of agentic workflows, prompt chaining, and the latest trends in generative AI
* Solid software engineering foundations, including a strong grasp of APIs, asynchronous programming, and version control (Git)
* Must live in and be authorized to work in the United States
 Preferred
* Previous internship or personal project experience building AI\-powered applications, chatbots, or autonomous agents
* Familiarity with agent frameworks such as LangChain, AutoGPT, or CrewAI
* Experience with vector databases and semantic search implementation
* Basic understanding of front\-end or full\-stack integration to help bridge the gap between AI logic and user interfaces</t>
        </is>
      </c>
    </row>
    <row r="23">
      <c r="A23" t="inlineStr">
        <is>
          <t>li-4310987143</t>
        </is>
      </c>
      <c r="B23" t="inlineStr">
        <is>
          <t>Senior Machine Learning Engineer, AI for Chemistry project</t>
        </is>
      </c>
      <c r="C23" t="inlineStr">
        <is>
          <t>X, The Moonshot Factory</t>
        </is>
      </c>
      <c r="D23" t="inlineStr">
        <is>
          <t>linkedin</t>
        </is>
      </c>
      <c r="E23" t="inlineStr"/>
      <c r="F23" t="inlineStr"/>
      <c r="G23" t="inlineStr">
        <is>
          <t>Mountain View, CA</t>
        </is>
      </c>
      <c r="H23" t="inlineStr"/>
      <c r="I23" t="inlineStr">
        <is>
          <t>**About X, The Moonshot Factory**
 X is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**About The Team**
 We’re X’s AI for chemistry moonshot, applying AI to supercharge processes related to the manufacturing of existing chemical compounds. We’re an agile team of experienced AI researchers, software engineers, and entrepreneurs working with partners and customers around the world. We’re looking for people who are passionate about working at the intersection of AI and science. You’ll be part of a fast\-paced team that has the agility and impact of an early stage company, while building on world\-class Google AI technology.
**About The Role**
 As a Machine Learning Engineer, you will be responsible for designing, developing, and deploying state\-of\-the\-art multi\-modal models. This role requires a deep passion for problem\-solving and experimentation, moving across the full range of applied machine learning tasks from initial prototyping to building full\-scale, robust solutions. While you will primarily focus on core product development, you will also serve as a critical bridge between cutting\-edge AI research and real\-world enterprise applications. You will be a key player in our mission to accelerate scientific discovery through machine learning.
**How You Will Have 10X Impact**
* Design and build end\-to\-end machine learning pipelines for training, evaluation, and deployment.
* Develop and fine\-tune sophisticated multi\-modal models using frameworks like PyTorch and libraries from the Hugging Face ecosystem.
* Leverage Google Cloud Platform (GCP) services to deploy and scale our ML models and infrastructure.
* Collaborate with cross\-functional teams of scientists and engineers to translate research ideas into production\-ready solutions.
* Stay current with the latest advancements in machine learning, particularly in multi\-modal learning and generative models.
**What You Should Have**
* Bachelor's or Master's degree in Computer Science, Engineering, or a related technical field.
* At least 5 years of professional experience designing, building and deploying ML solutions
* Proven experience building and training deep learning models using PyTorch and the Hugging Face library
* Demonstrated experience with Large Language Models (LLMs), multi\-modal models (e.g., Vision Language Models (VLMs)) and computer vision models (eg. OCR)
* Strong proficiency with Google Cloud Platform (GCP) and its core services for machine learning and data processing.
* Excellent programming skills in Python and a solid understanding of software engineering best practices.
* Hands\-on experience with MLOps principles and tools (e.g., Kubeflow, MLflow, Vertex AI Pipelines) and DevOps practices (e.g., CI/CD, Docker, Kubernetes, Terraform).
* Experience with large\-scale data processing and database management (e.g., PostgreSQL, SQLAlchemy).
* Experience in start\-up or small team environments
**It’d Be Great If You Also Had These**
* A foundational knowledge of organic chemistry concepts or experience working with chemical data (e.g., SMILES strings, molecular graphs).
* Published research papers in relevant fields
 The US base salary range for this full\-time position is $165,000 \- $258,000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24">
      <c r="A24" t="inlineStr">
        <is>
          <t>li-4365590369</t>
        </is>
      </c>
      <c r="B24" t="inlineStr">
        <is>
          <t>AI Engineer</t>
        </is>
      </c>
      <c r="C24" t="inlineStr">
        <is>
          <t>Zoom</t>
        </is>
      </c>
      <c r="D24" t="inlineStr">
        <is>
          <t>linkedin</t>
        </is>
      </c>
      <c r="E24" t="inlineStr"/>
      <c r="F24" t="inlineStr"/>
      <c r="G24" t="inlineStr">
        <is>
          <t>San Jose, CA</t>
        </is>
      </c>
      <c r="H24" t="inlineStr"/>
      <c r="I24" t="inlineStr">
        <is>
          <t>**What You Can Expect**
 Join Zoom AI Vertical team, start from the Zoom enterprise\-level products; and drive innovation, development in AI\-integrated projects. You will collaborate closely with teams from GenAI, Meeting, Phone, Big data, and Cloud to build business features for Zoom products. The ideal candidate will majorly focus on AI product feature innovation/creation, AI capability improvement, agentic pipeline, applications, data process/analysis, and full cycle software development. You will play the critical role in shaping the future of Zoom AI products.
**About The Team**
 We are the AI/ML application engineering team dedicated to building cutting\-edge products and providing business platforms and tools for enterprise customers. We are seeking an experienced candidate for AI feature development, model/pipeline optimization, and maintenance of end\-to\-end systems that power AI\-driven. Our products have extensive developments based on the integrations with LLM, agent, ASR, and image processing, etc. These products are highly user\-facing, friendly and robust applications.
**Responsibilities**
* Collaborating with cross\-functional teams to define, design, implement and release new AI features and innovative applications.
* Demonstrating a high level AI product feature and architecture design. Breakdown the pipeline into engineering subtasks and implementation details.
* E2E development. AI capability evaluation. Prompt engineering. Agentic AI creation. Model tuning.
* Ensuring reliability and high quality by participating in code reviews, testing, and debugging.
* Building metrics, dashboards to measure the service performance and quality
* Documenting test report, code, algorithms, and technical processes for internal and external references.
* Driving task progress.
**What We’re Looking For**
* 6\+ years (or equivalent experience) of hands\-on skills in AI/ML and software engineering. Advance degree in Computer Science or related fields.
* Have background on AI product architecture/system design and implementation/integration.
* Demonstrate working knowledge of software development principles, design patterns, and scalable systems.
* Have solid experience with one or more of the following: AI agent, RAG, NLP, recommendation, cloud platform, data retrieve/analysis, DB/SQL, A/B test.
* Possess coding skills in Python, Java, or C/C\+\+, etc. Solid experience with LLM tuning, prompt engineering.
* Have comprehension of machine learning theories, algorithms, and frameworks.
* Possess familiarity with AI tools for daily development work.
**Minimum**
**Salary Range or On Target Earnings:**
 $177 100,00
**Maximum**
 $387 500,00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03/27/26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25">
      <c r="A25" t="inlineStr">
        <is>
          <t>li-4239256337</t>
        </is>
      </c>
      <c r="B25" t="inlineStr">
        <is>
          <t>Senior Machine Learning Engineer</t>
        </is>
      </c>
      <c r="C25" t="inlineStr">
        <is>
          <t>Xometry</t>
        </is>
      </c>
      <c r="D25" t="inlineStr">
        <is>
          <t>linkedin</t>
        </is>
      </c>
      <c r="E25" t="inlineStr"/>
      <c r="F25" t="inlineStr"/>
      <c r="G25" t="inlineStr">
        <is>
          <t>North Bethesda, MD</t>
        </is>
      </c>
      <c r="H25" t="inlineStr"/>
      <c r="I25"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Machine Learning Engineer** 
 to join our growing organization. The right person will help move our machine learning capabilities to the next level. You’ll be working in an organization where AI is the enabler and center of its core business strategy. You want to be part of a small, intensely skilled team, who feel total ownership of their work, and can’t imagine a day without learning \&amp; coding. You will play a crucial role in the Xometry platform and everything you do will matter.
**Responsibilities:**
* At Xometry, you will play a crucial role in exploring new machine learning opportunities, researching and performing proof of concepts, and bringing new machine learning and AI solutions into Xometry’s platform
* Develop and implement machine learning models that improve Xometry’s ability to predict cost, price, and sourcing options for our customers and suppliers.
* You will be responsible for leading the evaluation of emerging technologies, identifying areas for improvement, and developing new features while ensuring the reliability and scalability of Xometry’s platform
* Lead the exploration of emerging AI and machine learning technologies and develop proof\-of\-concepts to assess their potential impact on Xometry’s platform
* Collaborate with cross\-functional teams to gather requirements, prioritize features, and define technical solutions based on the latest innovations
* Monitor machine learning models and AI performance and troubleshoot issues as they arise
* Contribute to the documentation and knowledge base to help other teams understand and use Xometry’s AI effectively
**Qualifications:**
* Experience with state of the art ML modeling techniques and approaches like transformers, self supervised pre\-training, generative modeling, LLMs, etc
* Experience with large scale data processing (e.g., Hands\-on experience training and applying models at scale using deep learning frameworks like PyTorch or Tensorflow)
* Successful candidates in this role need to be able to bridge state of the art approaches to real world impact
* A cloud\-native software craftsperson with hands on experience with containers, container orchestration, and distributed systems
* An engineer with a self\-driven attitude who can own problems and deliver solutions
* Strong software fundamentals with experience in design patterns, refactoring, OOP, and testing
* A cloud practitioner who values the “shift\-left” mentality by building systems with Infrastructure as Code, not console clicking
* Data’s at the heart of our systems, we hope it's yours too. You’re comfortable working with SQL and/or NoSQL, understand database design, and data analysis
* Experience building and consuming CI/CD pipelines
* Someone who knows their way around the command line and has experience working with \*nix systems
* 5\+ years working experience in the engineering teams that build large\-scale ML\-driven user\-facing products
* 3\+ years experience leading cross\-team engineering efforts
* Strong execution skills in project management
* Must be a US Citizen or Green Card holder (ITAR)
 The estimated base salary range for new hires into this role is $123,000\- $159,000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26">
      <c r="A26" t="inlineStr">
        <is>
          <t>li-4381651979</t>
        </is>
      </c>
      <c r="B26" t="inlineStr">
        <is>
          <t>Gen AI Engineer</t>
        </is>
      </c>
      <c r="C26" t="inlineStr">
        <is>
          <t>Capgemini</t>
        </is>
      </c>
      <c r="D26" t="inlineStr">
        <is>
          <t>linkedin</t>
        </is>
      </c>
      <c r="E26" t="inlineStr"/>
      <c r="F26" t="inlineStr"/>
      <c r="G26" t="inlineStr">
        <is>
          <t>New York, NY</t>
        </is>
      </c>
      <c r="H26" t="inlineStr"/>
      <c r="I2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 Job Location \- NYC NY (Day One Onsite \- Hybrid)
**Job Description**
 Job Description
 We are looking for a skilled Generative AI Developer to join our Controls Technology team and contribute to the development and integration of innovative generative AI solutions In this role you will work closely with senior developers AI architects and business stakeholders to deliver impactful AIdriven features and products.
**Key Responsibilities**
 Implement and finetune generative AI models under the guidance of senior team members
 Contribute to prompt engineering and development of AIpowered workflows
 Assist with the deployment monitoring and maintenance of AI models in production environments
 Collaborate with data scientists and engineers to ensure seamless integration of AI capabilities
 Perform data preprocessing feature engineering and API development for AI applications
 Participate in code reviews testing and documentation to ensure quality and reliability
 Stay updated with advancements in GenAI and share relevant learnings with the team
**Required Technical Skills**
 Handson experience with at least one major machine learning framework PyTorch TensorFlow Keras
 Familiarity with LLMs prompt engineering and finetuning eg LoRA QLoRA
 Exposure to RAG systems and basic knowledge of hybrid search techniques
 Understanding of model deployment and containerization Docker
 Proficiency in Python for AI development data preprocessing and scripting
 Experience with generative AI tools LangChain Hugging Face LlamaIndex is a plus
 Understanding of version control systems Git
 Awareness of AI compliance data privacy and responsible AI principles
**Required Soft Skills**
 Strong teamwork and communication abilities
 Willingness to learn new AIML technologies and frameworks
 Analytical mindset and attention to detail
 Openness to feedback and continuous improvement
**Qualifications**
 Bachelors degree or Masters degree in Computer Science Data Science AI or a related field
 3\-5 years of professional experience in AIML development with exposure to Generative AI
 Experience delivering AIML projects in a collaborative setting
 Exposure to cloud based AIML environments AWS GCP or Azure is a plus
 The base compensation range for this role in the posted location is : $ 56186 \- 87556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27">
      <c r="A27" t="inlineStr">
        <is>
          <t>li-4381667295</t>
        </is>
      </c>
      <c r="B27" t="inlineStr">
        <is>
          <t>Gen AI Engineer</t>
        </is>
      </c>
      <c r="C27" t="inlineStr">
        <is>
          <t>Capgemini</t>
        </is>
      </c>
      <c r="D27" t="inlineStr">
        <is>
          <t>linkedin</t>
        </is>
      </c>
      <c r="E27" t="inlineStr"/>
      <c r="F27" t="inlineStr"/>
      <c r="G27" t="inlineStr">
        <is>
          <t>New York, NY</t>
        </is>
      </c>
      <c r="H27" t="inlineStr"/>
      <c r="I27"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 Job Location \- NYC NY (Day One Onsite \- Hybrid)**
**Job Description**
 We are looking for a skilled Generative AI Developer to join our Controls Technology team and contribute to the development and integration of innovative generative AI solutions In this role you will work closely with senior developers AI architects and business stakeholders to deliver impactful AIdriven features and products.
**Key Responsibilities**
 Implement and finetune generative AI models under the guidance of senior team members
 Contribute to prompt engineering and development of AIpowered workflows
 Assist with the deployment monitoring and maintenance of AI models in production environments
 Collaborate with data scientists and engineers to ensure seamless integration of AI capabilities
 Perform data preprocessing feature engineering and API development for AI applications
 Participate in code reviews testing and documentation to ensure quality and reliability
 Stay updated with advancements in GenAI and share relevant learnings with the team
**Required Technical Skills**
 Handson experience with at least one major machine learning framework PyTorch TensorFlow Keras
 Familiarity with LLMs prompt engineering and finetuning eg LoRA QLoRA
 Exposure to RAG systems and basic knowledge of hybrid search techniques
 Understanding of model deployment and containerization Docker
 Proficiency in Python for AI development data preprocessing and scripting
 Experience with generative AI tools LangChain Hugging Face LlamaIndex is a plus
 Understanding of version control systems Git
 Awareness of AI compliance data privacy and responsible AI principles
**Required Soft Skills**
 Strong teamwork and communication abilities
 Willingness to learn new AIML technologies and frameworks
 Analytical mindset and attention to detail
 Openness to feedback and continuous improvement
**Qualifications**
 Bachelors degree or Masters degree in Computer Science Data Science AI or a related field
 3\-5 years of professional experience in AIML development with exposure to Generative AI
 Experience delivering AIML projects in a collaborative setting
 Exposure to cloud based AIML environments AWS GCP or Azure is a plus
 The base compensation range for this role in the posted location is: $ 99712 \- 168716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28">
      <c r="A28" t="inlineStr">
        <is>
          <t>li-4382602233</t>
        </is>
      </c>
      <c r="B28" t="inlineStr">
        <is>
          <t>Senior Machine Learning Engineer</t>
        </is>
      </c>
      <c r="C28" t="inlineStr">
        <is>
          <t>James Search Group</t>
        </is>
      </c>
      <c r="D28" t="inlineStr">
        <is>
          <t>linkedin</t>
        </is>
      </c>
      <c r="E28" t="inlineStr"/>
      <c r="F28" t="inlineStr"/>
      <c r="G28" t="inlineStr">
        <is>
          <t>New York, NY</t>
        </is>
      </c>
      <c r="H28" t="inlineStr"/>
      <c r="I28" t="inlineStr">
        <is>
          <t>**Senior AI/ML Engineer** 
**Location:** 
 New York, NY
**Compensation:** 
 $180,000 – $225,000 base \+ bonus \+ comprehensive benefits (including pension, 401(k), and more)
**Industry:** 
 Global P\&amp;C Insurance
**About the role and client** 
 James Search Group is excited to partner with a leading global property and casualty insurance carrier to identify a
 **Senior AI/ML Engineer** 
 to join a high\-impact enterprise data and artificial intelligence team. This group is at the forefront of transforming how the insurance industry leverages data, analytics, and emerging AI technologies to enhance decision\-making and drive profitability across the organization.
 As a key contributor, you will design and implement scalable machine learning and AI\-driven solutions to solve complex business challenges. This role is ideal for a hands\-on, innovative professional passionate about delivering real\-world business impact through advanced data modeling and machine learning strategies.
**Key Responsibilities:** 
* Develop and deploy end\-to\-end AI/ML models—including classification, forecasting, uplift modeling, and fine\-tuning of foundational models.
* Identify use cases for AI across areas such as underwriting, claims, risk evaluation, and customer experience.
* Work cross\-functionally with technical and business stakeholders to deliver actionable insights and scalable solutions.
* Translate sophisticated AI/ML outputs into clear business recommendations for non\-technical stakeholders.
* Stay current with the latest trends in AI/ML, incorporating new tools and methodologies to enhance the organization’s data capabilities.
**Required Qualifications:** 
* Master’s degree in Computer Science, Data Science, Mathematics, Statistics, Operations Research, or a related field.
* Minimum of 5 years of hands\-on experience in data science and machine learning, including techniques like regression, decision trees, neural networks, and ensemble models.
* At least 2 years of experience working with large language models (LLMs) and foundational AI systems.
* Strong programming skills in Python and SQL, with experience using popular data science libraries and frameworks.
* Background in building and deploying ML models in cloud environments (e.g., Azure, AWS).
* Proficient in handling and integrating large structured and unstructured datasets.
* Strong analytical skills with a demonstrated ability to extract actionable insights from complex data.
* Excellent verbal and written communication skills; capable of simplifying complex technical concepts for business audiences.
**Preferred Qualifications:** 
* Expertise in natural language processing (NLP) and natural language understanding (NLU).
* Experience leading multi\-functional AI projects or initiatives.
* Background in insurance, particularly within claims, underwriting, or risk analytics.
* Familiarity with actuarial data, insurance KPIs, or related industry\-specific datasets.
* Collaborative mindset with the ability to drive change and build consensus.
**Apply now** 
 to take the next step in a high\-impact, forward\-thinking role within a dynamic and innovative insurance environment.</t>
        </is>
      </c>
    </row>
    <row r="29">
      <c r="A29" t="inlineStr">
        <is>
          <t>li-4358196515</t>
        </is>
      </c>
      <c r="B29" t="inlineStr">
        <is>
          <t>AI Engineer - Robotics</t>
        </is>
      </c>
      <c r="C29" t="inlineStr">
        <is>
          <t>Harrison Clarke</t>
        </is>
      </c>
      <c r="D29" t="inlineStr">
        <is>
          <t>linkedin</t>
        </is>
      </c>
      <c r="E29" t="inlineStr"/>
      <c r="F29" t="inlineStr"/>
      <c r="G29" t="inlineStr"/>
      <c r="H29" t="inlineStr"/>
      <c r="I29" t="inlineStr">
        <is>
          <t>Build the models that turn vision and language into real\-world action. Your research will ship onto physical robots and get tested in messy, adversarial environments, not just in a notebook.
**Why This Role Exists** 
 A well\-funded, early\-stage robotics and ML team is building a foundation model for embodied autonomy in mission\-critical settings. They are past “cool demo” territory and are now scaling training, evaluation, and deployment so fleets of varying robots can perceive, plan, and coordinate under real operational constraints. In 12–18 months, success looks like robust policies and world models running reliably on hardware, sim\-to\-real transfer that holds up in the field, and a research pipeline that consistently produces deployable improvements.
**What You Will Actually Be Doing** 
* You will
 ***lead research that improves embodied agent capability***
 , spanning reinforcement learning, imitation learning, and/or vision\-language\-action modelling.
* You will
 ***build and benchmark large\-scale models***
 for perception, decision\-making, and control across simulation and real robots.
* You will
 ***push sim\-to\-real transfer and continual learning***
 so behaviours generalize across domains, terrains, sensors, and platforms.
* You will
 ***develop memory and long\-horizon autonomy primitives***
 , enabling agents to operate coherently over extended missions and shifting objectives.
* You will
 ***partner tightly with robotics and systems engineers***
 to integrate research into production\-grade stacks, including evaluation, deployment, and observability.
* You will
 ***support field tests and data collection***
 to close the loop between research insight and real performance.
**This Will Suit You If** 
* You like
 ***research that turns into working systems***
 , fast.
* You enjoy
 ***unstructured problems***
 where the right answer is not in a paper, and constraints are real.
* You are comfortable in a
 ***high\-ownership startup environment***
 . Context\-switching, moving quickly, and setting standards as you go.
* You care about
 ***rigour and repeatability***
 , not heroics. Clean experiments, strong baselines, honest conclusions.
* You want your work to matter in a
 ***mission\-critical domain***
 , with clear stakes and rapid feedback.
**What You Need To Have** 
* ***PhD in CS, Robotics, ML (or equivalent industry research track record)***
 with a strong publication history.
* ***Deep expertise in one or more***
 \*\*: RL, imitation learning, vision\-language models, sim\-to\-real, world modelling, agentic AI, embodied autonomy.
* ***Hands\-on experience building and evaluating embodied agents***
 across simulation and physical systems.
* ***Strong Python***
 \*\* and proficiency in \*\*
 ***PyTorch, JAX, or TensorFlow***
 .
* Proven ability to \*\*
 ***take an idea from concept to a deployed prototype***
 , including evaluation design and iteration.
**Optional, but nice if you have** 
* ***Multi\-agent coordination***
 and swarm behaviors.
* ***ROS, real\-time control loops, embedded or edge inference***
 constraints.
* Experience integrating ML with
 ***physical robotic platforms***
 and high\-dimensional sensor streams.
* Background shipping in
 ***aerospace, defense, or other high\-reliability environments***
 .
**Who You Will Be Joining** 
 A small, senior team in the South Bay building an embodied autonomy platform from the ground up. They are early\-stage, heavily backed, and operating at the intersection of cutting\-edge ML research and real\-world robotics, with direct access to leadership and a culture that prioritises pace, clarity, and shipping.
**Location** 
 South Bay, CA. This is an
 ***on\-site role***
 due to hardware access and frequent integration work. Relocation support is available.</t>
        </is>
      </c>
    </row>
    <row r="30">
      <c r="A30" t="inlineStr">
        <is>
          <t>li-4315653811</t>
        </is>
      </c>
      <c r="B30" t="inlineStr">
        <is>
          <t>Senior Machine Learning Engineer</t>
        </is>
      </c>
      <c r="C30" t="inlineStr">
        <is>
          <t>Retell AI</t>
        </is>
      </c>
      <c r="D30" t="inlineStr">
        <is>
          <t>linkedin</t>
        </is>
      </c>
      <c r="E30" t="inlineStr"/>
      <c r="F30" t="inlineStr"/>
      <c r="G30" t="inlineStr"/>
      <c r="H30" t="inlineStr"/>
      <c r="I30" t="inlineStr">
        <is>
          <t>**About Retell Ai**
 Retell AI is using the first principles to reimagine the call center with cutting edge voice AI.
 Since launching 18 months ago, thousands of companies now utilize Retell’s AI voice agents to handle sales, support, and logistics calls that once required large teams of human agents. Backed by Y Combinator, Alt Capital, and other leading investors, we have scaled to $36M ARR with a team of 20 people, up from $5M at the start of 2025\.
 Our vision for 2026 is to build a modern CX platform where entire contact centers are powered by AI. Instead of basic automation that needs constant human tuning, we’re creating intelligent AI “workers” that can act as frontline agents, QA analysts, and managers — continuously executing, monitoring, and improving customer interactions.
 We’re growing quickly and looking for ambitious builders who want to tackle hard technical problems, move fast, and have real impact at one of the fastest\-growing voice AI startups.
 Let’s build the future together.
* We’re a top 50 AI app in a16z list: https://tinyurl.com/5853dt2x
* \#4 on Brex's Fast\-Growing Software Vendors of 2025: https://www.brex.com/journal/brex\-benchmark\-december\-2025
* We're also one of the top ranking startups on: https://leanaileaderboard.com/
**About The Role**
 This is a hands\-on, high\-ownership role for ML engineers who want to build production models that actually ship, and perform under real\-world constraints. As a Founding Senior Machine Learning Engineer at Retell, you’ll work across the ML stack to power human\-like voice agents that handle millions of real\-time phone conversations.
 You’ll fine\-tune large language models and audio models, evaluate them with rigorous benchmarks (and human feedback), and deploy them into latency\-sensitive, high\-traffic systems. You’ll own model performance end\-to\-end—from training pipelines to post\-deployment monitoring—and shape our ML strategy alongside the founding team.
 If you’re excited by hard technical challenges, fast iteration, and the opportunity to define how voice AI works at scale, this role is a rare chance to do it from the ground up.
**Key Responsibilities**
* Train \&amp; Tune Models – Fine\-tune LLMs and audio models to maximize speed, accuracy, and production\-readiness—pushing the frontier of real\-time AI voice experiences.
* Benchmark \&amp; Evaluate – Build datasets, define rigorous metrics, and measure model performance across high\-impact voice AI tasks to guide development.
* Deploy to Production – Work closely with engineering to ship models, monitor them in the wild, and ensure they stay fast, reliable, and accurate at scale.
* Run Human Evaluations – Build scalable pipelines to collect structured human feedback, benchmark subjective quality, and inform model iterations.
* Level Up Infrastructure – Design and maintain the ML infrastructure needed for fast experimentation, robust training, and continuous deployment.
**YOU MIGHT THRIVE IF YOU**
* ML Engineer with Real\-World Experience – You’ve trained and shipped models in production. Bonus if you’ve worked with LLMs or audio models.
* Fluent in Modern ML Stack – You know your way around Python, PyTorch, and today’s ML tools—from training pipelines to evaluation benchmarks.
* Execution\-Oriented – You move fast, take ownership, and focus on solving real problems over perfect ones.
* Startup\-Ready – You’re adaptable, resilient, and energized by ambiguity and fast\-changing priorities.
* Clear Communicator \&amp; Team Player – You collaborate well across functions and push decisions forward.
**JOB DETAILS**
* Cash: $215,000 \- $290,000 base salary
* Equity: Offers Equity
* Location: Redwood City, CA, US
* US Visas: Retell AI is open to sponsoring work authorization for qualified candidates, including H1B/H\-1B, TN, L\-1, E\-3, F\-1 (OPT/CPT), and O\-1 visas.
**Other Benefits**
* 100% coverage for medical, dental, and vision insurance
* $70/day DoorDash credit for unlimited breakfast, lunch, dinner, and snacks
* $200/month wellness reimbursement (gym, fitness classes, etc.)
* $300/month commuter reimbursement (gas, Caltrain, etc.)
* $75/month phone bill reimbursement
* $50/month internet reimbursement
**Compensation Philosophy**
* Best Offer Upfront: Choose from three cash\-equity balance options, no negotiation needed.
* Top 1% Talent: Above\-market pay (top 5 percentile) to attract high performers.
* High Ownership: Small teams, \&gt;$1M revenue/employee, and significant equity.
* Performance\-Based: Offers tied to interview performance, not experience or past salaries.
**INTERVIEW PROCESS**
* Online Assessment (30 min): Coding questions on practical problem\-solving (7 days to complete).
* Talent Screen (15min): chat with our recruiter to get a better sense of the role, the team, and what it’s like to work here.
* Technical Interview (45 min): LLM theory specific coding Interview(Pytorch)
* Technical Interview (45 min): Live Practical Systems Design and Coding Interview.
* Onsite/Virtual Interviews (3 hrs): Hosted in our office if located in the Bay Area or virtual, with three rounds:
+ ML System Design: A non\-coding interview focused on whiteboarding and high\-level system architecture.
+ ML Question Deep Dive: In\-depth discussion exploring your approach to a machine learning problem.
+ Backend \+ AI Practical: A hands\-on coding interview combining backend development with AI integration.
+ Offer: Final stage, pending decision and offer discussion.</t>
        </is>
      </c>
    </row>
    <row r="31">
      <c r="A31" t="inlineStr">
        <is>
          <t>li-4310221266</t>
        </is>
      </c>
      <c r="B31" t="inlineStr">
        <is>
          <t>Senior Machine Learning Engineer - Ranking</t>
        </is>
      </c>
      <c r="C31" t="inlineStr">
        <is>
          <t>QuinStreet</t>
        </is>
      </c>
      <c r="D31" t="inlineStr">
        <is>
          <t>linkedin</t>
        </is>
      </c>
      <c r="E31" t="inlineStr"/>
      <c r="F31" t="inlineStr"/>
      <c r="G31" t="inlineStr"/>
      <c r="H31" t="inlineStr"/>
      <c r="I31" t="inlineStr">
        <is>
          <t>**Corporate Overview** 
**Powering Performance Marketplaces in Digital Media** 
 QuinStreet is a pioneer in powering decentralized online 
 **marketplaces that match searchers and “research and compare” consumers with brands** 
 .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 The direct measurability of digital media.
* Performance marketing. (We pioneered it.)
* The advantages of technology.
 We bring all this together to deliver truly great results for consumers and brands in the world’s biggest channel.
**Job Category**
 Join us to shape how users discover and interact with our marketplace.
 You’ll
 advance algorithms for ordering, prioritization, and personalization
 .
 Ranking is
 a
 core
 component
 which helps
 users
 discover
 ads,
 balan
 ce
 user satisfaction, business
 goals,
 and
 system
 health.
**Responsibilities** 
* Design and improve ranking systems through rigorous measurement and experimentation; translate broad goals into clear metrics and deliver steady, validated gains.
* Advance evaluation practices (clean test design, offline \&amp; online alignment) and help teams make evidence\-based decisions.
* Build high\-value signals and features with reliable offline/online pipelines and robust monitoring. Incorporate content understanding signals such as text/image/metadata.
* Make uncertainty\-aware decisions; handle drift and calibration so models remain stable and trustworthy over time.
 Partner with Engineering, Product, Business and Analytics to ship resilient solutions end\-to\-end.
**Requirements** 
* Advanced degree (MS/PhD) in CS, Statistics, or related field, with 3\+ years post\-PhD or 5\+ years industry experience.
* Strong foundations in applied ML, statistics, and optimization with demonstrated impact in ranking/recommendations.
* Proficiency in Python and solid software engineering practices (testing, CI/CD).
* Experience working with large\-scale datasets, distributed systems, and latency\-sensitive production ML.
* Clear communication, cross\-functional collaboration, and an ownership mindset.
**Preferred Qualifications**
* Demonstrated success in delivering production\-grade ranking systems with measurable business impact.
* Track record building feature/signals pipelines, feature stores, and observability for ML systems.
* Depth in experimentation and metrics design, including large\-scale A/B testing and variance reduction.
 The expected salary range for this position is $140,000 USD to $170,000 USD annually. This salary range is an estimate, and the actual salary may vary based on the Company’s compensation practices. The salary may be adjusted based on applicant's geographic location. The position is also eligible to receive performance bonus or commission and equity in the form of restricted stock units. This position is eligible to participate in the Company’s standard employee benefits programs, which currently include health care benefits; (2\) retirement benefits; (3\) the amount of paid days off (paid sick leave, parental leave, paid time off, or vacation benefits); (4\) any other tax\-reportable benefits.
 QuinStreet is an equal opportunity employer. We do not discriminate on the basis of race, color, religion, national origin, pregnancy status, sex, age, marital status, disability, sexual orientation, gender identity or any other characteristics protected by law.
 Please see QuinStreet’s Employee Privacy Notice here.</t>
        </is>
      </c>
    </row>
    <row r="32">
      <c r="A32" t="inlineStr">
        <is>
          <t>li-4341922575</t>
        </is>
      </c>
      <c r="B32" t="inlineStr">
        <is>
          <t>Principal Machine Learning Engineer</t>
        </is>
      </c>
      <c r="C32" t="inlineStr">
        <is>
          <t>Upstart</t>
        </is>
      </c>
      <c r="D32" t="inlineStr">
        <is>
          <t>linkedin</t>
        </is>
      </c>
      <c r="E32" t="inlineStr"/>
      <c r="F32" t="inlineStr"/>
      <c r="G32" t="inlineStr"/>
      <c r="H32" t="inlineStr"/>
      <c r="I32"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The Machine Learning Platform team builds the foundational technology that scales machine learning innovation across Upstart. As a Principal Machine Learning Engineer, you will work at the intersection of applied ML and platform engineering—collaborating closely with Research Scientists, Data Scientists, and ML Platform Engineers to design tools and systems that accelerate model development to ultimately improve predictive accuracy. Success in this role requires deep knowledge of ML throughout the entire modeling lifecycle \- from data preparation to training and deployment to production.
 In this role, you will lead engineering initiatives that turn high\-impact modeling needs into scalable, reusable infrastructure. This includes building a
 ***unified embeddings platform for training, serving, and managing representations at scale;***
 streamlining feature engineering pipelines to reduce manual steps and deliver new signals quickly; developing automated continuous\-learning systems that handle data refresh, retraining, evaluation, and drift monitoring with minimal manual effort; and scaling our training pipelines to support larger datasets, more complex architectures, and faster experimentation.
 Across all of these efforts, you will work backward from applied ML projects that meaningfully improve accuracy—using those real\-world scenarios to harden the platform capabilities that enable ML teams across Upstart to innovate with greater speed, reliability, and impact.
**How You’ll Make An Impact**
* Scale ML innovation by building tools, infrastructure, and workflows that dramatically improve the speed and reliability of model development.
* Work backward from modeling needs to design systems that directly unlock gains in accuracy, efficiency, and scientific productivity.
* Explore new algorithms and methodologies for our machine learning models and develop tooling to support them
* Improve the entire ML lifecycle—from data readiness and feature development through training, evaluation, serving, and monitoring.
* Automate and standardize operational workflows, enabling scientists to focus on high\-leverage modeling and analysis rather than manual pipelines.
* Define the roadmap for our next generation ML Platform, balancing near\-term impact with long\-term architectural scalability.
* Collaborate cross\-functionally with Data Engineering, ML Platform, Pricing, and other teams to build reliable, end\-to\-end ML systems.
 Y
 **our work will multiply the effectiveness of every ML team at Upstart** 
 —accelerating innovation and advancing our mission to make credit more accurate, accessible, and fair.
**This is a high influence role suited for those who enjoy combining science innovation, with cross functional collaboration and advisory.**
**Minimum Qualifications**
* 7\+ years of hands\-on experience in applied machine learning, with strong exposure to production\-scale modeling efforts.
* Demonstrated expertise in end\-to\-end model development: data prep, feature engineering, training, evaluation, and deployment.
* Experience working in high\-scale, ML\-driven product environments—especially in fintech, pricing, or risk modeling.
* Proficiency in Python and core ML frameworks (e.g., PyTorch, TensorFlow, Scikit\-learn, XGBoost).
* Ability to work autonomously and lead technical direction in ambiguous, high\-impact domains.
* Experience collaborating with cross\-functional teams including ML scientists, engineers, and product partners.
* Ability to bridge engineering and science teams, and influence technical strategy across disciplines.
* Numerically\-savvy and smart with ability to operate at a fast pace
* Master’s degree or PhD in a quantitative discipline, or equivalent additional professional experience.
**Preferred Qualifications**
* Practical experience optimizing ML workflows using CUDA/GPU acceleration.
* Background in feature store design, embedding architecture, or synthetic data generation for model training.
* Proven track record of improving model accuracy in production environments with measurable business outcomes.
* Familiarity with modern experimentation frameworks, hyperparameter tuning tools, and automated model selection techniques.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$220,700—$300,000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33">
      <c r="A33" t="inlineStr">
        <is>
          <t>li-4382602163</t>
        </is>
      </c>
      <c r="B33" t="inlineStr">
        <is>
          <t>Generative AI Engineer</t>
        </is>
      </c>
      <c r="C33" t="inlineStr">
        <is>
          <t>Quantum World Technologies Inc.</t>
        </is>
      </c>
      <c r="D33" t="inlineStr">
        <is>
          <t>linkedin</t>
        </is>
      </c>
      <c r="E33" t="inlineStr"/>
      <c r="F33" t="inlineStr"/>
      <c r="G33" t="inlineStr">
        <is>
          <t>Irving, TX</t>
        </is>
      </c>
      <c r="H33" t="inlineStr"/>
      <c r="I33" t="inlineStr">
        <is>
          <t>**Job Title: Gen AI / Agentic AI Engineer** 
**Work Location: Irving, TX/Tampa, FL/Jersey City, NJ (Need Local Profiles)** 
**Visa Independent \- GC/USC/OPT/EAD's** 
**Required Skills:** 
 · Strong Data Structures Any Language Code Comprehension Python or Java.
 · Ability to do hands on coding in the interview real\-time for given scenario with right solution approach.
 · Proficient in Data manipulation and cleansing preprocess large datasets handle missing values perform feature engineering ensure data integrity.
 · AIML Strong NLP Deep Learning Concepts with transformer architecture understanding.
 · LLM fine tuning exposure on one or few leading LLM like Dolly Llama2 or any other.
 · Experience in developing and implementing cutting edge generative AI models to solve complex problems.
 · Ability to perform prompt engineering and designing right prompts based on functional use cases.
 · Should have hands on of NLPAIML tool technologies GPT BERT or other language models.
 · Should have experience in building GenAI applications.
 · Word Embedding and Vector DB usage with the leading vector DB implementation Pinecone Milvus or Pgvector.
 · Statistical Analysis Strong proficiency in statistical techniques and methodologies including hypothesis testing regression analysis time series analysis and clustering.
**Skills/Mandatory Skills :** 
 AI/Generative AI, Python AI</t>
        </is>
      </c>
    </row>
    <row r="34">
      <c r="A34" t="inlineStr">
        <is>
          <t>li-4365434386</t>
        </is>
      </c>
      <c r="B34" t="inlineStr">
        <is>
          <t>Senior Machine Learning Engineer</t>
        </is>
      </c>
      <c r="C34" t="inlineStr">
        <is>
          <t>Nexxen</t>
        </is>
      </c>
      <c r="D34" t="inlineStr">
        <is>
          <t>linkedin</t>
        </is>
      </c>
      <c r="E34" t="inlineStr"/>
      <c r="F34" t="inlineStr"/>
      <c r="G34" t="inlineStr">
        <is>
          <t>San Diego, CA</t>
        </is>
      </c>
      <c r="H34" t="inlineStr"/>
      <c r="I34"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We are a hybrid company where our team works 3 days a week in the NY office and remotely the rest of the week.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35">
      <c r="A35" t="inlineStr">
        <is>
          <t>li-4381370557</t>
        </is>
      </c>
      <c r="B35" t="inlineStr">
        <is>
          <t>AI Engineer (Agents)</t>
        </is>
      </c>
      <c r="C35" t="inlineStr">
        <is>
          <t>Jobright.ai</t>
        </is>
      </c>
      <c r="D35" t="inlineStr">
        <is>
          <t>linkedin</t>
        </is>
      </c>
      <c r="E35" t="inlineStr"/>
      <c r="F35" t="inlineStr"/>
      <c r="G35" t="inlineStr">
        <is>
          <t>Santa Clara, CA</t>
        </is>
      </c>
      <c r="H35" t="inlineStr"/>
      <c r="I35"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deploy end\-to\-end AI agents for business and user\-facing applications
* Develop agent\-driven applications, including user interaction flows and APIs
* Build and maintain agent infrastructure, including orchestration, monitoring, and reliability
* Implement and iterate on agent evaluation (quality, reliability, latency, cost)
* Collaborate closely with product and business teams to translate real problems into agent solutions
* Continuously improve agent performance using real\-world feedback and data
**Qualification** 
 Required
* Familiarity with at least one programming language (e.g. Python, JavaScript, TypeScript)
* Experience with writing a lot of code, backend or full\-stack
* Experience building applications
* Strong interest in AI agents and applied LLM systems
* Ability to own features end\-to\-end, from design to production
 Preferred
* Hands\-on experience using and deploying AI agents, such as: Claude Code, Codex, ClawdBot, OpenCode, or similar agent frameworks/tools
* Experience with agent orchestration, tooling, or infra
* Experience building production AI products rather than demos
* Experience in fast\-moving startup environments
* Product\-minded approach and comfort with ambiguous problems</t>
        </is>
      </c>
    </row>
    <row r="36">
      <c r="A36" t="inlineStr">
        <is>
          <t>li-4364456367</t>
        </is>
      </c>
      <c r="B36" t="inlineStr">
        <is>
          <t>Applied AI engineer: pricing analytics -  Fintech foundation (100% Remote - USA)</t>
        </is>
      </c>
      <c r="C36" t="inlineStr">
        <is>
          <t>Hopper</t>
        </is>
      </c>
      <c r="D36" t="inlineStr">
        <is>
          <t>linkedin</t>
        </is>
      </c>
      <c r="E36" t="inlineStr"/>
      <c r="F36" t="inlineStr"/>
      <c r="G36" t="inlineStr">
        <is>
          <t>San Francisco, CA</t>
        </is>
      </c>
      <c r="H36" t="inlineStr"/>
      <c r="I36" t="inlineStr">
        <is>
          <t>**About The Job**
* Hopper is continually redefining how people travel, combining a best\-in\-class travel agency with a portfolio of proprietary fintech offerings that give our customers peace of mind when booking travel. More than 100M monthly active users are exposed to our products through our mobile app and a growing list of partners such as CapitalOne, Air Canada, and Spirit Airlines. With a real\-time feed of 50B\+ priced itineraries daily along with more than ten years of history and multiple external data sources, we have unparalleled insight about pricing and demand trends.
* This is a unique and senior opportunity to join our growing Fintech Foundation team. We are responsible for optimizing pricing for all ancillary products we sell, balancing customer demand with the financial risks we take on. We help our product teams deliver new fintech products to market faster, respond rapidly to changing market conditions, run continuous champion\-challenger testing on product construction levers, and maintain our growing portfolio of pricing models across dozens of partners.
**The Role**
* As a Pricing Analytics Architect, you will be the driving force behind our next generation of data and self\-service capabilities. Your primary mandate will be to architect, implement, and operate AI\-powered self\-service analytics platforms to empower our internal product and revenue stakeholders.
* You will act as a hands\-on technical Product Manager for our internal data and analytics tools, balancing stakeholder needs with technical feasibility and data architecture integrity.
* This role plays a key part in strategic development by shaping the underlying data architecture to ensure quality, scalability, and performance, enabling faster and more reliable pricing and product decisions.
* You will also assess and develop prototypes for new analytical capabilities that we could potentially deliver to our growing list of external partners.
**What Would Your Day\-to\-day Look Like**
* Architect and build production\-ready, self\-service dashboards, and automated analytical tools, integrating core AI/ML features to improve access and deliver novel insights and diagnostics.
* Lead the data quality and data architecture roadmap for the Fintech Foundation team's reporting systems, ensuring high fidelity and trusted data for all internal and partner\-facing analytics.
* Act as the primary technical point of contact for internal business stakeholders, translating complex analytical needs into technical specifications and managing the feature backlog for the analytics platform
* Grow use of our data platform through documentation, training, and a strong push towards self\-service.
**An ideal candidate has**
* Deeply curious with strong problem\-solving ability, critical thinking, and attention to detail.
* Proven experience in architecting and implementing self\-service business intelligence (BI) solutions or data products.
* Highly quantitative with advanced hands\-on experience in SQL and data architecture/modeling
* Strong understanding of financial metrics, data quality principles, and reporting tools like Looker or Tableau.
* Excellent communication, presentation, and stakeholder management skills with a strong technical PM slant.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$240K \- $300K</t>
        </is>
      </c>
    </row>
    <row r="37">
      <c r="A37" t="inlineStr">
        <is>
          <t>li-4372789463</t>
        </is>
      </c>
      <c r="B37" t="inlineStr">
        <is>
          <t>Senior AI / ML Engineer - Embodied AI</t>
        </is>
      </c>
      <c r="C37" t="inlineStr">
        <is>
          <t>General Motors</t>
        </is>
      </c>
      <c r="D37" t="inlineStr">
        <is>
          <t>linkedin</t>
        </is>
      </c>
      <c r="E37" t="inlineStr"/>
      <c r="F37" t="inlineStr"/>
      <c r="G37" t="inlineStr">
        <is>
          <t>Mountain View, CA</t>
        </is>
      </c>
      <c r="H37" t="inlineStr"/>
      <c r="I37"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Senior AI/ML Engineer in the Embodied AI organization, you will develop and deploy machine learning solutions contributing to autonomous driving performance. You will contribute to designing and improving ML models that support safe and reliable vehicle behavior across real\-world scenarios.
 You will collaborate closely with senior engineers and cross\-functional teams to translate research and technical concepts into production\-ready solutions while contributing to engineering best practices and delivery execution.
**What You'll Do**
* Develop and improve ML solutions aligned with GM’s autonomous driving objectives.
* Apply techniques such as unsupervised pre\-training, imitation learning, reinforcement learning, model scaling/selection, foundation modeling, to solve problems in object detection/tracking/classification, trajectory generation, and safe AI.
* Collaborate with cross\-functional teams to deploy models into onboard driving systems.
* Implement and evaluate models, incorporating research advancements into practical applications.
* Contribute to taking ML solutions from experimentation through deployment and production support.
* Participate in code reviews, documentation, and technical discussions to support engineering quality and knowledge sharing.
**Your Skills \&amp; Abilities**
* Bachelor’s or Master’s degree in Computer Science, Robotics, Machine Learning, or related field.
* Experience applying machine learning techniques to real\-world systems or large\-scale datasets.
* Proficiency in PyTorch and Python.
* Experience working with model training pipelines or large\-scale data processing workflows.
* Strong data processing skills using tools such as NumPy, Pandas, and Apache Spark.
* Ability to collaborate effectively within cross\-functional engineering teams.
* Experience deploying ML models into production or working within production ML environments preferred.
*Remote:* 
 This role is based remotely but if you live within a 50\-mile radius of Austin, Detroit, Warren, Milford or Mountain View, you are expected to report to that location three times per week, at minimum.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$170,600\.00 to $261,300\.00\.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\#GM\-AV\-1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38">
      <c r="A38" t="inlineStr">
        <is>
          <t>li-4372752807</t>
        </is>
      </c>
      <c r="B38" t="inlineStr">
        <is>
          <t>Embedded AI Engineer (Hybrid)</t>
        </is>
      </c>
      <c r="C38" t="inlineStr">
        <is>
          <t>Homebase</t>
        </is>
      </c>
      <c r="D38" t="inlineStr">
        <is>
          <t>linkedin</t>
        </is>
      </c>
      <c r="E38" t="inlineStr"/>
      <c r="F38" t="inlineStr"/>
      <c r="G38" t="inlineStr">
        <is>
          <t>Houston, TX</t>
        </is>
      </c>
      <c r="H38" t="inlineStr"/>
      <c r="I38" t="inlineStr">
        <is>
          <t>**Hi, Future Homie!**
 At Homebase, you’ll join a team that’s bold, fast\-moving, and obsessed with helping small businesses thrive. We build with empathy, act with urgency, and take big swings that drive real\-world impact. Here, every Homie shows up to raise the bar, support one another, and celebrate wins as a team.
 We’re not just building an app—we’re building
 *unstoppable* 
 teams. So what do you say, are you in?
**📍Your** 
***Impact***
**Starts Here**
 We’re looking for an
 **Embedded AI Engineer** 
 at the
 **E2** 
 level to run embedded engagements with internal teams and deliver durable AI\-powered systems that materially improve operational efficiency and business outcomes.
 You’ll operate close to the business: translating messy workflows into scoped solutions, building production systems at velocity leveraging modern LLMs and coding agents, and iterating rapidly based on real usage.
**These are the key ways you’ll contribute and create impact in this role:**
* Lead embedded cycles end\-to\-end: discovery (workflow mapping \+ KPI definition), build/launch, and scale/standardize.
* Ship full\-stack internal systems (services, integrations, and UIs) that teams rely on daily; balance speed with maintainability.
* Own and evolve shared internal AI software that multiple teams depend on—treating key accelerators as compounding assets.
* Establish clear ownership paths for each deliverable: team\-owned (shared), co\-owned (team\-specific), or handoff (when there’s a natural long\-term home).
* Drive measurable impact: define success metrics up front and iterate until adoption and KPI movement are real.
* Create reusable templates, components, and playbooks so the next engagement ships faster and better.
* Partner effectively across Engineering \+ stakeholders: communicate tradeoffs, scope, rollout plans, and change management clearly.
**Role**
**🚀 The Foundation for Success \-** 
 These are the experiences and strengths that will set you up for success in this role:
* 2\+ years of professional software engineering experience shipping production systems (or equivalent).
* Strong proficiency in backend scripting language such as Ruby or Python, and comfort working across backend \+ frontend (TypeScript/JavaScript/React).
* Proven ability to deliver in ambiguity \- You can work with subject matter experts to transform messy workflows into a scoped MVP and ship it quickly.
* Hands\-on experience building with LLMs and automating workflows; strong instincts for pragmatic solution design.
* Strong communication skills and stakeholder leadership: you can run working sessions, demo clearly, drive adoption, and empathize with your internal customers.
* AI fluency (required): You retool workflows with AI, instrument outcomes, and measure impact (time saved, error reduction, adoption, throughput).
* Bonus points if you have:
+ Experience building internal tools and integrating with systems like CRM, ticketing, knowledge bases, and analytics.
+ Experience operationalizing AI workflows.
**🤝 The Homie Way \-** 
 These principles guide everything we do—from how we work and make decisions to how we show up for each other.
* 💡 Be Customer Obsessed – Solve problems with empathy and creativity.
* ⚡ Move Fast, Learn Fast – Experiment, take action, and grow every day.
* 🎯 Own Your Impact – Think big, focus on what matters, and make decisions you stand behind.
* 🏆 Master Your Craft – Excellence fuels impact—show up, step up, and make your mark.
* 🏅 Win Together – Put goals over roles, lead with trust, and connect to our mission and each other.
**What We Offer (United States)**
* 💰 Ownership \&amp; Financial Security: Stock options \+ 401(k) with 4% match
* 🏥 Comprehensive Healthcare: Medical, dental, and vision coverage \+ FSA options
* ⏰ Flexible Time: Unlimited PTO (salaried) \+ company holidays
* 👶 Family Support: Up to 12 weeks of paid parental leave (after 6 months of service)
* 🛡️ Protection Plans: Life insurance \+ short/long\-term disability coverage
* 🌟 Work Your Way: Work From Anywhere Month \+ meeting\-free weeks yearly
* 🍽️ Workspace Perks: Meals provided, commuter benefits, team offsites, and Customer Days
* 💼 Our Hybrid Rhythm: We believe collaboration drives impact. That’s why Tuesdays and Wednesdays are our required in\-office days—a time to move faster as a team, build deeper connections, make better decisions, and build together.
**What We Offer (Canada)**
* 💰 Ownership \&amp; Savings: Stock options \+ TFSA/RRSP with 4% company match
* 🏥 Health \&amp; Wellness: Comprehensive medical, dental, and vision for you and your dependents
* ⏰ Time Flexibility: Flex time off \+ company holidays \+ designated focus periods
* 👶 Family Support: Maternity/Parental Leave EI top\-up support offered (after 6 months of service)
* 🌟 Work Your Way: Work From Anywhere Month \+ meeting\-free weeks yearly
* 🛡️ Protection Plans: Life insurance \+ short/long\-term disability coverage
* 🍽️ Workspace Perks: Meals provided, team offsites, and Customer Days
* 💼 Our Hybrid Rhythm: We believe collaboration drives impact. That’s why Tuesdays and Wednesdays are our required in\-office days—a time to move faster as a team, build deeper connections, make better decisions, and build together.
**What To Expect During The Interview Process**
* Meet the Talent Acquisition team, Ryan H.
* Meet the Hiring Manager, Justin N.
* Participate in a Technical Assessment
* Meet Cross\-functional Partners
* Background Check \+ Offer Stage
* Welcome to the team, Homie 🎉
**💜 Belonging at Homebase \-** 
 We're committed to fostering a welcoming space where every Homie can be their full self. Experience comes in many forms—so if you're excited about this role, even if you don’t meet 100% of the qualifications, we encourage you to apply!
*Homebase will consider qualified applicants with criminal histories in a manner consistent with the San Francisco Fair Chance Ordinance.*
**👋 Hey, We’re Homebase**
 Unstoppable teams start here.
 Homebase is the everything app for hourly teams—built to simplify the day\-to\-day and superpower local businesses. With tools for scheduling, time clocks, payroll, communication, HR, and more, we help teams stay connected and in control. Today, over 100,000 small (but mighty) businesses rely on us to make work radically easier. Together, we’ve tracked over a billion hours for 2\.5\+ million workers—and we’re just getting started.
 At Homebase, we celebrate diversity and are proud to be an equal opportunity employer. We welcome all candidates and do not discriminate based on any legally protected status. If you need accommodations during the hiring process, please let us know—we’re committed to ensuring fair and equitable access for all.</t>
        </is>
      </c>
    </row>
    <row r="39">
      <c r="A39" t="inlineStr">
        <is>
          <t>li-4381367640</t>
        </is>
      </c>
      <c r="B39" t="inlineStr">
        <is>
          <t>Senior Machine Learning Engineer</t>
        </is>
      </c>
      <c r="C39" t="inlineStr">
        <is>
          <t>Jobright.ai</t>
        </is>
      </c>
      <c r="D39" t="inlineStr">
        <is>
          <t>linkedin</t>
        </is>
      </c>
      <c r="E39" t="inlineStr"/>
      <c r="F39" t="inlineStr"/>
      <c r="G39" t="inlineStr"/>
      <c r="H39" t="inlineStr"/>
      <c r="I39"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Cresta
**One\-liner:** 
 Cresta is a $1\.6B enterprise AI platform born out of the Stanford AI Lab, transforming how Fortune 500 companies run their contact centers.
 Why Join Us:
**Role Responsibilities** 
* Build and optimize agentic AI workflows that enable users to dynamically interact with and refine outputs from ML systems
* Research and implement advanced ML and NLP techniques, including transformer\-based models, embeddings, and retrieval\-augmented generation
* Develop evaluation frameworks to assess accuracy, robustness, and usability of ML/LLM models in production environments
* Design, train, and deploy machine learning models for tasks such as classification, entity identification, information extraction, retrieval, topic discovery, and structured insight generation
* Architect and optimize RAG pipelines for grounding LLMs with enterprise data to ensure accuracy and reliability
* Collaborate with engineers, UX designers, and product managers to integrate AI\-driven capabilities into Cresta’s platform
* Optimize ML pipelines and data processing systems to operate efficiently at scale
**Qualifications** 
 Required
* Master's or Ph.D. in Computer Science, Machine Learning, AI, or a related field
* 5\+ years of hands\-on experience building and deploying ML models in production
* Strong knowledge of ML frameworks and NLP libraries (e.g., PyTorch, TensorFlow, Hugging Face, spaCy, NLTK)
* Solid experience with modern ML techniques including transformer architectures, embeddings, retrieval systems, and large\-scale model training
* Experience designing and deploying Retrieval\-Augmented Generation pipelines for enterprise use cases
* Familiarity with evaluation and benchmarking frameworks for ML/LLM models
* Strong passion for AI\-driven innovation, with a proven ability to deliver impactful, production\-grade solutions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40">
      <c r="A40" t="inlineStr">
        <is>
          <t>li-4264494377</t>
        </is>
      </c>
      <c r="B40" t="inlineStr">
        <is>
          <t>Principal Machine Learning Engineer, Foundation Models</t>
        </is>
      </c>
      <c r="C40" t="inlineStr">
        <is>
          <t>Cambridge Mobile Telematics</t>
        </is>
      </c>
      <c r="D40" t="inlineStr">
        <is>
          <t>linkedin</t>
        </is>
      </c>
      <c r="E40" t="inlineStr"/>
      <c r="F40" t="inlineStr"/>
      <c r="G40" t="inlineStr">
        <is>
          <t>Massachusetts, United States</t>
        </is>
      </c>
      <c r="H40" t="inlineStr"/>
      <c r="I40" t="inlineStr">
        <is>
          <t>Cambridge Mobile Telematics (CMT) is the world's largest telematics service provider. Its mission is to make the world's roads and drivers safer. The company's AI\-driven platform, DriveWell Fusion®, gathers sensor data from millions of IoT devices — including smartphones, proprietary Tags, connected vehicles, dashcams, and third\-party devices — and fuses them with contextual data to create a unified view of vehicle and driver behavior. Auto insurers, automakers, commercial mobility companies, and the public sector use insights from CMT's platform to power risk assessment, safety, claims, and driver improvement programs. Headquartered in Cambridge, MA, with offices in Budapest, Chennai, Seattle, Tokyo, and Zagreb, CMT measures and protects tens of millions of drivers across the world every day.
 We are embarking on a transformative journey with DriveWell Atlas, a groundbreaking initiative to build a family of novel AIs on telematics data. As a Principal Data Scientist on the DriveWell Atlas team, you will be at the forefront of developing these next\-generation AIs. You will lead innovative projects focused on designing, pre\-training, fine\-tuning, and deploying these AIs. Your work will directly contribute to enhancing our capabilities in risk assessment, driver engagement, and crash and claims processing. This role requires a deep understanding of modern AI methods, machine learning, physics\-informed modeling, and experience with sensor data. We are not tweaking existing models for marginal gain. You will have an opportunity to build a first\-of\-its\-kind LLM from petabyte\-scale data.
 CMT is looking for a collaborative, customer\-committed, and creative
 **Principal Data Scientist I, AI** 
 who wants to join us in making roads safer by making drivers better!
**Responsibilities:** 
* Use independent judgment and discretion to lead the design, pre\-training, fine\-tuning, and deployment of novel foundation models for vehicle telematics
* Develop and implement novel algorithms for modeling both automotive physics and human driving behavior
* Pioneer advanced self\-supervised learning techniques, including the design and implementation of innovative tasks tailored to multi\-modal telematics sensor data to learn rich representations of movement and driver behavior
* Develop models robust to noise, missing data, and diverse operating conditions typical of real\-world mobile sensor and IoT datasets
* Build and manage scalable training and inference pipelines using tools like Ray, PyTorch DDP, Horovod, or similar frameworks
* Integrate these AIs into production systems while ensuring high performance and reliability
* Optimize these AIs for efficient deployment on various platforms, including cloud and edge/mobile devices
* Collaborate closely with engineering, product, and research teams to translate cutting\-edge research into impactful products and features for the DriveWell Atlas platform
* Mentor junior scientists and contribute to the broader AI/ML strategy at CMT
* Stay abreast of the latest AI advancements, evaluating and adopting emerging technologies and methodologies relevant to telematics
* Contribute to efforts in AI explainability and interpretability
* Complete any tasks as they arise
**Qualifications:** 
* Bachelor's degree or equivalent years of experience and/or certification in Artificial Intelligence, Computer Science, Electrical Engineering, Physics, Mathematics, Statistics, or a related field
* 7\+ years of professional experience in AI/ML
* 3\+ years of hands\-on experience developing and deploying foundation models, with a strong portfolio in generative AI for sequential or spatio\-temporal data
* Strong, hands\-on experience in building and training time\-series transformer architectures for complex sensor fusion and behavioral modeling tasks is required
* Deep expertise in designing pretraining tasks for self\-supervised learning on noisy, real\-world sensor data
* Proficiency in Python and common data science libraries (e.g., Pandas, NumPy, scikit\-learn)
* Extensive experience with deep learning frameworks such as PyTorch (preferred) or TensorFlow for large\-scale model training and deployment
* Solid understanding and practical experience with distributed training techniques and efficient training methodologies for large models
* Experience building and maintaining large\-scale data processing pipelines and machine learning infrastructure using tools like Spark, Airflow, Docker, and cloud platforms (e.g., AWS, GCP, Azure)
* Excellent problem\-solving skills and the ability to translate complex business problems into tractable AI\-based solutions
* Strong verbal/written communication and collaboration skills, with the ability to effectively convey complex technical concepts to diverse audiences
* Product\-focused thinking with a proven ability to deliver impactful AI solutions
**Nice to Haves:** 
* PhD or Master's degree preferred
* Experience with MLOps practices and tools for managing the lifecycle of machine learning models
* Publications in top\-tier AI/ML conferences or journals
* Familiarity with techniques for model interpretability and explainability (XAI)
* Awareness of ethical AI principles, bias detection, and mitigation strategies in machine learning models, including experience with or understanding of model guardrails
**Compensation and Benefits:** 
* Fair and competitive salary based on skills and experience, and annual performance bonus
* Equity may be awarded in the form of Restricted Stock Units (RSUs)
* Medical, Dental, Vision and Life Insurance, matching 401k, short\-term \&amp; long\-term disability and parental leave
* Unlimited Paid Time Off including vacation, sick days \&amp; public holidays
* Flexible scheduling and work from home policy depending on role and responsibilities
**Base Salary Range**
* The base salary range for this position is: $177,000 to $221,300\. This range is specifically for Cambridge, MA
**A** 
**dditional Perks:** 
* Feel great working to improve road safety around the world!
* Join one of our many employee resource groups including Black, AAPI, LGBTQIA\+, Women, Book Club and Health \&amp; Wellness
* Extensive wellness, education and employee assistance programs
* CMT will do all that is possible to support our employees and create a positive and inclusive work environment for all!
**Commitment to Diversity and Inclusion:** 
**A** 
**t CMT, we believe the best ideas come from a mix of backgrounds and perspectives.**
**We are an equal\-opportunity employer committed to creating a workplace and culture where everyone feels valued, respected, and empowered to bring their unique talents and perspectives. Diversity is essential to our success, and we actively seek candidates from all backgrounds to join** 
**our growing team.** 
*We do not discriminate based on race, religion, color, national origin, gender, sexual orientation, age,* 
*m* 
*arital status, veteran status or disability state. CMT is headquartered in Cambridge, MA. To learn more, visit www.cmtelematics.com and follow us on X @cmtelematics.*</t>
        </is>
      </c>
    </row>
    <row r="41">
      <c r="A41" t="inlineStr">
        <is>
          <t>li-4381371174</t>
        </is>
      </c>
      <c r="B41" t="inlineStr">
        <is>
          <t>AI Engineer</t>
        </is>
      </c>
      <c r="C41" t="inlineStr">
        <is>
          <t>Haystack</t>
        </is>
      </c>
      <c r="D41" t="inlineStr">
        <is>
          <t>linkedin</t>
        </is>
      </c>
      <c r="E41" t="inlineStr"/>
      <c r="F41" t="inlineStr"/>
      <c r="G41" t="inlineStr">
        <is>
          <t>Eagan, MN</t>
        </is>
      </c>
      <c r="H41" t="inlineStr"/>
      <c r="I41" t="inlineStr">
        <is>
          <t>**AI Software Engineer \| Gaithersburg, MD or Egg Harbour, NJ or Eagan, MN \| Hybrid \| $87,100 \- $157,450** 
 We're working with a global leader in mission\-critical technology and national security innovation on this exciting opportunity. Join a team modernizing the UK National Airspace System by blending traditional safety\-critical systems engineering with cutting\-edge AI\-augmented development techniques.
 This isn't about experimental prototypes; it's about applying C\+\+, Ada, and real\-time systems expertise to national infrastructure. You will be at the forefront of the "AI\-driven SDLC," using tools like Claude Code and GitHub Copilot to accelerate the delivery of high\-availability platforms where precision is the only option.
**The Role** 
 • Design and maintain real\-time software for safety\-critical air traffic management systems using C, C\+\+, and Ada.
 • Lead the integration of AI\-assisted coding tools (Claude Code, GitHub Copilot) to optimize refactoring, debugging, and automated test generation.
 • Modernize high\-availability platforms on Linux (Red Hat) environments using virtual machines and hypervisors.
 • Develop low\-level communication protocols including TCP/IP, UDP, and SCTP for complex system integration.
 • Implement "Human\-in\-the\-loop" AI workflows to ensure performance and safety in a highly regulated domain.
**What You'll Need** 
 • 4\+ years of professional software engineering experience (or 2\+ with a Master’s) with a strong background in Object\-Oriented Programming.
 • Hands\-on experience with AI\-driven development tools and Large Language Models (LLMs) such as OpenAI, Anthropic, or Google Gemini.
 • Deep proficiency in C or C\+\+ development, with additional experience in Ada preferred for mission\-critical systems.
 • Proven experience developing real\-time, multi\-threaded applications and hardware/system integration.
 • US Citizenship and the ability to obtain a Public Trust clearance are required.
**What's On Offer** 
 • Competitive salary range up to $157,450 with comprehensive health, wellness, and retirement benefits.
 • True hybrid flexibility: 3 days onsite for collaboration and 2 days remote for focused execution.
 • The chance to work on national\-scale infrastructure projects where your code directly impacts global aviation safety.
 • Access to the latest AI development tools and a culture that encourages technological disruption.
**Apply via Haystack today!**</t>
        </is>
      </c>
    </row>
    <row r="42">
      <c r="A42" t="inlineStr">
        <is>
          <t>li-4381362412</t>
        </is>
      </c>
      <c r="B42" t="inlineStr">
        <is>
          <t>AI Engineer</t>
        </is>
      </c>
      <c r="C42" t="inlineStr">
        <is>
          <t>Haystack</t>
        </is>
      </c>
      <c r="D42" t="inlineStr">
        <is>
          <t>linkedin</t>
        </is>
      </c>
      <c r="E42" t="inlineStr"/>
      <c r="F42" t="inlineStr"/>
      <c r="G42" t="inlineStr">
        <is>
          <t>Egg Harbor, NJ</t>
        </is>
      </c>
      <c r="H42" t="inlineStr"/>
      <c r="I42" t="inlineStr">
        <is>
          <t>**AI Software Engineer \| Gaithersburg, MD or Egg Harbour, NJ or Eagan, MN \| Hybrid \| $87,100 \- $157,450** 
 We're working with a global leader in mission\-critical technology and national security innovation on this exciting opportunity. Join a team modernizing the UK National Airspace System by blending traditional safety\-critical systems engineering with cutting\-edge AI\-augmented development techniques.
 This isn't about experimental prototypes; it's about applying C\+\+, Ada, and real\-time systems expertise to national infrastructure. You will be at the forefront of the "AI\-driven SDLC," using tools like Claude Code and GitHub Copilot to accelerate the delivery of high\-availability platforms where precision is the only option.
**The Role** 
 • Design and maintain real\-time software for safety\-critical air traffic management systems using C, C\+\+, and Ada.
 • Lead the integration of AI\-assisted coding tools (Claude Code, GitHub Copilot) to optimize refactoring, debugging, and automated test generation.
 • Modernize high\-availability platforms on Linux (Red Hat) environments using virtual machines and hypervisors.
 • Develop low\-level communication protocols including TCP/IP, UDP, and SCTP for complex system integration.
 • Implement "Human\-in\-the\-loop" AI workflows to ensure performance and safety in a highly regulated domain.
**What You'll Need** 
 • 4\+ years of professional software engineering experience (or 2\+ with a Master’s) with a strong background in Object\-Oriented Programming.
 • Hands\-on experience with AI\-driven development tools and Large Language Models (LLMs) such as OpenAI, Anthropic, or Google Gemini.
 • Deep proficiency in C or C\+\+ development, with additional experience in Ada preferred for mission\-critical systems.
 • Proven experience developing real\-time, multi\-threaded applications and hardware/system integration.
 • US Citizenship and the ability to obtain a Public Trust clearance are required.
**What's On Offer** 
 • Competitive salary range up to $157,450 with comprehensive health, wellness, and retirement benefits.
 • True hybrid flexibility: 3 days onsite for collaboration and 2 days remote for focused execution.
 • The chance to work on national\-scale infrastructure projects where your code directly impacts global aviation safety.
 • Access to the latest AI development tools and a culture that encourages technological disruption.
**Apply via Haystack today!**</t>
        </is>
      </c>
    </row>
    <row r="43">
      <c r="A43" t="inlineStr">
        <is>
          <t>li-4381369611</t>
        </is>
      </c>
      <c r="B43" t="inlineStr">
        <is>
          <t>Founding AI Engineer</t>
        </is>
      </c>
      <c r="C43" t="inlineStr">
        <is>
          <t>Jobright.ai</t>
        </is>
      </c>
      <c r="D43" t="inlineStr">
        <is>
          <t>linkedin</t>
        </is>
      </c>
      <c r="E43" t="inlineStr"/>
      <c r="F43" t="inlineStr"/>
      <c r="G43" t="inlineStr">
        <is>
          <t>Seattle, WA</t>
        </is>
      </c>
      <c r="H43" t="inlineStr"/>
      <c r="I43" t="inlineStr">
        <is>
          <t>This role is part of the Jobright TNT \- the private hiring network connecting top talent with top AI startups like Perplexity, Mercor, Cresta, Suno and 150 more.
 This is not a mass job posting. Only select, high\-signal candidates are invited to Jobright TNT and recommended directly to hiring teams
 Hiring Company: Nexhelm AI
 One\-liner: Nexhelm AI is building an AI digital coworker for wealth management firms, aiming to reduce manual effort and improve accuracy.
 Why Join Us:
 Role Responsibilities
 • Build and optimize agentic systems for financial business domain knowledge, task automation and decision support
 • Design and implement data pipelines, memory systems, and contextual planning logic
 • Prototype fast, test in production, and ship features that directly impact users
 • Own infrastructure for evaluating model performance, latency, and reliability
 • Collaborate closely with the CTO and founding team on architecture, product decisions, and go\-to\-market fit
 Qualifications
 Required
 • Strong software engineer with 3–5\+ years of experience, ideally with a focus in ML, NLP, or AI systems
 • Hands\-on experience with LLMs and agentic frameworks (i.e. LangGraph), prompt engineering, fine\-tuning, or vector DBs (e.g., Weaviate, Pinecone)
 • Experience building and scaling software systems in production
 • You think in systems and care deeply about both performance and usability
 • Startup\-ready: you move fast, have strong ownership, and can thrive in ambiguity
 Preferred
 • Experience with enterprise SaaS, productivity tools, or knowledge workflows
 • DevOps familiarity: Docker, cloud infrastructure, CI/CD, observability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44">
      <c r="A44" t="inlineStr">
        <is>
          <t>li-4381363740</t>
        </is>
      </c>
      <c r="B44" t="inlineStr">
        <is>
          <t>Business Intelligence Analyst &amp; Ai Engineer</t>
        </is>
      </c>
      <c r="C44" t="inlineStr">
        <is>
          <t>SetupBoxs</t>
        </is>
      </c>
      <c r="D44" t="inlineStr">
        <is>
          <t>linkedin</t>
        </is>
      </c>
      <c r="E44">
        <f>HYPERLINK("https://www.linkedin.com/jobs/view/4381363740", "https://www.linkedin.com/jobs/view/4381363740")</f>
        <v/>
      </c>
      <c r="F44" t="inlineStr"/>
      <c r="G44" t="inlineStr">
        <is>
          <t>St Louis, MO</t>
        </is>
      </c>
      <c r="H44" t="inlineStr"/>
      <c r="I44" t="inlineStr">
        <is>
          <t>**Software Engineer \&amp; DevOps Engineer – St. Louis, Missouri (On\-Site)** 
**Full\-Time \| Immediate Onboarding** 
 We are a dynamic IT consulting firm dedicated to supporting and advancing emerging technology professionals across the United States. We are currently onboarding candidates for multiple exciting on\-site opportunities in St. Louis, Missouri.
 Open Positions:
 ·       IT Operations Engineer
 ·       Cloud Security Engineer
 ·       Infrastructure Engineer
 ·       Site Reliability Engineer (SRE)
 ·       Security Operations Center (SOC) Analyst
 ·       Data Engineer
 ·       Platform Engineer
 ·       AI Engineer
 ·       Business Intelligence (BI) Analyst
 ·       QA Engineer
 What We Provide:
 ·       Comprehensive support including accommodation and job placement
 ·       H\-1B and Green Card sponsorship pathways
 Benefits of Joining:
 ·       Fully arranged accommodation facilities
 ·       Soft skills training and career development sessions
**Interested in applying?** 
 Secure your slot by completing the form below:
 Form: https://forms.gle/Z5V2JWHnGzJkom9B8</t>
        </is>
      </c>
    </row>
    <row r="45">
      <c r="A45" t="inlineStr">
        <is>
          <t>li-4372783423</t>
        </is>
      </c>
      <c r="B45" t="inlineStr">
        <is>
          <t>Senior Applied Scientist, Forecasting</t>
        </is>
      </c>
      <c r="C45" t="inlineStr">
        <is>
          <t>Zillow</t>
        </is>
      </c>
      <c r="D45" t="inlineStr">
        <is>
          <t>linkedin</t>
        </is>
      </c>
      <c r="E45">
        <f>HYPERLINK("https://www.linkedin.com/jobs/view/4372783423", "https://www.linkedin.com/jobs/view/4372783423")</f>
        <v/>
      </c>
      <c r="F45" t="inlineStr"/>
      <c r="G45" t="inlineStr"/>
      <c r="H45" t="inlineStr"/>
      <c r="I45" t="inlineStr">
        <is>
          <t>**About The Team**
 The forecasting group at Zillow provides critical visibility through macroeconomic and housing market uncertainty, shaping planning across Zillow’s businesses. We bring together forecasters, economists, applied scientists, data scientists, and data visualization engineers to build and maintain the forecasts that guide decision‑making. Working with proprietary, industry‑leading data and rigorous forecasting methods, we translate housing market signals into actionable business outlooks. In close partnership with finance, product, and other business teams, we are modernizing how forecasts are produced, evaluated, and operationalized to create a more automated, scalable, and decision‑focused forecasting function.
**About The Role**
 Zillow is seeking a Senior Applied Scientist to join our forecasting organization. In this role, you will design, test, and deploy advanced forecasting models that shape strategic and operational decisions across Zillow. You will work at the intersection of data, economics, and business context to develop and continuously improve forecasts that matter for our customers and our business. You will regularly translate forecast results into clear insights for senior leaders, clarifying current performance, expected trajectories, key drivers, and the uncertainty and trade‑offs that shape our plans.
**You Will Get To:**
* Analyze large, complex datasets to understand buyer and seller behavior and uncover the drivers of key real estate and business outcomes.
* Develop and deploy time‑series and econometric forecasting models that address critical customer, housing market, and business questions, without exposing proprietary product details.
* Own the end‑to‑end modeling lifecycle, including scoping, feature engineering, model development, experimentation, deployment, monitoring, and model explainability.
* Translate forecasts into clear insights and recommendations for senior leadership, helping stakeholders understand drivers, uncertainty, and trade‑offs that guide Zillow’s strategy.
* Partner cross‑functionally with finance, product, engineering, marketing, and operations to scale and improve forecasting capabilities across Zillow.
* Improve and contribute to shared forecasting tools, data pipelines, and processes used across the company.
* Collaborate with other applied scientists and data scientists to develop novel solutions to real estate and business problems.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$160,900\.00 \- $257,100\.00 annually. This base pay range is specific to these locations and may not be applicable to other locations. In Colorado, Hawaii, Illinois, Minnesota, Nevada, Ohio, Rhode Island, and Vermont the standard base pay range for this role is $152,900\.00 \- $244,300\.00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Strong experience with quantitative time‑series forecasting techniques and a practical understanding of trade‑offs between performance, explainability, and scalability.
* Approximately 7\+ years of applied data science experience, including substantial hands‑on work in forecasting, predictive modeling, or econometric analysis (industry or equivalent research experience).
* Advanced degree (MS or PhD) in a quantitative field (e.g., Economics, Operations Research, Data Analytics, Statistics, Computer Science, Mathematics, Information Management, Engineering, or related quantitative discipline), or equivalent practical experience.
* Proficient in Python and SQL for building, evaluating, and deploying models.
* Demonstrated experience monitoring, debugging, and maintaining models in production environments.
* Experience explaining complex models and analytical concepts to stakeholders with varied technical backgrounds, using clear takeaways, succinct insights, and effective visualizations.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46">
      <c r="A46" t="inlineStr">
        <is>
          <t>li-4349682593</t>
        </is>
      </c>
      <c r="B46" t="inlineStr">
        <is>
          <t>Senior Applied Scientist, DSP/ML</t>
        </is>
      </c>
      <c r="C46" t="inlineStr">
        <is>
          <t>Gridware</t>
        </is>
      </c>
      <c r="D46" t="inlineStr">
        <is>
          <t>linkedin</t>
        </is>
      </c>
      <c r="E46">
        <f>HYPERLINK("https://www.linkedin.com/jobs/view/4349682593", "https://www.linkedin.com/jobs/view/4349682593")</f>
        <v/>
      </c>
      <c r="F46" t="inlineStr"/>
      <c r="G46" t="inlineStr"/>
      <c r="H46" t="inlineStr"/>
      <c r="I46"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Description:
 We are seeking a Senior Applied Scientist with expertise in machine learning and digital signal processing (DSP) to design models that operate on multimodal time\-series sensor data in highly resource\-constrained environments. You will develop algorithms that balance accuracy with strict power and memory limits, helping advance the next generation of Gridware’s edge intelligence. This role blends applied research, model optimization, and low\-level implementation in collaboration with hardware and firmware teams. 
**Responsibilities** 
* Execute end\-to\-end ML workflows, including exploratory data analysis, feature engineering, model training, evaluation, and optimization.
* Design and evaluate machine learning and DSP algorithms that meet strict power, memory, and latency constraints on embedded hardware.
* Conduct research and literature reviews on edge ML, resource\-constrained inference, and efficient training techniques.
* Partner closely with hardware, firmware, and product teams to ensure seamless integration of models into the full system.
**Required Skills** 
* MS or PhD in Computer Science, Electrical Engineering, or a related technical field.
* 3\+ years of experience developing and deploying production ML models.
* 3\+ years of applied research experience in ML, DSP, or algorithm development.
* Hands\-on experience working with physical sensors and modeling time\-series data.
* Strong foundation in ML architectures, DSP theory, and algorithm design for real\-world systems.
**Bonus Skills** 
* Experience developing or optimizing algorithms in C/C\+\+ for resource\-constrained embedded systems.
* Experience porting ML models from Python frameworks to firmware\-level implementations.
* Familiarity with edge ML tools, quantization, model compression, or on\-device inference strategies.
*\*\*At this time, Gridware is unable to provide visa sponsorship or immigration support for this role. We’re only able to consider candidates who are currently authorized to work in the country of employment without visa sponsorship now or in the future.\*\**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47">
      <c r="A47" t="inlineStr">
        <is>
          <t>li-4332803693</t>
        </is>
      </c>
      <c r="B47" t="inlineStr">
        <is>
          <t>Machine Learning Engineer</t>
        </is>
      </c>
      <c r="C47" t="inlineStr">
        <is>
          <t>ExxonMobil</t>
        </is>
      </c>
      <c r="D47" t="inlineStr">
        <is>
          <t>linkedin</t>
        </is>
      </c>
      <c r="E47">
        <f>HYPERLINK("https://www.linkedin.com/jobs/view/4332803693", "https://www.linkedin.com/jobs/view/4332803693")</f>
        <v/>
      </c>
      <c r="F47">
        <f>HYPERLINK("https://jobs.exxonmobil.com/ExxonMobil/job/Spring-Machine-Learning-Engineer-TX-77024/1338308500/?feedId=223600&amp;utm_source=LinkedInJobPostings&amp;utm_campaign=EOM_Linkedin&amp;urlHash=BGu0", "https://jobs.exxonmobil.com/ExxonMobil/job/Spring-Machine-Learning-Engineer-TX-77024/1338308500/?feedId=223600&amp;utm_source=LinkedInJobPostings&amp;utm_campaign=EOM_Linkedin&amp;urlHash=BGu0")</f>
        <v/>
      </c>
      <c r="G47" t="inlineStr">
        <is>
          <t>Spring, TX</t>
        </is>
      </c>
      <c r="H47" t="inlineStr"/>
      <c r="I47"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
**About Houston**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**Job Role Summary**
 Learn more about what we do in Houston
 **here** 
**.**
 ML Engineering is a technical field that deals with the automation of deployment and sustainment of Data Science work products at scale to deliver value to customers on a reproducible way.
 The Machine Learning Engineer role leads and coordinates work efforts to apply technical skills, domain knowledge and agile techniques to deliver commercial\-grade, automated data science solutions including essential data pipeline, ML model retraining pipeline and user interface development in partnership with Data Scientist and business units. Machine Learning Engineer also identifies effective design for new Data Science model deployment and sustainment opportunities and mentors less experienced team members.
**About You**
* Applies Software Development methodologies, DevOps toolsets and ML techniques and coordinates the implementation effort of an end\-to\-end machine learning workflow that effectively brings ML models to production.
* Contribution: Leads the scoping and identifies the appropriate solution design of a deployment of a new data science solution. This may require provisioning deployment environments via Infrastructure as Code, applying
* Continuous Integration \&amp; Continuous Deployment principles, developing relevant source code, ML Pipelines, APIs, and user interfaces, and employing multiple testing methods to transform and scale a prototype data science model to a multi\-user environment across business lines.
* Sustains solutions by enabling continuous ML model and/or service performance monitoring, training, and re\-training of models, including the implementation of proactive alerting methods.
* Sphere of Influence: Across projects and business lines, acts as a primary contact for business requests.
* Represents ExxonMobil in interactions with key competitors, vendors, partners, joint ventures, NOCs, government officials, industry associations, academia, and industry forums.
* Knowledge Sharing: Mentors early career professionals and utilizes depth and/or breadth of experience to identify cross\-functional business opportunities visible mentor beyond immediate business line or team.
* Participates in internal networks through which their capabilities can be disseminated to the benefit of others.
* Coaches users to improve ability to derive value out of processes, systems, and data.
* Business Acumen: Application of business acumen functional skill applied to C\&amp;DS JF.
**Your Benefits**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Learn more at our
 **website**
 Follow us on
 **LinkedIN** 
 and
 **Instagram**
 Like us on
 **Facebook** 
 Subscribe our channel at
 **YouTube**
**Employee equal opportunity**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80901**</t>
        </is>
      </c>
    </row>
    <row r="48">
      <c r="A48" t="inlineStr">
        <is>
          <t>li-4381373370</t>
        </is>
      </c>
      <c r="B48" t="inlineStr">
        <is>
          <t>Senior Applied Scientist</t>
        </is>
      </c>
      <c r="C48" t="inlineStr">
        <is>
          <t>CHEManager International</t>
        </is>
      </c>
      <c r="D48" t="inlineStr">
        <is>
          <t>linkedin</t>
        </is>
      </c>
      <c r="E48">
        <f>HYPERLINK("https://www.linkedin.com/jobs/view/4381373370", "https://www.linkedin.com/jobs/view/4381373370")</f>
        <v/>
      </c>
      <c r="F48">
        <f>HYPERLINK("https://www.diversityinresearch.careers/job/1951362/senior-applied-scientist/&amp;urlHash=m8VU", "https://www.diversityinresearch.careers/job/1951362/senior-applied-scientist/&amp;urlHash=m8VU")</f>
        <v/>
      </c>
      <c r="G48" t="inlineStr">
        <is>
          <t>Seattle, WA</t>
        </is>
      </c>
      <c r="H48" t="inlineStr"/>
      <c r="I48" t="inlineStr">
        <is>
          <t>**We're looking for bold, entrepreneurial talent ready to help build something extraordinary \- and reshape the future of building products distribution.**
 QXO is a publicly traded company founded by Brad Jacobs with the goal of building the market\-leading company in the building products distribution industry. On April 30, 2025, QXO completed its first acquisition: Beacon Building Products, a leading distributor in the sector.
 We are building a customer\-focused, tech\-enabled, and innovation\-driven business that will scale rapidly through accretive M\&amp;A, organic growth, and greenfield expansion. Our strategy is rooted in delivering exceptional customer experiences, improving operational efficiency, and leveraging data, digital tools, and AI to modernize a historically under\-digitized industry.
**What You'll Do**
**Modeling \&amp; Research**
 Depending on your expertise, you may focus on some of the following:
* Forecasting
* Build and productionize time series models for demand, sales, and inventory (e.g., hierarchical forecasting, intermittent demand, seasonality/trend modeling, multivariate forecasting).
* Develop approaches to handle sparse, volatile, and evolving data environments.
* Pricing \&amp; Revenue
* Develop pricing models and policies, including elasticity estimation, margin optimization, and discounting/contract structures.
* Support pricing for quotes and BOMs, including guardrails, risk/margin checks, and complex B2B rules around bundling and substitution.
* Supply Chain \&amp; Inventory
* Design models for inventory planning, replenishment, and allocation under real\-world constraints (lead times, MOQs, service levels).
* Build tools to improve fill rates, reduce stockouts, and manage working capital.
* Formulate and solve optimization problems (linear, mixed\-integer, non\-linear, heuristics/approximation) for routing, allocation, capacity, and network flows.
* Integrate optimization with forecasting/pricing models to support end\-to\-end decisions.
**Across All Areas, You'll**
* Combine statistical methods, machine learning, and operations research techniques as appropriate.
* Stay current on relevant research and bring practical, scalable methods into production.
**Decision Systems \&amp; Product Integration**
* Translate messy business problems into clear technical formulations and evaluate alternative approaches.
* Work with engineers to turn models into robust services powering internal tools, APIs, and AI agents (e.g., quoting \&amp; BOM agents, pricing copilots, supply planning tools).
* Build or contribute to simulation and scenario analysis frameworks to test policies before rollout.
* Define and implement offline and online evaluation (experiments, policy evaluation, counterfactual analysis).
 Data, Measurement \&amp; Experimentation
* Partner with data engineering to ensure data quality, structure, and accessibility for modeling.
* Define metrics for your domain (forecast accuracy, stockouts, margin impact, quote win rates, price realization, etc.).
* Design experiments and quasi\-experiments to measure the business impact of new models and policies.
* Clearly communicate findings, trade\-offs, and recommendations to stakeholders.
 Collaboration \&amp; Leadership
* Work closely with Sales, Marketing, Supply Chain, Finance, and Product teams to understand constraints, workflows, and incentives.
* Collaborate with AI Engineers who will embed your models inside intelligent agents and applications.
* Mentor other scientists and engineers; elevate standards around methodology, code quality, and evaluation.
* Influence roadmap and strategy by highlighting long\-term modeling opportunities and risks.
**Required**
 What you'll bring:
* 5\-10\+ years of experience in Applied Science / Data Science / Quantitative Research, with a strong record of shipping models into production.
* Deep expertise in one or more of the following:
* Time series forecasting
* Pricing \&amp; revenue management
* Supply chain / inventory / logistics modeling
* Operations research / mathematical optimization
* Strong proficiency in Python and scientific computing libraries (NumPy, pandas, etc.).
* Solid SQL skills and experience working with modern data warehouses/lakehouses.
* Hands\-on experience designing experiments, analyzing results, and working with ambiguous real\-world data.
* Excellent communication skills and demonstrated ability to lead projects spanning multiple teams.
**Preferred**
* Prior experience in retail, B2B distribution, manufacturing, or the building materials / construction industry.
* Experience with revenue management, discounting, and contract/pricing architectures.
* Experience with supply chain planning systems (MRP/DRP, S\&amp;OP) and operational constraints.
* Familiarity with deep learning libraries (e.g., PyTorch, TensorFlow, JAX).
* Experience integrating models with downstream applications or AI agents, including considerations for latency, reliability, and interpretability.
* Experience with large\-scale or distributed data/compute systems and ML platforms (MLOps, feature stores, model registries, CI/CD for models).
* Advanced degree (MS or PhD) in a quantitative field such as Statistics, Operations Research, Applied Mathematics, Computer Science, or a related discipline.
 What you'll earn
* Base pay range: $159,000 \- $287,800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To comply with Pay Transparency laws, employers must disclose an annual salary range. Actual offers depend on factors such as location, experience, skills, and market data. This position may also offer variable compensation.
 Please contact careers@QXO.com if you have any questions related to this job posting.
**Salary Range**
 USD $159,000\.00 \- USD $287,800\.00 /Yr.</t>
        </is>
      </c>
    </row>
    <row r="49">
      <c r="A49" t="inlineStr">
        <is>
          <t>li-4381371632</t>
        </is>
      </c>
      <c r="B49" t="inlineStr">
        <is>
          <t>Senior Applied Scientist</t>
        </is>
      </c>
      <c r="C49" t="inlineStr">
        <is>
          <t>CHEManager International</t>
        </is>
      </c>
      <c r="D49" t="inlineStr">
        <is>
          <t>linkedin</t>
        </is>
      </c>
      <c r="E49">
        <f>HYPERLINK("https://www.linkedin.com/jobs/view/4381371632", "https://www.linkedin.com/jobs/view/4381371632")</f>
        <v/>
      </c>
      <c r="F49">
        <f>HYPERLINK("https://www.diversityinresearch.careers/job/1951366/senior-applied-scientist/&amp;urlHash=EjVf", "https://www.diversityinresearch.careers/job/1951366/senior-applied-scientist/&amp;urlHash=EjVf")</f>
        <v/>
      </c>
      <c r="G49" t="inlineStr">
        <is>
          <t>Seattle, WA</t>
        </is>
      </c>
      <c r="H49" t="inlineStr"/>
      <c r="I49" t="inlineStr">
        <is>
          <t>**We're looking for bold, entrepreneurial talent ready to help build something extraordinary \- and reshape the future of building products distribution.**
 QXO is a publicly traded company founded by Brad Jacobs with the goal of building the market\-leading company in the building products distribution industry. On April 30, 2025, QXO completed its first acquisition: Beacon Building Products, a leading distributor in the sector.
 We are building a customer\-focused, tech\-enabled, and innovation\-driven business that will scale rapidly through accretive M\&amp;A, organic growth, and greenfield expansion. Our strategy is rooted in delivering exceptional customer experiences, improving operational efficiency, and leveraging data, digital tools, and AI to modernize a historically under\-digitized industry.
**What You'll Do**
**Modeling \&amp; Research**
 Depending on your expertise, you may focus on some of the following:
* Forecasting
* Build and productionize time series models for demand, sales, and inventory (e.g., hierarchical forecasting, intermittent demand, seasonality/trend modeling, multivariate forecasting).
* Develop approaches to handle sparse, volatile, and evolving data environments.
* Pricing \&amp; Revenue
* Develop pricing models and policies, including elasticity estimation, margin optimization, and discounting/contract structures.
* Support pricing for quotes and BOMs, including guardrails, risk/margin checks, and complex B2B rules around bundling and substitution.
* Supply Chain \&amp; Inventory
* Design models for inventory planning, replenishment, and allocation under real\-world constraints (lead times, MOQs, service levels).
* Build tools to improve fill rates, reduce stockouts, and manage working capital.
* Formulate and solve optimization problems (linear, mixed\-integer, non\-linear, heuristics/approximation) for routing, allocation, capacity, and network flows.
* Integrate optimization with forecasting/pricing models to support end\-to\-end decisions.
**Across All Areas, You'll**
* Combine statistical methods, machine learning, and operations research techniques as appropriate.
* Stay current on relevant research and bring practical, scalable methods into production.
**Decision Systems \&amp; Product Integration**
* Translate messy business problems into clear technical formulations and evaluate alternative approaches.
* Work with engineers to turn models into robust services powering internal tools, APIs, and AI agents (e.g., quoting \&amp; BOM agents, pricing copilots, supply planning tools).
* Build or contribute to simulation and scenario analysis frameworks to test policies before rollout.
* Define and implement offline and online evaluation (experiments, policy evaluation, counterfactual analysis).
**Data, Measurement \&amp; Experimentation**
* Partner with data engineering to ensure data quality, structure, and accessibility for modeling.
* Define metrics for your domain (forecast accuracy, stockouts, margin impact, quote win rates, price realization, etc.).
* Design experiments and quasi\-experiments to measure the business impact of new models and policies.
* Clearly communicate findings, trade\-offs, and recommendations to stakeholders.
**Collaboration \&amp; Leadership**
* Work closely with Sales, Marketing, Supply Chain, Finance, and Product teams to understand constraints, workflows, and incentives.
* Collaborate with AI Engineers who will embed your models inside intelligent agents and applications.
* Mentor other scientists and engineers; elevate standards around methodology, code quality, and evaluation.
* Influence roadmap and strategy by highlighting long\-term modeling opportunities and risks.
**Required**
 What you'll bring:
* 2\+ years of experience in Applied Science / Data Science / Quantitative Research, with a strong record of shipping models into production.
* Expertise in one or more of the following:
* Time series forecasting
* Pricing \&amp; revenue management
* Supply chain / inventory / logistics modeling
* Operations research / mathematical optimization
* Proficiency in Python and scientific computing libraries (NumPy, pandas, etc.).
* Solid SQL skills and experience working with modern data warehouses/lakehouses.
* Hands\-on experience designing experiments, analyzing results, and working with ambiguous real\-world data.
* Excellent communication skills and demonstrated ability to lead projects spanning multiple teams.
**Preferred**
* Prior experience in retail, B2B distribution, manufacturing, or the building materials / construction industry.
* Experience with revenue management, discounting, and contract/pricing architectures.
* Experience with supply chain planning systems (MRP/DRP, S\&amp;OP) and operational constraints.
* Familiarity with deep learning libraries (e.g., PyTorch, TensorFlow, JAX).
* Experience integrating models with downstream applications or AI agents, including considerations for latency, reliability, and interpretability.
* Experience with large\-scale or distributed data/compute systems and ML platforms (MLOps, feature stores, model registries, CI/CD for models).
* Advanced degree (MS or PhD) in a quantitative field such as Statistics, Operations Research, Applied Mathematics, Computer Science, or a related discipline.
 What you'll earn
* Base pay range: $159,000 \- $287,000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To comply with Pay Transparency laws, employers must disclose an annual salary range. Actual offers depend on factors such as location, experience, skills, and market data. This position may also offer variable compensation.
 Please contact careers@QXO.com if you have any questions related to this job posting.
**Salary Range**
 USD $159,000\.00 \- USD $287,000\.00 /Yr.</t>
        </is>
      </c>
    </row>
    <row r="50">
      <c r="A50" t="inlineStr">
        <is>
          <t>li-4381371630</t>
        </is>
      </c>
      <c r="B50" t="inlineStr">
        <is>
          <t>Senior Applied Scientist</t>
        </is>
      </c>
      <c r="C50" t="inlineStr">
        <is>
          <t>CHEManager International</t>
        </is>
      </c>
      <c r="D50" t="inlineStr">
        <is>
          <t>linkedin</t>
        </is>
      </c>
      <c r="E50">
        <f>HYPERLINK("https://www.linkedin.com/jobs/view/4381371630", "https://www.linkedin.com/jobs/view/4381371630")</f>
        <v/>
      </c>
      <c r="F50">
        <f>HYPERLINK("https://www.diversityinresearch.careers/job/1951370/senior-applied-scientist/&amp;urlHash=8fBd", "https://www.diversityinresearch.careers/job/1951370/senior-applied-scientist/&amp;urlHash=8fBd")</f>
        <v/>
      </c>
      <c r="G50" t="inlineStr">
        <is>
          <t>Seattle, WA</t>
        </is>
      </c>
      <c r="H50" t="inlineStr"/>
      <c r="I50" t="inlineStr">
        <is>
          <t>**We're looking for bold, entrepreneurial talent ready to help build something extraordinary \- and reshape the future of building products distribution.**
 QXO is a publicly traded company founded by Brad Jacobs with the goal of building the market\-leading company in the building products distribution industry. On April 30, 2025, QXO completed its first acquisition: Beacon Building Products, a leading distributor in the sector.
 We are building a customer\-focused, tech\-enabled, and innovation\-driven business that will scale rapidly through accretive M\&amp;A, organic growth, and greenfield expansion. Our strategy is rooted in delivering exceptional customer experiences, improving operational efficiency, and leveraging data, digital tools, and AI to modernize a historically under\-digitized industry.
**What You'll Do**
**Modeling \&amp; Research**
 Depending on your expertise, you may focus on some of the following:
* Forecasting
* Build and productionize time series models for demand, sales, and inventory (e.g., hierarchical forecasting, intermittent demand, seasonality/trend modeling, multivariate forecasting).
* Develop approaches to handle sparse, volatile, and evolving data environments.
* Pricing \&amp; Revenue
* Develop pricing models and policies, including elasticity estimation, margin optimization, and discounting/contract structures.
* Support pricing for quotes and BOMs, including guardrails, risk/margin checks, and complex B2B rules around bundling and substitution.
* Supply Chain \&amp; Inventory
* Design models for inventory planning, replenishment, and allocation under real\-world constraints (lead times, MOQs, service levels).
* Build tools to improve fill rates, reduce stockouts, and manage working capital.
* Formulate and solve optimization problems (linear, mixed\-integer, non\-linear, heuristics/approximation) for routing, allocation, capacity, and network flows.
* Integrate optimization with forecasting/pricing models to support end\-to\-end decisions.
**Across All Areas, You'll**
* Combine statistical methods, machine learning, and operations research techniques as appropriate.
* Stay current on relevant research and bring practical, scalable methods into production.
**Decision Systems \&amp; Product Integration**
* Translate messy business problems into clear technical formulations and evaluate alternative approaches.
* Work with engineers to turn models into robust services powering internal tools, APIs, and AI agents (e.g., quoting \&amp; BOM agents, pricing copilots, supply planning tools).
* Build or contribute to simulation and scenario analysis frameworks to test policies before rollout.
* Define and implement offline and online evaluation (experiments, policy evaluation, counterfactual analysis).
**Data, Measurement \&amp; Experimentation**
* Partner with data engineering to ensure data quality, structure, and accessibility for modeling.
* Define metrics for your domain (forecast accuracy, stockouts, margin impact, quote win rates, price realization, etc.).
* Design experiments and quasi\-experiments to measure the business impact of new models and policies.
* Clearly communicate findings, trade\-offs, and recommendations to stakeholders.
**Collaboration \&amp; Leadership**
* Work closely with Sales, Marketing, Supply Chain, Finance, and Product teams to understand constraints, workflows, and incentives.
* Collaborate with AI Engineers who will embed your models inside intelligent agents and applications.
* Mentor other scientists and engineers; elevate standards around methodology, code quality, and evaluation.
* Influence roadmap and strategy by highlighting long\-term modeling opportunities and risks.
**Required**
 What you'll bring:
* 2\+ years of experience in Applied Science / Data Science / Quantitative Research, with a strong record of shipping models into production.
* Expertise in one or more of the following:
* Time series forecasting
* Pricing \&amp; revenue management
* Supply chain / inventory / logistics modeling
* Operations research / mathematical optimization
* Proficiency in Python and scientific computing libraries (NumPy, pandas, etc.).
* Solid SQL skills and experience working with modern data warehouses/lakehouses.
* Hands\-on experience designing experiments, analyzing results, and working with ambiguous real\-world data.
* Excellent communication skills and demonstrated ability to lead projects spanning multiple teams.
**Preferred**
* Prior experience in retail, B2B distribution, manufacturing, or the building materials / construction industry.
* Experience with revenue management, discounting, and contract/pricing architectures.
* Experience with supply chain planning systems (MRP/DRP, S\&amp;OP) and operational constraints.
* Familiarity with deep learning libraries (e.g., PyTorch, TensorFlow, JAX).
* Experience integrating models with downstream applications or AI agents, including considerations for latency, reliability, and interpretability.
* Experience with large\-scale or distributed data/compute systems and ML platforms (MLOps, feature stores, model registries, CI/CD for models).
* Advanced degree (MS or PhD) in a quantitative field such as Statistics, Operations Research, Applied Mathematics, Computer Science, or a related discipline.
 What you'll earn
* Base pay range: $159,000 \- $287,000
* Annual performance bonus
* Long term incentive (equity/stock)
* 401(k) with employer match
* Medical, dental, and vision insurance
* PTO, company holidays, and parental leave
* Paid Time Off/Paid Sick Leave: Applicants can expect to accrue 15 days of paid time off during their first year (4\.62 hours for every 80 hours worked) and increased accruals after five years of service.
* Paid training and certifications
* Legal assistance and identity protection
* Pet insurance
* Employee assistance program (EAP)
 QXO is an Equal Opportunity Employer. We value diversity and do not discriminate on the basis of race, color, religion, sex, national origin, age, disability, or any other protected status.
 To comply with Pay Transparency laws, employers must disclose an annual salary range. Actual offers depend on factors such as location, experience, skills, and market data. This position may also offer variable compensation.
 Please contact careers@QXO.com if you have any questions related to this job posting.
**Salary Range**
 USD $159,000\.00 \- USD $287,000\.00 /Yr.</t>
        </is>
      </c>
    </row>
    <row r="51">
      <c r="A51" t="inlineStr">
        <is>
          <t>li-4343472841</t>
        </is>
      </c>
      <c r="B51" t="inlineStr">
        <is>
          <t>Applied Scientist II</t>
        </is>
      </c>
      <c r="C51" t="inlineStr">
        <is>
          <t>Microsoft</t>
        </is>
      </c>
      <c r="D51" t="inlineStr">
        <is>
          <t>linkedin</t>
        </is>
      </c>
      <c r="E51">
        <f>HYPERLINK("https://www.linkedin.com/jobs/view/4343472841", "https://www.linkedin.com/jobs/view/4343472841")</f>
        <v/>
      </c>
      <c r="F51" t="inlineStr"/>
      <c r="G51" t="inlineStr">
        <is>
          <t>Redmond, WA</t>
        </is>
      </c>
      <c r="H51" t="inlineStr"/>
      <c r="I51" t="inlineStr">
        <is>
          <t>**Overview**
 Our team focuses on understanding and predicting how the user interacts with the ads on the search results page. The probability that a user will click on an ad is one of the most critical inputs used in ranking the ads. Similarly, the probability of interacting with the advertiser’s page is important for measuring advertiser and user satisfaction. This position as an
 **Applied Scientist II** 
 is for the modeling team, which builds machine learned models for predicting such events. The team looks at all aspects of modeling including training data, features, the actual model (neural nets, linear models, decision trees etc.) and offline and online evaluation of those models. Engineers and scientists on our team work at the edge of machine learning and economics developing in the online stack as well as offline workflows. At its core, our team utilizes signals of user and advertiser intent to determine which ads are allocated and at what price.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Designing and building efficient models for predicting user interactions with ads and advertiser’s pages.
* Designing and overseeing large\-scale, long\-term experiments to improve the health of the marketplace using advanced statistics and machine learning.
* Designing automation algorithms for advertisers using techniques from AI and ML to improve advertiser’s return on investment.
* Develop models for causal reasoning using techniques from AI, ML, and statistics.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Experience in any of the following areas statistical machine learning, deep learning, data mining, causal inference, information retrieval, game theory, mechanism design, optimization and Bayesian inference.
* Excellent problem solving and data analysis skills, effective communication skills, both verbal and written.
* Solid software design and development skills/experience.
* 1\+ year(s) experience creating publications (e.g., patents, peer\-reviewed academic papers).
* Research experience (publications) in the following areas is preferred statistical machine learning, deep learning, data mining, causal inference, information retrieval, and Bayesian inference.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2">
      <c r="A52" t="inlineStr">
        <is>
          <t>li-4338421711</t>
        </is>
      </c>
      <c r="B52" t="inlineStr">
        <is>
          <t>Senior Applied Scientist, Sponsored Products and Brands</t>
        </is>
      </c>
      <c r="C52" t="inlineStr">
        <is>
          <t>Amazon</t>
        </is>
      </c>
      <c r="D52" t="inlineStr">
        <is>
          <t>linkedin</t>
        </is>
      </c>
      <c r="E52">
        <f>HYPERLINK("https://www.linkedin.com/jobs/view/4338421711", "https://www.linkedin.com/jobs/view/4338421711")</f>
        <v/>
      </c>
      <c r="F52">
        <f>HYPERLINK("https://www.amazon.jobs/jobs/3130062/senior-applied-scientist-sponsored-products-and-brands?cmpid=SPLICX0248M&amp;utm_source=linkedin.com&amp;utm_campaign=cxro&amp;utm_medium=social_media&amp;utm_content=job_posting&amp;ss=paid&amp;urlHash=1w1w", "https://www.amazon.jobs/jobs/3130062/senior-applied-scientist-sponsored-products-and-brands?cmpid=SPLICX0248M&amp;utm_source=linkedin.com&amp;utm_campaign=cxro&amp;utm_medium=social_media&amp;utm_content=job_posting&amp;ss=paid&amp;urlHash=1w1w")</f>
        <v/>
      </c>
      <c r="G52" t="inlineStr">
        <is>
          <t>New York, United States</t>
        </is>
      </c>
      <c r="H52" t="inlineStr"/>
      <c r="I52" t="inlineStr">
        <is>
          <t>**Description**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
**Company** 
 \- Amazon.com Services LLC
 Job ID: A3130062</t>
        </is>
      </c>
    </row>
    <row r="53">
      <c r="A53" t="inlineStr">
        <is>
          <t>li-4364159756</t>
        </is>
      </c>
      <c r="B53" t="inlineStr">
        <is>
          <t>Applied Scientist II, Personalization</t>
        </is>
      </c>
      <c r="C53" t="inlineStr">
        <is>
          <t>Amazon</t>
        </is>
      </c>
      <c r="D53" t="inlineStr">
        <is>
          <t>linkedin</t>
        </is>
      </c>
      <c r="E53">
        <f>HYPERLINK("https://www.linkedin.com/jobs/view/4364159756", "https://www.linkedin.com/jobs/view/4364159756")</f>
        <v/>
      </c>
      <c r="F53" t="inlineStr"/>
      <c r="G53" t="inlineStr">
        <is>
          <t>Seattle, WA</t>
        </is>
      </c>
      <c r="H53" t="inlineStr"/>
      <c r="I53" t="inlineStr">
        <is>
          <t>**Description**
 Our team is part of Amazon’s Personalization organization, a high\-performing group that leverages Amazon’s expertise in machine learning, big data, distributed systems, and user experience design to deliver the best shopping experiences for our customers. We run global experiments and our work has revolutionized e\-commerce with features such as "Keep shopping for", “Customers who bought this item also bought”, and “Frequently bought together” among others.
 We are building the next generation of personalized shopping experiences at Amazon through deep understanding of our customer's intent and our product catalog. We aim to create an experience akin to that of a talented personal shopping assistant — a partner that is knowledgeable, understands your preferences, and helps you find the right solution for your needs. We hope you will join us!
 Key job responsibilities
 As an Applied Scientist on the team you will be working on ways to help customers find the right products on their shopping journey.
 You will hone your skills in areas such as Multimodal LLM post\-training and cross\-modal vision\-language reasoning, while building scalable, agentic industry\-grade systems.
 To be highly successful in this role, the following background is preferred (or expected to be ramped up quickly):
* A strong Computer Vision foundation
* Familiarity with multimodal encoders, with hands\-on experience training multimodal models
* End\-to\-end ML pipeline experience, spanning data curation, model training, and production deployment
* Experience with LLMs, particularly using LLM\-as\-a\-judge for synthetic data generation
* Experience with online experimentation, including experiment setup and post\-analysis
* Expertise in multimodal domain generalization is a strong plus
**Basic Qualifications**
* 3\+ years of building models for business application experience
* PhD, or Master's degree and 4\+ years of CS, CE, ML or related field experience
* Experience programming in Java, C\+\+, Python or related language
**Preferred Qualifications**
* Experience in patents or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A3181196</t>
        </is>
      </c>
    </row>
    <row r="54">
      <c r="A54" t="inlineStr">
        <is>
          <t>li-4365630276</t>
        </is>
      </c>
      <c r="B54" t="inlineStr">
        <is>
          <t>Applied Scientist (Contract), Artificial General Intelligence</t>
        </is>
      </c>
      <c r="C54" t="inlineStr">
        <is>
          <t>Amazon</t>
        </is>
      </c>
      <c r="D54" t="inlineStr">
        <is>
          <t>linkedin</t>
        </is>
      </c>
      <c r="E54">
        <f>HYPERLINK("https://www.linkedin.com/jobs/view/4365630276", "https://www.linkedin.com/jobs/view/4365630276")</f>
        <v/>
      </c>
      <c r="F54">
        <f>HYPERLINK("https://www.amazon.jobs/jobs/3165525/applied-scientist-contract-artificial-general-intelligence?cmpid=SPLICX0248M&amp;utm_source=linkedin.com&amp;utm_campaign=cxro&amp;utm_medium=social_media&amp;utm_content=job_posting&amp;ss=paid&amp;urlHash=5hHs", "https://www.amazon.jobs/jobs/3165525/applied-scientist-contract-artificial-general-intelligence?cmpid=SPLICX0248M&amp;utm_source=linkedin.com&amp;utm_campaign=cxro&amp;utm_medium=social_media&amp;utm_content=job_posting&amp;ss=paid&amp;urlHash=5hHs")</f>
        <v/>
      </c>
      <c r="G54" t="inlineStr">
        <is>
          <t>Boston, MA</t>
        </is>
      </c>
      <c r="H54" t="inlineStr"/>
      <c r="I54"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A3165525</t>
        </is>
      </c>
    </row>
    <row r="55">
      <c r="A55" t="inlineStr">
        <is>
          <t>li-4372940488</t>
        </is>
      </c>
      <c r="B55" t="inlineStr">
        <is>
          <t>Machine Learning Engineer, Search</t>
        </is>
      </c>
      <c r="C55" t="inlineStr">
        <is>
          <t>Etsy</t>
        </is>
      </c>
      <c r="D55" t="inlineStr">
        <is>
          <t>linkedin</t>
        </is>
      </c>
      <c r="E55">
        <f>HYPERLINK("https://www.linkedin.com/jobs/view/4372940488", "https://www.linkedin.com/jobs/view/4372940488")</f>
        <v/>
      </c>
      <c r="F55">
        <f>HYPERLINK("https://etsy.wd5.myworkdayjobs.com/Etsy_Careers/job/Brooklyn-New-York/Machine-Learning-Engineer_JR5383-1?source=LinkedIn&amp;urlHash=FcVz", "https://etsy.wd5.myworkdayjobs.com/Etsy_Careers/job/Brooklyn-New-York/Machine-Learning-Engineer_JR5383-1?source=LinkedIn&amp;urlHash=FcVz")</f>
        <v/>
      </c>
      <c r="G55" t="inlineStr">
        <is>
          <t>Brooklyn, NY</t>
        </is>
      </c>
      <c r="H55" t="inlineStr"/>
      <c r="I55"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$153,000\.00 \- $199,000\.00
**What’s the role?**
 We are looking for a Machine Learning Engineer to join the Search team at Etsy. Our team develops custom machine\-learning models that can drive product vision and customer impact. We’re a cross\-functional group of applied scientists, machine learning engineers, and product managers. As an engineer on our team, you will play a major role in improving the shopping experience for millions of Etsy buyers. We are looking for individuals who are product and delivery\-driven, and are passionate about using ML to improve Etsy for both buyers and sellers.
 This is a fantastic opportunity for someone interested in building state\-of\-the\-art ML systems for a two\-sided marketplace with 90\+ million buyers, 6\+ million sellers, and hundreds of millions of unique, handmade, vintage listings.
 This is a full\-time position reporting to the Engineering Manager.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
****What’s this team like at Etsy?****
 Here’s a taste of the problems we’re solving:
* How can we help buyers find the high quality and relevant products at Etsy?
* How can we help buyers when they don’t know how to describe what they’re looking for?
* How can we extract uniqueness from product description and reviews?
* How can we improve the filtering experience for buyers?
****What does the day\-to\-day look like?****
* You will work in a cross\-functional team to prioritize projects which help achieve our product targets.
* Push the state of the art and apply the latest advances in Large Language Model and machine learning field to improve buyer experiences on Etsy
* Prototype, optimize, and productionize large\-scale ML models that help deliver key results
* Conduct A/B experiments to validate the effectiveness of ML models and pipelines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You have experience of applying machine learning techniques in addressing real\-world problems
* You have experience of writing training data pipelines, training and evaluating models, deploying models and monitoring production machine learning systems.
* You have experience working with machine learning frameworks and technologies such as Tensorflow/TFX, PyTorch, Kubeflow.
* You have experience of fine\-tuning and evaluating pre\-trained language models like Qwen and Llama models.
* You are proficient with databases, SQL, and scripting languages.
* You have strong engineering and coding skills, with the ability to write high quality production code. Proficiency in Python, Scala, Java and/or other equivalent languages.
* You are a mindful, empathetic, and communicative member of your team.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56">
      <c r="A56" t="inlineStr">
        <is>
          <t>li-4297979510</t>
        </is>
      </c>
      <c r="B56" t="inlineStr">
        <is>
          <t>AI/ML Engineer</t>
        </is>
      </c>
      <c r="C56" t="inlineStr">
        <is>
          <t>hackajob</t>
        </is>
      </c>
      <c r="D56" t="inlineStr">
        <is>
          <t>linkedin</t>
        </is>
      </c>
      <c r="E56">
        <f>HYPERLINK("https://www.linkedin.com/jobs/view/4297979510", "https://www.linkedin.com/jobs/view/4297979510")</f>
        <v/>
      </c>
      <c r="F56">
        <f>HYPERLINK("https://www.hackajob.com/job/af5bf704-8ce3-11f0-a314-02b04c748f93-ai-ml-engineer?utm_source=LinkedIn&amp;utm_medium=JobAds&amp;utm_term=Automated&amp;utm_campaign=leo-technologies-ai-ml-engineer&amp;job_name=ai-ml-engineer&amp;company=leo-technologies&amp;workplace_type=remote&amp;country=united-states&amp;urlHash=5tQF", "https://www.hackajob.com/job/af5bf704-8ce3-11f0-a314-02b04c748f93-ai-ml-engineer?utm_source=LinkedIn&amp;utm_medium=JobAds&amp;utm_term=Automated&amp;utm_campaign=leo-technologies-ai-ml-engineer&amp;job_name=ai-ml-engineer&amp;company=leo-technologies&amp;workplace_type=remote&amp;country=united-states&amp;urlHash=5tQF")</f>
        <v/>
      </c>
      <c r="G56" t="inlineStr"/>
      <c r="H56" t="inlineStr"/>
      <c r="I56" t="inlineStr">
        <is>
          <t>***hackajob** 
 is collaborating with
 **Leo Technologies** 
 to connect them with exceptional professionals for this role.*
 As an AI/NLP Engineer on our Data Science team, you will be at the forefront of leveraging Large Language Models (LLMs) and cutting\-edge AI techniques to create transformative solutions for public safety and intelligence workflows. You will apply your expertise in LLMs, Retrieval\-Augmented Generation (RAG), semantic search, Agentic AI, GraphRAG, and other advanced AI solutions to develop, enhance, and deploy robust features that enable real\-time decision\-making for our end users. You will work closely with product, engineering, and data science teams to translate real\-world problems into scalable, production\-grade solutions. This is an individual contributor (IC) role that emphasizes technical depth, experimentation, and hands\-on engineering. You will participate in all phases of the AI solution lifecycle, from architecture and design through prototyping, implementation, evaluation, productionization and continuous improvement.
* Design, build, and optimize AI\-powered solutions using LLMs, RAG pipelines, semantic search, GraphRAG, and Agentic AI architectures.
* Implement and experiment with the latest advancements in large\-scale language modeling, including prompt engineering, model fine\-tuning, evaluation, and monitoring.
* Collaborate with product, backend, and data engineering teams to define requirements, break down complex problems, and deliver high\-impact features aligned with business objectives.
* Inform robust data ingestion and retrieval pipelines that power real\-time and batch AI applications using open\-source and proprietary tools.
* Integrate external data sources (e.g., knowledge graphs, internal databases, third\-party APIs) to enhance the context\-awareness and capabilities of LLM\-based workflows.
* Evaluate and implement best practices for prompt design, model alignment, safety, and guardrails for responsible AI deployment.
* Stay on top of emerging AI research and contribute to internal knowledge\-sharing, tech talks, and proof\-of\-concept projects.
* Author clean, well\-documented, and testable code; participate in peer code reviews and engineering design discussions.
* Proactively identify bottlenecks and propose solutions to improve system scalability, efficiency, and reliability.
* Bachelor's or Master's degree in Computer Science, Artificial Intelligence, Data Science, or a related field.
* 5\+ years of hands\-on experience in applied AI, NLP, or ML engineering (with at least 2 years working directly with LLMs, RAG, semantic search and Agentic AI).
* Deep familiarity with LLMs (e.g. OpenAI, Claude, Gemini), prompt engineering, and responsible deployment in production settings.
* Experience designing, building, and optimizing RAG pipelines, semantic search, vector databases (e.g. ElasticSearch, Pinecone), and Agentic or multi\-agent AI workflows in in large scale production setup. Exposure to MCP and A2A protocol is a plus.
* Exposure to GraphRAG or graph\-based knowledge retrieval techniques is a strong plus.
* Strong proficiency with modern ML frameworks and libraries (e.g. LangChain, LlamaIndex, PyTorch, HuggingFace Transformers).
* Ability to design APIs and scalable backend services, with hands\-on experience in Python.
* Experience building, deploying, and monitoring AI/ML workloads in cloud environments (AWS, Azure) using services like AWS SageMaker, AWS Bedrock, AzureAI, etc. Experience with tools to load balance different LLMs providers is a plus.
* Familiarity with MLOps practices, CI/CD for AI, model monitoring, data versioning, and continuous integration.
* Demonstrated ability to work with large, complex datasets, perform data cleaning, feature engineering, and develop scalable data pipelines.
* Excellent problem\-solving, collaboration, and communication skills; able to work effectively across remote and distributed teams.
* Proven record of shipping robust, high\-impact AI solutions, ideally in fast\-paced or regulated environments.</t>
        </is>
      </c>
    </row>
    <row r="57">
      <c r="A57" t="inlineStr">
        <is>
          <t>li-4382397490</t>
        </is>
      </c>
      <c r="B57" t="inlineStr">
        <is>
          <t>Machine Learning Engineer</t>
        </is>
      </c>
      <c r="C57" t="inlineStr">
        <is>
          <t>James Search Group</t>
        </is>
      </c>
      <c r="D57" t="inlineStr">
        <is>
          <t>linkedin</t>
        </is>
      </c>
      <c r="E57">
        <f>HYPERLINK("https://www.linkedin.com/jobs/view/4382397490", "https://www.linkedin.com/jobs/view/4382397490")</f>
        <v/>
      </c>
      <c r="F57" t="inlineStr"/>
      <c r="G57" t="inlineStr">
        <is>
          <t>New York, NY</t>
        </is>
      </c>
      <c r="H57" t="inlineStr"/>
      <c r="I57" t="inlineStr">
        <is>
          <t>**AI/ML Engineer** 
**Location:** 
 New York, NY
**Compensation:** 
 $135,000 – $175,000 base \+ bonus \+ full benefits, (401(k), and more)
**Industry:** 
 Global P\&amp;C Insurance
**About the role and the company.** 
 James Search Group is working closely with a top\-tier global property \&amp; casualty insurance carrier to identify an
 **AI/ML Engineer** 
 to join their enterprise Data and Artificial Intelligence division. This team is driving innovation across the business by developing and scaling AI capabilities that unlock new value and improve decision\-making across underwriting, claims, and customer engagement.
 As an AI/ML Engineer, you'll collaborate with senior team members to build, refine, and deploy predictive models and intelligent systems. The ideal candidate is skilled in analytics, curious by nature, and passionate about transforming complex data into practical solutions that deliver measurable business impact.
**Key Responsibilities:** 
* Support the development and deployment of AI/ML models—including classification, forecasting, uplift and propensity modeling, and foundational model tuning.
* Collaborate with cross\-functional teams to identify use cases where data science can enhance operational efficiency and business performance.
* Partner with business, IT, and strategy teams to ensure AI models are scalable, impactful, and aligned with organizational goals.
* Communicate analytical findings clearly to stakeholders with varying levels of technical knowledge.
**Required Qualifications:** 
* Master’s degree in Data Science, Statistics, Mathematics, Computer Science, or a related quantitative discipline; Ph.D. a plus.
* Minimum of 2 years’ experience applying advanced analytics methods (e.g., decision trees, logistic regression, neural networks, random forests).
* Proficiency in R or Python for analytics and model development, including work with both structured and unstructured data.
* Proven ability to manage and integrate large, complex datasets and an understanding of end\-to\-end data modeling processes.
* Strong written and verbal communication skills with the ability to connect technical outputs to business strategy.
**Preferred Qualifications:** 
* Internship or project experience in machine learning, AI engineering, or related roles—especially in insurance or financial services.
* Familiarity with actuarial concepts or insurance\-specific data models.
* Enthusiastic about continued learning in AI/ML and staying current with new tools and methodologies.
* Comfortable in a collaborative, fast\-paced, and agile working environment.
 This is a unique opportunity to grow your career with a highly respected organization investing in next\-generation analytics.
**Apply today** 
 to help reshape the future of insurance through data and AI innovation.</t>
        </is>
      </c>
    </row>
    <row r="58">
      <c r="A58" t="inlineStr">
        <is>
          <t>li-4382384163</t>
        </is>
      </c>
      <c r="B58" t="inlineStr">
        <is>
          <t>Machine Learning Engineer</t>
        </is>
      </c>
      <c r="C58" t="inlineStr">
        <is>
          <t>Wiraa</t>
        </is>
      </c>
      <c r="D58" t="inlineStr">
        <is>
          <t>linkedin</t>
        </is>
      </c>
      <c r="E58">
        <f>HYPERLINK("https://www.linkedin.com/jobs/view/4382384163", "https://www.linkedin.com/jobs/view/4382384163")</f>
        <v/>
      </c>
      <c r="F58" t="inlineStr"/>
      <c r="G58" t="inlineStr"/>
      <c r="H58" t="inlineStr"/>
      <c r="I58" t="inlineStr">
        <is>
          <t>**About The Company**
 Samsara (NYSE: IOT) is at the forefront of innovation with its Connected Operations™ Cloud platform, which empowers organizations reliant on physical operations to leverage Internet of Things (IoT) data for actionable insights and operational improvements. Our mission is to enhance safety, efficiency, and sustainability across industries that form the backbone of the global economy, including agriculture, construction, field services, transportation, and manufacturing. As a pioneer in the IoT space, Samsara helps transform traditional industries at scale by providing cutting\-edge solutions such as Video\-Based Safety, Vehicle Telematics, Apps, Driver Workflows, and Equipment Monitoring. Being a recently public company, we offer a dynamic environment where employees can make meaningful contributions and shape the future of physical operations globally.
**About The Role**
 The Samsara AI team develops comprehensive end\-to\-end AI solutions that serve our diverse customer base, alongside building core machine learning (ML) infrastructure for the company. As a Staff Machine Learning Engineer, you will work with petabyte\-scale datasets, including sensor data, diagnostics, video, and text, to address critical challenges faced by our Physical Operations clients worldwide. Your role involves close collaboration with ML Engineers, Scientists, full\-stack developers, and firmware engineers to deliver key product features, services, and system optimizations. This remote position is open to candidates residing within the United States and may require up to 5% travel. Please note that relocation assistance is not provided for this role.
**Qualifications**
* 8\+ years of experience as a Machine Learning Engineer
* Proficiency in optimizing ML models for edge computing constraints
* Experience with frameworks such as Spark, Ray, or similar
* Strong coding skills in Python or equivalent languages
* Proficiency in C\+\+ or Rust
* Deep understanding of the iterative machine learning product development process
* Experience developing and deploying production\-grade code at large scale
* Ability to translate ambiguous customer and business requirements into clear problem definitions
* Excellent verbal and written communication skills for technical and non\-technical audiences
* Experience mentoring and coaching ML engineers
**Responsibilities**
* Lead the design and implementation of critical AI product initiatives on edge devices
* Develop both tactical AI solutions and strategic research projects for long\-term impact
* Work with petabyte\-scale data, including text, diagnostics, sensor, video, and location data, to develop innovative AI models
* Collaborate across business units to prototype new AI experiences and optimize model performance on edge hardware
* Stay current with industry and academic research, adopting new technologies that align with Samsara’s objectives
* Promote and embody Samsara’s cultural principles: Customer Success, Building for the Long Term, Growth Mindset, Inclusivity, and Teamwork
**Benefits**
* Competitive salary range of $165,200 to $295,000 USD annually, commensurate with experience and location
* Comprehensive health benefits and wellness programs
* Flexible remote and hybrid work arrangements
* Generous paid time off and leave policies
* Opportunities for professional development and continuous learning
* Inclusive and diverse work environment that values innovation and collaboration
 Equal Opportunity
 Samsara is committed to fostering an inclusive workplace where everyone has equal opportunity regardless of race, color, religion, national origin, sex, gender identity, sexual orientation, protected veteran status, disability, age, or other characteristics protected by law. We believe that diverse perspectives drive innovation and are essential to our success. All qualified applicants will receive consideration for employment without regard to any protected characteristic. We encourage individuals from all backgrounds to apply and contribute to our mission of transforming physical operations worldwide.</t>
        </is>
      </c>
    </row>
    <row r="59">
      <c r="A59" t="inlineStr">
        <is>
          <t>li-4381371484</t>
        </is>
      </c>
      <c r="B59" t="inlineStr">
        <is>
          <t>Machine Learning Engineer - Early Career</t>
        </is>
      </c>
      <c r="C59" t="inlineStr">
        <is>
          <t>Jobright.ai</t>
        </is>
      </c>
      <c r="D59" t="inlineStr">
        <is>
          <t>linkedin</t>
        </is>
      </c>
      <c r="E59">
        <f>HYPERLINK("https://www.linkedin.com/jobs/view/4381371484", "https://www.linkedin.com/jobs/view/4381371484")</f>
        <v/>
      </c>
      <c r="F59">
        <f>HYPERLINK("https://jobright.ai/jobs/info/b2b_1770935515039_172?utm_source=5012&amp;utm_campaign=b2b_1770935515039_172&amp;urlHash=SFV0", "https://jobright.ai/jobs/info/b2b_1770935515039_172?utm_source=5012&amp;utm_campaign=b2b_1770935515039_172&amp;urlHash=SFV0")</f>
        <v/>
      </c>
      <c r="G59" t="inlineStr"/>
      <c r="H59" t="inlineStr"/>
      <c r="I59"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maintain the scalable infrastructure required to deploy and serve production\-grade AI agents
* Implement and optimize Large Language Model (LLM) pipelines, focusing on latency reduction, throughput, and efficient resource utilization
* Develop automated systems for model monitoring, testing, and continuous integration to ensure the reliability of our AI agents
* Optimize data ingestion and processing layers to support real\-time agent responsiveness and complex RAG (Retrieval\-Augmented Generation) architectures
* Architect and refine APIs and backend services that bridge the gap between AI models and the user\-facing product
**Qualification** 
 Required
* Recent graduate or early\-career professional (0–2 years of experience) with a degree in Computer Science, Software Engineering, or a related technical field
* Strong proficiency in Python and experience with backend frameworks (such as FastAPI, Flask, or Django)
* Practical experience with machine learning frameworks (PyTorch or TensorFlow) and a solid understanding of software engineering best practices (version control, CI/CD, unit testing)
* Familiarity with the deployment of LLMs and an understanding of the infrastructure required to support autonomous agents
* Must live in and be authorized to work in the United States
 Preferred
* Previous internship or project experience in ML Ops, backend engineering, or distributed systems within an AI\-focused company
* Hands\-on experience with containerization (Docker, Kubernetes) and cloud infrastructure (AWS, GCP, or Azure)
* Knowledge of vector databases (such as Pinecone, Milvus, or Weaviate) and their role in production AI systems
* Strong foundation in SQL and NoSQL database management for high\-scale data handling</t>
        </is>
      </c>
    </row>
    <row r="60">
      <c r="A60" t="inlineStr">
        <is>
          <t>li-4361558997</t>
        </is>
      </c>
      <c r="B60" t="inlineStr">
        <is>
          <t>Machine Learning Engineer - Ranking &amp; Recommendations</t>
        </is>
      </c>
      <c r="C60" t="inlineStr">
        <is>
          <t>Uber</t>
        </is>
      </c>
      <c r="D60" t="inlineStr">
        <is>
          <t>linkedin</t>
        </is>
      </c>
      <c r="E60">
        <f>HYPERLINK("https://www.linkedin.com/jobs/view/4361558997", "https://www.linkedin.com/jobs/view/4361558997")</f>
        <v/>
      </c>
      <c r="F60">
        <f>HYPERLINK("https://tnl2.jometer.com/v2/job?jz=5wqzsc050d6f1729a0d7a0e8d52fc5115233dKMALBBQAAADQ&amp;iis=Job%20Board%20-%20Recruitment%20Marketing&amp;iisn=LinkedIn&amp;urlHash=4XUP", "https://tnl2.jometer.com/v2/job?jz=5wqzsc050d6f1729a0d7a0e8d52fc5115233dKMALBBQAAADQ&amp;iis=Job%20Board%20-%20Recruitment%20Marketing&amp;iisn=LinkedIn&amp;urlHash=4XUP")</f>
        <v/>
      </c>
      <c r="G60" t="inlineStr">
        <is>
          <t>Seattle, WA</t>
        </is>
      </c>
      <c r="H60" t="inlineStr"/>
      <c r="I60"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individuals who excel in problem\-solving and critical thinking, are proficient in coding, with proven track records of learning and growth, and have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Generative AI \- shopping ranking and recommendation systems.
**What The Candidate Will Do**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2\+ years of experience building and deploying machine learning models (or a PhD in a relevant field)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61">
      <c r="A61" t="inlineStr">
        <is>
          <t>li-4382386945</t>
        </is>
      </c>
      <c r="B61" t="inlineStr">
        <is>
          <t>Senior AI Engineer</t>
        </is>
      </c>
      <c r="C61" t="inlineStr">
        <is>
          <t>Paper</t>
        </is>
      </c>
      <c r="D61" t="inlineStr">
        <is>
          <t>linkedin</t>
        </is>
      </c>
      <c r="E61">
        <f>HYPERLINK("https://www.linkedin.com/jobs/view/4382386945", "https://www.linkedin.com/jobs/view/4382386945")</f>
        <v/>
      </c>
      <c r="F61">
        <f>HYPERLINK("https://paper.wd3.myworkdayjobs.com/Paper_Careers/job/All-North-America\u002d\u002d-Remote/Senior-AI-Engineer_R-100319?source=LinkedIn&amp;urlHash=UgtU", "https://paper.wd3.myworkdayjobs.com/Paper_Careers/job/All-North-America\u002d\u002d-Remote/Senior-AI-Engineer_R-100319?source=LinkedIn&amp;urlHash=UgtU")</f>
        <v/>
      </c>
      <c r="G61" t="inlineStr"/>
      <c r="H61" t="inlineStr"/>
      <c r="I61" t="inlineStr">
        <is>
          <t>We’re building the first B2B, in\-classroom Voice \+ Video AI Tutor designed for real\-world learning environments. This system operates in live classrooms—processing noisy audio, interpreting visual signals, and delivering low\-latency, safe, pedagogically aligned AI support to educators and students.
 We are seeking a Senior AI Engineer to architect and operationalize multimodal AI systems at production scale. You will own end\-to\-end AI initiatives—from research and experimentation through deployment and continuous optimization—powering AI features used by millions of learners.
 This is a high\-impact role with significant technical ownership in defining how AI is embedded into our platform.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**What You’ll Own**
**Multimodal AI Architecture**
* Design and deploy real\-time voice and vision AI systems for classroom environments.
* Evaluate tradeoffs between fine\-tuning, RAG pipelines, prompt\-based approaches, and tool\-using agents.
* Build scalable inference systems with strict latency and cost constraints.
**Model Development \&amp; Experimentation**
* Fine\-tune and evaluate LLMs, ASR models, and vision/multimodal architectures.
* Design robust evaluation frameworks (offline \+ online).
* Implement safety guardrails and bias mitigation strategies.
**Productionization**
* Own the full ML lifecycle: data ingestion, training, validation, deployment, monitoring, and iteration.
* Optimize infrastructure for GPU utilization, latency, and cost efficiency.
* Partner with MLOps to build reliable, versioned AI pipelines.
**Cross\-Functional Collaboration**
* Work closely with Product and Engineering to translate classroom needs into production\-ready AI systems.
* Clearly communicate tradeoffs between model complexity, performance, and cost.
* Contribute to long\-term AI roadmap and architecture decisions.
**Required Experience**
* 5\+ years building and deploying production AI/ML systems.
* Hands\-on experience operationalizing LLM\-based systems (RAG, agents, prompt workflows, fine\-tuning).
* Experience with multimodal or vision systems.
* Demonstrated ownership of AI systems in production (monitoring, evaluation, iteration).
* Strong Python proficiency and experience with PyTorch or TensorFlow.
* Experience working with distributed/cloud infrastructure for ML workloads.
**Strongly Preferred**
* Experience building real\-time or low\-latency ML systems.
* Experience working with educational data or regulated environments (FERPA/COPPA).
* Experience designing evaluation frameworks for generative systems.
* Background in optimizing ML systems for cost at scale.
*The annual salary range for this position is $160000 \- $190,000 USD or $145,000 \- $173,000 CAD, plus equity. Please note that the final offer amount is determined by multiple factors, including geographic location as well as candidate experience, and may vary from the amounts listed above*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R\-100319</t>
        </is>
      </c>
    </row>
    <row r="62">
      <c r="A62" t="inlineStr">
        <is>
          <t>li-4382603098</t>
        </is>
      </c>
      <c r="B62" t="inlineStr">
        <is>
          <t>Senior Machine Learning Engineer</t>
        </is>
      </c>
      <c r="C62" t="inlineStr">
        <is>
          <t>People In AI</t>
        </is>
      </c>
      <c r="D62" t="inlineStr">
        <is>
          <t>linkedin</t>
        </is>
      </c>
      <c r="E62">
        <f>HYPERLINK("https://www.linkedin.com/jobs/view/4382603098", "https://www.linkedin.com/jobs/view/4382603098")</f>
        <v/>
      </c>
      <c r="F62" t="inlineStr"/>
      <c r="G62" t="inlineStr"/>
      <c r="H62" t="inlineStr"/>
      <c r="I62" t="inlineStr">
        <is>
          <t>**Job Title:** 
 Senior Machine Learning Engineer
**Compensation:** 
 $180,000 \- $200,000 base \+ 10% bonus
**Location:** 
 Fully Remote (United States only)
**About the Company** 
 We’re partnering with a fast\-growing technology company building a modern operating system for small and mid\-sized businesses in a large, historically under\-digitized industry. With tens of thousands of active users and millions of transactions flowing through the platform every year, the company has become a critical piece of infrastructure for its customers \- helping them manage everything from quoting and workflow management through to payments in a single cloud\-based system.
 As the platform continues to scale, the team is investing heavily in AI and machine learning to unlock new intelligent product capabilities powered by proprietary operational data.
**The Role** 
 As a Senior Machine Learning Engineer, you’ll work across the full ML lifecycle \- from identifying opportunities and developing models through to deploying and operating production systems used by tens of thousands of real\-world users. This is not an experimentation\-only role. You’ll be building robust ML systems that directly impact how businesses operate day to day.
 The environment is highly collaborative and product\-focused. You’ll work closely with engineering, product, data science, and data engineering to design scalable systems that combine traditional machine learning approaches with emerging LLM and agent\-based workflows.
**What You’ll Do** 
* Design, build, and deploy machine learning systems in production environments
* Develop models across a range of techniques, including regression, classification, clustering, ranking, and recommendation systems
* Own the ML lifecycle from data exploration and feature engineering through to deployment, monitoring, and iteration
* Build intelligent product features using large\-scale proprietary operational datasets
* Contribute to the development of AI agents and LLM\-powered workflows integrated into core product experiences
* Design and maintain scalable ML infrastructure, including feature stores, model serving, and CI/CD pipelines
* Partner closely with product and engineering teams to translate real\-world business problems into ML solutions
* Help shape the architecture, tooling, and best practices of a growing ML function
**What You’ll Bring** 
* Ample applied machine learning experience in production environments
* Proven experience shipping ML models and systems beyond research or notebooks
* Strong Python skills with hands\-on experience using frameworks such as PyTorch or TensorFlow
* Solid foundation in classical machine learning techniques (regression, classification, clustering, ranking, feature engineering, experimentation)
* Experience with modern MLOps practices, including model versioning, deployment pipelines, monitoring, and orchestration
* Strong SQL and experience working with large\-scale structured datasets
* Exposure to NLP, LLM\-based systems, or vector databases is a plus
* Experience in startup or high\-ownership environments where ambiguity and autonomy are expected
* A collaborative mindset \- low ego, high ownership, and strong cross\-functional communication
**About People In AI** 
 People In AI is a specialist recruitment partner focused on building world\-class AI, machine learning, and data teams. We work closely with high\-growth companies \- from ambitious startups to global technology leaders \- helping them hire the engineers and researchers shaping the future of intelligent systems.</t>
        </is>
      </c>
    </row>
    <row r="63">
      <c r="A63" t="inlineStr">
        <is>
          <t>li-4364128914</t>
        </is>
      </c>
      <c r="B63" t="inlineStr">
        <is>
          <t>Sr. AI/ML Engineer I (6407)</t>
        </is>
      </c>
      <c r="C63" t="inlineStr">
        <is>
          <t>MetroStar</t>
        </is>
      </c>
      <c r="D63" t="inlineStr">
        <is>
          <t>linkedin</t>
        </is>
      </c>
      <c r="E63">
        <f>HYPERLINK("https://www.linkedin.com/jobs/view/4364128914", "https://www.linkedin.com/jobs/view/4364128914")</f>
        <v/>
      </c>
      <c r="F63" t="inlineStr"/>
      <c r="G63" t="inlineStr">
        <is>
          <t>Washington, DC</t>
        </is>
      </c>
      <c r="H63" t="inlineStr"/>
      <c r="I63" t="inlineStr">
        <is>
          <t>As a
 **Sr. AI/ML Engineer I** 
 , you’ll design, develop, and deploy machine learning solutions supporting secure, web\-based applications in a dynamic, mission\-focused environment. This role emphasizes applied AI, experimentation, and collaboration with cross\-functional teams to deliver production\-ready capabilities that evolve as mission needs change.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develop, implement, and fine\-tune AI and machine learning models to support web\-based applications in secure environments with evolving use cases..
* Build and maintain data pipelines, training workflows, and experimentation environments to enable rapid model iteration and evaluation.
* Evaluate model performance using quantitative and qualitative metrics (e.g., accuracy, robustness, stability, efficiency, generalization) and translate results into actionable improvements.
* Analyze data, model outputs, and experimental results to recommend changes to algorithms, features, data sources, or system architecture.
* Proactively identify and assess tools, frameworks, and technologies that best support platform goals, balancing performance, scalability, and maintainability.
* Collaborate closely with software developers, data engineers, DevSecOps teams, and stakeholders to integrate AI capabilities into production systems.
* Ensure AI and data science solutions are transparent, testable, and maintainable to support long\-term operational use.
* Communicate technical approaches, assumptions, tradeoffs, and results clearly to both technical and non\-technical audiences, including during design reviews and demonstrations.
**What you’ll need to succeed:** 
* Bachelor’s degree in Computer Science, Engineering, Data Science, or a related technical discipline.
* Active Secret security clearance (required).
* 4\+ years of experience in data science, machine learning, or applied artificial intelligence.
* Strong hands\-on experience developing, training, and tuning AI/ML models using Python and modern ML frameworks (e.g., PyTorch, TensorFlow, scikit\-learn).
* Experience selecting and applying appropriate modeling approaches (e.g., supervised, unsupervised, reinforcement learning, or hybrid methods) based on problem context.
* Strong software engineering fundamentals including API design, clean architecture, testing, and Git\-based workflows.
* Ability to work effectively in ambiguous problem spaces, defining requirements, success metrics, and implementation steps as understanding evolves.
* Experience integrating AI models into web\-based or service\-oriented platforms, working alongside DevSecOps engineering teams.
* Solid understanding of the full AI lifecycle, including data preparation, experimentation, validation, deployment considerations, and ongoing model improvement.
* Strong analytical and problem\-solving skills, with sound judgment on when to prototype, iterate, or rethink an approach.
 SALARY RANGE: $133,000 \- $147,000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64">
      <c r="A64" t="inlineStr">
        <is>
          <t>li-4310987143</t>
        </is>
      </c>
      <c r="B64" t="inlineStr">
        <is>
          <t>Senior Machine Learning Engineer, AI for Chemistry project</t>
        </is>
      </c>
      <c r="C64" t="inlineStr">
        <is>
          <t>X, The Moonshot Factory</t>
        </is>
      </c>
      <c r="D64" t="inlineStr">
        <is>
          <t>linkedin</t>
        </is>
      </c>
      <c r="E64">
        <f>HYPERLINK("https://www.linkedin.com/jobs/view/4310987143", "https://www.linkedin.com/jobs/view/4310987143")</f>
        <v/>
      </c>
      <c r="F64">
        <f>HYPERLINK("https://x.company/careers/8201911002/?gh_jid=b1ef07022&amp;gh_src=b1ef07022&amp;urlHash=tPkF", "https://x.company/careers/8201911002/?gh_jid=b1ef07022&amp;gh_src=b1ef07022&amp;urlHash=tPkF")</f>
        <v/>
      </c>
      <c r="G64" t="inlineStr">
        <is>
          <t>Mountain View, CA</t>
        </is>
      </c>
      <c r="H64" t="inlineStr"/>
      <c r="I64" t="inlineStr">
        <is>
          <t>**About X, The Moonshot Factory**
 X is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**About The Team**
 We’re X’s AI for chemistry moonshot, applying AI to supercharge processes related to the manufacturing of existing chemical compounds. We’re an agile team of experienced AI researchers, software engineers, and entrepreneurs working with partners and customers around the world. We’re looking for people who are passionate about working at the intersection of AI and science. You’ll be part of a fast\-paced team that has the agility and impact of an early stage company, while building on world\-class Google AI technology.
**About The Role**
 As a Machine Learning Engineer, you will be responsible for designing, developing, and deploying state\-of\-the\-art multi\-modal models. This role requires a deep passion for problem\-solving and experimentation, moving across the full range of applied machine learning tasks from initial prototyping to building full\-scale, robust solutions. While you will primarily focus on core product development, you will also serve as a critical bridge between cutting\-edge AI research and real\-world enterprise applications. You will be a key player in our mission to accelerate scientific discovery through machine learning.
**How You Will Have 10X Impact**
* Design and build end\-to\-end machine learning pipelines for training, evaluation, and deployment.
* Develop and fine\-tune sophisticated multi\-modal models using frameworks like PyTorch and libraries from the Hugging Face ecosystem.
* Leverage Google Cloud Platform (GCP) services to deploy and scale our ML models and infrastructure.
* Collaborate with cross\-functional teams of scientists and engineers to translate research ideas into production\-ready solutions.
* Stay current with the latest advancements in machine learning, particularly in multi\-modal learning and generative models.
**What You Should Have**
* Bachelor's or Master's degree in Computer Science, Engineering, or a related technical field.
* At least 5 years of professional experience designing, building and deploying ML solutions
* Proven experience building and training deep learning models using PyTorch and the Hugging Face library
* Demonstrated experience with Large Language Models (LLMs), multi\-modal models (e.g., Vision Language Models (VLMs)) and computer vision models (eg. OCR)
* Strong proficiency with Google Cloud Platform (GCP) and its core services for machine learning and data processing.
* Excellent programming skills in Python and a solid understanding of software engineering best practices.
* Hands\-on experience with MLOps principles and tools (e.g., Kubeflow, MLflow, Vertex AI Pipelines) and DevOps practices (e.g., CI/CD, Docker, Kubernetes, Terraform).
* Experience with large\-scale data processing and database management (e.g., PostgreSQL, SQLAlchemy).
* Experience in start\-up or small team environments
**It’d Be Great If You Also Had These**
* A foundational knowledge of organic chemistry concepts or experience working with chemical data (e.g., SMILES strings, molecular graphs).
* Published research papers in relevant fields
 The US base salary range for this full\-time position is $165,000 \- $258,000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65">
      <c r="A65" t="inlineStr">
        <is>
          <t>li-4381371486</t>
        </is>
      </c>
      <c r="B65" t="inlineStr">
        <is>
          <t>AI Engineer, Entry Level</t>
        </is>
      </c>
      <c r="C65" t="inlineStr">
        <is>
          <t>Jobright.ai</t>
        </is>
      </c>
      <c r="D65" t="inlineStr">
        <is>
          <t>linkedin</t>
        </is>
      </c>
      <c r="E65">
        <f>HYPERLINK("https://www.linkedin.com/jobs/view/4381371486", "https://www.linkedin.com/jobs/view/4381371486")</f>
        <v/>
      </c>
      <c r="F65" t="inlineStr"/>
      <c r="G65" t="inlineStr"/>
      <c r="H65" t="inlineStr"/>
      <c r="I65"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Build and refine autonomous AI agents that interact with complex environments to solve real\-world user problems
* Develop and optimize sophisticated prompt engineering workflows and multi\-agent orchestration frameworks to enhance product capabilities
* Integrate Large Language Models (LLMs) into the Jobright application, ensuring high\-quality, low\-latency, and reliable AI responses
* Work at the intersection of product and engineering to transform user requirements into functional AI\-driven features
* Implement Retrieval\-Augmented Generation (RAG) systems and fine\-tune models to improve the accuracy and context\-awareness of our agents
**Qualification** 
 Required
* Recent graduate or entry\-level professional (0–2 years of experience) with a degree in Computer Science, AI, or a related technical field
* Strong proficiency in Python and experience working with LLM APIs (such as OpenAI, Anthropic, or open\-source models via Hugging Face)
* Practical understanding of agentic workflows, prompt chaining, and the latest trends in generative AI
* Solid software engineering foundations, including a strong grasp of APIs, asynchronous programming, and version control (Git)
* Must live in and be authorized to work in the United States
 Preferred
* Previous internship or personal project experience building AI\-powered applications, chatbots, or autonomous agents
* Familiarity with agent frameworks such as LangChain, AutoGPT, or CrewAI
* Experience with vector databases and semantic search implementation
* Basic understanding of front\-end or full\-stack integration to help bridge the gap between AI logic and user interfaces</t>
        </is>
      </c>
    </row>
    <row r="66">
      <c r="A66" t="inlineStr">
        <is>
          <t>li-4365590369</t>
        </is>
      </c>
      <c r="B66" t="inlineStr">
        <is>
          <t>AI Engineer</t>
        </is>
      </c>
      <c r="C66" t="inlineStr">
        <is>
          <t>Zoom</t>
        </is>
      </c>
      <c r="D66" t="inlineStr">
        <is>
          <t>linkedin</t>
        </is>
      </c>
      <c r="E66">
        <f>HYPERLINK("https://www.linkedin.com/jobs/view/4365590369", "https://www.linkedin.com/jobs/view/4365590369")</f>
        <v/>
      </c>
      <c r="F66" t="inlineStr"/>
      <c r="G66" t="inlineStr">
        <is>
          <t>San Jose, CA</t>
        </is>
      </c>
      <c r="H66" t="inlineStr"/>
      <c r="I66" t="inlineStr">
        <is>
          <t>**What You Can Expect**
 Join Zoom AI Vertical team, start from the Zoom enterprise\-level products; and drive innovation, development in AI\-integrated projects. You will collaborate closely with teams from GenAI, Meeting, Phone, Big data, and Cloud to build business features for Zoom products. The ideal candidate will majorly focus on AI product feature innovation/creation, AI capability improvement, agentic pipeline, applications, data process/analysis, and full cycle software development. You will play the critical role in shaping the future of Zoom AI products.
**About The Team**
 We are the AI/ML application engineering team dedicated to building cutting\-edge products and providing business platforms and tools for enterprise customers. We are seeking an experienced candidate for AI feature development, model/pipeline optimization, and maintenance of end\-to\-end systems that power AI\-driven. Our products have extensive developments based on the integrations with LLM, agent, ASR, and image processing, etc. These products are highly user\-facing, friendly and robust applications.
**Responsibilities**
* Collaborating with cross\-functional teams to define, design, implement and release new AI features and innovative applications.
* Demonstrating a high level AI product feature and architecture design. Breakdown the pipeline into engineering subtasks and implementation details.
* E2E development. AI capability evaluation. Prompt engineering. Agentic AI creation. Model tuning.
* Ensuring reliability and high quality by participating in code reviews, testing, and debugging.
* Building metrics, dashboards to measure the service performance and quality
* Documenting test report, code, algorithms, and technical processes for internal and external references.
* Driving task progress.
**What We’re Looking For**
* 6\+ years (or equivalent experience) of hands\-on skills in AI/ML and software engineering. Advance degree in Computer Science or related fields.
* Have background on AI product architecture/system design and implementation/integration.
* Demonstrate working knowledge of software development principles, design patterns, and scalable systems.
* Have solid experience with one or more of the following: AI agent, RAG, NLP, recommendation, cloud platform, data retrieve/analysis, DB/SQL, A/B test.
* Possess coding skills in Python, Java, or C/C\+\+, etc. Solid experience with LLM tuning, prompt engineering.
* Have comprehension of machine learning theories, algorithms, and frameworks.
* Possess familiarity with AI tools for daily development work.
**Minimum**
**Salary Range or On Target Earnings:**
 $177 100,00
**Maximum**
 $387 500,00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03/27/26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67">
      <c r="A67" t="inlineStr">
        <is>
          <t>li-4239256337</t>
        </is>
      </c>
      <c r="B67" t="inlineStr">
        <is>
          <t>Senior Machine Learning Engineer</t>
        </is>
      </c>
      <c r="C67" t="inlineStr">
        <is>
          <t>Xometry</t>
        </is>
      </c>
      <c r="D67" t="inlineStr">
        <is>
          <t>linkedin</t>
        </is>
      </c>
      <c r="E67">
        <f>HYPERLINK("https://www.linkedin.com/jobs/view/4239256337", "https://www.linkedin.com/jobs/view/4239256337")</f>
        <v/>
      </c>
      <c r="F67" t="inlineStr"/>
      <c r="G67" t="inlineStr">
        <is>
          <t>North Bethesda, MD</t>
        </is>
      </c>
      <c r="H67" t="inlineStr"/>
      <c r="I67"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Machine Learning Engineer** 
 to join our growing organization. The right person will help move our machine learning capabilities to the next level. You’ll be working in an organization where AI is the enabler and center of its core business strategy. You want to be part of a small, intensely skilled team, who feel total ownership of their work, and can’t imagine a day without learning \&amp; coding. You will play a crucial role in the Xometry platform and everything you do will matter.
**Responsibilities:**
* At Xometry, you will play a crucial role in exploring new machine learning opportunities, researching and performing proof of concepts, and bringing new machine learning and AI solutions into Xometry’s platform
* Develop and implement machine learning models that improve Xometry’s ability to predict cost, price, and sourcing options for our customers and suppliers.
* You will be responsible for leading the evaluation of emerging technologies, identifying areas for improvement, and developing new features while ensuring the reliability and scalability of Xometry’s platform
* Lead the exploration of emerging AI and machine learning technologies and develop proof\-of\-concepts to assess their potential impact on Xometry’s platform
* Collaborate with cross\-functional teams to gather requirements, prioritize features, and define technical solutions based on the latest innovations
* Monitor machine learning models and AI performance and troubleshoot issues as they arise
* Contribute to the documentation and knowledge base to help other teams understand and use Xometry’s AI effectively
**Qualifications:**
* Experience with state of the art ML modeling techniques and approaches like transformers, self supervised pre\-training, generative modeling, LLMs, etc
* Experience with large scale data processing (e.g., Hands\-on experience training and applying models at scale using deep learning frameworks like PyTorch or Tensorflow)
* Successful candidates in this role need to be able to bridge state of the art approaches to real world impact
* A cloud\-native software craftsperson with hands on experience with containers, container orchestration, and distributed systems
* An engineer with a self\-driven attitude who can own problems and deliver solutions
* Strong software fundamentals with experience in design patterns, refactoring, OOP, and testing
* A cloud practitioner who values the “shift\-left” mentality by building systems with Infrastructure as Code, not console clicking
* Data’s at the heart of our systems, we hope it's yours too. You’re comfortable working with SQL and/or NoSQL, understand database design, and data analysis
* Experience building and consuming CI/CD pipelines
* Someone who knows their way around the command line and has experience working with \*nix systems
* 5\+ years working experience in the engineering teams that build large\-scale ML\-driven user\-facing products
* 3\+ years experience leading cross\-team engineering efforts
* Strong execution skills in project management
* Must be a US Citizen or Green Card holder (ITAR)
 The estimated base salary range for new hires into this role is $123,000\- $159,000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68">
      <c r="A68" t="inlineStr">
        <is>
          <t>li-4381651979</t>
        </is>
      </c>
      <c r="B68" t="inlineStr">
        <is>
          <t>Gen AI Engineer</t>
        </is>
      </c>
      <c r="C68" t="inlineStr">
        <is>
          <t>Capgemini</t>
        </is>
      </c>
      <c r="D68" t="inlineStr">
        <is>
          <t>linkedin</t>
        </is>
      </c>
      <c r="E68">
        <f>HYPERLINK("https://www.linkedin.com/jobs/view/4381651979", "https://www.linkedin.com/jobs/view/4381651979")</f>
        <v/>
      </c>
      <c r="F68" t="inlineStr"/>
      <c r="G68" t="inlineStr">
        <is>
          <t>New York, NY</t>
        </is>
      </c>
      <c r="H68" t="inlineStr"/>
      <c r="I68"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 Job Location \- NYC NY (Day One Onsite \- Hybrid)
**Job Description**
 Job Description
 We are looking for a skilled Generative AI Developer to join our Controls Technology team and contribute to the development and integration of innovative generative AI solutions In this role you will work closely with senior developers AI architects and business stakeholders to deliver impactful AIdriven features and products.
**Key Responsibilities**
 Implement and finetune generative AI models under the guidance of senior team members
 Contribute to prompt engineering and development of AIpowered workflows
 Assist with the deployment monitoring and maintenance of AI models in production environments
 Collaborate with data scientists and engineers to ensure seamless integration of AI capabilities
 Perform data preprocessing feature engineering and API development for AI applications
 Participate in code reviews testing and documentation to ensure quality and reliability
 Stay updated with advancements in GenAI and share relevant learnings with the team
**Required Technical Skills**
 Handson experience with at least one major machine learning framework PyTorch TensorFlow Keras
 Familiarity with LLMs prompt engineering and finetuning eg LoRA QLoRA
 Exposure to RAG systems and basic knowledge of hybrid search techniques
 Understanding of model deployment and containerization Docker
 Proficiency in Python for AI development data preprocessing and scripting
 Experience with generative AI tools LangChain Hugging Face LlamaIndex is a plus
 Understanding of version control systems Git
 Awareness of AI compliance data privacy and responsible AI principles
**Required Soft Skills**
 Strong teamwork and communication abilities
 Willingness to learn new AIML technologies and frameworks
 Analytical mindset and attention to detail
 Openness to feedback and continuous improvement
**Qualifications**
 Bachelors degree or Masters degree in Computer Science Data Science AI or a related field
 3\-5 years of professional experience in AIML development with exposure to Generative AI
 Experience delivering AIML projects in a collaborative setting
 Exposure to cloud based AIML environments AWS GCP or Azure is a plus
 The base compensation range for this role in the posted location is : $ 56186 \- 87556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69">
      <c r="A69" t="inlineStr">
        <is>
          <t>li-4381667295</t>
        </is>
      </c>
      <c r="B69" t="inlineStr">
        <is>
          <t>Gen AI Engineer</t>
        </is>
      </c>
      <c r="C69" t="inlineStr">
        <is>
          <t>Capgemini</t>
        </is>
      </c>
      <c r="D69" t="inlineStr">
        <is>
          <t>linkedin</t>
        </is>
      </c>
      <c r="E69">
        <f>HYPERLINK("https://www.linkedin.com/jobs/view/4381667295", "https://www.linkedin.com/jobs/view/4381667295")</f>
        <v/>
      </c>
      <c r="F69" t="inlineStr"/>
      <c r="G69" t="inlineStr">
        <is>
          <t>New York, NY</t>
        </is>
      </c>
      <c r="H69" t="inlineStr"/>
      <c r="I69"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 Job Location \- NYC NY (Day One Onsite \- Hybrid)**
**Job Description**
 We are looking for a skilled Generative AI Developer to join our Controls Technology team and contribute to the development and integration of innovative generative AI solutions In this role you will work closely with senior developers AI architects and business stakeholders to deliver impactful AIdriven features and products.
**Key Responsibilities**
 Implement and finetune generative AI models under the guidance of senior team members
 Contribute to prompt engineering and development of AIpowered workflows
 Assist with the deployment monitoring and maintenance of AI models in production environments
 Collaborate with data scientists and engineers to ensure seamless integration of AI capabilities
 Perform data preprocessing feature engineering and API development for AI applications
 Participate in code reviews testing and documentation to ensure quality and reliability
 Stay updated with advancements in GenAI and share relevant learnings with the team
**Required Technical Skills**
 Handson experience with at least one major machine learning framework PyTorch TensorFlow Keras
 Familiarity with LLMs prompt engineering and finetuning eg LoRA QLoRA
 Exposure to RAG systems and basic knowledge of hybrid search techniques
 Understanding of model deployment and containerization Docker
 Proficiency in Python for AI development data preprocessing and scripting
 Experience with generative AI tools LangChain Hugging Face LlamaIndex is a plus
 Understanding of version control systems Git
 Awareness of AI compliance data privacy and responsible AI principles
**Required Soft Skills**
 Strong teamwork and communication abilities
 Willingness to learn new AIML technologies and frameworks
 Analytical mindset and attention to detail
 Openness to feedback and continuous improvement
**Qualifications**
 Bachelors degree or Masters degree in Computer Science Data Science AI or a related field
 3\-5 years of professional experience in AIML development with exposure to Generative AI
 Experience delivering AIML projects in a collaborative setting
 Exposure to cloud based AIML environments AWS GCP or Azure is a plus
 The base compensation range for this role in the posted location is: $ 99712 \- 168716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70">
      <c r="A70" t="inlineStr">
        <is>
          <t>li-4382602233</t>
        </is>
      </c>
      <c r="B70" t="inlineStr">
        <is>
          <t>Senior Machine Learning Engineer</t>
        </is>
      </c>
      <c r="C70" t="inlineStr">
        <is>
          <t>James Search Group</t>
        </is>
      </c>
      <c r="D70" t="inlineStr">
        <is>
          <t>linkedin</t>
        </is>
      </c>
      <c r="E70">
        <f>HYPERLINK("https://www.linkedin.com/jobs/view/4382602233", "https://www.linkedin.com/jobs/view/4382602233")</f>
        <v/>
      </c>
      <c r="F70" t="inlineStr"/>
      <c r="G70" t="inlineStr">
        <is>
          <t>New York, NY</t>
        </is>
      </c>
      <c r="H70" t="inlineStr"/>
      <c r="I70" t="inlineStr">
        <is>
          <t>**Senior AI/ML Engineer** 
**Location:** 
 New York, NY
**Compensation:** 
 $180,000 – $225,000 base \+ bonus \+ comprehensive benefits (including pension, 401(k), and more)
**Industry:** 
 Global P\&amp;C Insurance
**About the role and client** 
 James Search Group is excited to partner with a leading global property and casualty insurance carrier to identify a
 **Senior AI/ML Engineer** 
 to join a high\-impact enterprise data and artificial intelligence team. This group is at the forefront of transforming how the insurance industry leverages data, analytics, and emerging AI technologies to enhance decision\-making and drive profitability across the organization.
 As a key contributor, you will design and implement scalable machine learning and AI\-driven solutions to solve complex business challenges. This role is ideal for a hands\-on, innovative professional passionate about delivering real\-world business impact through advanced data modeling and machine learning strategies.
**Key Responsibilities:** 
* Develop and deploy end\-to\-end AI/ML models—including classification, forecasting, uplift modeling, and fine\-tuning of foundational models.
* Identify use cases for AI across areas such as underwriting, claims, risk evaluation, and customer experience.
* Work cross\-functionally with technical and business stakeholders to deliver actionable insights and scalable solutions.
* Translate sophisticated AI/ML outputs into clear business recommendations for non\-technical stakeholders.
* Stay current with the latest trends in AI/ML, incorporating new tools and methodologies to enhance the organization’s data capabilities.
**Required Qualifications:** 
* Master’s degree in Computer Science, Data Science, Mathematics, Statistics, Operations Research, or a related field.
* Minimum of 5 years of hands\-on experience in data science and machine learning, including techniques like regression, decision trees, neural networks, and ensemble models.
* At least 2 years of experience working with large language models (LLMs) and foundational AI systems.
* Strong programming skills in Python and SQL, with experience using popular data science libraries and frameworks.
* Background in building and deploying ML models in cloud environments (e.g., Azure, AWS).
* Proficient in handling and integrating large structured and unstructured datasets.
* Strong analytical skills with a demonstrated ability to extract actionable insights from complex data.
* Excellent verbal and written communication skills; capable of simplifying complex technical concepts for business audiences.
**Preferred Qualifications:** 
* Expertise in natural language processing (NLP) and natural language understanding (NLU).
* Experience leading multi\-functional AI projects or initiatives.
* Background in insurance, particularly within claims, underwriting, or risk analytics.
* Familiarity with actuarial data, insurance KPIs, or related industry\-specific datasets.
* Collaborative mindset with the ability to drive change and build consensus.
**Apply now** 
 to take the next step in a high\-impact, forward\-thinking role within a dynamic and innovative insurance environment.</t>
        </is>
      </c>
    </row>
    <row r="71">
      <c r="A71" t="inlineStr">
        <is>
          <t>li-4358196515</t>
        </is>
      </c>
      <c r="B71" t="inlineStr">
        <is>
          <t>AI Engineer - Robotics</t>
        </is>
      </c>
      <c r="C71" t="inlineStr">
        <is>
          <t>Harrison Clarke</t>
        </is>
      </c>
      <c r="D71" t="inlineStr">
        <is>
          <t>linkedin</t>
        </is>
      </c>
      <c r="E71">
        <f>HYPERLINK("https://www.linkedin.com/jobs/view/4358196515", "https://www.linkedin.com/jobs/view/4358196515")</f>
        <v/>
      </c>
      <c r="F71" t="inlineStr"/>
      <c r="G71" t="inlineStr"/>
      <c r="H71" t="inlineStr"/>
      <c r="I71" t="inlineStr">
        <is>
          <t>Build the models that turn vision and language into real\-world action. Your research will ship onto physical robots and get tested in messy, adversarial environments, not just in a notebook.
**Why This Role Exists** 
 A well\-funded, early\-stage robotics and ML team is building a foundation model for embodied autonomy in mission\-critical settings. They are past “cool demo” territory and are now scaling training, evaluation, and deployment so fleets of varying robots can perceive, plan, and coordinate under real operational constraints. In 12–18 months, success looks like robust policies and world models running reliably on hardware, sim\-to\-real transfer that holds up in the field, and a research pipeline that consistently produces deployable improvements.
**What You Will Actually Be Doing** 
* You will
 ***lead research that improves embodied agent capability***
 , spanning reinforcement learning, imitation learning, and/or vision\-language\-action modelling.
* You will
 ***build and benchmark large\-scale models***
 for perception, decision\-making, and control across simulation and real robots.
* You will
 ***push sim\-to\-real transfer and continual learning***
 so behaviours generalize across domains, terrains, sensors, and platforms.
* You will
 ***develop memory and long\-horizon autonomy primitives***
 , enabling agents to operate coherently over extended missions and shifting objectives.
* You will
 ***partner tightly with robotics and systems engineers***
 to integrate research into production\-grade stacks, including evaluation, deployment, and observability.
* You will
 ***support field tests and data collection***
 to close the loop between research insight and real performance.
**This Will Suit You If** 
* You like
 ***research that turns into working systems***
 , fast.
* You enjoy
 ***unstructured problems***
 where the right answer is not in a paper, and constraints are real.
* You are comfortable in a
 ***high\-ownership startup environment***
 . Context\-switching, moving quickly, and setting standards as you go.
* You care about
 ***rigour and repeatability***
 , not heroics. Clean experiments, strong baselines, honest conclusions.
* You want your work to matter in a
 ***mission\-critical domain***
 , with clear stakes and rapid feedback.
**What You Need To Have** 
* ***PhD in CS, Robotics, ML (or equivalent industry research track record)***
 with a strong publication history.
* ***Deep expertise in one or more***
 \*\*: RL, imitation learning, vision\-language models, sim\-to\-real, world modelling, agentic AI, embodied autonomy.
* ***Hands\-on experience building and evaluating embodied agents***
 across simulation and physical systems.
* ***Strong Python***
 \*\* and proficiency in \*\*
 ***PyTorch, JAX, or TensorFlow***
 .
* Proven ability to \*\*
 ***take an idea from concept to a deployed prototype***
 , including evaluation design and iteration.
**Optional, but nice if you have** 
* ***Multi\-agent coordination***
 and swarm behaviors.
* ***ROS, real\-time control loops, embedded or edge inference***
 constraints.
* Experience integrating ML with
 ***physical robotic platforms***
 and high\-dimensional sensor streams.
* Background shipping in
 ***aerospace, defense, or other high\-reliability environments***
 .
**Who You Will Be Joining** 
 A small, senior team in the South Bay building an embodied autonomy platform from the ground up. They are early\-stage, heavily backed, and operating at the intersection of cutting\-edge ML research and real\-world robotics, with direct access to leadership and a culture that prioritises pace, clarity, and shipping.
**Location** 
 South Bay, CA. This is an
 ***on\-site role***
 due to hardware access and frequent integration work. Relocation support is available.</t>
        </is>
      </c>
    </row>
    <row r="72">
      <c r="A72" t="inlineStr">
        <is>
          <t>li-4315653811</t>
        </is>
      </c>
      <c r="B72" t="inlineStr">
        <is>
          <t>Senior Machine Learning Engineer</t>
        </is>
      </c>
      <c r="C72" t="inlineStr">
        <is>
          <t>Retell AI</t>
        </is>
      </c>
      <c r="D72" t="inlineStr">
        <is>
          <t>linkedin</t>
        </is>
      </c>
      <c r="E72">
        <f>HYPERLINK("https://www.linkedin.com/jobs/view/4315653811", "https://www.linkedin.com/jobs/view/4315653811")</f>
        <v/>
      </c>
      <c r="F72" t="inlineStr"/>
      <c r="G72" t="inlineStr"/>
      <c r="H72" t="inlineStr"/>
      <c r="I72" t="inlineStr">
        <is>
          <t>**About Retell Ai**
 Retell AI is using the first principles to reimagine the call center with cutting edge voice AI.
 Since launching 18 months ago, thousands of companies now utilize Retell’s AI voice agents to handle sales, support, and logistics calls that once required large teams of human agents. Backed by Y Combinator, Alt Capital, and other leading investors, we have scaled to $36M ARR with a team of 20 people, up from $5M at the start of 2025\.
 Our vision for 2026 is to build a modern CX platform where entire contact centers are powered by AI. Instead of basic automation that needs constant human tuning, we’re creating intelligent AI “workers” that can act as frontline agents, QA analysts, and managers — continuously executing, monitoring, and improving customer interactions.
 We’re growing quickly and looking for ambitious builders who want to tackle hard technical problems, move fast, and have real impact at one of the fastest\-growing voice AI startups.
 Let’s build the future together.
* We’re a top 50 AI app in a16z list: https://tinyurl.com/5853dt2x
* \#4 on Brex's Fast\-Growing Software Vendors of 2025: https://www.brex.com/journal/brex\-benchmark\-december\-2025
* We're also one of the top ranking startups on: https://leanaileaderboard.com/
**About The Role**
 This is a hands\-on, high\-ownership role for ML engineers who want to build production models that actually ship, and perform under real\-world constraints. As a Founding Senior Machine Learning Engineer at Retell, you’ll work across the ML stack to power human\-like voice agents that handle millions of real\-time phone conversations.
 You’ll fine\-tune large language models and audio models, evaluate them with rigorous benchmarks (and human feedback), and deploy them into latency\-sensitive, high\-traffic systems. You’ll own model performance end\-to\-end—from training pipelines to post\-deployment monitoring—and shape our ML strategy alongside the founding team.
 If you’re excited by hard technical challenges, fast iteration, and the opportunity to define how voice AI works at scale, this role is a rare chance to do it from the ground up.
**Key Responsibilities**
* Train \&amp; Tune Models – Fine\-tune LLMs and audio models to maximize speed, accuracy, and production\-readiness—pushing the frontier of real\-time AI voice experiences.
* Benchmark \&amp; Evaluate – Build datasets, define rigorous metrics, and measure model performance across high\-impact voice AI tasks to guide development.
* Deploy to Production – Work closely with engineering to ship models, monitor them in the wild, and ensure they stay fast, reliable, and accurate at scale.
* Run Human Evaluations – Build scalable pipelines to collect structured human feedback, benchmark subjective quality, and inform model iterations.
* Level Up Infrastructure – Design and maintain the ML infrastructure needed for fast experimentation, robust training, and continuous deployment.
**YOU MIGHT THRIVE IF YOU**
* ML Engineer with Real\-World Experience – You’ve trained and shipped models in production. Bonus if you’ve worked with LLMs or audio models.
* Fluent in Modern ML Stack – You know your way around Python, PyTorch, and today’s ML tools—from training pipelines to evaluation benchmarks.
* Execution\-Oriented – You move fast, take ownership, and focus on solving real problems over perfect ones.
* Startup\-Ready – You’re adaptable, resilient, and energized by ambiguity and fast\-changing priorities.
* Clear Communicator \&amp; Team Player – You collaborate well across functions and push decisions forward.
**JOB DETAILS**
* Cash: $215,000 \- $290,000 base salary
* Equity: Offers Equity
* Location: Redwood City, CA, US
* US Visas: Retell AI is open to sponsoring work authorization for qualified candidates, including H1B/H\-1B, TN, L\-1, E\-3, F\-1 (OPT/CPT), and O\-1 visas.
**Other Benefits**
* 100% coverage for medical, dental, and vision insurance
* $70/day DoorDash credit for unlimited breakfast, lunch, dinner, and snacks
* $200/month wellness reimbursement (gym, fitness classes, etc.)
* $300/month commuter reimbursement (gas, Caltrain, etc.)
* $75/month phone bill reimbursement
* $50/month internet reimbursement
**Compensation Philosophy**
* Best Offer Upfront: Choose from three cash\-equity balance options, no negotiation needed.
* Top 1% Talent: Above\-market pay (top 5 percentile) to attract high performers.
* High Ownership: Small teams, \&gt;$1M revenue/employee, and significant equity.
* Performance\-Based: Offers tied to interview performance, not experience or past salaries.
**INTERVIEW PROCESS**
* Online Assessment (30 min): Coding questions on practical problem\-solving (7 days to complete).
* Talent Screen (15min): chat with our recruiter to get a better sense of the role, the team, and what it’s like to work here.
* Technical Interview (45 min): LLM theory specific coding Interview(Pytorch)
* Technical Interview (45 min): Live Practical Systems Design and Coding Interview.
* Onsite/Virtual Interviews (3 hrs): Hosted in our office if located in the Bay Area or virtual, with three rounds:
+ ML System Design: A non\-coding interview focused on whiteboarding and high\-level system architecture.
+ ML Question Deep Dive: In\-depth discussion exploring your approach to a machine learning problem.
+ Backend \+ AI Practical: A hands\-on coding interview combining backend development with AI integration.
+ Offer: Final stage, pending decision and offer discussion.</t>
        </is>
      </c>
    </row>
    <row r="73">
      <c r="A73" t="inlineStr">
        <is>
          <t>li-4310221266</t>
        </is>
      </c>
      <c r="B73" t="inlineStr">
        <is>
          <t>Senior Machine Learning Engineer - Ranking</t>
        </is>
      </c>
      <c r="C73" t="inlineStr">
        <is>
          <t>QuinStreet</t>
        </is>
      </c>
      <c r="D73" t="inlineStr">
        <is>
          <t>linkedin</t>
        </is>
      </c>
      <c r="E73">
        <f>HYPERLINK("https://www.linkedin.com/jobs/view/4310221266", "https://www.linkedin.com/jobs/view/4310221266")</f>
        <v/>
      </c>
      <c r="F73">
        <f>HYPERLINK("https://grnh.se/evjr3ttt1us?__jvst=Job+Board&amp;__jvsd=LinkedIn&amp;source=LinkedIn&amp;urlHash=2jDV", "https://grnh.se/evjr3ttt1us?__jvst=Job+Board&amp;__jvsd=LinkedIn&amp;source=LinkedIn&amp;urlHash=2jDV")</f>
        <v/>
      </c>
      <c r="G73" t="inlineStr"/>
      <c r="H73" t="inlineStr"/>
      <c r="I73" t="inlineStr">
        <is>
          <t>**Corporate Overview** 
**Powering Performance Marketplaces in Digital Media** 
 QuinStreet is a pioneer in powering decentralized online 
 **marketplaces that match searchers and “research and compare” consumers with brands** 
 .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 The direct measurability of digital media.
* Performance marketing. (We pioneered it.)
* The advantages of technology.
 We bring all this together to deliver truly great results for consumers and brands in the world’s biggest channel.
**Job Category**
 Join us to shape how users discover and interact with our marketplace.
 You’ll
 advance algorithms for ordering, prioritization, and personalization
 .
 Ranking is
 a
 core
 component
 which helps
 users
 discover
 ads,
 balan
 ce
 user satisfaction, business
 goals,
 and
 system
 health.
**Responsibilities** 
* Design and improve ranking systems through rigorous measurement and experimentation; translate broad goals into clear metrics and deliver steady, validated gains.
* Advance evaluation practices (clean test design, offline \&amp; online alignment) and help teams make evidence\-based decisions.
* Build high\-value signals and features with reliable offline/online pipelines and robust monitoring. Incorporate content understanding signals such as text/image/metadata.
* Make uncertainty\-aware decisions; handle drift and calibration so models remain stable and trustworthy over time.
 Partner with Engineering, Product, Business and Analytics to ship resilient solutions end\-to\-end.
**Requirements** 
* Advanced degree (MS/PhD) in CS, Statistics, or related field, with 3\+ years post\-PhD or 5\+ years industry experience.
* Strong foundations in applied ML, statistics, and optimization with demonstrated impact in ranking/recommendations.
* Proficiency in Python and solid software engineering practices (testing, CI/CD).
* Experience working with large\-scale datasets, distributed systems, and latency\-sensitive production ML.
* Clear communication, cross\-functional collaboration, and an ownership mindset.
**Preferred Qualifications**
* Demonstrated success in delivering production\-grade ranking systems with measurable business impact.
* Track record building feature/signals pipelines, feature stores, and observability for ML systems.
* Depth in experimentation and metrics design, including large\-scale A/B testing and variance reduction.
 The expected salary range for this position is $140,000 USD to $170,000 USD annually. This salary range is an estimate, and the actual salary may vary based on the Company’s compensation practices. The salary may be adjusted based on applicant's geographic location. The position is also eligible to receive performance bonus or commission and equity in the form of restricted stock units. This position is eligible to participate in the Company’s standard employee benefits programs, which currently include health care benefits; (2\) retirement benefits; (3\) the amount of paid days off (paid sick leave, parental leave, paid time off, or vacation benefits); (4\) any other tax\-reportable benefits.
 QuinStreet is an equal opportunity employer. We do not discriminate on the basis of race, color, religion, national origin, pregnancy status, sex, age, marital status, disability, sexual orientation, gender identity or any other characteristics protected by law.
 Please see QuinStreet’s Employee Privacy Notice here.</t>
        </is>
      </c>
    </row>
    <row r="74">
      <c r="A74" t="inlineStr">
        <is>
          <t>li-4341922575</t>
        </is>
      </c>
      <c r="B74" t="inlineStr">
        <is>
          <t>Principal Machine Learning Engineer</t>
        </is>
      </c>
      <c r="C74" t="inlineStr">
        <is>
          <t>Upstart</t>
        </is>
      </c>
      <c r="D74" t="inlineStr">
        <is>
          <t>linkedin</t>
        </is>
      </c>
      <c r="E74">
        <f>HYPERLINK("https://www.linkedin.com/jobs/view/4341922575", "https://www.linkedin.com/jobs/view/4341922575")</f>
        <v/>
      </c>
      <c r="F74" t="inlineStr"/>
      <c r="G74" t="inlineStr"/>
      <c r="H74" t="inlineStr"/>
      <c r="I74"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The Machine Learning Platform team builds the foundational technology that scales machine learning innovation across Upstart. As a Principal Machine Learning Engineer, you will work at the intersection of applied ML and platform engineering—collaborating closely with Research Scientists, Data Scientists, and ML Platform Engineers to design tools and systems that accelerate model development to ultimately improve predictive accuracy. Success in this role requires deep knowledge of ML throughout the entire modeling lifecycle \- from data preparation to training and deployment to production.
 In this role, you will lead engineering initiatives that turn high\-impact modeling needs into scalable, reusable infrastructure. This includes building a
 ***unified embeddings platform for training, serving, and managing representations at scale;***
 streamlining feature engineering pipelines to reduce manual steps and deliver new signals quickly; developing automated continuous\-learning systems that handle data refresh, retraining, evaluation, and drift monitoring with minimal manual effort; and scaling our training pipelines to support larger datasets, more complex architectures, and faster experimentation.
 Across all of these efforts, you will work backward from applied ML projects that meaningfully improve accuracy—using those real\-world scenarios to harden the platform capabilities that enable ML teams across Upstart to innovate with greater speed, reliability, and impact.
**How You’ll Make An Impact**
* Scale ML innovation by building tools, infrastructure, and workflows that dramatically improve the speed and reliability of model development.
* Work backward from modeling needs to design systems that directly unlock gains in accuracy, efficiency, and scientific productivity.
* Explore new algorithms and methodologies for our machine learning models and develop tooling to support them
* Improve the entire ML lifecycle—from data readiness and feature development through training, evaluation, serving, and monitoring.
* Automate and standardize operational workflows, enabling scientists to focus on high\-leverage modeling and analysis rather than manual pipelines.
* Define the roadmap for our next generation ML Platform, balancing near\-term impact with long\-term architectural scalability.
* Collaborate cross\-functionally with Data Engineering, ML Platform, Pricing, and other teams to build reliable, end\-to\-end ML systems.
 Y
 **our work will multiply the effectiveness of every ML team at Upstart** 
 —accelerating innovation and advancing our mission to make credit more accurate, accessible, and fair.
**This is a high influence role suited for those who enjoy combining science innovation, with cross functional collaboration and advisory.**
**Minimum Qualifications**
* 7\+ years of hands\-on experience in applied machine learning, with strong exposure to production\-scale modeling efforts.
* Demonstrated expertise in end\-to\-end model development: data prep, feature engineering, training, evaluation, and deployment.
* Experience working in high\-scale, ML\-driven product environments—especially in fintech, pricing, or risk modeling.
* Proficiency in Python and core ML frameworks (e.g., PyTorch, TensorFlow, Scikit\-learn, XGBoost).
* Ability to work autonomously and lead technical direction in ambiguous, high\-impact domains.
* Experience collaborating with cross\-functional teams including ML scientists, engineers, and product partners.
* Ability to bridge engineering and science teams, and influence technical strategy across disciplines.
* Numerically\-savvy and smart with ability to operate at a fast pace
* Master’s degree or PhD in a quantitative discipline, or equivalent additional professional experience.
**Preferred Qualifications**
* Practical experience optimizing ML workflows using CUDA/GPU acceleration.
* Background in feature store design, embedding architecture, or synthetic data generation for model training.
* Proven track record of improving model accuracy in production environments with measurable business outcomes.
* Familiarity with modern experimentation frameworks, hyperparameter tuning tools, and automated model selection techniques.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$220,700—$300,000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75">
      <c r="A75" t="inlineStr">
        <is>
          <t>li-4382602163</t>
        </is>
      </c>
      <c r="B75" t="inlineStr">
        <is>
          <t>Generative AI Engineer</t>
        </is>
      </c>
      <c r="C75" t="inlineStr">
        <is>
          <t>Quantum World Technologies Inc.</t>
        </is>
      </c>
      <c r="D75" t="inlineStr">
        <is>
          <t>linkedin</t>
        </is>
      </c>
      <c r="E75">
        <f>HYPERLINK("https://www.linkedin.com/jobs/view/4382602163", "https://www.linkedin.com/jobs/view/4382602163")</f>
        <v/>
      </c>
      <c r="F75" t="inlineStr"/>
      <c r="G75" t="inlineStr">
        <is>
          <t>Irving, TX</t>
        </is>
      </c>
      <c r="H75" t="inlineStr"/>
      <c r="I75" t="inlineStr">
        <is>
          <t>**Job Title: Gen AI / Agentic AI Engineer** 
**Work Location: Irving, TX/Tampa, FL/Jersey City, NJ (Need Local Profiles)** 
**Visa Independent \- GC/USC/OPT/EAD's** 
**Required Skills:** 
 · Strong Data Structures Any Language Code Comprehension Python or Java.
 · Ability to do hands on coding in the interview real\-time for given scenario with right solution approach.
 · Proficient in Data manipulation and cleansing preprocess large datasets handle missing values perform feature engineering ensure data integrity.
 · AIML Strong NLP Deep Learning Concepts with transformer architecture understanding.
 · LLM fine tuning exposure on one or few leading LLM like Dolly Llama2 or any other.
 · Experience in developing and implementing cutting edge generative AI models to solve complex problems.
 · Ability to perform prompt engineering and designing right prompts based on functional use cases.
 · Should have hands on of NLPAIML tool technologies GPT BERT or other language models.
 · Should have experience in building GenAI applications.
 · Word Embedding and Vector DB usage with the leading vector DB implementation Pinecone Milvus or Pgvector.
 · Statistical Analysis Strong proficiency in statistical techniques and methodologies including hypothesis testing regression analysis time series analysis and clustering.
**Skills/Mandatory Skills :** 
 AI/Generative AI, Python AI</t>
        </is>
      </c>
    </row>
    <row r="76">
      <c r="A76" t="inlineStr">
        <is>
          <t>li-4365434386</t>
        </is>
      </c>
      <c r="B76" t="inlineStr">
        <is>
          <t>Senior Machine Learning Engineer</t>
        </is>
      </c>
      <c r="C76" t="inlineStr">
        <is>
          <t>Nexxen</t>
        </is>
      </c>
      <c r="D76" t="inlineStr">
        <is>
          <t>linkedin</t>
        </is>
      </c>
      <c r="E76">
        <f>HYPERLINK("https://www.linkedin.com/jobs/view/4365434386", "https://www.linkedin.com/jobs/view/4365434386")</f>
        <v/>
      </c>
      <c r="F76">
        <f>HYPERLINK("https://jobs.ashbyhq.com/nexxen/d3002843-c8a8-48bf-94bd-8e21400cf602/application?utm_source=LinkedinPaid&amp;urlHash=a0h8", "https://jobs.ashbyhq.com/nexxen/d3002843-c8a8-48bf-94bd-8e21400cf602/application?utm_source=LinkedinPaid&amp;urlHash=a0h8")</f>
        <v/>
      </c>
      <c r="G76" t="inlineStr">
        <is>
          <t>San Diego, CA</t>
        </is>
      </c>
      <c r="H76" t="inlineStr"/>
      <c r="I76"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We are a hybrid company where our team works 3 days a week in the NY office and remotely the rest of the week.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77">
      <c r="A77" t="inlineStr">
        <is>
          <t>li-4381370557</t>
        </is>
      </c>
      <c r="B77" t="inlineStr">
        <is>
          <t>AI Engineer (Agents)</t>
        </is>
      </c>
      <c r="C77" t="inlineStr">
        <is>
          <t>Jobright.ai</t>
        </is>
      </c>
      <c r="D77" t="inlineStr">
        <is>
          <t>linkedin</t>
        </is>
      </c>
      <c r="E77">
        <f>HYPERLINK("https://www.linkedin.com/jobs/view/4381370557", "https://www.linkedin.com/jobs/view/4381370557")</f>
        <v/>
      </c>
      <c r="F77">
        <f>HYPERLINK("https://jobright.ai/jobs/info/b2b_1770058922291_838?utm_source=5012&amp;utm_campaign=b2b_1770058922291_838&amp;urlHash=YgqE", "https://jobright.ai/jobs/info/b2b_1770058922291_838?utm_source=5012&amp;utm_campaign=b2b_1770058922291_838&amp;urlHash=YgqE")</f>
        <v/>
      </c>
      <c r="G77" t="inlineStr">
        <is>
          <t>Santa Clara, CA</t>
        </is>
      </c>
      <c r="H77" t="inlineStr"/>
      <c r="I77"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deploy end\-to\-end AI agents for business and user\-facing applications
* Develop agent\-driven applications, including user interaction flows and APIs
* Build and maintain agent infrastructure, including orchestration, monitoring, and reliability
* Implement and iterate on agent evaluation (quality, reliability, latency, cost)
* Collaborate closely with product and business teams to translate real problems into agent solutions
* Continuously improve agent performance using real\-world feedback and data
**Qualification** 
 Required
* Familiarity with at least one programming language (e.g. Python, JavaScript, TypeScript)
* Experience with writing a lot of code, backend or full\-stack
* Experience building applications
* Strong interest in AI agents and applied LLM systems
* Ability to own features end\-to\-end, from design to production
 Preferred
* Hands\-on experience using and deploying AI agents, such as: Claude Code, Codex, ClawdBot, OpenCode, or similar agent frameworks/tools
* Experience with agent orchestration, tooling, or infra
* Experience building production AI products rather than demos
* Experience in fast\-moving startup environments
* Product\-minded approach and comfort with ambiguous problems</t>
        </is>
      </c>
    </row>
    <row r="78">
      <c r="A78" t="inlineStr">
        <is>
          <t>li-4364456367</t>
        </is>
      </c>
      <c r="B78" t="inlineStr">
        <is>
          <t>Applied AI engineer: pricing analytics -  Fintech foundation (100% Remote - USA)</t>
        </is>
      </c>
      <c r="C78" t="inlineStr">
        <is>
          <t>Hopper</t>
        </is>
      </c>
      <c r="D78" t="inlineStr">
        <is>
          <t>linkedin</t>
        </is>
      </c>
      <c r="E78">
        <f>HYPERLINK("https://www.linkedin.com/jobs/view/4364456367", "https://www.linkedin.com/jobs/view/4364456367")</f>
        <v/>
      </c>
      <c r="F78">
        <f>HYPERLINK("https://jobs.ashbyhq.com/hopper/4a5fc6de-132e-41e0-bf1f-8674f2ca4d24/application?utm_source=LinkedIn_Job_Wrapping&amp;urlHash=hVKn", "https://jobs.ashbyhq.com/hopper/4a5fc6de-132e-41e0-bf1f-8674f2ca4d24/application?utm_source=LinkedIn_Job_Wrapping&amp;urlHash=hVKn")</f>
        <v/>
      </c>
      <c r="G78" t="inlineStr">
        <is>
          <t>San Francisco, CA</t>
        </is>
      </c>
      <c r="H78" t="inlineStr"/>
      <c r="I78" t="inlineStr">
        <is>
          <t>**About The Job**
* Hopper is continually redefining how people travel, combining a best\-in\-class travel agency with a portfolio of proprietary fintech offerings that give our customers peace of mind when booking travel. More than 100M monthly active users are exposed to our products through our mobile app and a growing list of partners such as CapitalOne, Air Canada, and Spirit Airlines. With a real\-time feed of 50B\+ priced itineraries daily along with more than ten years of history and multiple external data sources, we have unparalleled insight about pricing and demand trends.
* This is a unique and senior opportunity to join our growing Fintech Foundation team. We are responsible for optimizing pricing for all ancillary products we sell, balancing customer demand with the financial risks we take on. We help our product teams deliver new fintech products to market faster, respond rapidly to changing market conditions, run continuous champion\-challenger testing on product construction levers, and maintain our growing portfolio of pricing models across dozens of partners.
**The Role**
* As a Pricing Analytics Architect, you will be the driving force behind our next generation of data and self\-service capabilities. Your primary mandate will be to architect, implement, and operate AI\-powered self\-service analytics platforms to empower our internal product and revenue stakeholders.
* You will act as a hands\-on technical Product Manager for our internal data and analytics tools, balancing stakeholder needs with technical feasibility and data architecture integrity.
* This role plays a key part in strategic development by shaping the underlying data architecture to ensure quality, scalability, and performance, enabling faster and more reliable pricing and product decisions.
* You will also assess and develop prototypes for new analytical capabilities that we could potentially deliver to our growing list of external partners.
**What Would Your Day\-to\-day Look Like**
* Architect and build production\-ready, self\-service dashboards, and automated analytical tools, integrating core AI/ML features to improve access and deliver novel insights and diagnostics.
* Lead the data quality and data architecture roadmap for the Fintech Foundation team's reporting systems, ensuring high fidelity and trusted data for all internal and partner\-facing analytics.
* Act as the primary technical point of contact for internal business stakeholders, translating complex analytical needs into technical specifications and managing the feature backlog for the analytics platform
* Grow use of our data platform through documentation, training, and a strong push towards self\-service.
**An ideal candidate has**
* Deeply curious with strong problem\-solving ability, critical thinking, and attention to detail.
* Proven experience in architecting and implementing self\-service business intelligence (BI) solutions or data products.
* Highly quantitative with advanced hands\-on experience in SQL and data architecture/modeling
* Strong understanding of financial metrics, data quality principles, and reporting tools like Looker or Tableau.
* Excellent communication, presentation, and stakeholder management skills with a strong technical PM slant.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$240K \- $300K</t>
        </is>
      </c>
    </row>
    <row r="79">
      <c r="A79" t="inlineStr">
        <is>
          <t>li-4372789463</t>
        </is>
      </c>
      <c r="B79" t="inlineStr">
        <is>
          <t>Senior AI / ML Engineer - Embodied AI</t>
        </is>
      </c>
      <c r="C79" t="inlineStr">
        <is>
          <t>General Motors</t>
        </is>
      </c>
      <c r="D79" t="inlineStr">
        <is>
          <t>linkedin</t>
        </is>
      </c>
      <c r="E79">
        <f>HYPERLINK("https://www.linkedin.com/jobs/view/4372789463", "https://www.linkedin.com/jobs/view/4372789463")</f>
        <v/>
      </c>
      <c r="F79" t="inlineStr"/>
      <c r="G79" t="inlineStr">
        <is>
          <t>Mountain View, CA</t>
        </is>
      </c>
      <c r="H79" t="inlineStr"/>
      <c r="I79"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Senior AI/ML Engineer in the Embodied AI organization, you will develop and deploy machine learning solutions contributing to autonomous driving performance. You will contribute to designing and improving ML models that support safe and reliable vehicle behavior across real\-world scenarios.
 You will collaborate closely with senior engineers and cross\-functional teams to translate research and technical concepts into production\-ready solutions while contributing to engineering best practices and delivery execution.
**What You'll Do**
* Develop and improve ML solutions aligned with GM’s autonomous driving objectives.
* Apply techniques such as unsupervised pre\-training, imitation learning, reinforcement learning, model scaling/selection, foundation modeling, to solve problems in object detection/tracking/classification, trajectory generation, and safe AI.
* Collaborate with cross\-functional teams to deploy models into onboard driving systems.
* Implement and evaluate models, incorporating research advancements into practical applications.
* Contribute to taking ML solutions from experimentation through deployment and production support.
* Participate in code reviews, documentation, and technical discussions to support engineering quality and knowledge sharing.
**Your Skills \&amp; Abilities**
* Bachelor’s or Master’s degree in Computer Science, Robotics, Machine Learning, or related field.
* Experience applying machine learning techniques to real\-world systems or large\-scale datasets.
* Proficiency in PyTorch and Python.
* Experience working with model training pipelines or large\-scale data processing workflows.
* Strong data processing skills using tools such as NumPy, Pandas, and Apache Spark.
* Ability to collaborate effectively within cross\-functional engineering teams.
* Experience deploying ML models into production or working within production ML environments preferred.
*Remote:* 
 This role is based remotely but if you live within a 50\-mile radius of Austin, Detroit, Warren, Milford or Mountain View, you are expected to report to that location three times per week, at minimum.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$170,600\.00 to $261,300\.00\.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\#GM\-AV\-1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80">
      <c r="A80" t="inlineStr">
        <is>
          <t>li-4372752807</t>
        </is>
      </c>
      <c r="B80" t="inlineStr">
        <is>
          <t>Embedded AI Engineer (Hybrid)</t>
        </is>
      </c>
      <c r="C80" t="inlineStr">
        <is>
          <t>Homebase</t>
        </is>
      </c>
      <c r="D80" t="inlineStr">
        <is>
          <t>linkedin</t>
        </is>
      </c>
      <c r="E80">
        <f>HYPERLINK("https://www.linkedin.com/jobs/view/4372752807", "https://www.linkedin.com/jobs/view/4372752807")</f>
        <v/>
      </c>
      <c r="F80">
        <f>HYPERLINK("https://jobs.ashbyhq.com/homebase/cd6cdd4d-cd44-49d9-a44f-ddf92c57926f?utm_source=unique_code%2C+e.g.+utm_source%3DLinkedInPaid&amp;urlHash=PGNu", "https://jobs.ashbyhq.com/homebase/cd6cdd4d-cd44-49d9-a44f-ddf92c57926f?utm_source=unique_code%2C+e.g.+utm_source%3DLinkedInPaid&amp;urlHash=PGNu")</f>
        <v/>
      </c>
      <c r="G80" t="inlineStr">
        <is>
          <t>Houston, TX</t>
        </is>
      </c>
      <c r="H80" t="inlineStr"/>
      <c r="I80" t="inlineStr">
        <is>
          <t>**Hi, Future Homie!**
 At Homebase, you’ll join a team that’s bold, fast\-moving, and obsessed with helping small businesses thrive. We build with empathy, act with urgency, and take big swings that drive real\-world impact. Here, every Homie shows up to raise the bar, support one another, and celebrate wins as a team.
 We’re not just building an app—we’re building
 *unstoppable* 
 teams. So what do you say, are you in?
**📍Your** 
***Impact***
**Starts Here**
 We’re looking for an
 **Embedded AI Engineer** 
 at the
 **E2** 
 level to run embedded engagements with internal teams and deliver durable AI\-powered systems that materially improve operational efficiency and business outcomes.
 You’ll operate close to the business: translating messy workflows into scoped solutions, building production systems at velocity leveraging modern LLMs and coding agents, and iterating rapidly based on real usage.
**These are the key ways you’ll contribute and create impact in this role:**
* Lead embedded cycles end\-to\-end: discovery (workflow mapping \+ KPI definition), build/launch, and scale/standardize.
* Ship full\-stack internal systems (services, integrations, and UIs) that teams rely on daily; balance speed with maintainability.
* Own and evolve shared internal AI software that multiple teams depend on—treating key accelerators as compounding assets.
* Establish clear ownership paths for each deliverable: team\-owned (shared), co\-owned (team\-specific), or handoff (when there’s a natural long\-term home).
* Drive measurable impact: define success metrics up front and iterate until adoption and KPI movement are real.
* Create reusable templates, components, and playbooks so the next engagement ships faster and better.
* Partner effectively across Engineering \+ stakeholders: communicate tradeoffs, scope, rollout plans, and change management clearly.
**Role**
**🚀 The Foundation for Success \-** 
 These are the experiences and strengths that will set you up for success in this role:
* 2\+ years of professional software engineering experience shipping production systems (or equivalent).
* Strong proficiency in backend scripting language such as Ruby or Python, and comfort working across backend \+ frontend (TypeScript/JavaScript/React).
* Proven ability to deliver in ambiguity \- You can work with subject matter experts to transform messy workflows into a scoped MVP and ship it quickly.
* Hands\-on experience building with LLMs and automating workflows; strong instincts for pragmatic solution design.
* Strong communication skills and stakeholder leadership: you can run working sessions, demo clearly, drive adoption, and empathize with your internal customers.
* AI fluency (required): You retool workflows with AI, instrument outcomes, and measure impact (time saved, error reduction, adoption, throughput).
* Bonus points if you have:
+ Experience building internal tools and integrating with systems like CRM, ticketing, knowledge bases, and analytics.
+ Experience operationalizing AI workflows.
**🤝 The Homie Way \-** 
 These principles guide everything we do—from how we work and make decisions to how we show up for each other.
* 💡 Be Customer Obsessed – Solve problems with empathy and creativity.
* ⚡ Move Fast, Learn Fast – Experiment, take action, and grow every day.
* 🎯 Own Your Impact – Think big, focus on what matters, and make decisions you stand behind.
* 🏆 Master Your Craft – Excellence fuels impact—show up, step up, and make your mark.
* 🏅 Win Together – Put goals over roles, lead with trust, and connect to our mission and each other.
**What We Offer (United States)**
* 💰 Ownership \&amp; Financial Security: Stock options \+ 401(k) with 4% match
* 🏥 Comprehensive Healthcare: Medical, dental, and vision coverage \+ FSA options
* ⏰ Flexible Time: Unlimited PTO (salaried) \+ company holidays
* 👶 Family Support: Up to 12 weeks of paid parental leave (after 6 months of service)
* 🛡️ Protection Plans: Life insurance \+ short/long\-term disability coverage
* 🌟 Work Your Way: Work From Anywhere Month \+ meeting\-free weeks yearly
* 🍽️ Workspace Perks: Meals provided, commuter benefits, team offsites, and Customer Days
* 💼 Our Hybrid Rhythm: We believe collaboration drives impact. That’s why Tuesdays and Wednesdays are our required in\-office days—a time to move faster as a team, build deeper connections, make better decisions, and build together.
**What We Offer (Canada)**
* 💰 Ownership \&amp; Savings: Stock options \+ TFSA/RRSP with 4% company match
* 🏥 Health \&amp; Wellness: Comprehensive medical, dental, and vision for you and your dependents
* ⏰ Time Flexibility: Flex time off \+ company holidays \+ designated focus periods
* 👶 Family Support: Maternity/Parental Leave EI top\-up support offered (after 6 months of service)
* 🌟 Work Your Way: Work From Anywhere Month \+ meeting\-free weeks yearly
* 🛡️ Protection Plans: Life insurance \+ short/long\-term disability coverage
* 🍽️ Workspace Perks: Meals provided, team offsites, and Customer Days
* 💼 Our Hybrid Rhythm: We believe collaboration drives impact. That’s why Tuesdays and Wednesdays are our required in\-office days—a time to move faster as a team, build deeper connections, make better decisions, and build together.
**What To Expect During The Interview Process**
* Meet the Talent Acquisition team, Ryan H.
* Meet the Hiring Manager, Justin N.
* Participate in a Technical Assessment
* Meet Cross\-functional Partners
* Background Check \+ Offer Stage
* Welcome to the team, Homie 🎉
**💜 Belonging at Homebase \-** 
 We're committed to fostering a welcoming space where every Homie can be their full self. Experience comes in many forms—so if you're excited about this role, even if you don’t meet 100% of the qualifications, we encourage you to apply!
*Homebase will consider qualified applicants with criminal histories in a manner consistent with the San Francisco Fair Chance Ordinance.*
**👋 Hey, We’re Homebase**
 Unstoppable teams start here.
 Homebase is the everything app for hourly teams—built to simplify the day\-to\-day and superpower local businesses. With tools for scheduling, time clocks, payroll, communication, HR, and more, we help teams stay connected and in control. Today, over 100,000 small (but mighty) businesses rely on us to make work radically easier. Together, we’ve tracked over a billion hours for 2\.5\+ million workers—and we’re just getting started.
 At Homebase, we celebrate diversity and are proud to be an equal opportunity employer. We welcome all candidates and do not discriminate based on any legally protected status. If you need accommodations during the hiring process, please let us know—we’re committed to ensuring fair and equitable access for all.</t>
        </is>
      </c>
    </row>
    <row r="81">
      <c r="A81" t="inlineStr">
        <is>
          <t>li-4381367640</t>
        </is>
      </c>
      <c r="B81" t="inlineStr">
        <is>
          <t>Senior Machine Learning Engineer</t>
        </is>
      </c>
      <c r="C81" t="inlineStr">
        <is>
          <t>Jobright.ai</t>
        </is>
      </c>
      <c r="D81" t="inlineStr">
        <is>
          <t>linkedin</t>
        </is>
      </c>
      <c r="E81">
        <f>HYPERLINK("https://www.linkedin.com/jobs/view/4381367640", "https://www.linkedin.com/jobs/view/4381367640")</f>
        <v/>
      </c>
      <c r="F81" t="inlineStr"/>
      <c r="G81" t="inlineStr"/>
      <c r="H81" t="inlineStr"/>
      <c r="I81"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Cresta
**One\-liner:** 
 Cresta is a $1\.6B enterprise AI platform born out of the Stanford AI Lab, transforming how Fortune 500 companies run their contact centers.
 Why Join Us:
**Role Responsibilities** 
* Build and optimize agentic AI workflows that enable users to dynamically interact with and refine outputs from ML systems
* Research and implement advanced ML and NLP techniques, including transformer\-based models, embeddings, and retrieval\-augmented generation
* Develop evaluation frameworks to assess accuracy, robustness, and usability of ML/LLM models in production environments
* Design, train, and deploy machine learning models for tasks such as classification, entity identification, information extraction, retrieval, topic discovery, and structured insight generation
* Architect and optimize RAG pipelines for grounding LLMs with enterprise data to ensure accuracy and reliability
* Collaborate with engineers, UX designers, and product managers to integrate AI\-driven capabilities into Cresta’s platform
* Optimize ML pipelines and data processing systems to operate efficiently at scale
**Qualifications** 
 Required
* Master's or Ph.D. in Computer Science, Machine Learning, AI, or a related field
* 5\+ years of hands\-on experience building and deploying ML models in production
* Strong knowledge of ML frameworks and NLP libraries (e.g., PyTorch, TensorFlow, Hugging Face, spaCy, NLTK)
* Solid experience with modern ML techniques including transformer architectures, embeddings, retrieval systems, and large\-scale model training
* Experience designing and deploying Retrieval\-Augmented Generation pipelines for enterprise use cases
* Familiarity with evaluation and benchmarking frameworks for ML/LLM models
* Strong passion for AI\-driven innovation, with a proven ability to deliver impactful, production\-grade solutions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82">
      <c r="A82" t="inlineStr">
        <is>
          <t>li-4264494377</t>
        </is>
      </c>
      <c r="B82" t="inlineStr">
        <is>
          <t>Principal Machine Learning Engineer, Foundation Models</t>
        </is>
      </c>
      <c r="C82" t="inlineStr">
        <is>
          <t>Cambridge Mobile Telematics</t>
        </is>
      </c>
      <c r="D82" t="inlineStr">
        <is>
          <t>linkedin</t>
        </is>
      </c>
      <c r="E82">
        <f>HYPERLINK("https://www.linkedin.com/jobs/view/4264494377", "https://www.linkedin.com/jobs/view/4264494377")</f>
        <v/>
      </c>
      <c r="F82" t="inlineStr"/>
      <c r="G82" t="inlineStr">
        <is>
          <t>Massachusetts, United States</t>
        </is>
      </c>
      <c r="H82" t="inlineStr"/>
      <c r="I82" t="inlineStr">
        <is>
          <t>Cambridge Mobile Telematics (CMT) is the world's largest telematics service provider. Its mission is to make the world's roads and drivers safer. The company's AI\-driven platform, DriveWell Fusion®, gathers sensor data from millions of IoT devices — including smartphones, proprietary Tags, connected vehicles, dashcams, and third\-party devices — and fuses them with contextual data to create a unified view of vehicle and driver behavior. Auto insurers, automakers, commercial mobility companies, and the public sector use insights from CMT's platform to power risk assessment, safety, claims, and driver improvement programs. Headquartered in Cambridge, MA, with offices in Budapest, Chennai, Seattle, Tokyo, and Zagreb, CMT measures and protects tens of millions of drivers across the world every day.
 We are embarking on a transformative journey with DriveWell Atlas, a groundbreaking initiative to build a family of novel AIs on telematics data. As a Principal Data Scientist on the DriveWell Atlas team, you will be at the forefront of developing these next\-generation AIs. You will lead innovative projects focused on designing, pre\-training, fine\-tuning, and deploying these AIs. Your work will directly contribute to enhancing our capabilities in risk assessment, driver engagement, and crash and claims processing. This role requires a deep understanding of modern AI methods, machine learning, physics\-informed modeling, and experience with sensor data. We are not tweaking existing models for marginal gain. You will have an opportunity to build a first\-of\-its\-kind LLM from petabyte\-scale data.
 CMT is looking for a collaborative, customer\-committed, and creative
 **Principal Data Scientist I, AI** 
 who wants to join us in making roads safer by making drivers better!
**Responsibilities:** 
* Use independent judgment and discretion to lead the design, pre\-training, fine\-tuning, and deployment of novel foundation models for vehicle telematics
* Develop and implement novel algorithms for modeling both automotive physics and human driving behavior
* Pioneer advanced self\-supervised learning techniques, including the design and implementation of innovative tasks tailored to multi\-modal telematics sensor data to learn rich representations of movement and driver behavior
* Develop models robust to noise, missing data, and diverse operating conditions typical of real\-world mobile sensor and IoT datasets
* Build and manage scalable training and inference pipelines using tools like Ray, PyTorch DDP, Horovod, or similar frameworks
* Integrate these AIs into production systems while ensuring high performance and reliability
* Optimize these AIs for efficient deployment on various platforms, including cloud and edge/mobile devices
* Collaborate closely with engineering, product, and research teams to translate cutting\-edge research into impactful products and features for the DriveWell Atlas platform
* Mentor junior scientists and contribute to the broader AI/ML strategy at CMT
* Stay abreast of the latest AI advancements, evaluating and adopting emerging technologies and methodologies relevant to telematics
* Contribute to efforts in AI explainability and interpretability
* Complete any tasks as they arise
**Qualifications:** 
* Bachelor's degree or equivalent years of experience and/or certification in Artificial Intelligence, Computer Science, Electrical Engineering, Physics, Mathematics, Statistics, or a related field
* 7\+ years of professional experience in AI/ML
* 3\+ years of hands\-on experience developing and deploying foundation models, with a strong portfolio in generative AI for sequential or spatio\-temporal data
* Strong, hands\-on experience in building and training time\-series transformer architectures for complex sensor fusion and behavioral modeling tasks is required
* Deep expertise in designing pretraining tasks for self\-supervised learning on noisy, real\-world sensor data
* Proficiency in Python and common data science libraries (e.g., Pandas, NumPy, scikit\-learn)
* Extensive experience with deep learning frameworks such as PyTorch (preferred) or TensorFlow for large\-scale model training and deployment
* Solid understanding and practical experience with distributed training techniques and efficient training methodologies for large models
* Experience building and maintaining large\-scale data processing pipelines and machine learning infrastructure using tools like Spark, Airflow, Docker, and cloud platforms (e.g., AWS, GCP, Azure)
* Excellent problem\-solving skills and the ability to translate complex business problems into tractable AI\-based solutions
* Strong verbal/written communication and collaboration skills, with the ability to effectively convey complex technical concepts to diverse audiences
* Product\-focused thinking with a proven ability to deliver impactful AI solutions
**Nice to Haves:** 
* PhD or Master's degree preferred
* Experience with MLOps practices and tools for managing the lifecycle of machine learning models
* Publications in top\-tier AI/ML conferences or journals
* Familiarity with techniques for model interpretability and explainability (XAI)
* Awareness of ethical AI principles, bias detection, and mitigation strategies in machine learning models, including experience with or understanding of model guardrails
**Compensation and Benefits:** 
* Fair and competitive salary based on skills and experience, and annual performance bonus
* Equity may be awarded in the form of Restricted Stock Units (RSUs)
* Medical, Dental, Vision and Life Insurance, matching 401k, short\-term \&amp; long\-term disability and parental leave
* Unlimited Paid Time Off including vacation, sick days \&amp; public holidays
* Flexible scheduling and work from home policy depending on role and responsibilities
**Base Salary Range**
* The base salary range for this position is: $177,000 to $221,300\. This range is specifically for Cambridge, MA
**A** 
**dditional Perks:** 
* Feel great working to improve road safety around the world!
* Join one of our many employee resource groups including Black, AAPI, LGBTQIA\+, Women, Book Club and Health \&amp; Wellness
* Extensive wellness, education and employee assistance programs
* CMT will do all that is possible to support our employees and create a positive and inclusive work environment for all!
**Commitment to Diversity and Inclusion:** 
**A** 
**t CMT, we believe the best ideas come from a mix of backgrounds and perspectives.**
**We are an equal\-opportunity employer committed to creating a workplace and culture where everyone feels valued, respected, and empowered to bring their unique talents and perspectives. Diversity is essential to our success, and we actively seek candidates from all backgrounds to join** 
**our growing team.** 
*We do not discriminate based on race, religion, color, national origin, gender, sexual orientation, age,* 
*m* 
*arital status, veteran status or disability state. CMT is headquartered in Cambridge, MA. To learn more, visit www.cmtelematics.com and follow us on X @cmtelematics.*</t>
        </is>
      </c>
    </row>
    <row r="83">
      <c r="A83" t="inlineStr">
        <is>
          <t>li-4381371174</t>
        </is>
      </c>
      <c r="B83" t="inlineStr">
        <is>
          <t>AI Engineer</t>
        </is>
      </c>
      <c r="C83" t="inlineStr">
        <is>
          <t>Haystack</t>
        </is>
      </c>
      <c r="D83" t="inlineStr">
        <is>
          <t>linkedin</t>
        </is>
      </c>
      <c r="E83">
        <f>HYPERLINK("https://www.linkedin.com/jobs/view/4381371174", "https://www.linkedin.com/jobs/view/4381371174")</f>
        <v/>
      </c>
      <c r="F83">
        <f>HYPERLINK("https://us.haystackapp.io/roles/69a4124818a3fcc077dfc896?src=linkedin&amp;urlHash=21vS", "https://us.haystackapp.io/roles/69a4124818a3fcc077dfc896?src=linkedin&amp;urlHash=21vS")</f>
        <v/>
      </c>
      <c r="G83" t="inlineStr">
        <is>
          <t>Eagan, MN</t>
        </is>
      </c>
      <c r="H83" t="inlineStr"/>
      <c r="I83" t="inlineStr">
        <is>
          <t>**AI Software Engineer \| Gaithersburg, MD or Egg Harbour, NJ or Eagan, MN \| Hybrid \| $87,100 \- $157,450** 
 We're working with a global leader in mission\-critical technology and national security innovation on this exciting opportunity. Join a team modernizing the UK National Airspace System by blending traditional safety\-critical systems engineering with cutting\-edge AI\-augmented development techniques.
 This isn't about experimental prototypes; it's about applying C\+\+, Ada, and real\-time systems expertise to national infrastructure. You will be at the forefront of the "AI\-driven SDLC," using tools like Claude Code and GitHub Copilot to accelerate the delivery of high\-availability platforms where precision is the only option.
**The Role** 
 • Design and maintain real\-time software for safety\-critical air traffic management systems using C, C\+\+, and Ada.
 • Lead the integration of AI\-assisted coding tools (Claude Code, GitHub Copilot) to optimize refactoring, debugging, and automated test generation.
 • Modernize high\-availability platforms on Linux (Red Hat) environments using virtual machines and hypervisors.
 • Develop low\-level communication protocols including TCP/IP, UDP, and SCTP for complex system integration.
 • Implement "Human\-in\-the\-loop" AI workflows to ensure performance and safety in a highly regulated domain.
**What You'll Need** 
 • 4\+ years of professional software engineering experience (or 2\+ with a Master’s) with a strong background in Object\-Oriented Programming.
 • Hands\-on experience with AI\-driven development tools and Large Language Models (LLMs) such as OpenAI, Anthropic, or Google Gemini.
 • Deep proficiency in C or C\+\+ development, with additional experience in Ada preferred for mission\-critical systems.
 • Proven experience developing real\-time, multi\-threaded applications and hardware/system integration.
 • US Citizenship and the ability to obtain a Public Trust clearance are required.
**What's On Offer** 
 • Competitive salary range up to $157,450 with comprehensive health, wellness, and retirement benefits.
 • True hybrid flexibility: 3 days onsite for collaboration and 2 days remote for focused execution.
 • The chance to work on national\-scale infrastructure projects where your code directly impacts global aviation safety.
 • Access to the latest AI development tools and a culture that encourages technological disruption.
**Apply via Haystack today!**</t>
        </is>
      </c>
    </row>
    <row r="84">
      <c r="A84" t="inlineStr">
        <is>
          <t>li-4381362412</t>
        </is>
      </c>
      <c r="B84" t="inlineStr">
        <is>
          <t>AI Engineer</t>
        </is>
      </c>
      <c r="C84" t="inlineStr">
        <is>
          <t>Haystack</t>
        </is>
      </c>
      <c r="D84" t="inlineStr">
        <is>
          <t>linkedin</t>
        </is>
      </c>
      <c r="E84">
        <f>HYPERLINK("https://www.linkedin.com/jobs/view/4381362412", "https://www.linkedin.com/jobs/view/4381362412")</f>
        <v/>
      </c>
      <c r="F84">
        <f>HYPERLINK("https://us.haystackapp.io/roles/69a4124818a3fcc077dfc896?src=linkedin&amp;urlHash=21vS", "https://us.haystackapp.io/roles/69a4124818a3fcc077dfc896?src=linkedin&amp;urlHash=21vS")</f>
        <v/>
      </c>
      <c r="G84" t="inlineStr">
        <is>
          <t>Egg Harbor, NJ</t>
        </is>
      </c>
      <c r="H84" t="inlineStr"/>
      <c r="I84" t="inlineStr">
        <is>
          <t>**AI Software Engineer \| Gaithersburg, MD or Egg Harbour, NJ or Eagan, MN \| Hybrid \| $87,100 \- $157,450** 
 We're working with a global leader in mission\-critical technology and national security innovation on this exciting opportunity. Join a team modernizing the UK National Airspace System by blending traditional safety\-critical systems engineering with cutting\-edge AI\-augmented development techniques.
 This isn't about experimental prototypes; it's about applying C\+\+, Ada, and real\-time systems expertise to national infrastructure. You will be at the forefront of the "AI\-driven SDLC," using tools like Claude Code and GitHub Copilot to accelerate the delivery of high\-availability platforms where precision is the only option.
**The Role** 
 • Design and maintain real\-time software for safety\-critical air traffic management systems using C, C\+\+, and Ada.
 • Lead the integration of AI\-assisted coding tools (Claude Code, GitHub Copilot) to optimize refactoring, debugging, and automated test generation.
 • Modernize high\-availability platforms on Linux (Red Hat) environments using virtual machines and hypervisors.
 • Develop low\-level communication protocols including TCP/IP, UDP, and SCTP for complex system integration.
 • Implement "Human\-in\-the\-loop" AI workflows to ensure performance and safety in a highly regulated domain.
**What You'll Need** 
 • 4\+ years of professional software engineering experience (or 2\+ with a Master’s) with a strong background in Object\-Oriented Programming.
 • Hands\-on experience with AI\-driven development tools and Large Language Models (LLMs) such as OpenAI, Anthropic, or Google Gemini.
 • Deep proficiency in C or C\+\+ development, with additional experience in Ada preferred for mission\-critical systems.
 • Proven experience developing real\-time, multi\-threaded applications and hardware/system integration.
 • US Citizenship and the ability to obtain a Public Trust clearance are required.
**What's On Offer** 
 • Competitive salary range up to $157,450 with comprehensive health, wellness, and retirement benefits.
 • True hybrid flexibility: 3 days onsite for collaboration and 2 days remote for focused execution.
 • The chance to work on national\-scale infrastructure projects where your code directly impacts global aviation safety.
 • Access to the latest AI development tools and a culture that encourages technological disruption.
**Apply via Haystack today!**</t>
        </is>
      </c>
    </row>
    <row r="85">
      <c r="A85" t="inlineStr">
        <is>
          <t>li-4381369611</t>
        </is>
      </c>
      <c r="B85" t="inlineStr">
        <is>
          <t>Founding AI Engineer</t>
        </is>
      </c>
      <c r="C85" t="inlineStr">
        <is>
          <t>Jobright.ai</t>
        </is>
      </c>
      <c r="D85" t="inlineStr">
        <is>
          <t>linkedin</t>
        </is>
      </c>
      <c r="E85">
        <f>HYPERLINK("https://www.linkedin.com/jobs/view/4381369611", "https://www.linkedin.com/jobs/view/4381369611")</f>
        <v/>
      </c>
      <c r="F85" t="inlineStr"/>
      <c r="G85" t="inlineStr">
        <is>
          <t>Seattle, WA</t>
        </is>
      </c>
      <c r="H85" t="inlineStr"/>
      <c r="I85" t="inlineStr">
        <is>
          <t>This role is part of the Jobright TNT \- the private hiring network connecting top talent with top AI startups like Perplexity, Mercor, Cresta, Suno and 150 more.
 This is not a mass job posting. Only select, high\-signal candidates are invited to Jobright TNT and recommended directly to hiring teams
 Hiring Company: Nexhelm AI
 One\-liner: Nexhelm AI is building an AI digital coworker for wealth management firms, aiming to reduce manual effort and improve accuracy.
 Why Join Us:
 Role Responsibilities
 • Build and optimize agentic systems for financial business domain knowledge, task automation and decision support
 • Design and implement data pipelines, memory systems, and contextual planning logic
 • Prototype fast, test in production, and ship features that directly impact users
 • Own infrastructure for evaluating model performance, latency, and reliability
 • Collaborate closely with the CTO and founding team on architecture, product decisions, and go\-to\-market fit
 Qualifications
 Required
 • Strong software engineer with 3–5\+ years of experience, ideally with a focus in ML, NLP, or AI systems
 • Hands\-on experience with LLMs and agentic frameworks (i.e. LangGraph), prompt engineering, fine\-tuning, or vector DBs (e.g., Weaviate, Pinecone)
 • Experience building and scaling software systems in production
 • You think in systems and care deeply about both performance and usability
 • Startup\-ready: you move fast, have strong ownership, and can thrive in ambiguity
 Preferred
 • Experience with enterprise SaaS, productivity tools, or knowledge workflows
 • DevOps familiarity: Docker, cloud infrastructure, CI/CD, observability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2026-03-07T17:28:01Z</dcterms:created>
  <dcterms:modified xsi:type="dcterms:W3CDTF">2026-03-07T17:28:01Z</dcterms:modified>
</cp:coreProperties>
</file>