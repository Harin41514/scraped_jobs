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in-91cc98bb9e0d001b</t>
        </is>
      </c>
      <c r="B2" t="inlineStr">
        <is>
          <t>Cleared Senior Software Engineer</t>
        </is>
      </c>
      <c r="C2" t="inlineStr">
        <is>
          <t>Dhara Consulting Group</t>
        </is>
      </c>
      <c r="D2" t="inlineStr">
        <is>
          <t>indeed</t>
        </is>
      </c>
      <c r="E2" t="inlineStr"/>
      <c r="F2" t="inlineStr"/>
      <c r="G2" t="inlineStr">
        <is>
          <t>Chantilly, VA, US</t>
        </is>
      </c>
      <c r="H2" s="1" t="n">
        <v>46087</v>
      </c>
      <c r="I2" t="inlineStr">
        <is>
          <t>Posted today
Top Secret
Unspecified
Unspecified
IT \- Software
Chantilly, VA (On\-Site/Office)
General Atomics Integrated Intelligence Inc. (GA\-Intelligence) develops cutting\-edge software solutions that transform raw data into actionable intelligence. We specialize in real\-time global situational awareness and battle management, processing petabytes of data from hundreds of sources across air, land, and sea. Our systems\-including the widely used THRESHER and DRAGONSPELL platforms\-support tens of thousands of users at all levels of the DoD and Intelligence Community and enable critical decision\-making for national security missions.  
We process hundreds of thousands of observations per minute, operating at the scale of global sensor networks and battlefield telemetry. Our backend architecture leverages technologies like Kafka, AWS, NiFi, and GeoMesa\-the latter of which we designed and open\-sourced\-to deliver high\-throughput, mission\-resilient systems that turn streaming data into real\-time intelligence.  
Why GA\-Intelligence?  
At GA\-Intelligence, we're not chasing hype or building throwaway demos\-we're solving complex, mission\-critical problems that matter. Unlike younger firms chasing the next funding round, we've spent decades earning the trust of our users and delivering systems they rely on every day. And unlike traditional defense contractors, we're nimble, privately held, and able to make long\-term decisions in the best interest of our customers and our country\-not quarterly earnings reports.  
Our users love our software. Our customers come back because we deliver. And our engineers stay because they get to work on real problems, with real impact, alongside people who care.  
If you're looking for a place where engineering excellence meets enduring mission, GA\-I3 is where you belong.  
**What You'll Do**  
We are seeking Backend Software Engineers to help build the next generation of global situational awareness and battle orchestration capabilities. You'll collaborate with cross\-functional teams\-including UI/UX engineers, mission engineers, data scientists, and product owners\-to design and deliver software that is performant, scalable, and tailored to complex user needs.  
Whether you're integrating multi\-source data, optimizing backend services, or shaping how insights reach the end user, your work will directly support operational missions that have real\-world impact.  
**What We Believe**  
These values weren't crafted in a branding session\-they were observed and articulated after 35 years of building software that matters. They reflect how we work, what we value in each other, and the kind of impact we want to have. At GA\-Intelligence, they aren't aspirational\-they're how we operate.  
* Solving Meaningful Challenges \- Building mission\-driven technology that makes a difference
* Collaborative Culture \- Working as a team to push boundaries and innovate
* Technical Excellence \- Encouraging continuous learning, curiosity, and efficiency
* Idea Meritocracy \- Valuing ideas based on impact, not hierarchy
If these principles resonate with you\-not just in theory, but in daily practice\-you'll find yourself at home here.  
**DUTIES AND RESPONSIBILITIES:**  
Senior engineers at GA\-Intelligence are technical leaders who drive strategy, architecture, and delivery across complex projects. You'll guide teams in designing scalable systems, ensure high engineering standards, and play a key role in shaping long\-term technical direction. In addition to building and maintaining critical backend infrastructure, you'll serve as a mentor, decision\-maker, and trusted voice both within the team and with external stakeholders.* Lead development activities
	+ Lead the successful design, implementation, and delivery of high\-impact backend software solutions
	+ Guide long\-term planning efforts and influence technical roadmaps for backend services and system architecture so they align with organizational goals, operational requirements, and product strategy
* Collaborate externally
	+ Represent GA\-I3 as a senior technical point of contact for customers, partners, and other engineering teams
	+ Coordinate software deployments and upgrades across distributed environments, including DoD and IC networks
	+ Evaluate and implement cross\-platform deployment strategies, ensuring compliance with integration and security standards
	+ Collaborate with internal and external stakeholders on high\-visibility technical initiatives that span multiple teams and domains
* Engineer performant solutions
	+ Contribute to system\-wide performance tuning and reliability improvements, identifying architectural risks and proposing mitigation strategies
* Build the team
	+ Develop mentoring structures and contribute to onboarding, skill development, and growth paths for less experienced engineers
	+ Mentor mid\-level and junior engineers, fostering a culture of continuous learning, ownership, and technical excellence
	+ Provide technical leadership across the full development lifecycle, including design reviews, coding standards, and testing practices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related discipline and progressive software development experience as follows; six or more years of experience with a bachelors degree, four or more years of experience with a masters degree, or two or more years with a PhD. May substitute equivalent experience in lieu of education.
* Deep expertise in Java and/or other backend languages (e.g., Scala, Go)
* Demonstrated technical leadership in cross\-functional engineering efforts
* Strong written and verbal communication skills, including experience working directly with customers or stakeholders
**PREFERRED SKILLS AND QUALIFICATIONS:**  
* Proven experience architecting and scaling distributed systems
* Deep expertise in backend architecture, distributed systems, and service design
* Experience with performance tuning and high\-availability system design
* Familiarity with Kafka, NiFi, GeoMesa, AWS, or other cloud\-native technologies
* Experience leading incident response, root cause analysis, and operational improvements
* Ability to interface directly with customers and senior stakeholders
* Experience working in the DoD or Intelligence Community
**GROUP ID:** 10414685</t>
        </is>
      </c>
    </row>
    <row r="3">
      <c r="A3" t="inlineStr">
        <is>
          <t>in-8d0c0eb7ea5941d9</t>
        </is>
      </c>
      <c r="B3" t="inlineStr">
        <is>
          <t>Software Engineer Senior- Member Experience Intelligence and Observability</t>
        </is>
      </c>
      <c r="C3" t="inlineStr">
        <is>
          <t>USAA</t>
        </is>
      </c>
      <c r="D3" t="inlineStr">
        <is>
          <t>indeed</t>
        </is>
      </c>
      <c r="E3" t="inlineStr"/>
      <c r="F3" t="inlineStr"/>
      <c r="G3" t="inlineStr">
        <is>
          <t>San Antonio, TX, US</t>
        </is>
      </c>
      <c r="H3" s="1" t="n">
        <v>46086</v>
      </c>
      <c r="I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Sr. Software Engineer that will play a pivotal role in developing foundational capabilities for member experience insights. Leveraging your deep expertise in software development, root cause analysis, and observability engineering, you will design, build, and maintain cutting\-edge platforms. This position offers the opportunity to thrive in complex, distributed systems, driving real\-time business and operational insights through telemetry and observability practices. You will contribute to building core root cause analysis capabilities and managing them across our cloud environments. If you are passionate about transforming data into actionable insights and are eager to collaborate with architects, product owners, and fellow engineers in a mission\-driven organization, we encourage you to apply.
We offer a flexible work environment that requires an individual to be **in the office 4 days per week.** This position can be based in one of the following locations: San Antonio, TX, Plano, TX, or Phoenix, AZ. Relocation assistance is **not** available for this position.
**What you'll do:**
-------------------
* Design, develop, code, and test complex tactical as well as strategic technical solutions across many technologies, including emerging technologies, to integrate existing systems and tools, collaborating with Engineers or Architects within their team/department and occasionally outside of their domain.
* Lead code/design reviews and communicates updates to stakeholders with team to ensure smooth daily operations and accurate planning.
* Develop complex algorithms to solve business needs.
* Investigates and resolves complex application and system technical problems and production issues by directing troubleshooting of end\-to\-end solutions.
* Mentors engineers, coaches engineers on design, development, and maintenance of systems; Reviews teammates’ code.
* Influence and help shape the future of their specific domain's architecture and quality standards and understand, identify, measure across entire solution.
* Identify system performance issues, to include technical debt, and optimize solution.
* Ensures risks associated with business activities are effectively identified, measured, monitored, and controlled in accordance with risk and compliance policies and procedures.
**What you have:**
* Bachelor’s Degree or 4 additional years of experience beyond the minimum requirement can be used in lieu of a degree.
* 6 years of software development experience demonstrating depth of technical understanding within a specific discipline(s)/technology(s).
* 4 years of experience delivering technology solutions in all phases of the software systems and application development lifecycle to include leading code/design reviews.
* Basic Understanding of one or more of the following: Java, Swift, Objective\-C, Cobol, JavaScript, Kotlin, C\+\+, HTML, CSS, SQL, Go, and Python
* Demonstrated experience researching technical issues and generating creative/innovative solutions.
* Demonstrated experience addressing production issues by troubleshooting applications and systems.
* Experience articulating technical challenges and solutions.
* Demonstrate strong knowledge of security coding practices and secure system fundamentals.
* Demonstrated experience working with cloud technologies and tools.
**What sets you apart:**
* Deep Expertise in Software Development: Proven ability to design, build, and maintain complex software platforms, with a strong foundation in coding languages such as Python, Go, and Java.
* Root Cause Analysis (RCA) and Observability Engineering: Demonstrated experience in identifying the root causes of issues through systematic debugging, log analysis, and performance profiling, and leveraging observability platforms (e.g., Datadog, Elastic) to ensure system health and performance.
* Cloud Computing Proficiency (AWS Focus): Strong understanding and practical experience with core AWS services (EC2, S3, Lambda, DynamoDB), and familiarity with deploying and managing applications in both public and private cloud environments. Experience with AWS Bedrock and Bedrock Agents is a plus.
* Data Management and Database Skills: Mastery of SQL, including complex joins, indexing, and query optimization. Proficient in data modeling, schema design, and performance tuning of databases.
* Agile Development and Collaboration: Experience working effectively in agile environments, collaborating closely with architects, product owners, scrum masters, and other team members to deliver high\-quality software components.
* Complex Distributed Systems Experience: Ability to thrive in and manage complex, distributed systems, understanding the interplay of business and operational telemetry to derive real\-time insights.
**Compensation range:** The salary range for this position is: $114,080\.00 \- $218,030\.00**.**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4">
      <c r="A4" t="inlineStr">
        <is>
          <t>in-1a175fe609b5a30c</t>
        </is>
      </c>
      <c r="B4" t="inlineStr">
        <is>
          <t>Software Engineer</t>
        </is>
      </c>
      <c r="C4" t="inlineStr">
        <is>
          <t>Amazon.com</t>
        </is>
      </c>
      <c r="D4" t="inlineStr">
        <is>
          <t>indeed</t>
        </is>
      </c>
      <c r="E4" t="inlineStr"/>
      <c r="F4" t="inlineStr"/>
      <c r="G4" t="inlineStr">
        <is>
          <t>San Francisco, CA, US</t>
        </is>
      </c>
      <c r="H4" s="1" t="n">
        <v>46008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in-f559181a626a22bd</t>
        </is>
      </c>
      <c r="B5" t="inlineStr">
        <is>
          <t>Software Engineer</t>
        </is>
      </c>
      <c r="C5" t="inlineStr">
        <is>
          <t>Amazon.com</t>
        </is>
      </c>
      <c r="D5" t="inlineStr">
        <is>
          <t>indeed</t>
        </is>
      </c>
      <c r="E5" t="inlineStr"/>
      <c r="F5" t="inlineStr"/>
      <c r="G5" t="inlineStr">
        <is>
          <t>Seattle, WA, US</t>
        </is>
      </c>
      <c r="H5" s="1" t="n">
        <v>46008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in-6756c2d993c86b4e</t>
        </is>
      </c>
      <c r="B6" t="inlineStr">
        <is>
          <t>Software Engineer II</t>
        </is>
      </c>
      <c r="C6" t="inlineStr">
        <is>
          <t>Amazon.com</t>
        </is>
      </c>
      <c r="D6" t="inlineStr">
        <is>
          <t>indeed</t>
        </is>
      </c>
      <c r="E6" t="inlineStr"/>
      <c r="F6" t="inlineStr"/>
      <c r="G6" t="inlineStr">
        <is>
          <t>San Francisco, CA, US</t>
        </is>
      </c>
      <c r="H6" s="1"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in-1c7d51d1f28e3a99</t>
        </is>
      </c>
      <c r="B7" t="inlineStr">
        <is>
          <t>Software Engineer II</t>
        </is>
      </c>
      <c r="C7" t="inlineStr">
        <is>
          <t>Amazon.com</t>
        </is>
      </c>
      <c r="D7" t="inlineStr">
        <is>
          <t>indeed</t>
        </is>
      </c>
      <c r="E7" t="inlineStr"/>
      <c r="F7" t="inlineStr"/>
      <c r="G7" t="inlineStr">
        <is>
          <t>Irvine, CA, US</t>
        </is>
      </c>
      <c r="H7" s="1" t="n">
        <v>45938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in-79c4df3f94f4e64b</t>
        </is>
      </c>
      <c r="B8" t="inlineStr">
        <is>
          <t>Software Engineer II</t>
        </is>
      </c>
      <c r="C8" t="inlineStr">
        <is>
          <t>Amazon.com</t>
        </is>
      </c>
      <c r="D8" t="inlineStr">
        <is>
          <t>indeed</t>
        </is>
      </c>
      <c r="E8" t="inlineStr"/>
      <c r="F8" t="inlineStr"/>
      <c r="G8" t="inlineStr">
        <is>
          <t>Irvine, CA, US</t>
        </is>
      </c>
      <c r="H8" s="1"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in-190c96476a8bc31d</t>
        </is>
      </c>
      <c r="B9" t="inlineStr">
        <is>
          <t>Software Engineer II</t>
        </is>
      </c>
      <c r="C9" t="inlineStr">
        <is>
          <t>Amazon.com</t>
        </is>
      </c>
      <c r="D9" t="inlineStr">
        <is>
          <t>indeed</t>
        </is>
      </c>
      <c r="E9" t="inlineStr"/>
      <c r="F9" t="inlineStr"/>
      <c r="G9" t="inlineStr">
        <is>
          <t>Culver City, CA, US</t>
        </is>
      </c>
      <c r="H9" s="1"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in-0889070968b4c700</t>
        </is>
      </c>
      <c r="B10" t="inlineStr">
        <is>
          <t>Software Engineer II</t>
        </is>
      </c>
      <c r="C10" t="inlineStr">
        <is>
          <t>Amazon.com</t>
        </is>
      </c>
      <c r="D10" t="inlineStr">
        <is>
          <t>indeed</t>
        </is>
      </c>
      <c r="E10" t="inlineStr"/>
      <c r="F10" t="inlineStr"/>
      <c r="G10" t="inlineStr">
        <is>
          <t>San Francisco, CA, US</t>
        </is>
      </c>
      <c r="H10" s="1"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in-0bb99d1b73d98b81</t>
        </is>
      </c>
      <c r="B11" t="inlineStr">
        <is>
          <t>Software Engineer II</t>
        </is>
      </c>
      <c r="C11" t="inlineStr">
        <is>
          <t>Amazon.com</t>
        </is>
      </c>
      <c r="D11" t="inlineStr">
        <is>
          <t>indeed</t>
        </is>
      </c>
      <c r="E11" t="inlineStr"/>
      <c r="F11" t="inlineStr"/>
      <c r="G11" t="inlineStr">
        <is>
          <t>San Francisco, CA, US</t>
        </is>
      </c>
      <c r="H11" s="1" t="n">
        <v>45921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in-6fe26e31c459d226</t>
        </is>
      </c>
      <c r="B12" t="inlineStr">
        <is>
          <t>Software Engineer II</t>
        </is>
      </c>
      <c r="C12" t="inlineStr">
        <is>
          <t>Amazon.com</t>
        </is>
      </c>
      <c r="D12" t="inlineStr">
        <is>
          <t>indeed</t>
        </is>
      </c>
      <c r="E12" t="inlineStr"/>
      <c r="F12" t="inlineStr"/>
      <c r="G12" t="inlineStr">
        <is>
          <t>Irvine, CA, US</t>
        </is>
      </c>
      <c r="H12" s="1" t="n">
        <v>45921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in-050dbbf453ca2748</t>
        </is>
      </c>
      <c r="B13" t="inlineStr">
        <is>
          <t>Software Engineer I- Ad Demand</t>
        </is>
      </c>
      <c r="C13" t="inlineStr">
        <is>
          <t>Amazon.com</t>
        </is>
      </c>
      <c r="D13" t="inlineStr">
        <is>
          <t>indeed</t>
        </is>
      </c>
      <c r="E13" t="inlineStr"/>
      <c r="F13" t="inlineStr"/>
      <c r="G13" t="inlineStr">
        <is>
          <t>San Francisco, CA, US</t>
        </is>
      </c>
      <c r="H13" s="1" t="n">
        <v>45908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in-c37e1869930fddab</t>
        </is>
      </c>
      <c r="B14" t="inlineStr">
        <is>
          <t>Software Engineer I- Ad Demand</t>
        </is>
      </c>
      <c r="C14" t="inlineStr">
        <is>
          <t>Amazon.com</t>
        </is>
      </c>
      <c r="D14" t="inlineStr">
        <is>
          <t>indeed</t>
        </is>
      </c>
      <c r="E14" t="inlineStr"/>
      <c r="F14" t="inlineStr"/>
      <c r="G14" t="inlineStr">
        <is>
          <t>New York, NY, US</t>
        </is>
      </c>
      <c r="H14" s="1" t="n">
        <v>45908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in-de2ddb927aa5cbec</t>
        </is>
      </c>
      <c r="B15" t="inlineStr">
        <is>
          <t>Senior Software Engineer, Twitch</t>
        </is>
      </c>
      <c r="C15" t="inlineStr">
        <is>
          <t>Amazon.com</t>
        </is>
      </c>
      <c r="D15" t="inlineStr">
        <is>
          <t>indeed</t>
        </is>
      </c>
      <c r="E15" t="inlineStr"/>
      <c r="F15" t="inlineStr"/>
      <c r="G15" t="inlineStr">
        <is>
          <t>Seattle, WA, US</t>
        </is>
      </c>
      <c r="H15" s="1" t="n">
        <v>45995</v>
      </c>
      <c r="I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in-57db1ccf7a2dc81c</t>
        </is>
      </c>
      <c r="B16" t="inlineStr">
        <is>
          <t>Senior Software Engineer, Twitch</t>
        </is>
      </c>
      <c r="C16" t="inlineStr">
        <is>
          <t>Amazon.com</t>
        </is>
      </c>
      <c r="D16" t="inlineStr">
        <is>
          <t>indeed</t>
        </is>
      </c>
      <c r="E16" t="inlineStr"/>
      <c r="F16" t="inlineStr"/>
      <c r="G16" t="inlineStr">
        <is>
          <t>San Francisco, CA, US</t>
        </is>
      </c>
      <c r="H16" s="1" t="n">
        <v>45995</v>
      </c>
      <c r="I1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in-ae9ba41fc4705d60</t>
        </is>
      </c>
      <c r="B17" t="inlineStr">
        <is>
          <t>Sr. Software Engineer, Manager</t>
        </is>
      </c>
      <c r="C17" t="inlineStr">
        <is>
          <t>Amazon.com</t>
        </is>
      </c>
      <c r="D17" t="inlineStr">
        <is>
          <t>indeed</t>
        </is>
      </c>
      <c r="E17" t="inlineStr"/>
      <c r="F17" t="inlineStr"/>
      <c r="G17" t="inlineStr">
        <is>
          <t>Irvine, CA, US</t>
        </is>
      </c>
      <c r="H17" s="1" t="n">
        <v>46006</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
      <c r="A18" t="inlineStr">
        <is>
          <t>in-bebb8fa4a9485bba</t>
        </is>
      </c>
      <c r="B18" t="inlineStr">
        <is>
          <t>Sr. Software Engineer, Manager</t>
        </is>
      </c>
      <c r="C18" t="inlineStr">
        <is>
          <t>Amazon.com</t>
        </is>
      </c>
      <c r="D18" t="inlineStr">
        <is>
          <t>indeed</t>
        </is>
      </c>
      <c r="E18" t="inlineStr"/>
      <c r="F18" t="inlineStr"/>
      <c r="G18" t="inlineStr">
        <is>
          <t>Seattle, WA, US</t>
        </is>
      </c>
      <c r="H18" s="1" t="n">
        <v>46006</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9">
      <c r="A19" t="inlineStr">
        <is>
          <t>in-6c4799ee075b4f4b</t>
        </is>
      </c>
      <c r="B19" t="inlineStr">
        <is>
          <t>Sr. Software Engineer, Manager</t>
        </is>
      </c>
      <c r="C19" t="inlineStr">
        <is>
          <t>Amazon.com</t>
        </is>
      </c>
      <c r="D19" t="inlineStr">
        <is>
          <t>indeed</t>
        </is>
      </c>
      <c r="E19" t="inlineStr"/>
      <c r="F19" t="inlineStr"/>
      <c r="G19" t="inlineStr">
        <is>
          <t>San Francisco, CA, US</t>
        </is>
      </c>
      <c r="H19" s="1" t="n">
        <v>46006</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0">
      <c r="A20" t="inlineStr">
        <is>
          <t>in-d9dd859a5f7631df</t>
        </is>
      </c>
      <c r="B20" t="inlineStr">
        <is>
          <t>Sr. Software Engineer, Manager</t>
        </is>
      </c>
      <c r="C20" t="inlineStr">
        <is>
          <t>Amazon.com</t>
        </is>
      </c>
      <c r="D20" t="inlineStr">
        <is>
          <t>indeed</t>
        </is>
      </c>
      <c r="E20" t="inlineStr"/>
      <c r="F20" t="inlineStr"/>
      <c r="G20" t="inlineStr">
        <is>
          <t>New York, NY, US</t>
        </is>
      </c>
      <c r="H20" s="1"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in-e4ed1483d4cfedbd</t>
        </is>
      </c>
      <c r="B21" t="inlineStr">
        <is>
          <t>Sr. Software Engineer, Manager</t>
        </is>
      </c>
      <c r="C21" t="inlineStr">
        <is>
          <t>Amazon.com</t>
        </is>
      </c>
      <c r="D21" t="inlineStr">
        <is>
          <t>indeed</t>
        </is>
      </c>
      <c r="E21" t="inlineStr"/>
      <c r="F21" t="inlineStr"/>
      <c r="G21" t="inlineStr">
        <is>
          <t>Culver City, CA, US</t>
        </is>
      </c>
      <c r="H21" s="1"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in-cb8b90271f7b2936</t>
        </is>
      </c>
      <c r="B22" t="inlineStr">
        <is>
          <t>Software Engineer, Monetization ML</t>
        </is>
      </c>
      <c r="C22" t="inlineStr">
        <is>
          <t>Amazon.com</t>
        </is>
      </c>
      <c r="D22" t="inlineStr">
        <is>
          <t>indeed</t>
        </is>
      </c>
      <c r="E22" t="inlineStr"/>
      <c r="F22" t="inlineStr"/>
      <c r="G22" t="inlineStr">
        <is>
          <t>New York, NY, US</t>
        </is>
      </c>
      <c r="H22" s="1" t="n">
        <v>45944</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3">
      <c r="A23" t="inlineStr">
        <is>
          <t>in-235d8c1a44eb8ed8</t>
        </is>
      </c>
      <c r="B23" t="inlineStr">
        <is>
          <t>Software Engineer, Monetization ML</t>
        </is>
      </c>
      <c r="C23" t="inlineStr">
        <is>
          <t>Amazon.com</t>
        </is>
      </c>
      <c r="D23" t="inlineStr">
        <is>
          <t>indeed</t>
        </is>
      </c>
      <c r="E23" t="inlineStr"/>
      <c r="F23" t="inlineStr"/>
      <c r="G23" t="inlineStr">
        <is>
          <t>Seattle, WA, US</t>
        </is>
      </c>
      <c r="H23" s="1" t="n">
        <v>45944</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4">
      <c r="A24" t="inlineStr">
        <is>
          <t>in-2620310d819fdfc9</t>
        </is>
      </c>
      <c r="B24" t="inlineStr">
        <is>
          <t>Staff Software Engineer, Tax Product Development</t>
        </is>
      </c>
      <c r="C24" t="inlineStr">
        <is>
          <t>BDO</t>
        </is>
      </c>
      <c r="D24" t="inlineStr">
        <is>
          <t>indeed</t>
        </is>
      </c>
      <c r="E24" t="inlineStr"/>
      <c r="F24" t="inlineStr"/>
      <c r="G24" t="inlineStr">
        <is>
          <t>Denver, CO, US</t>
        </is>
      </c>
      <c r="H24" s="1" t="n">
        <v>46087</v>
      </c>
      <c r="I24" t="inlineStr">
        <is>
          <t>**Job Summary:**
The Staff Software Engineer provides technical leadership and hands\-on software development for BDO Tax products and platforms, including AI\-enabled solutions supporting Partnership, Direct Tax (Business Tax), Indirect Tax, and Dynamics/ERP integrations. This role designs, builds, and maintains scalable services and user experiences, establishes engineering standards, and drives delivery excellence through Agile and Lean practices. Responsibilities include solution architecture, secure coding, code reviews, CI/CD enablement, staffing, and operational readiness through observability and automation. The position partners with product, design, QA, and DevOps to define technical roadmaps, reduce cycle time, and improve reliability. The role supports responsible AI\-enabled software development, including LLM\-based capabilities and agent workflows, with governance\-aligned evaluation, safety considerations, and data protection controls.
**Job Duties:**
• Leads the design and implementation of software features and platform capabilities for BDO Tax products, including integration patterns for Dynamics/ERP/3rd party tax and accounting systems
• Provides technical direction on architecture, code structure, scalability, and reliability for services, APIs, and user\-facing applications
• Develops and maintains backend services and REST APIs using modern engineering practices, including versioning, backward compatibility, and resilience patterns
• Develops and maintains UI components and workflows aligned to product requirements and accessibility standards
• Builds AI\-enabled product capabilities using approved platforms and patterns, including LLM\-based features and agent workflows, while adhering to responsible AI standards and governance controls
• Establishes and enforces engineering standards through code reviews, design reviews, and reference implementations
• Embeds themselves within agile teams to refine requirements, define technical approaches, estimate work, and deliver incrementally using Lean principles
• Improves developer productivity by creating reusable libraries, templates, and internal tooling
• Implements automated testing practices, including unit, integration, and end\-to\-end tests, and partner with QA to ensure comprehensive coverage
• Builds and maintains CI/CD pipelines and release automation with quality gates, security scanning, and environment promotion controls
• Implements observability standards including structured logging, metrics, tracing, and actionable alerting for production support
• Performs performance and reliability engineering activities including profiling, capacity planning inputs, and incident root cause analysis
• Other duties as required  
**Supervisory Responsibilities:**  
• Mentors engineers through pairing, technical coaching, and feedback on design and implementation quality
• Acts as a direct supervisor to team members, as assigned
• Acts as a Career Advisor to team members, as assigned
**Qualifications, Knowledge, Skills, and Abilities:**
**Education:**  
· High school diploma, GED, or equivalent, required
· Bachelor's degree, with a focus in Computer Science, Technology, Engineering, Mathematics (STEM), Finance, or Accounting, preferred
**Experience:**  
· Ten (10\) or more years of progressive software engineering experience delivering enterprise software products, required
· Five (5\) or more years of building and maintaining production\-grade services and APIs using C\#/.NET or Java, required
· Three (3\) or more years of providing technical leadership through design reviews, code reviews, and engineering standards, preferred
· Three (3\) or more years of delivering solutions using Agile delivery methods with applied Lean principles and continuous improvement practices, preferred
· Three (3\) or more years of building CI/CD pipelines and release automation supporting frequent deployments, preferred
· Two (2\) or more years of developing AI\-enabled software solutions using LLMs and agentic workflows, including evaluation methods and governance\-aligned safety controls, preferred
· Experience integrating with enterprise platforms and business systems, including Dynamics/ERP integrations. preferred
· Experience delivering tax domain platforms supporting Partnership, Direct Tax (Business Tax), or Indirect Tax, preferred
**License/Certifications:**  
· Microsoft Certified: Azure Developer Associate or AZ\-900, preferred
· Microsoft Certified: Azure AI Engineer Associate, preferred
· Certified ScrumMaster (CSM) or Professional Scrum Master (PSM I), preferred
**Software:**  
· Experience with one (1\) or more of the following products, preferred:
· Microsoft Office Suite
· Microsoft Azure DevOps or GitHub
· Microsoft SQL Server and/or Azure SQL DB
· Proficient in the use of Microsoft Office Suite, preferred
· Extensive knowledge of cloud platforms (Azure, AWS GCP), AI platforms like OpenAI, Anthropic, DevOps practices, CI/CD pipelines, containerization (Docker, Kubernetes), and database technologies (SQL, NoSQL), preferred
· Expertise in multiple programming languages (e.g., C\#, .NET, JavaScript/TypeScript, Python) and frameworks, preferred
**Language:**  
· N/A
**Other Knowledge, Skills, \&amp; Abilities:**  
· Ability to work well in hybrid and remote environments
· Solid verbal and written communication skills
· Strong interpersonal skills, including training/instruction with professionals at all levels
· Sound decision\-making skills
· Ability to lead and manage a team
· Ability to complete projects independently
· Strong analytical and problem\-solving abilities, with a focus on delivering practical and innovative solutions
· Strong ability to translate business outcomes into technical designs, delivery plans, and measurable engineering goals
· Strong knowledge of secure software development practices, including threat modeling and vulnerability remediation
· Strong understanding of Agile engineering practices, including trunk\-based development, CI, and iterative delivery  
Individual salaries that are offered to a candidate are determined after consideration of numerous factors including but not limited to the candidate’s qualifications, experience, skills, and geography.
National Range: $200,000 \-$285,000
Maryland Range: $200,000 \-$285,000
NYC/Long Island/Westchester Range: $200,000 \-$285,000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t>
        </is>
      </c>
    </row>
    <row r="25">
      <c r="A25" t="inlineStr">
        <is>
          <t>in-13f12b10b3ea83b7</t>
        </is>
      </c>
      <c r="B25" t="inlineStr">
        <is>
          <t>Embedded Software Engineer, Annapurna ML Software</t>
        </is>
      </c>
      <c r="C25" t="inlineStr">
        <is>
          <t>Amazon Web Services</t>
        </is>
      </c>
      <c r="D25" t="inlineStr">
        <is>
          <t>indeed</t>
        </is>
      </c>
      <c r="E25" t="inlineStr"/>
      <c r="F25" t="inlineStr"/>
      <c r="G25" t="inlineStr">
        <is>
          <t>Austin, TX, US</t>
        </is>
      </c>
      <c r="H25" s="1" t="n">
        <v>46084</v>
      </c>
      <c r="I25"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6">
      <c r="A26" t="inlineStr">
        <is>
          <t>in-2e7b8b5c0148983b</t>
        </is>
      </c>
      <c r="B26" t="inlineStr">
        <is>
          <t>Embedded Software Engineer, Annapurna ML Software</t>
        </is>
      </c>
      <c r="C26" t="inlineStr">
        <is>
          <t>Amazon Web Services</t>
        </is>
      </c>
      <c r="D26" t="inlineStr">
        <is>
          <t>indeed</t>
        </is>
      </c>
      <c r="E26" t="inlineStr"/>
      <c r="F26" t="inlineStr"/>
      <c r="G26" t="inlineStr">
        <is>
          <t>Cupertino, CA, US</t>
        </is>
      </c>
      <c r="H26" s="1" t="n">
        <v>46084</v>
      </c>
      <c r="I26"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7">
      <c r="A27" t="inlineStr">
        <is>
          <t>in-7e1e1b006618f6b5</t>
        </is>
      </c>
      <c r="B27" t="inlineStr">
        <is>
          <t>Sr Embedded Software Engineer, Annapurna ML Software</t>
        </is>
      </c>
      <c r="C27" t="inlineStr">
        <is>
          <t>Amazon Web Services</t>
        </is>
      </c>
      <c r="D27" t="inlineStr">
        <is>
          <t>indeed</t>
        </is>
      </c>
      <c r="E27" t="inlineStr"/>
      <c r="F27" t="inlineStr"/>
      <c r="G27" t="inlineStr">
        <is>
          <t>Austin, TX, US</t>
        </is>
      </c>
      <c r="H27" s="1" t="n">
        <v>46070</v>
      </c>
      <c r="I2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28">
      <c r="A28" t="inlineStr">
        <is>
          <t>in-30f557fac37bf152</t>
        </is>
      </c>
      <c r="B28" t="inlineStr">
        <is>
          <t>Sr Embedded Software Engineer, Annapurna ML Software</t>
        </is>
      </c>
      <c r="C28" t="inlineStr">
        <is>
          <t>Amazon Web Services</t>
        </is>
      </c>
      <c r="D28" t="inlineStr">
        <is>
          <t>indeed</t>
        </is>
      </c>
      <c r="E28" t="inlineStr"/>
      <c r="F28" t="inlineStr"/>
      <c r="G28" t="inlineStr">
        <is>
          <t>Cupertino, CA, US</t>
        </is>
      </c>
      <c r="H28" s="1" t="n">
        <v>46070</v>
      </c>
      <c r="I2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29">
      <c r="A29" t="inlineStr">
        <is>
          <t>in-7e4e2ae841a0e1cc</t>
        </is>
      </c>
      <c r="B29" t="inlineStr">
        <is>
          <t>Senior Backend Engineer - Startup</t>
        </is>
      </c>
      <c r="C29" t="inlineStr">
        <is>
          <t>PROJITT LLC</t>
        </is>
      </c>
      <c r="D29" t="inlineStr">
        <is>
          <t>indeed</t>
        </is>
      </c>
      <c r="E29" t="inlineStr"/>
      <c r="F29" t="inlineStr"/>
      <c r="G29" t="inlineStr">
        <is>
          <t>Remote, US</t>
        </is>
      </c>
      <c r="H29" s="1" t="n">
        <v>46088</v>
      </c>
      <c r="I29" t="inlineStr">
        <is>
          <t>**Full job description**
We’re looking for a hands\-on Backend Engineer with strong experience in Laravel, system integrations, API design, and database architecture. You’ll own the backend layer, build robust integrations with external services, and design scalable data models to support our product and analytics needs.
You should be comfortable working in a fast\-paced environment, contributing to architectural decisions, writing clean and maintainable code.
**Key Responsibilities**
* **Backend development (Laravel)**
* Design, implement, test, and optimize robust Laravel\-based services and APIs.
* Build secure, scalable REST/GraphQL endpoints and microservice patterns where appropriate.
* Ensure high availability, performance, and reliability of backend systems on AWS.
* **Integrations \&amp; connectivity**
* Architect and implement integrations with external/Internal systems (SaaS, data feeds, webhooks, queues).
* Develop API adapters, connectors, and orchestration logic; manage retries and idempotency.
* Handle data synchronization, transformation, and error handling across systems.
* **Database architecture \&amp; data modeling**
* Design scalable data models and storage strategies (PostgreSQL).
* Optimize queries, indexing, and data access patterns for performance and cost.
* Support data migration, lineage, governance, and security best practices.
* **Security, compliance \&amp; reliability**
* Implement authentication/authorization, encryption, and secure API design.
* Implement logging, monitoring, tracing, and alerting; enforce best practices for data protection.
* **Quality \&amp; efficiency**
* Write comprehensive unit/integration tests; participate in CI/CD pipelines (GitHub Actions, CodePipeline, etc.).
* Identify technical debt and drive refactoring and performance improvements.
**Required Skills \&amp; Qualifications**
* 5\+ years of professional experience in full stack or web/mobile development.
* Strong proficiency in React.js, Next.js, Laravel, PHP, and Flutter.
* Experience developing and integrating RESTful APIs and working with relational databases (MySQL/PostgreSQL).
* Strong understanding of UI/UX principles, responsive design, and mobile\-first development.
* Familiarity with state management tools (Redux, Provider, Riverpod, etc.) in both React and Flutter.
* Experience with version control (Git/GitHub) and CI/CD pipelines.
* Strong problem\-solving skills and ability to work independently in a remote, agile startup environment.
* Excellent communication and collaboration skills.
**Preferred Qualifications**
* 5\+ years of backend development experience, with Laravel in production.
* Strong experience building integrations with external systems and data sources.
* Experience designing multi\-tenant SaaS systems
* Database expertise (SQL: MySQL/PostgreSQL; NoSQL as relevant); data modeling, indexing, optimization.
* API design experience (REST; GraphQL is a plus); familiarity with asynchronous messaging (e.g., AWS SQS/SNS, Kafka).
* Experience on AWS (Lambda, ECS/EKS, RDS/Aurora, S3, IAM, VPC, CloudWatch, Secrets Manager).
* Proficiency with frontend integration considerations (React) and API contracts.
* Familiarity with CI/CD, IaC (e.g., Terraform, AWS CloudFormation), and containerization (Docker).
* Security best practices, data governance, and compliance awareness.
* Strong problem\-solving, communication, and collaboration skills.
**Ideal Candidate Profile**
This role is ideal for an engineer who has:
* Built **multi\-tenant SaaS platforms**
* Designed **AWS infrastructure**
* Scaled backend systems
* Worked in **early stage startup environments**
**Why Join Us**
* Work on foundational architecture of a new enterprise platform
* Opportunity to design a multi\-tenant SaaS platform from the ground up
* Influence technical direction and infrastructure strategy
* Join an early team shaping the future of business management software
Education:
* Bachelor's (Required)
Experience:
* Back\-end development: 4 years (Required)
Work Location: Remote</t>
        </is>
      </c>
    </row>
    <row r="30">
      <c r="A30" t="inlineStr">
        <is>
          <t>in-7b669e48f9945f68</t>
        </is>
      </c>
      <c r="B30" t="inlineStr">
        <is>
          <t>Lead Software Engineer</t>
        </is>
      </c>
      <c r="C30" t="inlineStr">
        <is>
          <t>JPMorganChase</t>
        </is>
      </c>
      <c r="D30" t="inlineStr">
        <is>
          <t>indeed</t>
        </is>
      </c>
      <c r="E30" t="inlineStr"/>
      <c r="F30" t="inlineStr"/>
      <c r="G30" t="inlineStr">
        <is>
          <t>Plano, TX, US</t>
        </is>
      </c>
      <c r="H30" s="1" t="n">
        <v>46087</v>
      </c>
      <c r="I30" t="inlineStr">
        <is>
          <t>**JOB DESCRIPTION**  
As Lead Security Engineer, you will design and optimize large\-scale AI/ML platforms and LLM\-powered applications.
**Key Responsibilities**
* Architect and deploy state\-of\-the\-art LLM architectures (e.g., GPT, LLaMA, Mixtral) using techniques like LoRA and RLHF for domain\-specific tasks.
* Develop advanced prompt engineering strategies and orchestrate LLM\-powered applications using frameworks like LangChain or LlamaIndex.
* Design and manage data pipelines for collection, cleaning, and preparation of high\-quality datasets.
* Implement Retrieval\-Augmented Generation (RAG) systems, managing vector databases and embedding models.
* Build and maintain scalable, secure inference pipelines while continuously monitoring for model drift.
* Apply optimization techniques such as quantization and pruning to improve model efficiency.
* Ensure all AI solutions meet cybersecurity standards and compliance requirements.
* Stay current with advancements in NLP, transformer architectures, and generative AI research.
**Required Skills**
* Formal Training or certification with 5\+ years of experience in high\-impact AI capabilities for enterprise environments.
* Advanced proficiency in Python and deep learning frameworks (PyTorch, TensorFlow, JAX).
* Strong understanding of transformer architectures, LLMs, and Hugging Face ecosystem.
* Hands\-on experience with frameworks and libraries including TensorFlow, PyTorch, BERT/LLMs, Hugging Face, OpenCV, scikit\-learn, SKLearn, Pandas, Flask, and React.
* Experience with cloud\-based ML platforms (AWS Sage Maker, Google Vertex AI, Azure ML), containerization (Docker), and orchestration (Kubernetes).
* Hands\-on experience designing and deploying RAG systems using Lang Chain, Llama Index, Pinecone, or Faiss.
* Expertise in secure model deployment, access control, and data governance.
* Excellent leadership, communication, and collaboration skills.
**Preferred Skills**
* Experience with multi\-modal AI integration and advanced optimization techniques.
* Familiarity with CI/CD pipelines, automation tools, and frontend frameworks.
* Certifications in AI/ML, cloud platforms, Kubernetes, or cybersecurity.
* Advanced degree (master’s or PhD) in Computer Science, AI, Data Science, or related field.
* Exposure to regulated industries and compliance frameworks.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1">
      <c r="A31" t="inlineStr">
        <is>
          <t>in-f1ee21dbef4a337e</t>
        </is>
      </c>
      <c r="B31" t="inlineStr">
        <is>
          <t>Sr Principal Software Engineer</t>
        </is>
      </c>
      <c r="C31" t="inlineStr">
        <is>
          <t>Northrop Grumman</t>
        </is>
      </c>
      <c r="D31" t="inlineStr">
        <is>
          <t>indeed</t>
        </is>
      </c>
      <c r="E31" t="inlineStr"/>
      <c r="F31" t="inlineStr"/>
      <c r="G31" t="inlineStr">
        <is>
          <t>Orlando, FL, US</t>
        </is>
      </c>
      <c r="H31" s="1" t="n">
        <v>46085</v>
      </c>
      <c r="I31"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Are you ready to put your experience to work at Northrop Grumman? If so, Our Defense Systems wants you to join our team as a Sr Principal Software Engineer. This position is located in Orlando, FL or Bellevue, NE.
As a Sr Principal Software Engineer, on our program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**Roles/Responsibilities:**
* You will develop, maintain, and enhance complex and secure software systems based upon documented requirements.
* You will be responsible for working individually or as part of a team to review and test software components for adherence to the design requirements and documents test results.
* You will resolves software problem reports, utilizes software development and software design methodologies appropriate to the development and software design methodologies appropriate to the development environment.
*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8 years of related technical experience; Master’s degree in a STEM field and 6 years of related technical experience, or PHD in a STEM field and 4 years of related technical experience.
* A current DoD Secret Clearance.
* Experience developing software using Java or C\+\+.
* Experience with debugging existing software and correcting defects.
* Experience with the SDLC and agile methodologies.
* A minimum of 5 years of development experience in a Linux environment, preferably RHEL.
**Preferred Qualifications:**
* Expertise in developing, debugging, and maintaining Linux kernel‑mode device drivers, including the ability to design and implement new low‑level drivers or modify existing ones for custom hardware platforms, with a strong grasp of kernel subsystems, interrupt handling, DMA, and device tree configuration.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2">
      <c r="A32" t="inlineStr">
        <is>
          <t>in-1093f7865b447add</t>
        </is>
      </c>
      <c r="B32" t="inlineStr">
        <is>
          <t>Sr Principal Software Engineer</t>
        </is>
      </c>
      <c r="C32" t="inlineStr">
        <is>
          <t>Northrop Grumman</t>
        </is>
      </c>
      <c r="D32" t="inlineStr">
        <is>
          <t>indeed</t>
        </is>
      </c>
      <c r="E32" t="inlineStr"/>
      <c r="F32" t="inlineStr"/>
      <c r="G32" t="inlineStr">
        <is>
          <t>Bellevue, NE, US</t>
        </is>
      </c>
      <c r="H32" s="1" t="n">
        <v>46085</v>
      </c>
      <c r="I32"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Are you ready to put your experience to work at Northrop Grumman? If so, Our Defense Systems wants you to join our team as a Sr Principal Software Engineer. This position is located in Orlando, FL or Bellevue, NE.
As a Sr Principal Software Engineer, on our program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**Roles/Responsibilities:**
* You will develop, maintain, and enhance complex and secure software systems based upon documented requirements.
* You will be responsible for working individually or as part of a team to review and test software components for adherence to the design requirements and documents test results.
* You will resolves software problem reports, utilizes software development and software design methodologies appropriate to the development and software design methodologies appropriate to the development environment.
*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8 years of related technical experience; Master’s degree in a STEM field and 6 years of related technical experience, or PHD in a STEM field and 4 years of related technical experience.
* A current DoD Secret Clearance.
* Experience developing software using Java or C\+\+.
* Experience with debugging existing software and correcting defects.
* Experience with the SDLC and agile methodologies.
* A minimum of 5 years of development experience in a Linux environment, preferably RHEL.
**Preferred Qualifications:**
* Expertise in developing, debugging, and maintaining Linux kernel‑mode device drivers, including the ability to design and implement new low‑level drivers or modify existing ones for custom hardware platforms, with a strong grasp of kernel subsystems, interrupt handling, DMA, and device tree configuration.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3">
      <c r="A33" t="inlineStr">
        <is>
          <t>in-23fd0c88d1057e4d</t>
        </is>
      </c>
      <c r="B33" t="inlineStr">
        <is>
          <t>Software Engineer</t>
        </is>
      </c>
      <c r="C33" t="inlineStr">
        <is>
          <t>Northrop Grumman</t>
        </is>
      </c>
      <c r="D33" t="inlineStr">
        <is>
          <t>indeed</t>
        </is>
      </c>
      <c r="E33" t="inlineStr"/>
      <c r="F33" t="inlineStr"/>
      <c r="G33" t="inlineStr">
        <is>
          <t>Orlando, FL, US</t>
        </is>
      </c>
      <c r="H33" s="1" t="n">
        <v>46085</v>
      </c>
      <c r="I33"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has an opening for a Software Engineer . We are looking for you to join our team as a Software Engineer (level 2\). This position is located in Orlando, FL or Bellevue, NE.
As a Software Engineer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 \&amp; Responsibilities:**
* You will develop, maintain, and enhance complex and secure software systems based upon documented requirements.
*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To be successful, you must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2 years of related technical experience; Master’s degree in a STEM field and 0 years of related technical experience.
* **Current DoD Secret Clearance.**
* Demonstrated experience developing software using Java, Rust, C, C\+\+, C\#, or Python.
* Demonstrated experience with debugging existing software and correcting defects.
* Demonstrated experience with the SDLC and agile methodologies.
* Development experience in Linux environment, preferably RHEL.
**Preferred Qualifications:**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$79,300\.00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4">
      <c r="A34" t="inlineStr">
        <is>
          <t>in-5030fb94a8573180</t>
        </is>
      </c>
      <c r="B34" t="inlineStr">
        <is>
          <t>Software Engineer</t>
        </is>
      </c>
      <c r="C34" t="inlineStr">
        <is>
          <t>Northrop Grumman</t>
        </is>
      </c>
      <c r="D34" t="inlineStr">
        <is>
          <t>indeed</t>
        </is>
      </c>
      <c r="E34" t="inlineStr"/>
      <c r="F34" t="inlineStr"/>
      <c r="G34" t="inlineStr">
        <is>
          <t>Bellevue, NE, US</t>
        </is>
      </c>
      <c r="H34" s="1" t="n">
        <v>46085</v>
      </c>
      <c r="I34"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has an opening for a Software Engineer . We are looking for you to join our team as a Software Engineer (level 2\). This position is located in Orlando, FL or Bellevue, NE.
As a Software Engineer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 \&amp; Responsibilities:**
* You will develop, maintain, and enhance complex and secure software systems based upon documented requirements.
*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To be successful, you must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2 years of related technical experience; Master’s degree in a STEM field and 0 years of related technical experience.
* **Current DoD Secret Clearance.**
* Demonstrated experience developing software using Java, Rust, C, C\+\+, C\#, or Python.
* Demonstrated experience with debugging existing software and correcting defects.
* Demonstrated experience with the SDLC and agile methodologies.
* Development experience in Linux environment, preferably RHEL.
**Preferred Qualifications:**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$79,300\.00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5">
      <c r="A35" t="inlineStr">
        <is>
          <t>in-28da549030a4bd8d</t>
        </is>
      </c>
      <c r="B35" t="inlineStr">
        <is>
          <t>Software Engineer</t>
        </is>
      </c>
      <c r="C35" t="inlineStr">
        <is>
          <t>Northrop Grumman</t>
        </is>
      </c>
      <c r="D35" t="inlineStr">
        <is>
          <t>indeed</t>
        </is>
      </c>
      <c r="E35" t="inlineStr"/>
      <c r="F35" t="inlineStr"/>
      <c r="G35" t="inlineStr">
        <is>
          <t>Orlando, FL, US</t>
        </is>
      </c>
      <c r="H35" s="1" t="n">
        <v>46085</v>
      </c>
      <c r="I35"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has an opening for a Software Engineer . We are looking for you to join our team as a Software Engineer (level 2\). This position is located in Orlando, FL or Bellevue, NE.
As a Software Engineer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 \&amp; Responsibilities:**
* You will develop, maintain, and enhance complex and secure software systems based upon documented requirements.
*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To be successful, you must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2 years of related technical experience; Master’s degree in a STEM field and 0 years of related technical experience.
* **Current DoD Secret Clearance.**
* Demonstrated experience developing software using Java, Rust, C, C\+\+, C\#, or Python.
* Demonstrated experience with debugging existing software and correcting defects.
* Demonstrated experience with the SDLC and agile methodologies.
* Development experience in Linux environment, preferably RHEL.
**Preferred Qualifications:**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$79,300\.00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6">
      <c r="A36" t="inlineStr">
        <is>
          <t>in-597b3d8b56fdf0a2</t>
        </is>
      </c>
      <c r="B36" t="inlineStr">
        <is>
          <t>Software Engineer</t>
        </is>
      </c>
      <c r="C36" t="inlineStr">
        <is>
          <t>Northrop Grumman</t>
        </is>
      </c>
      <c r="D36" t="inlineStr">
        <is>
          <t>indeed</t>
        </is>
      </c>
      <c r="E36" t="inlineStr"/>
      <c r="F36" t="inlineStr"/>
      <c r="G36" t="inlineStr">
        <is>
          <t>Bellevue, NE, US</t>
        </is>
      </c>
      <c r="H36" s="1" t="n">
        <v>46085</v>
      </c>
      <c r="I36"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has an opening for a Software Engineer . We are looking for you to join our team as a Software Engineer (level 2\). This position is located in Orlando, FL or Bellevue, NE.
As a Software Engineer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 \&amp; Responsibilities:**
* You will develop, maintain, and enhance complex and secure software systems based upon documented requirements.
*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To be successful, you must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2 years of related technical experience; Master’s degree in a STEM field and 0 years of related technical experience.
* **Current DoD Secret Clearance.**
* Demonstrated experience developing software using Java, Rust, C, C\+\+, C\#, or Python.
* Demonstrated experience with debugging existing software and correcting defects.
* Demonstrated experience with the SDLC and agile methodologies.
* Development experience in Linux environment, preferably RHEL.
**Preferred Qualifications:**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$79,300\.00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7">
      <c r="A37" t="inlineStr">
        <is>
          <t>in-5187a0efa6a26eca</t>
        </is>
      </c>
      <c r="B37" t="inlineStr">
        <is>
          <t>Sentinel Sr Principal Software Engineer</t>
        </is>
      </c>
      <c r="C37" t="inlineStr">
        <is>
          <t>Northrop Grumman</t>
        </is>
      </c>
      <c r="D37" t="inlineStr">
        <is>
          <t>indeed</t>
        </is>
      </c>
      <c r="E37" t="inlineStr"/>
      <c r="F37" t="inlineStr"/>
      <c r="G37" t="inlineStr">
        <is>
          <t>Roy, UT, US</t>
        </is>
      </c>
      <c r="H37" s="1" t="n">
        <v>46085</v>
      </c>
      <c r="I37"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is seeking a Sr. Principal DevSecOps Software Engineer for the Flight / Guidance Navigation \&amp; Control (GN\&amp;C) Software Team. This position will be located in Roy, Utah and will support the Sentinel Program.
What You’ll Get To Do:
Design, develop, document, test, and debug software/system applications. Conduct multidisciplinary research and collaborate with equipment designers and/or hardware engineers in the planning, design, development, and utilization of embedded systems for safety and mission critical software. Must be able to work and collaborate with a team of software engineers in an Agile environment to meet critical milestones. Ensure program mandated software standards and compliance criteria are met. Understand and can develop in a continuous integration tool chain environment meeting technical and compliance requirements.
Create and maintain continuous integration and deployment (CI/CD) pipelines. Write scripts and configurations to automate software testing, deployment, and maintenance in a manner consistent with software engineering best practices. Proactively monitor build and deployment pipelines and infrastructure, apply patches, troubleshoot issues, and resolve errors. Automate infrastructure and/or cloud resource deployments and configuration using infrastructure\-as\-code tools.
Position Benefits
As a full\-time employee of Northrop Grumman,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You’ll Bring These Qualifications:
* Sr Principal Software Engineer (T04\): Bachelor’s Degree in relevant field of study and 8 years of relevant engineering experience, Master's with 6 years of relevant experience; PhD with 4 year of relevant experience, additional experience may be used in lieu of a degree.
* Active DoD Secret clearance with a reinvestigation date occurring in the last 6 years.
* US Citizenship with Ability to obtain Special Program Access (SAP)
* 3\+ year experience with CI/CD best practices, automated builds and tests, quality gates, software quality, and CI tools
* 3\+ year experience in developing software/writing code in C/C\+\+/C\#, Python, or similar programming language
* 3\+ year experience with Atlassian tool suite (JIRA, Git, Confluence)
**Preferred Qualifications:**
* Experience of full life cycle of software development and Agile software development
* A background in software DevSecOps for both software and hardware integration
* Familiarity with security coding standard best practices, static and dynamic scanning tools, i.e., SonarQube, Fortify, Coverity, PCLint, etc.
* Programming and scripting experience in a UNIX environment (C\+\+, Perl, Python, Bash, Ruby, Shell, Scripts)
* Experience with developing and maintaining software using CI/CD pipelines
* Experience with developing and maintaining CI/CD pipelines
* Experience with source code configuration management tools (i.e git).
* Experience using automation to regression test software products
\#GNC2026
Primary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8">
      <c r="A38" t="inlineStr">
        <is>
          <t>in-8101f98d07620316</t>
        </is>
      </c>
      <c r="B38" t="inlineStr">
        <is>
          <t>Embedded Software Engineer (Level 1 or 2)</t>
        </is>
      </c>
      <c r="C38" t="inlineStr">
        <is>
          <t>Northrop Grumman</t>
        </is>
      </c>
      <c r="D38" t="inlineStr">
        <is>
          <t>indeed</t>
        </is>
      </c>
      <c r="E38" t="inlineStr"/>
      <c r="F38" t="inlineStr"/>
      <c r="G38" t="inlineStr">
        <is>
          <t>Dulles, VA, US</t>
        </is>
      </c>
      <c r="H38" s="1" t="n">
        <v>46085</v>
      </c>
      <c r="I38" t="inlineStr">
        <is>
          <t>RELOCATION ASSISTANCE: Relocation assistance may be available
CLEARANCE REQUIRED FOR START: Yes
CLEARANCE TYPE: SCI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We have an opening for an Embedded Software Engineer to join our team of qualified, diverse individuals in the Space Systems organization developing space flight software platforms for NSS space programs. The individual we seek will be self\-motivated, proactive, and goal\-oriented. This position will be in **Dulles, VA.**
* Develop embedded software modules and software card interfaces, including digital, analog, serial, and SpaceWire
* Interface with hardware engineers in the design, build, and test of the simulation platforms
* Work with program engineers to integrate components and flight software with the simulation platform
* Be involved in the hardware definition and software design, development, debug and integration on simulation platforms
* Prepare design documentation, analysis, test results and presentation materials for internal and external customers
* Work with software developers and other engineers, as needed, to help diagnose and identify the root cause of problems found during software installation, integration, acceptance test, and operational events
* Work in an innovative environment across diverse assignments and in collaborative team settings across all levels
This position can be filled as an Associate (level 1\) or Engineer (level 2\) depending on experience and qualifications
**Basic Qualifications:**
* Bachelor’s degree in Electrical/Computer/Software Engineering or related STEM field, minimum of 0 years (level 1\) or 2 years (level 2\) of relevant experience
* Top Secret Clearance with SCI is required at the time of application
* U.S. Citizenship
* programming experience: C/C\+\+, Python, Windows/Linux scripting
* Excellent communication skills and ability to work in small teams
* Ability to debug hardware and software.
* Ability to use software revision control tools such as Subversion and Git
* Ability to clearly document technical and programmatic status to management
**Preferred Qualifications:**
* System knowledge in one or more of the following domains: Spacecraft Command \&amp; Control, Mission Planning, Space Situational Awareness and Visualization
* Familiarity with static code analysis tools such as: Coverity, SonarQube, and Fortify
* Hardware interfacing, integration and test and controls experience
* Understanding of common embedded system tools, real\-time operating systems and avionics integration and test practices
* Excellent communication, interpersonal skills, and the ability to interface with all levels of employees and management
* Experience developing software in a Linux OS environment
* Experience with National Instruments data acquisition cards.
* Experience with Digital, Analog, RS\-422 synchronous serial and UART, SpaceWire electrical interfaces
* Experience with networking.
Primary Level Salary Range: $76,200\.00 \- $114,400\.00
Secondary Level Salary Range: $91,800\.00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9">
      <c r="A39" t="inlineStr">
        <is>
          <t>in-c82d8a20153a7da3</t>
        </is>
      </c>
      <c r="B39" t="inlineStr">
        <is>
          <t>Software Engineer II, Android</t>
        </is>
      </c>
      <c r="C39" t="inlineStr">
        <is>
          <t>Amazon.com</t>
        </is>
      </c>
      <c r="D39" t="inlineStr">
        <is>
          <t>indeed</t>
        </is>
      </c>
      <c r="E39" t="inlineStr"/>
      <c r="F39" t="inlineStr"/>
      <c r="G39" t="inlineStr">
        <is>
          <t>San Francisco, CA, US</t>
        </is>
      </c>
      <c r="H39" s="1" t="n">
        <v>46044</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0">
      <c r="A40" t="inlineStr">
        <is>
          <t>in-504dac8c574bcd1b</t>
        </is>
      </c>
      <c r="B40" t="inlineStr">
        <is>
          <t>Software Engineer II, Android</t>
        </is>
      </c>
      <c r="C40" t="inlineStr">
        <is>
          <t>Amazon.com</t>
        </is>
      </c>
      <c r="D40" t="inlineStr">
        <is>
          <t>indeed</t>
        </is>
      </c>
      <c r="E40" t="inlineStr"/>
      <c r="F40" t="inlineStr"/>
      <c r="G40" t="inlineStr">
        <is>
          <t>Irvine, CA, US</t>
        </is>
      </c>
      <c r="H40" s="1" t="n">
        <v>46044</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1">
      <c r="A41" t="inlineStr">
        <is>
          <t>in-dbb388f9d0fbc74e</t>
        </is>
      </c>
      <c r="B41" t="inlineStr">
        <is>
          <t>Software Engineer II, Android</t>
        </is>
      </c>
      <c r="C41" t="inlineStr">
        <is>
          <t>Amazon.com</t>
        </is>
      </c>
      <c r="D41" t="inlineStr">
        <is>
          <t>indeed</t>
        </is>
      </c>
      <c r="E41" t="inlineStr"/>
      <c r="F41" t="inlineStr"/>
      <c r="G41" t="inlineStr">
        <is>
          <t>Seattle, WA, US</t>
        </is>
      </c>
      <c r="H41" s="1" t="n">
        <v>46044</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2">
      <c r="A42" t="inlineStr">
        <is>
          <t>in-27db76c7ed631d13</t>
        </is>
      </c>
      <c r="B42" t="inlineStr">
        <is>
          <t>Software Engineer I</t>
        </is>
      </c>
      <c r="C42" t="inlineStr">
        <is>
          <t>Amazon.com</t>
        </is>
      </c>
      <c r="D42" t="inlineStr">
        <is>
          <t>indeed</t>
        </is>
      </c>
      <c r="E42" t="inlineStr"/>
      <c r="F42" t="inlineStr"/>
      <c r="G42" t="inlineStr">
        <is>
          <t>San Francisco, CA, US</t>
        </is>
      </c>
      <c r="H42" s="1" t="n">
        <v>46029</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WA, SEATTLE \- 110,500\.00 \- 160,000\.00 USD annually  
USA, WA, Seattle \- 110,500\.00 \- 160,000\.00 USD annually</t>
        </is>
      </c>
    </row>
    <row r="43">
      <c r="A43" t="inlineStr">
        <is>
          <t>in-3765571193f17080</t>
        </is>
      </c>
      <c r="B43" t="inlineStr">
        <is>
          <t>Software Engineer I</t>
        </is>
      </c>
      <c r="C43" t="inlineStr">
        <is>
          <t>Amazon.com</t>
        </is>
      </c>
      <c r="D43" t="inlineStr">
        <is>
          <t>indeed</t>
        </is>
      </c>
      <c r="E43" t="inlineStr"/>
      <c r="F43" t="inlineStr"/>
      <c r="G43" t="inlineStr">
        <is>
          <t>Seattle, WA, US</t>
        </is>
      </c>
      <c r="H43" s="1" t="n">
        <v>46029</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WA, SEATTLE \- 110,500\.00 \- 160,000\.00 USD annually  
USA, WA, Seattle \- 110,500\.00 \- 160,000\.00 USD annually</t>
        </is>
      </c>
    </row>
    <row r="44">
      <c r="A44" t="inlineStr">
        <is>
          <t>in-e8732f4548c9ea48</t>
        </is>
      </c>
      <c r="B44" t="inlineStr">
        <is>
          <t>Software Engineer I</t>
        </is>
      </c>
      <c r="C44" t="inlineStr">
        <is>
          <t>Amazon.com</t>
        </is>
      </c>
      <c r="D44" t="inlineStr">
        <is>
          <t>indeed</t>
        </is>
      </c>
      <c r="E44" t="inlineStr"/>
      <c r="F44" t="inlineStr"/>
      <c r="G44" t="inlineStr">
        <is>
          <t>San Francisco, CA, US</t>
        </is>
      </c>
      <c r="H44" s="1" t="n">
        <v>46001</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in-092e03f07ee9352a</t>
        </is>
      </c>
      <c r="B45" t="inlineStr">
        <is>
          <t>Software Engineer I</t>
        </is>
      </c>
      <c r="C45" t="inlineStr">
        <is>
          <t>Amazon.com</t>
        </is>
      </c>
      <c r="D45" t="inlineStr">
        <is>
          <t>indeed</t>
        </is>
      </c>
      <c r="E45" t="inlineStr"/>
      <c r="F45" t="inlineStr"/>
      <c r="G45" t="inlineStr">
        <is>
          <t>Seattle, WA, US</t>
        </is>
      </c>
      <c r="H45" s="1" t="n">
        <v>46001</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in-333d3d2b695ff731</t>
        </is>
      </c>
      <c r="B46" t="inlineStr">
        <is>
          <t>Software Engineer II, Android</t>
        </is>
      </c>
      <c r="C46" t="inlineStr">
        <is>
          <t>Amazon.com</t>
        </is>
      </c>
      <c r="D46" t="inlineStr">
        <is>
          <t>indeed</t>
        </is>
      </c>
      <c r="E46" t="inlineStr"/>
      <c r="F46" t="inlineStr"/>
      <c r="G46" t="inlineStr">
        <is>
          <t>San Francisco, CA, US</t>
        </is>
      </c>
      <c r="H46" s="1" t="n">
        <v>45995</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in-1b2e5e980eacc94b</t>
        </is>
      </c>
      <c r="B47" t="inlineStr">
        <is>
          <t>Software Engineer II, Android</t>
        </is>
      </c>
      <c r="C47" t="inlineStr">
        <is>
          <t>Amazon.com</t>
        </is>
      </c>
      <c r="D47" t="inlineStr">
        <is>
          <t>indeed</t>
        </is>
      </c>
      <c r="E47" t="inlineStr"/>
      <c r="F47" t="inlineStr"/>
      <c r="G47" t="inlineStr">
        <is>
          <t>Irvine, CA, US</t>
        </is>
      </c>
      <c r="H47" s="1" t="n">
        <v>45995</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in-29d7e9c62935e812</t>
        </is>
      </c>
      <c r="B48" t="inlineStr">
        <is>
          <t>Software Engineer II, Android</t>
        </is>
      </c>
      <c r="C48" t="inlineStr">
        <is>
          <t>Amazon.com</t>
        </is>
      </c>
      <c r="D48" t="inlineStr">
        <is>
          <t>indeed</t>
        </is>
      </c>
      <c r="E48" t="inlineStr"/>
      <c r="F48" t="inlineStr"/>
      <c r="G48" t="inlineStr">
        <is>
          <t>Seattle, WA, US</t>
        </is>
      </c>
      <c r="H48" s="1" t="n">
        <v>45995</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in-b027e7fe1fa8be99</t>
        </is>
      </c>
      <c r="B49" t="inlineStr">
        <is>
          <t>Senior Embedded Software Engineer, Amazon Leo Digital RF Systems</t>
        </is>
      </c>
      <c r="C49" t="inlineStr">
        <is>
          <t>Amazon.com</t>
        </is>
      </c>
      <c r="D49" t="inlineStr">
        <is>
          <t>indeed</t>
        </is>
      </c>
      <c r="E49" t="inlineStr"/>
      <c r="F49" t="inlineStr"/>
      <c r="G49" t="inlineStr">
        <is>
          <t>San Diego, CA, US</t>
        </is>
      </c>
      <c r="H49" s="1" t="n">
        <v>45981</v>
      </c>
      <c r="I4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50">
      <c r="A50" t="inlineStr">
        <is>
          <t>in-b7644410e6a5d079</t>
        </is>
      </c>
      <c r="B50" t="inlineStr">
        <is>
          <t>Senior Embedded Software Engineer, Amazon Leo Digital RF Systems</t>
        </is>
      </c>
      <c r="C50" t="inlineStr">
        <is>
          <t>Amazon.com</t>
        </is>
      </c>
      <c r="D50" t="inlineStr">
        <is>
          <t>indeed</t>
        </is>
      </c>
      <c r="E50" t="inlineStr"/>
      <c r="F50" t="inlineStr"/>
      <c r="G50" t="inlineStr">
        <is>
          <t>Redmond, WA, US</t>
        </is>
      </c>
      <c r="H50" s="1" t="n">
        <v>45981</v>
      </c>
      <c r="I5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51">
      <c r="A51" t="inlineStr">
        <is>
          <t>in-7e003417048eb09c</t>
        </is>
      </c>
      <c r="B51" t="inlineStr">
        <is>
          <t>Sr. Device Software Engineer, Amazon Leo Government</t>
        </is>
      </c>
      <c r="C51" t="inlineStr">
        <is>
          <t>Amazon.com</t>
        </is>
      </c>
      <c r="D51" t="inlineStr">
        <is>
          <t>indeed</t>
        </is>
      </c>
      <c r="E51" t="inlineStr"/>
      <c r="F51" t="inlineStr"/>
      <c r="G51" t="inlineStr">
        <is>
          <t>Redmond, WA, US</t>
        </is>
      </c>
      <c r="H51" s="1" t="n">
        <v>45911</v>
      </c>
      <c r="I5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52">
      <c r="A52" t="inlineStr">
        <is>
          <t>in-029e44c04af2afee</t>
        </is>
      </c>
      <c r="B52" t="inlineStr">
        <is>
          <t>Sr. Device Software Engineer, Amazon Leo Government</t>
        </is>
      </c>
      <c r="C52" t="inlineStr">
        <is>
          <t>Amazon.com</t>
        </is>
      </c>
      <c r="D52" t="inlineStr">
        <is>
          <t>indeed</t>
        </is>
      </c>
      <c r="E52" t="inlineStr"/>
      <c r="F52" t="inlineStr"/>
      <c r="G52" t="inlineStr">
        <is>
          <t>Arlington, VA, US</t>
        </is>
      </c>
      <c r="H52" s="1" t="n">
        <v>45911</v>
      </c>
      <c r="I5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53">
      <c r="A53" t="inlineStr">
        <is>
          <t>in-951361a802b45974</t>
        </is>
      </c>
      <c r="B53" t="inlineStr">
        <is>
          <t>Sr. Device Software Engineer, Amazon Leo Government</t>
        </is>
      </c>
      <c r="C53" t="inlineStr">
        <is>
          <t>Amazon.com</t>
        </is>
      </c>
      <c r="D53" t="inlineStr">
        <is>
          <t>indeed</t>
        </is>
      </c>
      <c r="E53" t="inlineStr"/>
      <c r="F53" t="inlineStr"/>
      <c r="G53" t="inlineStr">
        <is>
          <t>Northridge, CA, US</t>
        </is>
      </c>
      <c r="H53" s="1" t="n">
        <v>45911</v>
      </c>
      <c r="I5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54">
      <c r="A54" t="inlineStr">
        <is>
          <t>in-bc9f173d86dc3e4f</t>
        </is>
      </c>
      <c r="B54" t="inlineStr">
        <is>
          <t>Sr. Device Software Engineer, Amazon Leo Government</t>
        </is>
      </c>
      <c r="C54" t="inlineStr">
        <is>
          <t>Amazon.com</t>
        </is>
      </c>
      <c r="D54" t="inlineStr">
        <is>
          <t>indeed</t>
        </is>
      </c>
      <c r="E54" t="inlineStr"/>
      <c r="F54" t="inlineStr"/>
      <c r="G54" t="inlineStr">
        <is>
          <t>El Segundo, CA, US</t>
        </is>
      </c>
      <c r="H54" s="1" t="n">
        <v>45911</v>
      </c>
      <c r="I5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55">
      <c r="A55" t="inlineStr">
        <is>
          <t>in-f0e83b901e89f1ea</t>
        </is>
      </c>
      <c r="B55" t="inlineStr">
        <is>
          <t>Device Software Engineer, Amazon Leo Government</t>
        </is>
      </c>
      <c r="C55" t="inlineStr">
        <is>
          <t>Amazon.com</t>
        </is>
      </c>
      <c r="D55" t="inlineStr">
        <is>
          <t>indeed</t>
        </is>
      </c>
      <c r="E55" t="inlineStr"/>
      <c r="F55" t="inlineStr"/>
      <c r="G55" t="inlineStr">
        <is>
          <t>El Segundo, CA, US</t>
        </is>
      </c>
      <c r="H55" s="1" t="n">
        <v>45910</v>
      </c>
      <c r="I5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6">
      <c r="A56" t="inlineStr">
        <is>
          <t>in-e3542748a952cbc6</t>
        </is>
      </c>
      <c r="B56" t="inlineStr">
        <is>
          <t>Device Software Engineer, Amazon Leo Government</t>
        </is>
      </c>
      <c r="C56" t="inlineStr">
        <is>
          <t>Amazon.com</t>
        </is>
      </c>
      <c r="D56" t="inlineStr">
        <is>
          <t>indeed</t>
        </is>
      </c>
      <c r="E56" t="inlineStr"/>
      <c r="F56" t="inlineStr"/>
      <c r="G56" t="inlineStr">
        <is>
          <t>Arlington, VA, US</t>
        </is>
      </c>
      <c r="H56" s="1" t="n">
        <v>45910</v>
      </c>
      <c r="I5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7">
      <c r="A57" t="inlineStr">
        <is>
          <t>in-c3118de8a7287719</t>
        </is>
      </c>
      <c r="B57" t="inlineStr">
        <is>
          <t>Device Software Engineer, Amazon Leo Government</t>
        </is>
      </c>
      <c r="C57" t="inlineStr">
        <is>
          <t>Amazon.com</t>
        </is>
      </c>
      <c r="D57" t="inlineStr">
        <is>
          <t>indeed</t>
        </is>
      </c>
      <c r="E57" t="inlineStr"/>
      <c r="F57" t="inlineStr"/>
      <c r="G57" t="inlineStr">
        <is>
          <t>Northridge, CA, US</t>
        </is>
      </c>
      <c r="H57" s="1" t="n">
        <v>45910</v>
      </c>
      <c r="I5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8">
      <c r="A58" t="inlineStr">
        <is>
          <t>in-7b3c6273bf6e70e8</t>
        </is>
      </c>
      <c r="B58" t="inlineStr">
        <is>
          <t>Device Software Engineer, Amazon Leo Government</t>
        </is>
      </c>
      <c r="C58" t="inlineStr">
        <is>
          <t>Amazon.com</t>
        </is>
      </c>
      <c r="D58" t="inlineStr">
        <is>
          <t>indeed</t>
        </is>
      </c>
      <c r="E58" t="inlineStr"/>
      <c r="F58" t="inlineStr"/>
      <c r="G58" t="inlineStr">
        <is>
          <t>Redmond, WA, US</t>
        </is>
      </c>
      <c r="H58" s="1" t="n">
        <v>45910</v>
      </c>
      <c r="I5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9">
      <c r="A59" t="inlineStr">
        <is>
          <t>in-7f1000a8f27b27c9</t>
        </is>
      </c>
      <c r="B59" t="inlineStr">
        <is>
          <t>Software Developer Engineer - iOS, Ring</t>
        </is>
      </c>
      <c r="C59" t="inlineStr">
        <is>
          <t>Amazon.com</t>
        </is>
      </c>
      <c r="D59" t="inlineStr">
        <is>
          <t>indeed</t>
        </is>
      </c>
      <c r="E59" t="inlineStr"/>
      <c r="F59" t="inlineStr"/>
      <c r="G59" t="inlineStr">
        <is>
          <t>Irvine, CA, US</t>
        </is>
      </c>
      <c r="H59" s="1" t="n">
        <v>45812</v>
      </c>
      <c r="I5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in-29a9190f40b744b3</t>
        </is>
      </c>
      <c r="B60" t="inlineStr">
        <is>
          <t>Software Developer Engineer - iOS, Ring</t>
        </is>
      </c>
      <c r="C60" t="inlineStr">
        <is>
          <t>Amazon.com</t>
        </is>
      </c>
      <c r="D60" t="inlineStr">
        <is>
          <t>indeed</t>
        </is>
      </c>
      <c r="E60" t="inlineStr"/>
      <c r="F60" t="inlineStr"/>
      <c r="G60" t="inlineStr">
        <is>
          <t>Hawthorne, CA, US</t>
        </is>
      </c>
      <c r="H60" s="1" t="n">
        <v>45812</v>
      </c>
      <c r="I6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in-ff6fb4e4eb9a0de7</t>
        </is>
      </c>
      <c r="B61" t="inlineStr">
        <is>
          <t>Software Developer Engineer - iOS, Ring</t>
        </is>
      </c>
      <c r="C61" t="inlineStr">
        <is>
          <t>Amazon.com</t>
        </is>
      </c>
      <c r="D61" t="inlineStr">
        <is>
          <t>indeed</t>
        </is>
      </c>
      <c r="E61" t="inlineStr"/>
      <c r="F61" t="inlineStr"/>
      <c r="G61" t="inlineStr">
        <is>
          <t>Austin, TX, US</t>
        </is>
      </c>
      <c r="H61" s="1" t="n">
        <v>45812</v>
      </c>
      <c r="I6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in-cb6b62b56e6648fc</t>
        </is>
      </c>
      <c r="B62" t="inlineStr">
        <is>
          <t>Senior Software Engineer - Query Processing, Aurora DSQL</t>
        </is>
      </c>
      <c r="C62" t="inlineStr">
        <is>
          <t>Amazon Web Services</t>
        </is>
      </c>
      <c r="D62" t="inlineStr">
        <is>
          <t>indeed</t>
        </is>
      </c>
      <c r="E62" t="inlineStr"/>
      <c r="F62" t="inlineStr"/>
      <c r="G62" t="inlineStr">
        <is>
          <t>East Palo Alto, CA, US</t>
        </is>
      </c>
      <c r="H62" s="1" t="n">
        <v>45796</v>
      </c>
      <c r="I6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in-420db7b8e45954ad</t>
        </is>
      </c>
      <c r="B63" t="inlineStr">
        <is>
          <t>Senior Software Engineer - Query Processing, Aurora DSQL</t>
        </is>
      </c>
      <c r="C63" t="inlineStr">
        <is>
          <t>Amazon Web Services</t>
        </is>
      </c>
      <c r="D63" t="inlineStr">
        <is>
          <t>indeed</t>
        </is>
      </c>
      <c r="E63" t="inlineStr"/>
      <c r="F63" t="inlineStr"/>
      <c r="G63" t="inlineStr">
        <is>
          <t>Seattle, WA, US</t>
        </is>
      </c>
      <c r="H63" s="1" t="n">
        <v>45796</v>
      </c>
      <c r="I6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in-91cc98bb9e0d001b</t>
        </is>
      </c>
      <c r="B64" t="inlineStr">
        <is>
          <t>Cleared Senior Software Engineer</t>
        </is>
      </c>
      <c r="C64" t="inlineStr">
        <is>
          <t>Dhara Consulting Group</t>
        </is>
      </c>
      <c r="D64" t="inlineStr">
        <is>
          <t>indeed</t>
        </is>
      </c>
      <c r="E64">
        <f>HYPERLINK("https://www.indeed.com/viewjob?jk=91cc98bb9e0d001b", "https://www.indeed.com/viewjob?jk=91cc98bb9e0d001b")</f>
        <v/>
      </c>
      <c r="F64">
        <f>HYPERLINK("https://www.clearancejobs.com/jobs/8790490/cleared-senior-software-engineer", "https://www.clearancejobs.com/jobs/8790490/cleared-senior-software-engineer")</f>
        <v/>
      </c>
      <c r="G64" t="inlineStr">
        <is>
          <t>Chantilly, VA, US</t>
        </is>
      </c>
      <c r="H64" s="2" t="n">
        <v>46087</v>
      </c>
      <c r="I64" t="inlineStr">
        <is>
          <t>Posted today
Top Secret
Unspecified
Unspecified
IT \- Software
Chantilly, VA (On\-Site/Office)
General Atomics Integrated Intelligence Inc. (GA\-Intelligence) develops cutting\-edge software solutions that transform raw data into actionable intelligence. We specialize in real\-time global situational awareness and battle management, processing petabytes of data from hundreds of sources across air, land, and sea. Our systems\-including the widely used THRESHER and DRAGONSPELL platforms\-support tens of thousands of users at all levels of the DoD and Intelligence Community and enable critical decision\-making for national security missions.  
We process hundreds of thousands of observations per minute, operating at the scale of global sensor networks and battlefield telemetry. Our backend architecture leverages technologies like Kafka, AWS, NiFi, and GeoMesa\-the latter of which we designed and open\-sourced\-to deliver high\-throughput, mission\-resilient systems that turn streaming data into real\-time intelligence.  
Why GA\-Intelligence?  
At GA\-Intelligence, we're not chasing hype or building throwaway demos\-we're solving complex, mission\-critical problems that matter. Unlike younger firms chasing the next funding round, we've spent decades earning the trust of our users and delivering systems they rely on every day. And unlike traditional defense contractors, we're nimble, privately held, and able to make long\-term decisions in the best interest of our customers and our country\-not quarterly earnings reports.  
Our users love our software. Our customers come back because we deliver. And our engineers stay because they get to work on real problems, with real impact, alongside people who care.  
If you're looking for a place where engineering excellence meets enduring mission, GA\-I3 is where you belong.  
**What You'll Do**  
We are seeking Backend Software Engineers to help build the next generation of global situational awareness and battle orchestration capabilities. You'll collaborate with cross\-functional teams\-including UI/UX engineers, mission engineers, data scientists, and product owners\-to design and deliver software that is performant, scalable, and tailored to complex user needs.  
Whether you're integrating multi\-source data, optimizing backend services, or shaping how insights reach the end user, your work will directly support operational missions that have real\-world impact.  
**What We Believe**  
These values weren't crafted in a branding session\-they were observed and articulated after 35 years of building software that matters. They reflect how we work, what we value in each other, and the kind of impact we want to have. At GA\-Intelligence, they aren't aspirational\-they're how we operate.  
* Solving Meaningful Challenges \- Building mission\-driven technology that makes a difference
* Collaborative Culture \- Working as a team to push boundaries and innovate
* Technical Excellence \- Encouraging continuous learning, curiosity, and efficiency
* Idea Meritocracy \- Valuing ideas based on impact, not hierarchy
If these principles resonate with you\-not just in theory, but in daily practice\-you'll find yourself at home here.  
**DUTIES AND RESPONSIBILITIES:**  
Senior engineers at GA\-Intelligence are technical leaders who drive strategy, architecture, and delivery across complex projects. You'll guide teams in designing scalable systems, ensure high engineering standards, and play a key role in shaping long\-term technical direction. In addition to building and maintaining critical backend infrastructure, you'll serve as a mentor, decision\-maker, and trusted voice both within the team and with external stakeholders.* Lead development activities
	+ Lead the successful design, implementation, and delivery of high\-impact backend software solutions
	+ Guide long\-term planning efforts and influence technical roadmaps for backend services and system architecture so they align with organizational goals, operational requirements, and product strategy
* Collaborate externally
	+ Represent GA\-I3 as a senior technical point of contact for customers, partners, and other engineering teams
	+ Coordinate software deployments and upgrades across distributed environments, including DoD and IC networks
	+ Evaluate and implement cross\-platform deployment strategies, ensuring compliance with integration and security standards
	+ Collaborate with internal and external stakeholders on high\-visibility technical initiatives that span multiple teams and domains
* Engineer performant solutions
	+ Contribute to system\-wide performance tuning and reliability improvements, identifying architectural risks and proposing mitigation strategies
* Build the team
	+ Develop mentoring structures and contribute to onboarding, skill development, and growth paths for less experienced engineers
	+ Mentor mid\-level and junior engineers, fostering a culture of continuous learning, ownership, and technical excellence
	+ Provide technical leadership across the full development lifecycle, including design reviews, coding standards, and testing practices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related discipline and progressive software development experience as follows; six or more years of experience with a bachelors degree, four or more years of experience with a masters degree, or two or more years with a PhD. May substitute equivalent experience in lieu of education.
* Deep expertise in Java and/or other backend languages (e.g., Scala, Go)
* Demonstrated technical leadership in cross\-functional engineering efforts
* Strong written and verbal communication skills, including experience working directly with customers or stakeholders
**PREFERRED SKILLS AND QUALIFICATIONS:**  
* Proven experience architecting and scaling distributed systems
* Deep expertise in backend architecture, distributed systems, and service design
* Experience with performance tuning and high\-availability system design
* Familiarity with Kafka, NiFi, GeoMesa, AWS, or other cloud\-native technologies
* Experience leading incident response, root cause analysis, and operational improvements
* Ability to interface directly with customers and senior stakeholders
* Experience working in the DoD or Intelligence Community
**GROUP ID:** 10414685</t>
        </is>
      </c>
    </row>
    <row r="65">
      <c r="A65" t="inlineStr">
        <is>
          <t>in-8d0c0eb7ea5941d9</t>
        </is>
      </c>
      <c r="B65" t="inlineStr">
        <is>
          <t>Software Engineer Senior- Member Experience Intelligence and Observability</t>
        </is>
      </c>
      <c r="C65" t="inlineStr">
        <is>
          <t>USAA</t>
        </is>
      </c>
      <c r="D65" t="inlineStr">
        <is>
          <t>indeed</t>
        </is>
      </c>
      <c r="E65">
        <f>HYPERLINK("https://www.indeed.com/viewjob?jk=8d0c0eb7ea5941d9", "https://www.indeed.com/viewjob?jk=8d0c0eb7ea5941d9")</f>
        <v/>
      </c>
      <c r="F65">
        <f>HYPERLINK("https://www.usaajobs.com/job/-/-/1207/92454575168", "https://www.usaajobs.com/job/-/-/1207/92454575168")</f>
        <v/>
      </c>
      <c r="G65" t="inlineStr">
        <is>
          <t>San Antonio, TX, US</t>
        </is>
      </c>
      <c r="H65" s="2" t="n">
        <v>46086</v>
      </c>
      <c r="I65"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Sr. Software Engineer that will play a pivotal role in developing foundational capabilities for member experience insights. Leveraging your deep expertise in software development, root cause analysis, and observability engineering, you will design, build, and maintain cutting\-edge platforms. This position offers the opportunity to thrive in complex, distributed systems, driving real\-time business and operational insights through telemetry and observability practices. You will contribute to building core root cause analysis capabilities and managing them across our cloud environments. If you are passionate about transforming data into actionable insights and are eager to collaborate with architects, product owners, and fellow engineers in a mission\-driven organization, we encourage you to apply.
We offer a flexible work environment that requires an individual to be **in the office 4 days per week.** This position can be based in one of the following locations: San Antonio, TX, Plano, TX, or Phoenix, AZ. Relocation assistance is **not** available for this position.
**What you'll do:**
-------------------
* Design, develop, code, and test complex tactical as well as strategic technical solutions across many technologies, including emerging technologies, to integrate existing systems and tools, collaborating with Engineers or Architects within their team/department and occasionally outside of their domain.
* Lead code/design reviews and communicates updates to stakeholders with team to ensure smooth daily operations and accurate planning.
* Develop complex algorithms to solve business needs.
* Investigates and resolves complex application and system technical problems and production issues by directing troubleshooting of end\-to\-end solutions.
* Mentors engineers, coaches engineers on design, development, and maintenance of systems; Reviews teammates’ code.
* Influence and help shape the future of their specific domain's architecture and quality standards and understand, identify, measure across entire solution.
* Identify system performance issues, to include technical debt, and optimize solution.
* Ensures risks associated with business activities are effectively identified, measured, monitored, and controlled in accordance with risk and compliance policies and procedures.
**What you have:**
* Bachelor’s Degree or 4 additional years of experience beyond the minimum requirement can be used in lieu of a degree.
* 6 years of software development experience demonstrating depth of technical understanding within a specific discipline(s)/technology(s).
* 4 years of experience delivering technology solutions in all phases of the software systems and application development lifecycle to include leading code/design reviews.
* Basic Understanding of one or more of the following: Java, Swift, Objective\-C, Cobol, JavaScript, Kotlin, C\+\+, HTML, CSS, SQL, Go, and Python
* Demonstrated experience researching technical issues and generating creative/innovative solutions.
* Demonstrated experience addressing production issues by troubleshooting applications and systems.
* Experience articulating technical challenges and solutions.
* Demonstrate strong knowledge of security coding practices and secure system fundamentals.
* Demonstrated experience working with cloud technologies and tools.
**What sets you apart:**
* Deep Expertise in Software Development: Proven ability to design, build, and maintain complex software platforms, with a strong foundation in coding languages such as Python, Go, and Java.
* Root Cause Analysis (RCA) and Observability Engineering: Demonstrated experience in identifying the root causes of issues through systematic debugging, log analysis, and performance profiling, and leveraging observability platforms (e.g., Datadog, Elastic) to ensure system health and performance.
* Cloud Computing Proficiency (AWS Focus): Strong understanding and practical experience with core AWS services (EC2, S3, Lambda, DynamoDB), and familiarity with deploying and managing applications in both public and private cloud environments. Experience with AWS Bedrock and Bedrock Agents is a plus.
* Data Management and Database Skills: Mastery of SQL, including complex joins, indexing, and query optimization. Proficient in data modeling, schema design, and performance tuning of databases.
* Agile Development and Collaboration: Experience working effectively in agile environments, collaborating closely with architects, product owners, scrum masters, and other team members to deliver high\-quality software components.
* Complex Distributed Systems Experience: Ability to thrive in and manage complex, distributed systems, understanding the interplay of business and operational telemetry to derive real\-time insights.
**Compensation range:** The salary range for this position is: $114,080\.00 \- $218,030\.00**.**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66">
      <c r="A66" t="inlineStr">
        <is>
          <t>in-1a175fe609b5a30c</t>
        </is>
      </c>
      <c r="B66" t="inlineStr">
        <is>
          <t>Software Engineer</t>
        </is>
      </c>
      <c r="C66" t="inlineStr">
        <is>
          <t>Amazon.com</t>
        </is>
      </c>
      <c r="D66" t="inlineStr">
        <is>
          <t>indeed</t>
        </is>
      </c>
      <c r="E66">
        <f>HYPERLINK("https://www.indeed.com/viewjob?jk=1a175fe609b5a30c", "https://www.indeed.com/viewjob?jk=1a175fe609b5a30c")</f>
        <v/>
      </c>
      <c r="F66">
        <f>HYPERLINK("https://www.amazon.jobs/jobs/3145977/software-engineer?cmpid=DA_INAD200785B", "https://www.amazon.jobs/jobs/3145977/software-engineer?cmpid=DA_INAD200785B")</f>
        <v/>
      </c>
      <c r="G66" t="inlineStr">
        <is>
          <t>San Francisco, CA, US</t>
        </is>
      </c>
      <c r="H66" s="2" t="n">
        <v>46008</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in-f559181a626a22bd</t>
        </is>
      </c>
      <c r="B67" t="inlineStr">
        <is>
          <t>Software Engineer</t>
        </is>
      </c>
      <c r="C67" t="inlineStr">
        <is>
          <t>Amazon.com</t>
        </is>
      </c>
      <c r="D67" t="inlineStr">
        <is>
          <t>indeed</t>
        </is>
      </c>
      <c r="E67">
        <f>HYPERLINK("https://www.indeed.com/viewjob?jk=f559181a626a22bd", "https://www.indeed.com/viewjob?jk=f559181a626a22bd")</f>
        <v/>
      </c>
      <c r="F67">
        <f>HYPERLINK("https://www.amazon.jobs/jobs/3145977/software-engineer?cmpid=DA_INAD200785B", "https://www.amazon.jobs/jobs/3145977/software-engineer?cmpid=DA_INAD200785B")</f>
        <v/>
      </c>
      <c r="G67" t="inlineStr">
        <is>
          <t>Seattle, WA, US</t>
        </is>
      </c>
      <c r="H67" s="2" t="n">
        <v>46008</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in-6756c2d993c86b4e</t>
        </is>
      </c>
      <c r="B68" t="inlineStr">
        <is>
          <t>Software Engineer II</t>
        </is>
      </c>
      <c r="C68" t="inlineStr">
        <is>
          <t>Amazon.com</t>
        </is>
      </c>
      <c r="D68" t="inlineStr">
        <is>
          <t>indeed</t>
        </is>
      </c>
      <c r="E68">
        <f>HYPERLINK("https://www.indeed.com/viewjob?jk=6756c2d993c86b4e", "https://www.indeed.com/viewjob?jk=6756c2d993c86b4e")</f>
        <v/>
      </c>
      <c r="F68">
        <f>HYPERLINK("https://www.amazon.jobs/jobs/3104730/software-engineer-ii?cmpid=DA_INAD200785B", "https://www.amazon.jobs/jobs/3104730/software-engineer-ii?cmpid=DA_INAD200785B")</f>
        <v/>
      </c>
      <c r="G68" t="inlineStr">
        <is>
          <t>San Francisco, CA, US</t>
        </is>
      </c>
      <c r="H68" s="2" t="n">
        <v>45938</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in-1c7d51d1f28e3a99</t>
        </is>
      </c>
      <c r="B69" t="inlineStr">
        <is>
          <t>Software Engineer II</t>
        </is>
      </c>
      <c r="C69" t="inlineStr">
        <is>
          <t>Amazon.com</t>
        </is>
      </c>
      <c r="D69" t="inlineStr">
        <is>
          <t>indeed</t>
        </is>
      </c>
      <c r="E69">
        <f>HYPERLINK("https://www.indeed.com/viewjob?jk=1c7d51d1f28e3a99", "https://www.indeed.com/viewjob?jk=1c7d51d1f28e3a99")</f>
        <v/>
      </c>
      <c r="F69">
        <f>HYPERLINK("https://www.amazon.jobs/jobs/3104730/software-engineer-ii?cmpid=DA_INAD200785B", "https://www.amazon.jobs/jobs/3104730/software-engineer-ii?cmpid=DA_INAD200785B")</f>
        <v/>
      </c>
      <c r="G69" t="inlineStr">
        <is>
          <t>Irvine, CA, US</t>
        </is>
      </c>
      <c r="H69" s="2" t="n">
        <v>45938</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in-79c4df3f94f4e64b</t>
        </is>
      </c>
      <c r="B70" t="inlineStr">
        <is>
          <t>Software Engineer II</t>
        </is>
      </c>
      <c r="C70" t="inlineStr">
        <is>
          <t>Amazon.com</t>
        </is>
      </c>
      <c r="D70" t="inlineStr">
        <is>
          <t>indeed</t>
        </is>
      </c>
      <c r="E70">
        <f>HYPERLINK("https://www.indeed.com/viewjob?jk=79c4df3f94f4e64b", "https://www.indeed.com/viewjob?jk=79c4df3f94f4e64b")</f>
        <v/>
      </c>
      <c r="F70">
        <f>HYPERLINK("https://www.amazon.jobs/jobs/3104734/software-engineer-ii?cmpid=DA_INAD200785B", "https://www.amazon.jobs/jobs/3104734/software-engineer-ii?cmpid=DA_INAD200785B")</f>
        <v/>
      </c>
      <c r="G70" t="inlineStr">
        <is>
          <t>Irvine, CA, US</t>
        </is>
      </c>
      <c r="H70" s="2" t="n">
        <v>45938</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in-190c96476a8bc31d</t>
        </is>
      </c>
      <c r="B71" t="inlineStr">
        <is>
          <t>Software Engineer II</t>
        </is>
      </c>
      <c r="C71" t="inlineStr">
        <is>
          <t>Amazon.com</t>
        </is>
      </c>
      <c r="D71" t="inlineStr">
        <is>
          <t>indeed</t>
        </is>
      </c>
      <c r="E71">
        <f>HYPERLINK("https://www.indeed.com/viewjob?jk=190c96476a8bc31d", "https://www.indeed.com/viewjob?jk=190c96476a8bc31d")</f>
        <v/>
      </c>
      <c r="F71">
        <f>HYPERLINK("https://www.amazon.jobs/jobs/3104734/software-engineer-ii?cmpid=DA_INAD200785B", "https://www.amazon.jobs/jobs/3104734/software-engineer-ii?cmpid=DA_INAD200785B")</f>
        <v/>
      </c>
      <c r="G71" t="inlineStr">
        <is>
          <t>Culver City, CA, US</t>
        </is>
      </c>
      <c r="H71" s="2" t="n">
        <v>45938</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in-0889070968b4c700</t>
        </is>
      </c>
      <c r="B72" t="inlineStr">
        <is>
          <t>Software Engineer II</t>
        </is>
      </c>
      <c r="C72" t="inlineStr">
        <is>
          <t>Amazon.com</t>
        </is>
      </c>
      <c r="D72" t="inlineStr">
        <is>
          <t>indeed</t>
        </is>
      </c>
      <c r="E72">
        <f>HYPERLINK("https://www.indeed.com/viewjob?jk=0889070968b4c700", "https://www.indeed.com/viewjob?jk=0889070968b4c700")</f>
        <v/>
      </c>
      <c r="F72">
        <f>HYPERLINK("https://www.amazon.jobs/jobs/3104734/software-engineer-ii?cmpid=DA_INAD200785B", "https://www.amazon.jobs/jobs/3104734/software-engineer-ii?cmpid=DA_INAD200785B")</f>
        <v/>
      </c>
      <c r="G72" t="inlineStr">
        <is>
          <t>San Francisco, CA, US</t>
        </is>
      </c>
      <c r="H72" s="2" t="n">
        <v>45938</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in-0bb99d1b73d98b81</t>
        </is>
      </c>
      <c r="B73" t="inlineStr">
        <is>
          <t>Software Engineer II</t>
        </is>
      </c>
      <c r="C73" t="inlineStr">
        <is>
          <t>Amazon.com</t>
        </is>
      </c>
      <c r="D73" t="inlineStr">
        <is>
          <t>indeed</t>
        </is>
      </c>
      <c r="E73">
        <f>HYPERLINK("https://www.indeed.com/viewjob?jk=0bb99d1b73d98b81", "https://www.indeed.com/viewjob?jk=0bb99d1b73d98b81")</f>
        <v/>
      </c>
      <c r="F73">
        <f>HYPERLINK("https://www.amazon.jobs/jobs/3090680/software-engineer-ii?cmpid=DA_INAD200785B", "https://www.amazon.jobs/jobs/3090680/software-engineer-ii?cmpid=DA_INAD200785B")</f>
        <v/>
      </c>
      <c r="G73" t="inlineStr">
        <is>
          <t>San Francisco, CA, US</t>
        </is>
      </c>
      <c r="H73" s="2" t="n">
        <v>45921</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in-6fe26e31c459d226</t>
        </is>
      </c>
      <c r="B74" t="inlineStr">
        <is>
          <t>Software Engineer II</t>
        </is>
      </c>
      <c r="C74" t="inlineStr">
        <is>
          <t>Amazon.com</t>
        </is>
      </c>
      <c r="D74" t="inlineStr">
        <is>
          <t>indeed</t>
        </is>
      </c>
      <c r="E74">
        <f>HYPERLINK("https://www.indeed.com/viewjob?jk=6fe26e31c459d226", "https://www.indeed.com/viewjob?jk=6fe26e31c459d226")</f>
        <v/>
      </c>
      <c r="F74">
        <f>HYPERLINK("https://www.amazon.jobs/jobs/3090680/software-engineer-ii?cmpid=DA_INAD200785B", "https://www.amazon.jobs/jobs/3090680/software-engineer-ii?cmpid=DA_INAD200785B")</f>
        <v/>
      </c>
      <c r="G74" t="inlineStr">
        <is>
          <t>Irvine, CA, US</t>
        </is>
      </c>
      <c r="H74" s="2" t="n">
        <v>45921</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in-050dbbf453ca2748</t>
        </is>
      </c>
      <c r="B75" t="inlineStr">
        <is>
          <t>Software Engineer I- Ad Demand</t>
        </is>
      </c>
      <c r="C75" t="inlineStr">
        <is>
          <t>Amazon.com</t>
        </is>
      </c>
      <c r="D75" t="inlineStr">
        <is>
          <t>indeed</t>
        </is>
      </c>
      <c r="E75">
        <f>HYPERLINK("https://www.indeed.com/viewjob?jk=050dbbf453ca2748", "https://www.indeed.com/viewjob?jk=050dbbf453ca2748")</f>
        <v/>
      </c>
      <c r="F75">
        <f>HYPERLINK("https://www.amazon.jobs/jobs/3082168/software-engineer-i-ad-demand?cmpid=DA_INAD200785B", "https://www.amazon.jobs/jobs/3082168/software-engineer-i-ad-demand?cmpid=DA_INAD200785B")</f>
        <v/>
      </c>
      <c r="G75" t="inlineStr">
        <is>
          <t>San Francisco, CA, US</t>
        </is>
      </c>
      <c r="H75" s="2" t="n">
        <v>45908</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in-c37e1869930fddab</t>
        </is>
      </c>
      <c r="B76" t="inlineStr">
        <is>
          <t>Software Engineer I- Ad Demand</t>
        </is>
      </c>
      <c r="C76" t="inlineStr">
        <is>
          <t>Amazon.com</t>
        </is>
      </c>
      <c r="D76" t="inlineStr">
        <is>
          <t>indeed</t>
        </is>
      </c>
      <c r="E76">
        <f>HYPERLINK("https://www.indeed.com/viewjob?jk=c37e1869930fddab", "https://www.indeed.com/viewjob?jk=c37e1869930fddab")</f>
        <v/>
      </c>
      <c r="F76">
        <f>HYPERLINK("https://www.amazon.jobs/jobs/3082168/software-engineer-i-ad-demand?cmpid=DA_INAD200785B", "https://www.amazon.jobs/jobs/3082168/software-engineer-i-ad-demand?cmpid=DA_INAD200785B")</f>
        <v/>
      </c>
      <c r="G76" t="inlineStr">
        <is>
          <t>New York, NY, US</t>
        </is>
      </c>
      <c r="H76" s="2" t="n">
        <v>45908</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in-de2ddb927aa5cbec</t>
        </is>
      </c>
      <c r="B77" t="inlineStr">
        <is>
          <t>Senior Software Engineer, Twitch</t>
        </is>
      </c>
      <c r="C77" t="inlineStr">
        <is>
          <t>Amazon.com</t>
        </is>
      </c>
      <c r="D77" t="inlineStr">
        <is>
          <t>indeed</t>
        </is>
      </c>
      <c r="E77">
        <f>HYPERLINK("https://www.indeed.com/viewjob?jk=de2ddb927aa5cbec", "https://www.indeed.com/viewjob?jk=de2ddb927aa5cbec")</f>
        <v/>
      </c>
      <c r="F77">
        <f>HYPERLINK("https://www.amazon.jobs/jobs/3138042/senior-software-engineer-twitch?cmpid=DA_INAD200785B", "https://www.amazon.jobs/jobs/3138042/senior-software-engineer-twitch?cmpid=DA_INAD200785B")</f>
        <v/>
      </c>
      <c r="G77" t="inlineStr">
        <is>
          <t>Seattle, WA, US</t>
        </is>
      </c>
      <c r="H77" s="2" t="n">
        <v>45995</v>
      </c>
      <c r="I7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in-57db1ccf7a2dc81c</t>
        </is>
      </c>
      <c r="B78" t="inlineStr">
        <is>
          <t>Senior Software Engineer, Twitch</t>
        </is>
      </c>
      <c r="C78" t="inlineStr">
        <is>
          <t>Amazon.com</t>
        </is>
      </c>
      <c r="D78" t="inlineStr">
        <is>
          <t>indeed</t>
        </is>
      </c>
      <c r="E78">
        <f>HYPERLINK("https://www.indeed.com/viewjob?jk=57db1ccf7a2dc81c", "https://www.indeed.com/viewjob?jk=57db1ccf7a2dc81c")</f>
        <v/>
      </c>
      <c r="F78">
        <f>HYPERLINK("https://www.amazon.jobs/jobs/3138042/senior-software-engineer-twitch?cmpid=DA_INAD200785B", "https://www.amazon.jobs/jobs/3138042/senior-software-engineer-twitch?cmpid=DA_INAD200785B")</f>
        <v/>
      </c>
      <c r="G78" t="inlineStr">
        <is>
          <t>San Francisco, CA, US</t>
        </is>
      </c>
      <c r="H78" s="2" t="n">
        <v>45995</v>
      </c>
      <c r="I7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in-ae9ba41fc4705d60</t>
        </is>
      </c>
      <c r="B79" t="inlineStr">
        <is>
          <t>Sr. Software Engineer, Manager</t>
        </is>
      </c>
      <c r="C79" t="inlineStr">
        <is>
          <t>Amazon.com</t>
        </is>
      </c>
      <c r="D79" t="inlineStr">
        <is>
          <t>indeed</t>
        </is>
      </c>
      <c r="E79">
        <f>HYPERLINK("https://www.indeed.com/viewjob?jk=ae9ba41fc4705d60", "https://www.indeed.com/viewjob?jk=ae9ba41fc4705d60")</f>
        <v/>
      </c>
      <c r="F79">
        <f>HYPERLINK("https://www.amazon.jobs/jobs/3144309/sr-software-engineer-manager?cmpid=DA_INAD200785B", "https://www.amazon.jobs/jobs/3144309/sr-software-engineer-manager?cmpid=DA_INAD200785B")</f>
        <v/>
      </c>
      <c r="G79" t="inlineStr">
        <is>
          <t>Irvine, CA, US</t>
        </is>
      </c>
      <c r="H79" s="2" t="n">
        <v>46006</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0">
      <c r="A80" t="inlineStr">
        <is>
          <t>in-bebb8fa4a9485bba</t>
        </is>
      </c>
      <c r="B80" t="inlineStr">
        <is>
          <t>Sr. Software Engineer, Manager</t>
        </is>
      </c>
      <c r="C80" t="inlineStr">
        <is>
          <t>Amazon.com</t>
        </is>
      </c>
      <c r="D80" t="inlineStr">
        <is>
          <t>indeed</t>
        </is>
      </c>
      <c r="E80">
        <f>HYPERLINK("https://www.indeed.com/viewjob?jk=bebb8fa4a9485bba", "https://www.indeed.com/viewjob?jk=bebb8fa4a9485bba")</f>
        <v/>
      </c>
      <c r="F80">
        <f>HYPERLINK("https://www.amazon.jobs/jobs/3144309/sr-software-engineer-manager?cmpid=DA_INAD200785B", "https://www.amazon.jobs/jobs/3144309/sr-software-engineer-manager?cmpid=DA_INAD200785B")</f>
        <v/>
      </c>
      <c r="G80" t="inlineStr">
        <is>
          <t>Seattle, WA, US</t>
        </is>
      </c>
      <c r="H80" s="2" t="n">
        <v>46006</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1">
      <c r="A81" t="inlineStr">
        <is>
          <t>in-6c4799ee075b4f4b</t>
        </is>
      </c>
      <c r="B81" t="inlineStr">
        <is>
          <t>Sr. Software Engineer, Manager</t>
        </is>
      </c>
      <c r="C81" t="inlineStr">
        <is>
          <t>Amazon.com</t>
        </is>
      </c>
      <c r="D81" t="inlineStr">
        <is>
          <t>indeed</t>
        </is>
      </c>
      <c r="E81">
        <f>HYPERLINK("https://www.indeed.com/viewjob?jk=6c4799ee075b4f4b", "https://www.indeed.com/viewjob?jk=6c4799ee075b4f4b")</f>
        <v/>
      </c>
      <c r="F81">
        <f>HYPERLINK("https://www.amazon.jobs/jobs/3144309/sr-software-engineer-manager?cmpid=DA_INAD200785B", "https://www.amazon.jobs/jobs/3144309/sr-software-engineer-manager?cmpid=DA_INAD200785B")</f>
        <v/>
      </c>
      <c r="G81" t="inlineStr">
        <is>
          <t>San Francisco, CA, US</t>
        </is>
      </c>
      <c r="H81" s="2" t="n">
        <v>46006</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2">
      <c r="A82" t="inlineStr">
        <is>
          <t>in-d9dd859a5f7631df</t>
        </is>
      </c>
      <c r="B82" t="inlineStr">
        <is>
          <t>Sr. Software Engineer, Manager</t>
        </is>
      </c>
      <c r="C82" t="inlineStr">
        <is>
          <t>Amazon.com</t>
        </is>
      </c>
      <c r="D82" t="inlineStr">
        <is>
          <t>indeed</t>
        </is>
      </c>
      <c r="E82">
        <f>HYPERLINK("https://www.indeed.com/viewjob?jk=d9dd859a5f7631df", "https://www.indeed.com/viewjob?jk=d9dd859a5f7631df")</f>
        <v/>
      </c>
      <c r="F82">
        <f>HYPERLINK("https://www.amazon.jobs/jobs/3144309/sr-software-engineer-manager?cmpid=DA_INAD200785B", "https://www.amazon.jobs/jobs/3144309/sr-software-engineer-manager?cmpid=DA_INAD200785B")</f>
        <v/>
      </c>
      <c r="G82" t="inlineStr">
        <is>
          <t>New York, NY, US</t>
        </is>
      </c>
      <c r="H82" s="2" t="n">
        <v>46006</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3">
      <c r="A83" t="inlineStr">
        <is>
          <t>in-e4ed1483d4cfedbd</t>
        </is>
      </c>
      <c r="B83" t="inlineStr">
        <is>
          <t>Sr. Software Engineer, Manager</t>
        </is>
      </c>
      <c r="C83" t="inlineStr">
        <is>
          <t>Amazon.com</t>
        </is>
      </c>
      <c r="D83" t="inlineStr">
        <is>
          <t>indeed</t>
        </is>
      </c>
      <c r="E83">
        <f>HYPERLINK("https://www.indeed.com/viewjob?jk=e4ed1483d4cfedbd", "https://www.indeed.com/viewjob?jk=e4ed1483d4cfedbd")</f>
        <v/>
      </c>
      <c r="F83">
        <f>HYPERLINK("https://www.amazon.jobs/jobs/3144309/sr-software-engineer-manager?cmpid=DA_INAD200785B", "https://www.amazon.jobs/jobs/3144309/sr-software-engineer-manager?cmpid=DA_INAD200785B")</f>
        <v/>
      </c>
      <c r="G83" t="inlineStr">
        <is>
          <t>Culver City, CA, US</t>
        </is>
      </c>
      <c r="H83" s="2" t="n">
        <v>46006</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84">
      <c r="A84" t="inlineStr">
        <is>
          <t>in-cb8b90271f7b2936</t>
        </is>
      </c>
      <c r="B84" t="inlineStr">
        <is>
          <t>Software Engineer, Monetization ML</t>
        </is>
      </c>
      <c r="C84" t="inlineStr">
        <is>
          <t>Amazon.com</t>
        </is>
      </c>
      <c r="D84" t="inlineStr">
        <is>
          <t>indeed</t>
        </is>
      </c>
      <c r="E84">
        <f>HYPERLINK("https://www.indeed.com/viewjob?jk=cb8b90271f7b2936", "https://www.indeed.com/viewjob?jk=cb8b90271f7b2936")</f>
        <v/>
      </c>
      <c r="F84">
        <f>HYPERLINK("https://www.amazon.jobs/jobs/3113621/software-engineer-monetization-ml?cmpid=DA_INAD200785B", "https://www.amazon.jobs/jobs/3113621/software-engineer-monetization-ml?cmpid=DA_INAD200785B")</f>
        <v/>
      </c>
      <c r="G84" t="inlineStr">
        <is>
          <t>New York, NY, US</t>
        </is>
      </c>
      <c r="H84" s="2" t="n">
        <v>45944</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85">
      <c r="A85" t="inlineStr">
        <is>
          <t>in-235d8c1a44eb8ed8</t>
        </is>
      </c>
      <c r="B85" t="inlineStr">
        <is>
          <t>Software Engineer, Monetization ML</t>
        </is>
      </c>
      <c r="C85" t="inlineStr">
        <is>
          <t>Amazon.com</t>
        </is>
      </c>
      <c r="D85" t="inlineStr">
        <is>
          <t>indeed</t>
        </is>
      </c>
      <c r="E85">
        <f>HYPERLINK("https://www.indeed.com/viewjob?jk=235d8c1a44eb8ed8", "https://www.indeed.com/viewjob?jk=235d8c1a44eb8ed8")</f>
        <v/>
      </c>
      <c r="F85">
        <f>HYPERLINK("https://www.amazon.jobs/jobs/3113621/software-engineer-monetization-ml?cmpid=DA_INAD200785B", "https://www.amazon.jobs/jobs/3113621/software-engineer-monetization-ml?cmpid=DA_INAD200785B")</f>
        <v/>
      </c>
      <c r="G85" t="inlineStr">
        <is>
          <t>Seattle, WA, US</t>
        </is>
      </c>
      <c r="H85" s="2" t="n">
        <v>45944</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86">
      <c r="A86" t="inlineStr">
        <is>
          <t>in-2620310d819fdfc9</t>
        </is>
      </c>
      <c r="B86" t="inlineStr">
        <is>
          <t>Staff Software Engineer, Tax Product Development</t>
        </is>
      </c>
      <c r="C86" t="inlineStr">
        <is>
          <t>BDO</t>
        </is>
      </c>
      <c r="D86" t="inlineStr">
        <is>
          <t>indeed</t>
        </is>
      </c>
      <c r="E86">
        <f>HYPERLINK("https://www.indeed.com/viewjob?jk=2620310d819fdfc9", "https://www.indeed.com/viewjob?jk=2620310d819fdfc9")</f>
        <v/>
      </c>
      <c r="F86">
        <f>HYPERLINK("https://ebqb.fa.us2.oraclecloud.com/hcmUI/CandidateExperience/en/sites/CX_xx/requisitions/preview/11785", "https://ebqb.fa.us2.oraclecloud.com/hcmUI/CandidateExperience/en/sites/CX_xx/requisitions/preview/11785")</f>
        <v/>
      </c>
      <c r="G86" t="inlineStr">
        <is>
          <t>Denver, CO, US</t>
        </is>
      </c>
      <c r="H86" s="2" t="n">
        <v>46087</v>
      </c>
      <c r="I86" t="inlineStr">
        <is>
          <t>**Job Summary:**
The Staff Software Engineer provides technical leadership and hands\-on software development for BDO Tax products and platforms, including AI\-enabled solutions supporting Partnership, Direct Tax (Business Tax), Indirect Tax, and Dynamics/ERP integrations. This role designs, builds, and maintains scalable services and user experiences, establishes engineering standards, and drives delivery excellence through Agile and Lean practices. Responsibilities include solution architecture, secure coding, code reviews, CI/CD enablement, staffing, and operational readiness through observability and automation. The position partners with product, design, QA, and DevOps to define technical roadmaps, reduce cycle time, and improve reliability. The role supports responsible AI\-enabled software development, including LLM\-based capabilities and agent workflows, with governance\-aligned evaluation, safety considerations, and data protection controls.
**Job Duties:**
• Leads the design and implementation of software features and platform capabilities for BDO Tax products, including integration patterns for Dynamics/ERP/3rd party tax and accounting systems
• Provides technical direction on architecture, code structure, scalability, and reliability for services, APIs, and user\-facing applications
• Develops and maintains backend services and REST APIs using modern engineering practices, including versioning, backward compatibility, and resilience patterns
• Develops and maintains UI components and workflows aligned to product requirements and accessibility standards
• Builds AI\-enabled product capabilities using approved platforms and patterns, including LLM\-based features and agent workflows, while adhering to responsible AI standards and governance controls
• Establishes and enforces engineering standards through code reviews, design reviews, and reference implementations
• Embeds themselves within agile teams to refine requirements, define technical approaches, estimate work, and deliver incrementally using Lean principles
• Improves developer productivity by creating reusable libraries, templates, and internal tooling
• Implements automated testing practices, including unit, integration, and end\-to\-end tests, and partner with QA to ensure comprehensive coverage
• Builds and maintains CI/CD pipelines and release automation with quality gates, security scanning, and environment promotion controls
• Implements observability standards including structured logging, metrics, tracing, and actionable alerting for production support
• Performs performance and reliability engineering activities including profiling, capacity planning inputs, and incident root cause analysis
• Other duties as required  
**Supervisory Responsibilities:**  
• Mentors engineers through pairing, technical coaching, and feedback on design and implementation quality
• Acts as a direct supervisor to team members, as assigned
• Acts as a Career Advisor to team members, as assigned
**Qualifications, Knowledge, Skills, and Abilities:**
**Education:**  
· High school diploma, GED, or equivalent, required
· Bachelor's degree, with a focus in Computer Science, Technology, Engineering, Mathematics (STEM), Finance, or Accounting, preferred
**Experience:**  
· Ten (10\) or more years of progressive software engineering experience delivering enterprise software products, required
· Five (5\) or more years of building and maintaining production\-grade services and APIs using C\#/.NET or Java, required
· Three (3\) or more years of providing technical leadership through design reviews, code reviews, and engineering standards, preferred
· Three (3\) or more years of delivering solutions using Agile delivery methods with applied Lean principles and continuous improvement practices, preferred
· Three (3\) or more years of building CI/CD pipelines and release automation supporting frequent deployments, preferred
· Two (2\) or more years of developing AI\-enabled software solutions using LLMs and agentic workflows, including evaluation methods and governance\-aligned safety controls, preferred
· Experience integrating with enterprise platforms and business systems, including Dynamics/ERP integrations. preferred
· Experience delivering tax domain platforms supporting Partnership, Direct Tax (Business Tax), or Indirect Tax, preferred
**License/Certifications:**  
· Microsoft Certified: Azure Developer Associate or AZ\-900, preferred
· Microsoft Certified: Azure AI Engineer Associate, preferred
· Certified ScrumMaster (CSM) or Professional Scrum Master (PSM I), preferred
**Software:**  
· Experience with one (1\) or more of the following products, preferred:
· Microsoft Office Suite
· Microsoft Azure DevOps or GitHub
· Microsoft SQL Server and/or Azure SQL DB
· Proficient in the use of Microsoft Office Suite, preferred
· Extensive knowledge of cloud platforms (Azure, AWS GCP), AI platforms like OpenAI, Anthropic, DevOps practices, CI/CD pipelines, containerization (Docker, Kubernetes), and database technologies (SQL, NoSQL), preferred
· Expertise in multiple programming languages (e.g., C\#, .NET, JavaScript/TypeScript, Python) and frameworks, preferred
**Language:**  
· N/A
**Other Knowledge, Skills, \&amp; Abilities:**  
· Ability to work well in hybrid and remote environments
· Solid verbal and written communication skills
· Strong interpersonal skills, including training/instruction with professionals at all levels
· Sound decision\-making skills
· Ability to lead and manage a team
· Ability to complete projects independently
· Strong analytical and problem\-solving abilities, with a focus on delivering practical and innovative solutions
· Strong ability to translate business outcomes into technical designs, delivery plans, and measurable engineering goals
· Strong knowledge of secure software development practices, including threat modeling and vulnerability remediation
· Strong understanding of Agile engineering practices, including trunk\-based development, CI, and iterative delivery  
Individual salaries that are offered to a candidate are determined after consideration of numerous factors including but not limited to the candidate’s qualifications, experience, skills, and geography.
National Range: $200,000 \-$285,000
Maryland Range: $200,000 \-$285,000
NYC/Long Island/Westchester Range: $200,000 \-$285,000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t>
        </is>
      </c>
    </row>
    <row r="87">
      <c r="A87" t="inlineStr">
        <is>
          <t>in-13f12b10b3ea83b7</t>
        </is>
      </c>
      <c r="B87" t="inlineStr">
        <is>
          <t>Embedded Software Engineer, Annapurna ML Software</t>
        </is>
      </c>
      <c r="C87" t="inlineStr">
        <is>
          <t>Amazon Web Services</t>
        </is>
      </c>
      <c r="D87" t="inlineStr">
        <is>
          <t>indeed</t>
        </is>
      </c>
      <c r="E87">
        <f>HYPERLINK("https://www.indeed.com/viewjob?jk=13f12b10b3ea83b7", "https://www.indeed.com/viewjob?jk=13f12b10b3ea83b7")</f>
        <v/>
      </c>
      <c r="F87">
        <f>HYPERLINK("https://www.amazon.jobs/jobs/3196274/embedded-software-engineer-annapurna-ml-software?cmpid=DA_INAD200785B", "https://www.amazon.jobs/jobs/3196274/embedded-software-engineer-annapurna-ml-software?cmpid=DA_INAD200785B")</f>
        <v/>
      </c>
      <c r="G87" t="inlineStr">
        <is>
          <t>Austin, TX, US</t>
        </is>
      </c>
      <c r="H87" s="2" t="n">
        <v>46084</v>
      </c>
      <c r="I8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88">
      <c r="A88" t="inlineStr">
        <is>
          <t>in-2e7b8b5c0148983b</t>
        </is>
      </c>
      <c r="B88" t="inlineStr">
        <is>
          <t>Embedded Software Engineer, Annapurna ML Software</t>
        </is>
      </c>
      <c r="C88" t="inlineStr">
        <is>
          <t>Amazon Web Services</t>
        </is>
      </c>
      <c r="D88" t="inlineStr">
        <is>
          <t>indeed</t>
        </is>
      </c>
      <c r="E88">
        <f>HYPERLINK("https://www.indeed.com/viewjob?jk=2e7b8b5c0148983b", "https://www.indeed.com/viewjob?jk=2e7b8b5c0148983b")</f>
        <v/>
      </c>
      <c r="F88">
        <f>HYPERLINK("https://www.amazon.jobs/jobs/3196274/embedded-software-engineer-annapurna-ml-software?cmpid=DA_INAD200785B", "https://www.amazon.jobs/jobs/3196274/embedded-software-engineer-annapurna-ml-software?cmpid=DA_INAD200785B")</f>
        <v/>
      </c>
      <c r="G88" t="inlineStr">
        <is>
          <t>Cupertino, CA, US</t>
        </is>
      </c>
      <c r="H88" s="2" t="n">
        <v>46084</v>
      </c>
      <c r="I8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89">
      <c r="A89" t="inlineStr">
        <is>
          <t>in-7e1e1b006618f6b5</t>
        </is>
      </c>
      <c r="B89" t="inlineStr">
        <is>
          <t>Sr Embedded Software Engineer, Annapurna ML Software</t>
        </is>
      </c>
      <c r="C89" t="inlineStr">
        <is>
          <t>Amazon Web Services</t>
        </is>
      </c>
      <c r="D89" t="inlineStr">
        <is>
          <t>indeed</t>
        </is>
      </c>
      <c r="E89">
        <f>HYPERLINK("https://www.indeed.com/viewjob?jk=7e1e1b006618f6b5", "https://www.indeed.com/viewjob?jk=7e1e1b006618f6b5")</f>
        <v/>
      </c>
      <c r="F89">
        <f>HYPERLINK("https://www.amazon.jobs/jobs/3190880/sr-embedded-software-engineer-annapurna-ml-software?cmpid=DA_INAD200785B", "https://www.amazon.jobs/jobs/3190880/sr-embedded-software-engineer-annapurna-ml-software?cmpid=DA_INAD200785B")</f>
        <v/>
      </c>
      <c r="G89" t="inlineStr">
        <is>
          <t>Austin, TX, US</t>
        </is>
      </c>
      <c r="H89" s="2" t="n">
        <v>46070</v>
      </c>
      <c r="I8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90">
      <c r="A90" t="inlineStr">
        <is>
          <t>in-30f557fac37bf152</t>
        </is>
      </c>
      <c r="B90" t="inlineStr">
        <is>
          <t>Sr Embedded Software Engineer, Annapurna ML Software</t>
        </is>
      </c>
      <c r="C90" t="inlineStr">
        <is>
          <t>Amazon Web Services</t>
        </is>
      </c>
      <c r="D90" t="inlineStr">
        <is>
          <t>indeed</t>
        </is>
      </c>
      <c r="E90">
        <f>HYPERLINK("https://www.indeed.com/viewjob?jk=30f557fac37bf152", "https://www.indeed.com/viewjob?jk=30f557fac37bf152")</f>
        <v/>
      </c>
      <c r="F90">
        <f>HYPERLINK("https://www.amazon.jobs/jobs/3190880/sr-embedded-software-engineer-annapurna-ml-software?cmpid=DA_INAD200785B", "https://www.amazon.jobs/jobs/3190880/sr-embedded-software-engineer-annapurna-ml-software?cmpid=DA_INAD200785B")</f>
        <v/>
      </c>
      <c r="G90" t="inlineStr">
        <is>
          <t>Cupertino, CA, US</t>
        </is>
      </c>
      <c r="H90" s="2" t="n">
        <v>46070</v>
      </c>
      <c r="I90"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91">
      <c r="A91" t="inlineStr">
        <is>
          <t>in-7e4e2ae841a0e1cc</t>
        </is>
      </c>
      <c r="B91" t="inlineStr">
        <is>
          <t>Senior Backend Engineer - Startup</t>
        </is>
      </c>
      <c r="C91" t="inlineStr">
        <is>
          <t>PROJITT LLC</t>
        </is>
      </c>
      <c r="D91" t="inlineStr">
        <is>
          <t>indeed</t>
        </is>
      </c>
      <c r="E91">
        <f>HYPERLINK("https://www.indeed.com/viewjob?jk=7e4e2ae841a0e1cc", "https://www.indeed.com/viewjob?jk=7e4e2ae841a0e1cc")</f>
        <v/>
      </c>
      <c r="F91">
        <f>HYPERLINK("http://www.indeed.com/job/senior-backend-engineer-startup-7e4e2ae841a0e1cc", "http://www.indeed.com/job/senior-backend-engineer-startup-7e4e2ae841a0e1cc")</f>
        <v/>
      </c>
      <c r="G91" t="inlineStr">
        <is>
          <t>Remote, US</t>
        </is>
      </c>
      <c r="H91" s="2" t="n">
        <v>46088</v>
      </c>
      <c r="I91" t="inlineStr">
        <is>
          <t>**Full job description**
We’re looking for a hands\-on Backend Engineer with strong experience in Laravel, system integrations, API design, and database architecture. You’ll own the backend layer, build robust integrations with external services, and design scalable data models to support our product and analytics needs.
You should be comfortable working in a fast\-paced environment, contributing to architectural decisions, writing clean and maintainable code.
**Key Responsibilities**
* **Backend development (Laravel)**
* Design, implement, test, and optimize robust Laravel\-based services and APIs.
* Build secure, scalable REST/GraphQL endpoints and microservice patterns where appropriate.
* Ensure high availability, performance, and reliability of backend systems on AWS.
* **Integrations \&amp; connectivity**
* Architect and implement integrations with external/Internal systems (SaaS, data feeds, webhooks, queues).
* Develop API adapters, connectors, and orchestration logic; manage retries and idempotency.
* Handle data synchronization, transformation, and error handling across systems.
* **Database architecture \&amp; data modeling**
* Design scalable data models and storage strategies (PostgreSQL).
* Optimize queries, indexing, and data access patterns for performance and cost.
* Support data migration, lineage, governance, and security best practices.
* **Security, compliance \&amp; reliability**
* Implement authentication/authorization, encryption, and secure API design.
* Implement logging, monitoring, tracing, and alerting; enforce best practices for data protection.
* **Quality \&amp; efficiency**
* Write comprehensive unit/integration tests; participate in CI/CD pipelines (GitHub Actions, CodePipeline, etc.).
* Identify technical debt and drive refactoring and performance improvements.
**Required Skills \&amp; Qualifications**
* 5\+ years of professional experience in full stack or web/mobile development.
* Strong proficiency in React.js, Next.js, Laravel, PHP, and Flutter.
* Experience developing and integrating RESTful APIs and working with relational databases (MySQL/PostgreSQL).
* Strong understanding of UI/UX principles, responsive design, and mobile\-first development.
* Familiarity with state management tools (Redux, Provider, Riverpod, etc.) in both React and Flutter.
* Experience with version control (Git/GitHub) and CI/CD pipelines.
* Strong problem\-solving skills and ability to work independently in a remote, agile startup environment.
* Excellent communication and collaboration skills.
**Preferred Qualifications**
* 5\+ years of backend development experience, with Laravel in production.
* Strong experience building integrations with external systems and data sources.
* Experience designing multi\-tenant SaaS systems
* Database expertise (SQL: MySQL/PostgreSQL; NoSQL as relevant); data modeling, indexing, optimization.
* API design experience (REST; GraphQL is a plus); familiarity with asynchronous messaging (e.g., AWS SQS/SNS, Kafka).
* Experience on AWS (Lambda, ECS/EKS, RDS/Aurora, S3, IAM, VPC, CloudWatch, Secrets Manager).
* Proficiency with frontend integration considerations (React) and API contracts.
* Familiarity with CI/CD, IaC (e.g., Terraform, AWS CloudFormation), and containerization (Docker).
* Security best practices, data governance, and compliance awareness.
* Strong problem\-solving, communication, and collaboration skills.
**Ideal Candidate Profile**
This role is ideal for an engineer who has:
* Built **multi\-tenant SaaS platforms**
* Designed **AWS infrastructure**
* Scaled backend systems
* Worked in **early stage startup environments**
**Why Join Us**
* Work on foundational architecture of a new enterprise platform
* Opportunity to design a multi\-tenant SaaS platform from the ground up
* Influence technical direction and infrastructure strategy
* Join an early team shaping the future of business management software
Education:
* Bachelor's (Required)
Experience:
* Back\-end development: 4 years (Required)
Work Location: Remote</t>
        </is>
      </c>
    </row>
    <row r="92">
      <c r="A92" t="inlineStr">
        <is>
          <t>in-7b669e48f9945f68</t>
        </is>
      </c>
      <c r="B92" t="inlineStr">
        <is>
          <t>Lead Software Engineer</t>
        </is>
      </c>
      <c r="C92" t="inlineStr">
        <is>
          <t>JPMorganChase</t>
        </is>
      </c>
      <c r="D92" t="inlineStr">
        <is>
          <t>indeed</t>
        </is>
      </c>
      <c r="E92">
        <f>HYPERLINK("https://www.indeed.com/viewjob?jk=7b669e48f9945f68", "https://www.indeed.com/viewjob?jk=7b669e48f9945f68")</f>
        <v/>
      </c>
      <c r="F92">
        <f>HYPERLINK("https://JPMorganChase.contacthr.com/151332345", "https://JPMorganChase.contacthr.com/151332345")</f>
        <v/>
      </c>
      <c r="G92" t="inlineStr">
        <is>
          <t>Plano, TX, US</t>
        </is>
      </c>
      <c r="H92" s="2" t="n">
        <v>46087</v>
      </c>
      <c r="I92" t="inlineStr">
        <is>
          <t>**JOB DESCRIPTION**  
As Lead Security Engineer, you will design and optimize large\-scale AI/ML platforms and LLM\-powered applications.
**Key Responsibilities**
* Architect and deploy state\-of\-the\-art LLM architectures (e.g., GPT, LLaMA, Mixtral) using techniques like LoRA and RLHF for domain\-specific tasks.
* Develop advanced prompt engineering strategies and orchestrate LLM\-powered applications using frameworks like LangChain or LlamaIndex.
* Design and manage data pipelines for collection, cleaning, and preparation of high\-quality datasets.
* Implement Retrieval\-Augmented Generation (RAG) systems, managing vector databases and embedding models.
* Build and maintain scalable, secure inference pipelines while continuously monitoring for model drift.
* Apply optimization techniques such as quantization and pruning to improve model efficiency.
* Ensure all AI solutions meet cybersecurity standards and compliance requirements.
* Stay current with advancements in NLP, transformer architectures, and generative AI research.
**Required Skills**
* Formal Training or certification with 5\+ years of experience in high\-impact AI capabilities for enterprise environments.
* Advanced proficiency in Python and deep learning frameworks (PyTorch, TensorFlow, JAX).
* Strong understanding of transformer architectures, LLMs, and Hugging Face ecosystem.
* Hands\-on experience with frameworks and libraries including TensorFlow, PyTorch, BERT/LLMs, Hugging Face, OpenCV, scikit\-learn, SKLearn, Pandas, Flask, and React.
* Experience with cloud\-based ML platforms (AWS Sage Maker, Google Vertex AI, Azure ML), containerization (Docker), and orchestration (Kubernetes).
* Hands\-on experience designing and deploying RAG systems using Lang Chain, Llama Index, Pinecone, or Faiss.
* Expertise in secure model deployment, access control, and data governance.
* Excellent leadership, communication, and collaboration skills.
**Preferred Skills**
* Experience with multi\-modal AI integration and advanced optimization techniques.
* Familiarity with CI/CD pipelines, automation tools, and frontend frameworks.
* Certifications in AI/ML, cloud platforms, Kubernetes, or cybersecurity.
* Advanced degree (master’s or PhD) in Computer Science, AI, Data Science, or related field.
* Exposure to regulated industries and compliance frameworks.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3">
      <c r="A93" t="inlineStr">
        <is>
          <t>in-f1ee21dbef4a337e</t>
        </is>
      </c>
      <c r="B93" t="inlineStr">
        <is>
          <t>Sr Principal Software Engineer</t>
        </is>
      </c>
      <c r="C93" t="inlineStr">
        <is>
          <t>Northrop Grumman</t>
        </is>
      </c>
      <c r="D93" t="inlineStr">
        <is>
          <t>indeed</t>
        </is>
      </c>
      <c r="E93">
        <f>HYPERLINK("https://www.indeed.com/viewjob?jk=f1ee21dbef4a337e", "https://www.indeed.com/viewjob?jk=f1ee21dbef4a337e")</f>
        <v/>
      </c>
      <c r="F93">
        <f>HYPERLINK("https://jsv3.recruitics.com/redirect?rx_cid=3658&amp;rx_jobId=R10225099&amp;rx_url=https%3A%2F%2Fjobs.northropgrumman.com%2Fcareers%2Fjob%2F1340070498802%3Fcode%3DJB-17946%26domain%3Dngc.com%26rx_a%3D0%26rx_c%3D%26rx_ch%3Djobp4p%26rx_group%3D288254%26rx_id%3D87ce3691-1a20-11f1-9420-6f5a39165ff6%26rx_job%3DR10225099%26rx_medium%3Dcpc%26rx_r%3Dnone%26rx_source%3Dindeed%26rx_ts%3D20260307T160425Z%26rx_vp%3Dcpc%26source%3DJB-17946%26utm_audience%3Dprospectivetalentemployees%26utm_campaign%3Dta-general%26utm_content%3Djobfeed%26utm_format%3Dcpl%26utm_medium%3Djobboard%26utm_source%3Dindeed", "https://jsv3.recruitics.com/redirect?rx_cid=3658&amp;rx_jobId=R10225099&amp;rx_url=https%3A%2F%2Fjobs.northropgrumman.com%2Fcareers%2Fjob%2F1340070498802%3Fcode%3DJB-17946%26domain%3Dngc.com%26rx_a%3D0%26rx_c%3D%26rx_ch%3Djobp4p%26rx_group%3D288254%26rx_id%3D87ce3691-1a20-11f1-9420-6f5a39165ff6%26rx_job%3DR10225099%26rx_medium%3Dcpc%26rx_r%3Dnone%26rx_source%3Dindeed%26rx_ts%3D20260307T160425Z%26rx_vp%3Dcpc%26source%3DJB-17946%26utm_audience%3Dprospectivetalentemployees%26utm_campaign%3Dta-general%26utm_content%3Djobfeed%26utm_format%3Dcpl%26utm_medium%3Djobboard%26utm_source%3Dindeed")</f>
        <v/>
      </c>
      <c r="G93" t="inlineStr">
        <is>
          <t>Orlando, FL, US</t>
        </is>
      </c>
      <c r="H93" s="2" t="n">
        <v>46085</v>
      </c>
      <c r="I93"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Are you ready to put your experience to work at Northrop Grumman? If so, Our Defense Systems wants you to join our team as a Sr Principal Software Engineer. This position is located in Orlando, FL or Bellevue, NE.
As a Sr Principal Software Engineer, on our program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**Roles/Responsibilities:**
* You will develop, maintain, and enhance complex and secure software systems based upon documented requirements.
* You will be responsible for working individually or as part of a team to review and test software components for adherence to the design requirements and documents test results.
* You will resolves software problem reports, utilizes software development and software design methodologies appropriate to the development and software design methodologies appropriate to the development environment.
*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8 years of related technical experience; Master’s degree in a STEM field and 6 years of related technical experience, or PHD in a STEM field and 4 years of related technical experience.
* A current DoD Secret Clearance.
* Experience developing software using Java or C\+\+.
* Experience with debugging existing software and correcting defects.
* Experience with the SDLC and agile methodologies.
* A minimum of 5 years of development experience in a Linux environment, preferably RHEL.
**Preferred Qualifications:**
* Expertise in developing, debugging, and maintaining Linux kernel‑mode device drivers, including the ability to design and implement new low‑level drivers or modify existing ones for custom hardware platforms, with a strong grasp of kernel subsystems, interrupt handling, DMA, and device tree configuration.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4">
      <c r="A94" t="inlineStr">
        <is>
          <t>in-1093f7865b447add</t>
        </is>
      </c>
      <c r="B94" t="inlineStr">
        <is>
          <t>Sr Principal Software Engineer</t>
        </is>
      </c>
      <c r="C94" t="inlineStr">
        <is>
          <t>Northrop Grumman</t>
        </is>
      </c>
      <c r="D94" t="inlineStr">
        <is>
          <t>indeed</t>
        </is>
      </c>
      <c r="E94">
        <f>HYPERLINK("https://www.indeed.com/viewjob?jk=1093f7865b447add", "https://www.indeed.com/viewjob?jk=1093f7865b447add")</f>
        <v/>
      </c>
      <c r="F94">
        <f>HYPERLINK("https://jsv3.recruitics.com/redirect?rx_cid=3658&amp;rx_jobId=R10225099-2&amp;rx_url=https%3A%2F%2Fjobs.northropgrumman.com%2Fcareers%2Fjob%2F1340070498802%3Fcode%3DJB-17946%26domain%3Dngc.com%26rx_a%3D0%26rx_c%3D%26rx_ch%3Djobp4p%26rx_group%3D288254%26rx_id%3D8aa683b9-1a20-11f1-9420-6340bcb08826%26rx_job%3DR10225099-2%26rx_medium%3Dcpc%26rx_r%3Dnone%26rx_source%3Dindeed%26rx_ts%3D20260307T160425Z%26rx_vp%3Dcpc%26source%3DJB-17946%26utm_audience%3Dprospectivetalentemployees%26utm_campaign%3Dta-general%26utm_content%3Djobfeed%26utm_format%3Dcpl%26utm_medium%3Djobboard%26utm_source%3Dindeed", "https://jsv3.recruitics.com/redirect?rx_cid=3658&amp;rx_jobId=R10225099-2&amp;rx_url=https%3A%2F%2Fjobs.northropgrumman.com%2Fcareers%2Fjob%2F1340070498802%3Fcode%3DJB-17946%26domain%3Dngc.com%26rx_a%3D0%26rx_c%3D%26rx_ch%3Djobp4p%26rx_group%3D288254%26rx_id%3D8aa683b9-1a20-11f1-9420-6340bcb08826%26rx_job%3DR10225099-2%26rx_medium%3Dcpc%26rx_r%3Dnone%26rx_source%3Dindeed%26rx_ts%3D20260307T160425Z%26rx_vp%3Dcpc%26source%3DJB-17946%26utm_audience%3Dprospectivetalentemployees%26utm_campaign%3Dta-general%26utm_content%3Djobfeed%26utm_format%3Dcpl%26utm_medium%3Djobboard%26utm_source%3Dindeed")</f>
        <v/>
      </c>
      <c r="G94" t="inlineStr">
        <is>
          <t>Bellevue, NE, US</t>
        </is>
      </c>
      <c r="H94" s="2" t="n">
        <v>46085</v>
      </c>
      <c r="I94"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Are you ready to put your experience to work at Northrop Grumman? If so, Our Defense Systems wants you to join our team as a Sr Principal Software Engineer. This position is located in Orlando, FL or Bellevue, NE.
As a Sr Principal Software Engineer, on our program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**Roles/Responsibilities:**
* You will develop, maintain, and enhance complex and secure software systems based upon documented requirements.
* You will be responsible for working individually or as part of a team to review and test software components for adherence to the design requirements and documents test results.
* You will resolves software problem reports, utilizes software development and software design methodologies appropriate to the development and software design methodologies appropriate to the development environment.
*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8 years of related technical experience; Master’s degree in a STEM field and 6 years of related technical experience, or PHD in a STEM field and 4 years of related technical experience.
* A current DoD Secret Clearance.
* Experience developing software using Java or C\+\+.
* Experience with debugging existing software and correcting defects.
* Experience with the SDLC and agile methodologies.
* A minimum of 5 years of development experience in a Linux environment, preferably RHEL.
**Preferred Qualifications:**
* Expertise in developing, debugging, and maintaining Linux kernel‑mode device drivers, including the ability to design and implement new low‑level drivers or modify existing ones for custom hardware platforms, with a strong grasp of kernel subsystems, interrupt handling, DMA, and device tree configuration.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5">
      <c r="A95" t="inlineStr">
        <is>
          <t>in-23fd0c88d1057e4d</t>
        </is>
      </c>
      <c r="B95" t="inlineStr">
        <is>
          <t>Software Engineer</t>
        </is>
      </c>
      <c r="C95" t="inlineStr">
        <is>
          <t>Northrop Grumman</t>
        </is>
      </c>
      <c r="D95" t="inlineStr">
        <is>
          <t>indeed</t>
        </is>
      </c>
      <c r="E95">
        <f>HYPERLINK("https://www.indeed.com/viewjob?jk=23fd0c88d1057e4d", "https://www.indeed.com/viewjob?jk=23fd0c88d1057e4d")</f>
        <v/>
      </c>
      <c r="F95">
        <f>HYPERLINK("https://jsv3.recruitics.com/redirect?rx_cid=3658&amp;rx_jobId=R10225100&amp;rx_url=https%3A%2F%2Fjobs.northropgrumman.com%2Fcareers%2Fjob%2F1340070498862%3Fcode%3DJB-17946%26domain%3Dngc.com%26rx_a%3D0%26rx_c%3D%26rx_ch%3Djobp4p%26rx_group%3D288254%26rx_id%3D8786f38b-1a20-11f1-9420-bdbddc35ee48%26rx_job%3DR10225100%26rx_medium%3Dcpc%26rx_r%3Dnone%26rx_source%3Dindeed%26rx_ts%3D20260307T160425Z%26rx_vp%3Dcpc%26source%3DJB-17946%26utm_audience%3Dprospectivetalentemployees%26utm_campaign%3Dta-general%26utm_content%3Djobfeed%26utm_format%3Dcpl%26utm_medium%3Djobboard%26utm_source%3Dindeed", "https://jsv3.recruitics.com/redirect?rx_cid=3658&amp;rx_jobId=R10225100&amp;rx_url=https%3A%2F%2Fjobs.northropgrumman.com%2Fcareers%2Fjob%2F1340070498862%3Fcode%3DJB-17946%26domain%3Dngc.com%26rx_a%3D0%26rx_c%3D%26rx_ch%3Djobp4p%26rx_group%3D288254%26rx_id%3D8786f38b-1a20-11f1-9420-bdbddc35ee48%26rx_job%3DR10225100%26rx_medium%3Dcpc%26rx_r%3Dnone%26rx_source%3Dindeed%26rx_ts%3D20260307T160425Z%26rx_vp%3Dcpc%26source%3DJB-17946%26utm_audience%3Dprospectivetalentemployees%26utm_campaign%3Dta-general%26utm_content%3Djobfeed%26utm_format%3Dcpl%26utm_medium%3Djobboard%26utm_source%3Dindeed")</f>
        <v/>
      </c>
      <c r="G95" t="inlineStr">
        <is>
          <t>Orlando, FL, US</t>
        </is>
      </c>
      <c r="H95" s="2" t="n">
        <v>46085</v>
      </c>
      <c r="I95"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has an opening for a Software Engineer . We are looking for you to join our team as a Software Engineer (level 2\). This position is located in Orlando, FL or Bellevue, NE.
As a Software Engineer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 \&amp; Responsibilities:**
* You will develop, maintain, and enhance complex and secure software systems based upon documented requirements.
*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To be successful, you must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2 years of related technical experience; Master’s degree in a STEM field and 0 years of related technical experience.
* **Current DoD Secret Clearance.**
* Demonstrated experience developing software using Java, Rust, C, C\+\+, C\#, or Python.
* Demonstrated experience with debugging existing software and correcting defects.
* Demonstrated experience with the SDLC and agile methodologies.
* Development experience in Linux environment, preferably RHEL.
**Preferred Qualifications:**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$79,300\.00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6">
      <c r="A96" t="inlineStr">
        <is>
          <t>in-5030fb94a8573180</t>
        </is>
      </c>
      <c r="B96" t="inlineStr">
        <is>
          <t>Software Engineer</t>
        </is>
      </c>
      <c r="C96" t="inlineStr">
        <is>
          <t>Northrop Grumman</t>
        </is>
      </c>
      <c r="D96" t="inlineStr">
        <is>
          <t>indeed</t>
        </is>
      </c>
      <c r="E96">
        <f>HYPERLINK("https://www.indeed.com/viewjob?jk=5030fb94a8573180", "https://www.indeed.com/viewjob?jk=5030fb94a8573180")</f>
        <v/>
      </c>
      <c r="F96">
        <f>HYPERLINK("https://jsv3.recruitics.com/redirect?rx_cid=3658&amp;rx_jobId=R10225100-2&amp;rx_url=https%3A%2F%2Fjobs.northropgrumman.com%2Fcareers%2Fjob%2F1340070498862%3Fcode%3DJB-17946%26domain%3Dngc.com%26rx_a%3D0%26rx_c%3D%26rx_ch%3Djobp4p%26rx_group%3D288254%26rx_id%3D85830dfd-1a20-11f1-9420-37f84a321da7%26rx_job%3DR10225100-2%26rx_medium%3Dcpc%26rx_r%3Dnone%26rx_source%3Dindeed%26rx_ts%3D20260307T160425Z%26rx_vp%3Dcpc%26source%3DJB-17946%26utm_audience%3Dprospectivetalentemployees%26utm_campaign%3Dta-general%26utm_content%3Djobfeed%26utm_format%3Dcpl%26utm_medium%3Djobboard%26utm_source%3Dindeed", "https://jsv3.recruitics.com/redirect?rx_cid=3658&amp;rx_jobId=R10225100-2&amp;rx_url=https%3A%2F%2Fjobs.northropgrumman.com%2Fcareers%2Fjob%2F1340070498862%3Fcode%3DJB-17946%26domain%3Dngc.com%26rx_a%3D0%26rx_c%3D%26rx_ch%3Djobp4p%26rx_group%3D288254%26rx_id%3D85830dfd-1a20-11f1-9420-37f84a321da7%26rx_job%3DR10225100-2%26rx_medium%3Dcpc%26rx_r%3Dnone%26rx_source%3Dindeed%26rx_ts%3D20260307T160425Z%26rx_vp%3Dcpc%26source%3DJB-17946%26utm_audience%3Dprospectivetalentemployees%26utm_campaign%3Dta-general%26utm_content%3Djobfeed%26utm_format%3Dcpl%26utm_medium%3Djobboard%26utm_source%3Dindeed")</f>
        <v/>
      </c>
      <c r="G96" t="inlineStr">
        <is>
          <t>Bellevue, NE, US</t>
        </is>
      </c>
      <c r="H96" s="2" t="n">
        <v>46085</v>
      </c>
      <c r="I96"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has an opening for a Software Engineer . We are looking for you to join our team as a Software Engineer (level 2\). This position is located in Orlando, FL or Bellevue, NE.
As a Software Engineer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 \&amp; Responsibilities:**
* You will develop, maintain, and enhance complex and secure software systems based upon documented requirements.
*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To be successful, you must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2 years of related technical experience; Master’s degree in a STEM field and 0 years of related technical experience.
* **Current DoD Secret Clearance.**
* Demonstrated experience developing software using Java, Rust, C, C\+\+, C\#, or Python.
* Demonstrated experience with debugging existing software and correcting defects.
* Demonstrated experience with the SDLC and agile methodologies.
* Development experience in Linux environment, preferably RHEL.
**Preferred Qualifications:**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$79,300\.00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7">
      <c r="A97" t="inlineStr">
        <is>
          <t>in-28da549030a4bd8d</t>
        </is>
      </c>
      <c r="B97" t="inlineStr">
        <is>
          <t>Software Engineer</t>
        </is>
      </c>
      <c r="C97" t="inlineStr">
        <is>
          <t>Northrop Grumman</t>
        </is>
      </c>
      <c r="D97" t="inlineStr">
        <is>
          <t>indeed</t>
        </is>
      </c>
      <c r="E97">
        <f>HYPERLINK("https://www.indeed.com/viewjob?jk=28da549030a4bd8d", "https://www.indeed.com/viewjob?jk=28da549030a4bd8d")</f>
        <v/>
      </c>
      <c r="F97">
        <f>HYPERLINK("https://jsv3.recruitics.com/redirect?rx_cid=3658&amp;rx_jobId=R10225102&amp;rx_url=https%3A%2F%2Fjobs.northropgrumman.com%2Fcareers%2Fjob%2F1340070498977%3Fcode%3DJB-17946%26domain%3Dngc.com%26rx_a%3D0%26rx_c%3D%26rx_ch%3Djobp4p%26rx_group%3D288254%26rx_id%3D8616e8e9-1a20-11f1-9420-65fd2db26214%26rx_job%3DR10225102%26rx_medium%3Dcpc%26rx_r%3Dnone%26rx_source%3Dindeed%26rx_ts%3D20260307T160425Z%26rx_vp%3Dcpc%26source%3DJB-17946%26utm_audience%3Dprospectivetalentemployees%26utm_campaign%3Dta-general%26utm_content%3Djobfeed%26utm_format%3Dcpl%26utm_medium%3Djobboard%26utm_source%3Dindeed", "https://jsv3.recruitics.com/redirect?rx_cid=3658&amp;rx_jobId=R10225102&amp;rx_url=https%3A%2F%2Fjobs.northropgrumman.com%2Fcareers%2Fjob%2F1340070498977%3Fcode%3DJB-17946%26domain%3Dngc.com%26rx_a%3D0%26rx_c%3D%26rx_ch%3Djobp4p%26rx_group%3D288254%26rx_id%3D8616e8e9-1a20-11f1-9420-65fd2db26214%26rx_job%3DR10225102%26rx_medium%3Dcpc%26rx_r%3Dnone%26rx_source%3Dindeed%26rx_ts%3D20260307T160425Z%26rx_vp%3Dcpc%26source%3DJB-17946%26utm_audience%3Dprospectivetalentemployees%26utm_campaign%3Dta-general%26utm_content%3Djobfeed%26utm_format%3Dcpl%26utm_medium%3Djobboard%26utm_source%3Dindeed")</f>
        <v/>
      </c>
      <c r="G97" t="inlineStr">
        <is>
          <t>Orlando, FL, US</t>
        </is>
      </c>
      <c r="H97" s="2" t="n">
        <v>46085</v>
      </c>
      <c r="I97"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has an opening for a Software Engineer . We are looking for you to join our team as a Software Engineer (level 2\). This position is located in Orlando, FL or Bellevue, NE.
As a Software Engineer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 \&amp; Responsibilities:**
* You will develop, maintain, and enhance complex and secure software systems based upon documented requirements.
*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To be successful, you must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2 years of related technical experience; Master’s degree in a STEM field and 0 years of related technical experience.
* **Current DoD Secret Clearance.**
* Demonstrated experience developing software using Java, Rust, C, C\+\+, C\#, or Python.
* Demonstrated experience with debugging existing software and correcting defects.
* Demonstrated experience with the SDLC and agile methodologies.
* Development experience in Linux environment, preferably RHEL.
**Preferred Qualifications:**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$79,300\.00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8">
      <c r="A98" t="inlineStr">
        <is>
          <t>in-597b3d8b56fdf0a2</t>
        </is>
      </c>
      <c r="B98" t="inlineStr">
        <is>
          <t>Software Engineer</t>
        </is>
      </c>
      <c r="C98" t="inlineStr">
        <is>
          <t>Northrop Grumman</t>
        </is>
      </c>
      <c r="D98" t="inlineStr">
        <is>
          <t>indeed</t>
        </is>
      </c>
      <c r="E98">
        <f>HYPERLINK("https://www.indeed.com/viewjob?jk=597b3d8b56fdf0a2", "https://www.indeed.com/viewjob?jk=597b3d8b56fdf0a2")</f>
        <v/>
      </c>
      <c r="F98">
        <f>HYPERLINK("https://jsv3.recruitics.com/redirect?rx_cid=3658&amp;rx_jobId=R10225102-2&amp;rx_url=https%3A%2F%2Fjobs.northropgrumman.com%2Fcareers%2Fjob%2F1340070498977%3Fcode%3DJB-17946%26domain%3Dngc.com%26rx_a%3D0%26rx_c%3D%26rx_ch%3Djobp4p%26rx_group%3D288254%26rx_id%3D86ea1835-1a20-11f1-9420-35b46487c7f2%26rx_job%3DR10225102-2%26rx_medium%3Dcpc%26rx_r%3Dnone%26rx_source%3Dindeed%26rx_ts%3D20260307T160425Z%26rx_vp%3Dcpc%26source%3DJB-17946%26utm_audience%3Dprospectivetalentemployees%26utm_campaign%3Dta-general%26utm_content%3Djobfeed%26utm_format%3Dcpl%26utm_medium%3Djobboard%26utm_source%3Dindeed", "https://jsv3.recruitics.com/redirect?rx_cid=3658&amp;rx_jobId=R10225102-2&amp;rx_url=https%3A%2F%2Fjobs.northropgrumman.com%2Fcareers%2Fjob%2F1340070498977%3Fcode%3DJB-17946%26domain%3Dngc.com%26rx_a%3D0%26rx_c%3D%26rx_ch%3Djobp4p%26rx_group%3D288254%26rx_id%3D86ea1835-1a20-11f1-9420-35b46487c7f2%26rx_job%3DR10225102-2%26rx_medium%3Dcpc%26rx_r%3Dnone%26rx_source%3Dindeed%26rx_ts%3D20260307T160425Z%26rx_vp%3Dcpc%26source%3DJB-17946%26utm_audience%3Dprospectivetalentemployees%26utm_campaign%3Dta-general%26utm_content%3Djobfeed%26utm_format%3Dcpl%26utm_medium%3Djobboard%26utm_source%3Dindeed")</f>
        <v/>
      </c>
      <c r="G98" t="inlineStr">
        <is>
          <t>Bellevue, NE, US</t>
        </is>
      </c>
      <c r="H98" s="2" t="n">
        <v>46085</v>
      </c>
      <c r="I98"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has an opening for a Software Engineer . We are looking for you to join our team as a Software Engineer (level 2\). This position is located in Orlando, FL or Bellevue, NE.
As a Software Engineer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 \&amp; Responsibilities:**
* You will develop, maintain, and enhance complex and secure software systems based upon documented requirements.
*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To be successful, you must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2 years of related technical experience; Master’s degree in a STEM field and 0 years of related technical experience.
* **Current DoD Secret Clearance.**
* Demonstrated experience developing software using Java, Rust, C, C\+\+, C\#, or Python.
* Demonstrated experience with debugging existing software and correcting defects.
* Demonstrated experience with the SDLC and agile methodologies.
* Development experience in Linux environment, preferably RHEL.
**Preferred Qualifications:**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$79,300\.00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9">
      <c r="A99" t="inlineStr">
        <is>
          <t>in-5187a0efa6a26eca</t>
        </is>
      </c>
      <c r="B99" t="inlineStr">
        <is>
          <t>Sentinel Sr Principal Software Engineer</t>
        </is>
      </c>
      <c r="C99" t="inlineStr">
        <is>
          <t>Northrop Grumman</t>
        </is>
      </c>
      <c r="D99" t="inlineStr">
        <is>
          <t>indeed</t>
        </is>
      </c>
      <c r="E99">
        <f>HYPERLINK("https://www.indeed.com/viewjob?jk=5187a0efa6a26eca", "https://www.indeed.com/viewjob?jk=5187a0efa6a26eca")</f>
        <v/>
      </c>
      <c r="F99">
        <f>HYPERLINK("https://jsv3.recruitics.com/redirect?rx_cid=3658&amp;rx_jobId=R10225162&amp;rx_url=https%3A%2F%2Fjobs.northropgrumman.com%2Fcareers%2Fjob%2F1340070503599%3Fcode%3DJB-17946%26domain%3Dngc.com%26rx_a%3D0%26rx_c%3D%26rx_ch%3Djobp4p%26rx_group%3D288254%26rx_id%3D88db60c5-1a20-11f1-9420-bb0abcb3a00b%26rx_job%3DR10225162%26rx_medium%3Dcpc%26rx_r%3Dnone%26rx_source%3Dindeed%26rx_ts%3D20260307T160425Z%26rx_vp%3Dcpc%26source%3DJB-17946%26utm_audience%3Dprospectivetalentemployees%26utm_campaign%3Dta-general%26utm_content%3Djobfeed%26utm_format%3Dcpl%26utm_medium%3Djobboard%26utm_source%3Dindeed", "https://jsv3.recruitics.com/redirect?rx_cid=3658&amp;rx_jobId=R10225162&amp;rx_url=https%3A%2F%2Fjobs.northropgrumman.com%2Fcareers%2Fjob%2F1340070503599%3Fcode%3DJB-17946%26domain%3Dngc.com%26rx_a%3D0%26rx_c%3D%26rx_ch%3Djobp4p%26rx_group%3D288254%26rx_id%3D88db60c5-1a20-11f1-9420-bb0abcb3a00b%26rx_job%3DR10225162%26rx_medium%3Dcpc%26rx_r%3Dnone%26rx_source%3Dindeed%26rx_ts%3D20260307T160425Z%26rx_vp%3Dcpc%26source%3DJB-17946%26utm_audience%3Dprospectivetalentemployees%26utm_campaign%3Dta-general%26utm_content%3Djobfeed%26utm_format%3Dcpl%26utm_medium%3Djobboard%26utm_source%3Dindeed")</f>
        <v/>
      </c>
      <c r="G99" t="inlineStr">
        <is>
          <t>Roy, UT, US</t>
        </is>
      </c>
      <c r="H99" s="2" t="n">
        <v>46085</v>
      </c>
      <c r="I99"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is seeking a Sr. Principal DevSecOps Software Engineer for the Flight / Guidance Navigation \&amp; Control (GN\&amp;C) Software Team. This position will be located in Roy, Utah and will support the Sentinel Program.
What You’ll Get To Do:
Design, develop, document, test, and debug software/system applications. Conduct multidisciplinary research and collaborate with equipment designers and/or hardware engineers in the planning, design, development, and utilization of embedded systems for safety and mission critical software. Must be able to work and collaborate with a team of software engineers in an Agile environment to meet critical milestones. Ensure program mandated software standards and compliance criteria are met. Understand and can develop in a continuous integration tool chain environment meeting technical and compliance requirements.
Create and maintain continuous integration and deployment (CI/CD) pipelines. Write scripts and configurations to automate software testing, deployment, and maintenance in a manner consistent with software engineering best practices. Proactively monitor build and deployment pipelines and infrastructure, apply patches, troubleshoot issues, and resolve errors. Automate infrastructure and/or cloud resource deployments and configuration using infrastructure\-as\-code tools.
Position Benefits
As a full\-time employee of Northrop Grumman,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You’ll Bring These Qualifications:
* Sr Principal Software Engineer (T04\): Bachelor’s Degree in relevant field of study and 8 years of relevant engineering experience, Master's with 6 years of relevant experience; PhD with 4 year of relevant experience, additional experience may be used in lieu of a degree.
* Active DoD Secret clearance with a reinvestigation date occurring in the last 6 years.
* US Citizenship with Ability to obtain Special Program Access (SAP)
* 3\+ year experience with CI/CD best practices, automated builds and tests, quality gates, software quality, and CI tools
* 3\+ year experience in developing software/writing code in C/C\+\+/C\#, Python, or similar programming language
* 3\+ year experience with Atlassian tool suite (JIRA, Git, Confluence)
**Preferred Qualifications:**
* Experience of full life cycle of software development and Agile software development
* A background in software DevSecOps for both software and hardware integration
* Familiarity with security coding standard best practices, static and dynamic scanning tools, i.e., SonarQube, Fortify, Coverity, PCLint, etc.
* Programming and scripting experience in a UNIX environment (C\+\+, Perl, Python, Bash, Ruby, Shell, Scripts)
* Experience with developing and maintaining software using CI/CD pipelines
* Experience with developing and maintaining CI/CD pipelines
* Experience with source code configuration management tools (i.e git).
* Experience using automation to regression test software products
\#GNC2026
Primary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00">
      <c r="A100" t="inlineStr">
        <is>
          <t>in-8101f98d07620316</t>
        </is>
      </c>
      <c r="B100" t="inlineStr">
        <is>
          <t>Embedded Software Engineer (Level 1 or 2)</t>
        </is>
      </c>
      <c r="C100" t="inlineStr">
        <is>
          <t>Northrop Grumman</t>
        </is>
      </c>
      <c r="D100" t="inlineStr">
        <is>
          <t>indeed</t>
        </is>
      </c>
      <c r="E100">
        <f>HYPERLINK("https://www.indeed.com/viewjob?jk=8101f98d07620316", "https://www.indeed.com/viewjob?jk=8101f98d07620316")</f>
        <v/>
      </c>
      <c r="F100">
        <f>HYPERLINK("https://jsv3.recruitics.com/redirect?rx_cid=3658&amp;rx_jobId=R10225179&amp;rx_url=https%3A%2F%2Fjobs.northropgrumman.com%2Fcareers%2Fjob%2F1340070503766%3Fcode%3DJB-17946%26domain%3Dngc.com%26rx_a%3D0%26rx_c%3D%26rx_ch%3Djobp4p%26rx_group%3D288254%26rx_id%3D84aaaeeb-1a20-11f1-9420-3f76ee322e76%26rx_job%3DR10225179%26rx_medium%3Dcpc%26rx_r%3Dnone%26rx_source%3Dindeed%26rx_ts%3D20260307T160425Z%26rx_vp%3Dcpc%26source%3DJB-17946%26utm_audience%3Dprospectivetalentemployees%26utm_campaign%3Dta-general%26utm_content%3Djobfeed%26utm_format%3Dcpl%26utm_medium%3Djobboard%26utm_source%3Dindeed", "https://jsv3.recruitics.com/redirect?rx_cid=3658&amp;rx_jobId=R10225179&amp;rx_url=https%3A%2F%2Fjobs.northropgrumman.com%2Fcareers%2Fjob%2F1340070503766%3Fcode%3DJB-17946%26domain%3Dngc.com%26rx_a%3D0%26rx_c%3D%26rx_ch%3Djobp4p%26rx_group%3D288254%26rx_id%3D84aaaeeb-1a20-11f1-9420-3f76ee322e76%26rx_job%3DR10225179%26rx_medium%3Dcpc%26rx_r%3Dnone%26rx_source%3Dindeed%26rx_ts%3D20260307T160425Z%26rx_vp%3Dcpc%26source%3DJB-17946%26utm_audience%3Dprospectivetalentemployees%26utm_campaign%3Dta-general%26utm_content%3Djobfeed%26utm_format%3Dcpl%26utm_medium%3Djobboard%26utm_source%3Dindeed")</f>
        <v/>
      </c>
      <c r="G100" t="inlineStr">
        <is>
          <t>Dulles, VA, US</t>
        </is>
      </c>
      <c r="H100" s="2" t="n">
        <v>46085</v>
      </c>
      <c r="I100" t="inlineStr">
        <is>
          <t>RELOCATION ASSISTANCE: Relocation assistance may be available
CLEARANCE REQUIRED FOR START: Yes
CLEARANCE TYPE: SCI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We have an opening for an Embedded Software Engineer to join our team of qualified, diverse individuals in the Space Systems organization developing space flight software platforms for NSS space programs. The individual we seek will be self\-motivated, proactive, and goal\-oriented. This position will be in **Dulles, VA.**
* Develop embedded software modules and software card interfaces, including digital, analog, serial, and SpaceWire
* Interface with hardware engineers in the design, build, and test of the simulation platforms
* Work with program engineers to integrate components and flight software with the simulation platform
* Be involved in the hardware definition and software design, development, debug and integration on simulation platforms
* Prepare design documentation, analysis, test results and presentation materials for internal and external customers
* Work with software developers and other engineers, as needed, to help diagnose and identify the root cause of problems found during software installation, integration, acceptance test, and operational events
* Work in an innovative environment across diverse assignments and in collaborative team settings across all levels
This position can be filled as an Associate (level 1\) or Engineer (level 2\) depending on experience and qualifications
**Basic Qualifications:**
* Bachelor’s degree in Electrical/Computer/Software Engineering or related STEM field, minimum of 0 years (level 1\) or 2 years (level 2\) of relevant experience
* Top Secret Clearance with SCI is required at the time of application
* U.S. Citizenship
* programming experience: C/C\+\+, Python, Windows/Linux scripting
* Excellent communication skills and ability to work in small teams
* Ability to debug hardware and software.
* Ability to use software revision control tools such as Subversion and Git
* Ability to clearly document technical and programmatic status to management
**Preferred Qualifications:**
* System knowledge in one or more of the following domains: Spacecraft Command \&amp; Control, Mission Planning, Space Situational Awareness and Visualization
* Familiarity with static code analysis tools such as: Coverity, SonarQube, and Fortify
* Hardware interfacing, integration and test and controls experience
* Understanding of common embedded system tools, real\-time operating systems and avionics integration and test practices
* Excellent communication, interpersonal skills, and the ability to interface with all levels of employees and management
* Experience developing software in a Linux OS environment
* Experience with National Instruments data acquisition cards.
* Experience with Digital, Analog, RS\-422 synchronous serial and UART, SpaceWire electrical interfaces
* Experience with networking.
Primary Level Salary Range: $76,200\.00 \- $114,400\.00
Secondary Level Salary Range: $91,800\.00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01">
      <c r="A101" t="inlineStr">
        <is>
          <t>in-c82d8a20153a7da3</t>
        </is>
      </c>
      <c r="B101" t="inlineStr">
        <is>
          <t>Software Engineer II, Android</t>
        </is>
      </c>
      <c r="C101" t="inlineStr">
        <is>
          <t>Amazon.com</t>
        </is>
      </c>
      <c r="D101" t="inlineStr">
        <is>
          <t>indeed</t>
        </is>
      </c>
      <c r="E101">
        <f>HYPERLINK("https://www.indeed.com/viewjob?jk=c82d8a20153a7da3", "https://www.indeed.com/viewjob?jk=c82d8a20153a7da3")</f>
        <v/>
      </c>
      <c r="F101">
        <f>HYPERLINK("https://www.amazon.jobs/jobs/3166054/software-engineer-ii-android?cmpid=DA_INAD200785B", "https://www.amazon.jobs/jobs/3166054/software-engineer-ii-android?cmpid=DA_INAD200785B")</f>
        <v/>
      </c>
      <c r="G101" t="inlineStr">
        <is>
          <t>San Francisco, CA, US</t>
        </is>
      </c>
      <c r="H101" s="2" t="n">
        <v>46044</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02">
      <c r="A102" t="inlineStr">
        <is>
          <t>in-504dac8c574bcd1b</t>
        </is>
      </c>
      <c r="B102" t="inlineStr">
        <is>
          <t>Software Engineer II, Android</t>
        </is>
      </c>
      <c r="C102" t="inlineStr">
        <is>
          <t>Amazon.com</t>
        </is>
      </c>
      <c r="D102" t="inlineStr">
        <is>
          <t>indeed</t>
        </is>
      </c>
      <c r="E102">
        <f>HYPERLINK("https://www.indeed.com/viewjob?jk=504dac8c574bcd1b", "https://www.indeed.com/viewjob?jk=504dac8c574bcd1b")</f>
        <v/>
      </c>
      <c r="F102">
        <f>HYPERLINK("https://www.amazon.jobs/jobs/3166054/software-engineer-ii-android?cmpid=DA_INAD200785B", "https://www.amazon.jobs/jobs/3166054/software-engineer-ii-android?cmpid=DA_INAD200785B")</f>
        <v/>
      </c>
      <c r="G102" t="inlineStr">
        <is>
          <t>Irvine, CA, US</t>
        </is>
      </c>
      <c r="H102" s="2" t="n">
        <v>46044</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03">
      <c r="A103" t="inlineStr">
        <is>
          <t>in-dbb388f9d0fbc74e</t>
        </is>
      </c>
      <c r="B103" t="inlineStr">
        <is>
          <t>Software Engineer II, Android</t>
        </is>
      </c>
      <c r="C103" t="inlineStr">
        <is>
          <t>Amazon.com</t>
        </is>
      </c>
      <c r="D103" t="inlineStr">
        <is>
          <t>indeed</t>
        </is>
      </c>
      <c r="E103">
        <f>HYPERLINK("https://www.indeed.com/viewjob?jk=dbb388f9d0fbc74e", "https://www.indeed.com/viewjob?jk=dbb388f9d0fbc74e")</f>
        <v/>
      </c>
      <c r="F103">
        <f>HYPERLINK("https://www.amazon.jobs/jobs/3166054/software-engineer-ii-android?cmpid=DA_INAD200785B", "https://www.amazon.jobs/jobs/3166054/software-engineer-ii-android?cmpid=DA_INAD200785B")</f>
        <v/>
      </c>
      <c r="G103" t="inlineStr">
        <is>
          <t>Seattle, WA, US</t>
        </is>
      </c>
      <c r="H103" s="2" t="n">
        <v>46044</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04">
      <c r="A104" t="inlineStr">
        <is>
          <t>in-27db76c7ed631d13</t>
        </is>
      </c>
      <c r="B104" t="inlineStr">
        <is>
          <t>Software Engineer I</t>
        </is>
      </c>
      <c r="C104" t="inlineStr">
        <is>
          <t>Amazon.com</t>
        </is>
      </c>
      <c r="D104" t="inlineStr">
        <is>
          <t>indeed</t>
        </is>
      </c>
      <c r="E104">
        <f>HYPERLINK("https://www.indeed.com/viewjob?jk=27db76c7ed631d13", "https://www.indeed.com/viewjob?jk=27db76c7ed631d13")</f>
        <v/>
      </c>
      <c r="F104">
        <f>HYPERLINK("https://www.amazon.jobs/jobs/3155750/software-engineer-i?cmpid=DA_INAD200785B", "https://www.amazon.jobs/jobs/3155750/software-engineer-i?cmpid=DA_INAD200785B")</f>
        <v/>
      </c>
      <c r="G104" t="inlineStr">
        <is>
          <t>San Francisco, CA, US</t>
        </is>
      </c>
      <c r="H104" s="2" t="n">
        <v>46029</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WA, SEATTLE \- 110,500\.00 \- 160,000\.00 USD annually  
USA, WA, Seattle \- 110,500\.00 \- 160,000\.00 USD annually</t>
        </is>
      </c>
    </row>
    <row r="105">
      <c r="A105" t="inlineStr">
        <is>
          <t>in-3765571193f17080</t>
        </is>
      </c>
      <c r="B105" t="inlineStr">
        <is>
          <t>Software Engineer I</t>
        </is>
      </c>
      <c r="C105" t="inlineStr">
        <is>
          <t>Amazon.com</t>
        </is>
      </c>
      <c r="D105" t="inlineStr">
        <is>
          <t>indeed</t>
        </is>
      </c>
      <c r="E105">
        <f>HYPERLINK("https://www.indeed.com/viewjob?jk=3765571193f17080", "https://www.indeed.com/viewjob?jk=3765571193f17080")</f>
        <v/>
      </c>
      <c r="F105">
        <f>HYPERLINK("https://www.amazon.jobs/jobs/3155750/software-engineer-i?cmpid=DA_INAD200785B", "https://www.amazon.jobs/jobs/3155750/software-engineer-i?cmpid=DA_INAD200785B")</f>
        <v/>
      </c>
      <c r="G105" t="inlineStr">
        <is>
          <t>Seattle, WA, US</t>
        </is>
      </c>
      <c r="H105" s="2" t="n">
        <v>46029</v>
      </c>
      <c r="I1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WA, SEATTLE \- 110,500\.00 \- 160,000\.00 USD annually  
USA, WA, Seattle \- 110,500\.00 \- 160,000\.00 USD annually</t>
        </is>
      </c>
    </row>
    <row r="106">
      <c r="A106" t="inlineStr">
        <is>
          <t>in-e8732f4548c9ea48</t>
        </is>
      </c>
      <c r="B106" t="inlineStr">
        <is>
          <t>Software Engineer I</t>
        </is>
      </c>
      <c r="C106" t="inlineStr">
        <is>
          <t>Amazon.com</t>
        </is>
      </c>
      <c r="D106" t="inlineStr">
        <is>
          <t>indeed</t>
        </is>
      </c>
      <c r="E106">
        <f>HYPERLINK("https://www.indeed.com/viewjob?jk=e8732f4548c9ea48", "https://www.indeed.com/viewjob?jk=e8732f4548c9ea48")</f>
        <v/>
      </c>
      <c r="F106">
        <f>HYPERLINK("https://www.amazon.jobs/jobs/3141336/software-engineer-i?cmpid=DA_INAD200785B", "https://www.amazon.jobs/jobs/3141336/software-engineer-i?cmpid=DA_INAD200785B")</f>
        <v/>
      </c>
      <c r="G106" t="inlineStr">
        <is>
          <t>San Francisco, CA, US</t>
        </is>
      </c>
      <c r="H106" s="2" t="n">
        <v>46001</v>
      </c>
      <c r="I1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in-092e03f07ee9352a</t>
        </is>
      </c>
      <c r="B107" t="inlineStr">
        <is>
          <t>Software Engineer I</t>
        </is>
      </c>
      <c r="C107" t="inlineStr">
        <is>
          <t>Amazon.com</t>
        </is>
      </c>
      <c r="D107" t="inlineStr">
        <is>
          <t>indeed</t>
        </is>
      </c>
      <c r="E107">
        <f>HYPERLINK("https://www.indeed.com/viewjob?jk=092e03f07ee9352a", "https://www.indeed.com/viewjob?jk=092e03f07ee9352a")</f>
        <v/>
      </c>
      <c r="F107">
        <f>HYPERLINK("https://www.amazon.jobs/jobs/3141336/software-engineer-i?cmpid=DA_INAD200785B", "https://www.amazon.jobs/jobs/3141336/software-engineer-i?cmpid=DA_INAD200785B")</f>
        <v/>
      </c>
      <c r="G107" t="inlineStr">
        <is>
          <t>Seattle, WA, US</t>
        </is>
      </c>
      <c r="H107" s="2" t="n">
        <v>46001</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in-333d3d2b695ff731</t>
        </is>
      </c>
      <c r="B108" t="inlineStr">
        <is>
          <t>Software Engineer II, Android</t>
        </is>
      </c>
      <c r="C108" t="inlineStr">
        <is>
          <t>Amazon.com</t>
        </is>
      </c>
      <c r="D108" t="inlineStr">
        <is>
          <t>indeed</t>
        </is>
      </c>
      <c r="E108">
        <f>HYPERLINK("https://www.indeed.com/viewjob?jk=333d3d2b695ff731", "https://www.indeed.com/viewjob?jk=333d3d2b695ff731")</f>
        <v/>
      </c>
      <c r="F108">
        <f>HYPERLINK("https://www.amazon.jobs/jobs/3138330/software-engineer-ii-android?cmpid=DA_INAD200785B", "https://www.amazon.jobs/jobs/3138330/software-engineer-ii-android?cmpid=DA_INAD200785B")</f>
        <v/>
      </c>
      <c r="G108" t="inlineStr">
        <is>
          <t>San Francisco, CA, US</t>
        </is>
      </c>
      <c r="H108" s="2" t="n">
        <v>45995</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in-1b2e5e980eacc94b</t>
        </is>
      </c>
      <c r="B109" t="inlineStr">
        <is>
          <t>Software Engineer II, Android</t>
        </is>
      </c>
      <c r="C109" t="inlineStr">
        <is>
          <t>Amazon.com</t>
        </is>
      </c>
      <c r="D109" t="inlineStr">
        <is>
          <t>indeed</t>
        </is>
      </c>
      <c r="E109">
        <f>HYPERLINK("https://www.indeed.com/viewjob?jk=1b2e5e980eacc94b", "https://www.indeed.com/viewjob?jk=1b2e5e980eacc94b")</f>
        <v/>
      </c>
      <c r="F109">
        <f>HYPERLINK("https://www.amazon.jobs/jobs/3138330/software-engineer-ii-android?cmpid=DA_INAD200785B", "https://www.amazon.jobs/jobs/3138330/software-engineer-ii-android?cmpid=DA_INAD200785B")</f>
        <v/>
      </c>
      <c r="G109" t="inlineStr">
        <is>
          <t>Irvine, CA, US</t>
        </is>
      </c>
      <c r="H109" s="2" t="n">
        <v>45995</v>
      </c>
      <c r="I1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in-29d7e9c62935e812</t>
        </is>
      </c>
      <c r="B110" t="inlineStr">
        <is>
          <t>Software Engineer II, Android</t>
        </is>
      </c>
      <c r="C110" t="inlineStr">
        <is>
          <t>Amazon.com</t>
        </is>
      </c>
      <c r="D110" t="inlineStr">
        <is>
          <t>indeed</t>
        </is>
      </c>
      <c r="E110">
        <f>HYPERLINK("https://www.indeed.com/viewjob?jk=29d7e9c62935e812", "https://www.indeed.com/viewjob?jk=29d7e9c62935e812")</f>
        <v/>
      </c>
      <c r="F110">
        <f>HYPERLINK("https://www.amazon.jobs/jobs/3138330/software-engineer-ii-android?cmpid=DA_INAD200785B", "https://www.amazon.jobs/jobs/3138330/software-engineer-ii-android?cmpid=DA_INAD200785B")</f>
        <v/>
      </c>
      <c r="G110" t="inlineStr">
        <is>
          <t>Seattle, WA, US</t>
        </is>
      </c>
      <c r="H110" s="2" t="n">
        <v>45995</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in-b027e7fe1fa8be99</t>
        </is>
      </c>
      <c r="B111" t="inlineStr">
        <is>
          <t>Senior Embedded Software Engineer, Amazon Leo Digital RF Systems</t>
        </is>
      </c>
      <c r="C111" t="inlineStr">
        <is>
          <t>Amazon.com</t>
        </is>
      </c>
      <c r="D111" t="inlineStr">
        <is>
          <t>indeed</t>
        </is>
      </c>
      <c r="E111">
        <f>HYPERLINK("https://www.indeed.com/viewjob?jk=b027e7fe1fa8be99", "https://www.indeed.com/viewjob?jk=b027e7fe1fa8be99")</f>
        <v/>
      </c>
      <c r="F111">
        <f>HYPERLINK("https://www.amazon.jobs/jobs/3130773/senior-embedded-software-engineer-amazon-leo-digital-rf-systems?cmpid=DA_INAD200785B", "https://www.amazon.jobs/jobs/3130773/senior-embedded-software-engineer-amazon-leo-digital-rf-systems?cmpid=DA_INAD200785B")</f>
        <v/>
      </c>
      <c r="G111" t="inlineStr">
        <is>
          <t>San Diego, CA, US</t>
        </is>
      </c>
      <c r="H111" s="2" t="n">
        <v>45981</v>
      </c>
      <c r="I11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12">
      <c r="A112" t="inlineStr">
        <is>
          <t>in-b7644410e6a5d079</t>
        </is>
      </c>
      <c r="B112" t="inlineStr">
        <is>
          <t>Senior Embedded Software Engineer, Amazon Leo Digital RF Systems</t>
        </is>
      </c>
      <c r="C112" t="inlineStr">
        <is>
          <t>Amazon.com</t>
        </is>
      </c>
      <c r="D112" t="inlineStr">
        <is>
          <t>indeed</t>
        </is>
      </c>
      <c r="E112">
        <f>HYPERLINK("https://www.indeed.com/viewjob?jk=b7644410e6a5d079", "https://www.indeed.com/viewjob?jk=b7644410e6a5d079")</f>
        <v/>
      </c>
      <c r="F112">
        <f>HYPERLINK("https://www.amazon.jobs/jobs/3130773/senior-embedded-software-engineer-amazon-leo-digital-rf-systems?cmpid=DA_INAD200785B", "https://www.amazon.jobs/jobs/3130773/senior-embedded-software-engineer-amazon-leo-digital-rf-systems?cmpid=DA_INAD200785B")</f>
        <v/>
      </c>
      <c r="G112" t="inlineStr">
        <is>
          <t>Redmond, WA, US</t>
        </is>
      </c>
      <c r="H112" s="2" t="n">
        <v>45981</v>
      </c>
      <c r="I11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13">
      <c r="A113" t="inlineStr">
        <is>
          <t>in-7e003417048eb09c</t>
        </is>
      </c>
      <c r="B113" t="inlineStr">
        <is>
          <t>Sr. Device Software Engineer, Amazon Leo Government</t>
        </is>
      </c>
      <c r="C113" t="inlineStr">
        <is>
          <t>Amazon.com</t>
        </is>
      </c>
      <c r="D113" t="inlineStr">
        <is>
          <t>indeed</t>
        </is>
      </c>
      <c r="E113">
        <f>HYPERLINK("https://www.indeed.com/viewjob?jk=7e003417048eb09c", "https://www.indeed.com/viewjob?jk=7e003417048eb09c")</f>
        <v/>
      </c>
      <c r="F113">
        <f>HYPERLINK("https://www.amazon.jobs/jobs/3082545/sr-device-software-engineer-amazon-leo-government-?cmpid=DA_INAD200785B", "https://www.amazon.jobs/jobs/3082545/sr-device-software-engineer-amazon-leo-government-?cmpid=DA_INAD200785B")</f>
        <v/>
      </c>
      <c r="G113" t="inlineStr">
        <is>
          <t>Redmond, WA, US</t>
        </is>
      </c>
      <c r="H113" s="2" t="n">
        <v>45911</v>
      </c>
      <c r="I11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14">
      <c r="A114" t="inlineStr">
        <is>
          <t>in-029e44c04af2afee</t>
        </is>
      </c>
      <c r="B114" t="inlineStr">
        <is>
          <t>Sr. Device Software Engineer, Amazon Leo Government</t>
        </is>
      </c>
      <c r="C114" t="inlineStr">
        <is>
          <t>Amazon.com</t>
        </is>
      </c>
      <c r="D114" t="inlineStr">
        <is>
          <t>indeed</t>
        </is>
      </c>
      <c r="E114">
        <f>HYPERLINK("https://www.indeed.com/viewjob?jk=029e44c04af2afee", "https://www.indeed.com/viewjob?jk=029e44c04af2afee")</f>
        <v/>
      </c>
      <c r="F114">
        <f>HYPERLINK("https://www.amazon.jobs/jobs/3082545/sr-device-software-engineer-amazon-leo-government-?cmpid=DA_INAD200785B", "https://www.amazon.jobs/jobs/3082545/sr-device-software-engineer-amazon-leo-government-?cmpid=DA_INAD200785B")</f>
        <v/>
      </c>
      <c r="G114" t="inlineStr">
        <is>
          <t>Arlington, VA, US</t>
        </is>
      </c>
      <c r="H114" s="2" t="n">
        <v>45911</v>
      </c>
      <c r="I11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15">
      <c r="A115" t="inlineStr">
        <is>
          <t>in-951361a802b45974</t>
        </is>
      </c>
      <c r="B115" t="inlineStr">
        <is>
          <t>Sr. Device Software Engineer, Amazon Leo Government</t>
        </is>
      </c>
      <c r="C115" t="inlineStr">
        <is>
          <t>Amazon.com</t>
        </is>
      </c>
      <c r="D115" t="inlineStr">
        <is>
          <t>indeed</t>
        </is>
      </c>
      <c r="E115">
        <f>HYPERLINK("https://www.indeed.com/viewjob?jk=951361a802b45974", "https://www.indeed.com/viewjob?jk=951361a802b45974")</f>
        <v/>
      </c>
      <c r="F115">
        <f>HYPERLINK("https://www.amazon.jobs/jobs/3082545/sr-device-software-engineer-amazon-leo-government-?cmpid=DA_INAD200785B", "https://www.amazon.jobs/jobs/3082545/sr-device-software-engineer-amazon-leo-government-?cmpid=DA_INAD200785B")</f>
        <v/>
      </c>
      <c r="G115" t="inlineStr">
        <is>
          <t>Northridge, CA, US</t>
        </is>
      </c>
      <c r="H115" s="2" t="n">
        <v>45911</v>
      </c>
      <c r="I11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16">
      <c r="A116" t="inlineStr">
        <is>
          <t>in-bc9f173d86dc3e4f</t>
        </is>
      </c>
      <c r="B116" t="inlineStr">
        <is>
          <t>Sr. Device Software Engineer, Amazon Leo Government</t>
        </is>
      </c>
      <c r="C116" t="inlineStr">
        <is>
          <t>Amazon.com</t>
        </is>
      </c>
      <c r="D116" t="inlineStr">
        <is>
          <t>indeed</t>
        </is>
      </c>
      <c r="E116">
        <f>HYPERLINK("https://www.indeed.com/viewjob?jk=bc9f173d86dc3e4f", "https://www.indeed.com/viewjob?jk=bc9f173d86dc3e4f")</f>
        <v/>
      </c>
      <c r="F116">
        <f>HYPERLINK("https://www.amazon.jobs/jobs/3082545/sr-device-software-engineer-amazon-leo-government-?cmpid=DA_INAD200785B", "https://www.amazon.jobs/jobs/3082545/sr-device-software-engineer-amazon-leo-government-?cmpid=DA_INAD200785B")</f>
        <v/>
      </c>
      <c r="G116" t="inlineStr">
        <is>
          <t>El Segundo, CA, US</t>
        </is>
      </c>
      <c r="H116" s="2" t="n">
        <v>45911</v>
      </c>
      <c r="I11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17">
      <c r="A117" t="inlineStr">
        <is>
          <t>in-f0e83b901e89f1ea</t>
        </is>
      </c>
      <c r="B117" t="inlineStr">
        <is>
          <t>Device Software Engineer, Amazon Leo Government</t>
        </is>
      </c>
      <c r="C117" t="inlineStr">
        <is>
          <t>Amazon.com</t>
        </is>
      </c>
      <c r="D117" t="inlineStr">
        <is>
          <t>indeed</t>
        </is>
      </c>
      <c r="E117">
        <f>HYPERLINK("https://www.indeed.com/viewjob?jk=f0e83b901e89f1ea", "https://www.indeed.com/viewjob?jk=f0e83b901e89f1ea")</f>
        <v/>
      </c>
      <c r="F117">
        <f>HYPERLINK("https://www.amazon.jobs/jobs/3083623/device-software-engineer-amazon-leo-government-?cmpid=DA_INAD200785B", "https://www.amazon.jobs/jobs/3083623/device-software-engineer-amazon-leo-government-?cmpid=DA_INAD200785B")</f>
        <v/>
      </c>
      <c r="G117" t="inlineStr">
        <is>
          <t>El Segundo, CA, US</t>
        </is>
      </c>
      <c r="H117" s="2" t="n">
        <v>45910</v>
      </c>
      <c r="I11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18">
      <c r="A118" t="inlineStr">
        <is>
          <t>in-e3542748a952cbc6</t>
        </is>
      </c>
      <c r="B118" t="inlineStr">
        <is>
          <t>Device Software Engineer, Amazon Leo Government</t>
        </is>
      </c>
      <c r="C118" t="inlineStr">
        <is>
          <t>Amazon.com</t>
        </is>
      </c>
      <c r="D118" t="inlineStr">
        <is>
          <t>indeed</t>
        </is>
      </c>
      <c r="E118">
        <f>HYPERLINK("https://www.indeed.com/viewjob?jk=e3542748a952cbc6", "https://www.indeed.com/viewjob?jk=e3542748a952cbc6")</f>
        <v/>
      </c>
      <c r="F118">
        <f>HYPERLINK("https://www.amazon.jobs/jobs/3083623/device-software-engineer-amazon-leo-government-?cmpid=DA_INAD200785B", "https://www.amazon.jobs/jobs/3083623/device-software-engineer-amazon-leo-government-?cmpid=DA_INAD200785B")</f>
        <v/>
      </c>
      <c r="G118" t="inlineStr">
        <is>
          <t>Arlington, VA, US</t>
        </is>
      </c>
      <c r="H118" s="2" t="n">
        <v>45910</v>
      </c>
      <c r="I11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19">
      <c r="A119" t="inlineStr">
        <is>
          <t>in-c3118de8a7287719</t>
        </is>
      </c>
      <c r="B119" t="inlineStr">
        <is>
          <t>Device Software Engineer, Amazon Leo Government</t>
        </is>
      </c>
      <c r="C119" t="inlineStr">
        <is>
          <t>Amazon.com</t>
        </is>
      </c>
      <c r="D119" t="inlineStr">
        <is>
          <t>indeed</t>
        </is>
      </c>
      <c r="E119">
        <f>HYPERLINK("https://www.indeed.com/viewjob?jk=c3118de8a7287719", "https://www.indeed.com/viewjob?jk=c3118de8a7287719")</f>
        <v/>
      </c>
      <c r="F119">
        <f>HYPERLINK("https://www.amazon.jobs/jobs/3083623/device-software-engineer-amazon-leo-government-?cmpid=DA_INAD200785B", "https://www.amazon.jobs/jobs/3083623/device-software-engineer-amazon-leo-government-?cmpid=DA_INAD200785B")</f>
        <v/>
      </c>
      <c r="G119" t="inlineStr">
        <is>
          <t>Northridge, CA, US</t>
        </is>
      </c>
      <c r="H119" s="2" t="n">
        <v>45910</v>
      </c>
      <c r="I11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20">
      <c r="A120" t="inlineStr">
        <is>
          <t>in-7b3c6273bf6e70e8</t>
        </is>
      </c>
      <c r="B120" t="inlineStr">
        <is>
          <t>Device Software Engineer, Amazon Leo Government</t>
        </is>
      </c>
      <c r="C120" t="inlineStr">
        <is>
          <t>Amazon.com</t>
        </is>
      </c>
      <c r="D120" t="inlineStr">
        <is>
          <t>indeed</t>
        </is>
      </c>
      <c r="E120">
        <f>HYPERLINK("https://www.indeed.com/viewjob?jk=7b3c6273bf6e70e8", "https://www.indeed.com/viewjob?jk=7b3c6273bf6e70e8")</f>
        <v/>
      </c>
      <c r="F120">
        <f>HYPERLINK("https://www.amazon.jobs/jobs/3083623/device-software-engineer-amazon-leo-government-?cmpid=DA_INAD200785B", "https://www.amazon.jobs/jobs/3083623/device-software-engineer-amazon-leo-government-?cmpid=DA_INAD200785B")</f>
        <v/>
      </c>
      <c r="G120" t="inlineStr">
        <is>
          <t>Redmond, WA, US</t>
        </is>
      </c>
      <c r="H120" s="2" t="n">
        <v>45910</v>
      </c>
      <c r="I12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21">
      <c r="A121" t="inlineStr">
        <is>
          <t>in-7f1000a8f27b27c9</t>
        </is>
      </c>
      <c r="B121" t="inlineStr">
        <is>
          <t>Software Developer Engineer - iOS, Ring</t>
        </is>
      </c>
      <c r="C121" t="inlineStr">
        <is>
          <t>Amazon.com</t>
        </is>
      </c>
      <c r="D121" t="inlineStr">
        <is>
          <t>indeed</t>
        </is>
      </c>
      <c r="E121">
        <f>HYPERLINK("https://www.indeed.com/viewjob?jk=7f1000a8f27b27c9", "https://www.indeed.com/viewjob?jk=7f1000a8f27b27c9")</f>
        <v/>
      </c>
      <c r="F121">
        <f>HYPERLINK("https://www.amazon.jobs/jobs/3011028/software-developer-engineer--ios-ring?cmpid=DA_INAD200785B", "https://www.amazon.jobs/jobs/3011028/software-developer-engineer--ios-ring?cmpid=DA_INAD200785B")</f>
        <v/>
      </c>
      <c r="G121" t="inlineStr">
        <is>
          <t>Irvine, CA, US</t>
        </is>
      </c>
      <c r="H121" s="2" t="n">
        <v>45812</v>
      </c>
      <c r="I12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in-29a9190f40b744b3</t>
        </is>
      </c>
      <c r="B122" t="inlineStr">
        <is>
          <t>Software Developer Engineer - iOS, Ring</t>
        </is>
      </c>
      <c r="C122" t="inlineStr">
        <is>
          <t>Amazon.com</t>
        </is>
      </c>
      <c r="D122" t="inlineStr">
        <is>
          <t>indeed</t>
        </is>
      </c>
      <c r="E122">
        <f>HYPERLINK("https://www.indeed.com/viewjob?jk=29a9190f40b744b3", "https://www.indeed.com/viewjob?jk=29a9190f40b744b3")</f>
        <v/>
      </c>
      <c r="F122">
        <f>HYPERLINK("https://www.amazon.jobs/jobs/3011028/software-developer-engineer--ios-ring?cmpid=DA_INAD200785B", "https://www.amazon.jobs/jobs/3011028/software-developer-engineer--ios-ring?cmpid=DA_INAD200785B")</f>
        <v/>
      </c>
      <c r="G122" t="inlineStr">
        <is>
          <t>Hawthorne, CA, US</t>
        </is>
      </c>
      <c r="H122" s="2" t="n">
        <v>45812</v>
      </c>
      <c r="I12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in-ff6fb4e4eb9a0de7</t>
        </is>
      </c>
      <c r="B123" t="inlineStr">
        <is>
          <t>Software Developer Engineer - iOS, Ring</t>
        </is>
      </c>
      <c r="C123" t="inlineStr">
        <is>
          <t>Amazon.com</t>
        </is>
      </c>
      <c r="D123" t="inlineStr">
        <is>
          <t>indeed</t>
        </is>
      </c>
      <c r="E123">
        <f>HYPERLINK("https://www.indeed.com/viewjob?jk=ff6fb4e4eb9a0de7", "https://www.indeed.com/viewjob?jk=ff6fb4e4eb9a0de7")</f>
        <v/>
      </c>
      <c r="F123">
        <f>HYPERLINK("https://www.amazon.jobs/jobs/3011028/software-developer-engineer--ios-ring?cmpid=DA_INAD200785B", "https://www.amazon.jobs/jobs/3011028/software-developer-engineer--ios-ring?cmpid=DA_INAD200785B")</f>
        <v/>
      </c>
      <c r="G123" t="inlineStr">
        <is>
          <t>Austin, TX, US</t>
        </is>
      </c>
      <c r="H123" s="2" t="n">
        <v>45812</v>
      </c>
      <c r="I12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in-cb6b62b56e6648fc</t>
        </is>
      </c>
      <c r="B124" t="inlineStr">
        <is>
          <t>Senior Software Engineer - Query Processing, Aurora DSQL</t>
        </is>
      </c>
      <c r="C124" t="inlineStr">
        <is>
          <t>Amazon Web Services</t>
        </is>
      </c>
      <c r="D124" t="inlineStr">
        <is>
          <t>indeed</t>
        </is>
      </c>
      <c r="E124">
        <f>HYPERLINK("https://www.indeed.com/viewjob?jk=cb6b62b56e6648fc", "https://www.indeed.com/viewjob?jk=cb6b62b56e6648fc")</f>
        <v/>
      </c>
      <c r="F124">
        <f>HYPERLINK("https://www.amazon.jobs/jobs/2987643/senior-software-engineer--query-processing-aurora-dsql?cmpid=DA_INAD200785B", "https://www.amazon.jobs/jobs/2987643/senior-software-engineer--query-processing-aurora-dsql?cmpid=DA_INAD200785B")</f>
        <v/>
      </c>
      <c r="G124" t="inlineStr">
        <is>
          <t>East Palo Alto, CA, US</t>
        </is>
      </c>
      <c r="H124" s="2" t="n">
        <v>45796</v>
      </c>
      <c r="I12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in-420db7b8e45954ad</t>
        </is>
      </c>
      <c r="B125" t="inlineStr">
        <is>
          <t>Senior Software Engineer - Query Processing, Aurora DSQL</t>
        </is>
      </c>
      <c r="C125" t="inlineStr">
        <is>
          <t>Amazon Web Services</t>
        </is>
      </c>
      <c r="D125" t="inlineStr">
        <is>
          <t>indeed</t>
        </is>
      </c>
      <c r="E125">
        <f>HYPERLINK("https://www.indeed.com/viewjob?jk=420db7b8e45954ad", "https://www.indeed.com/viewjob?jk=420db7b8e45954ad")</f>
        <v/>
      </c>
      <c r="F125">
        <f>HYPERLINK("https://www.amazon.jobs/jobs/2987643/senior-software-engineer--query-processing-aurora-dsql?cmpid=DA_INAD200785B", "https://www.amazon.jobs/jobs/2987643/senior-software-engineer--query-processing-aurora-dsql?cmpid=DA_INAD200785B")</f>
        <v/>
      </c>
      <c r="G125" t="inlineStr">
        <is>
          <t>Seattle, WA, US</t>
        </is>
      </c>
      <c r="H125" s="2" t="n">
        <v>45796</v>
      </c>
      <c r="I12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li-4323356787</t>
        </is>
      </c>
      <c r="B2" t="inlineStr">
        <is>
          <t>Staff Software Engineer, Product Engineering, Americas</t>
        </is>
      </c>
      <c r="C2" t="inlineStr">
        <is>
          <t>Ashby</t>
        </is>
      </c>
      <c r="D2" t="inlineStr">
        <is>
          <t>linkedin</t>
        </is>
      </c>
      <c r="E2" t="inlineStr"/>
      <c r="F2" t="inlineStr"/>
      <c r="G2" t="inlineStr">
        <is>
          <t>Portland, OR</t>
        </is>
      </c>
      <c r="H2" t="inlineStr"/>
      <c r="I2"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3">
      <c r="A3" t="inlineStr">
        <is>
          <t>li-4343340006</t>
        </is>
      </c>
      <c r="B3" t="inlineStr">
        <is>
          <t>Backend Engineer, Data Platform</t>
        </is>
      </c>
      <c r="C3" t="inlineStr">
        <is>
          <t>LaunchDarkly</t>
        </is>
      </c>
      <c r="D3" t="inlineStr">
        <is>
          <t>linkedin</t>
        </is>
      </c>
      <c r="E3" t="inlineStr"/>
      <c r="F3" t="inlineStr"/>
      <c r="G3" t="inlineStr"/>
      <c r="H3" t="inlineStr"/>
      <c r="I3" t="inlineStr">
        <is>
          <t>**About The Job**
 Software powers the world, and LaunchDarkly empowers all teams to deliver and control the best software. As a Data Platform Engineer, you will help us build batch and stream processing pipelines that process trillions of events per day and deliver data to optimized derived tables that power all major internal and external products built on event data.
 Our platform serves over twenty trillion feature flags daily. To accommodate the large scale of our systems, we use state\-of\-the\-art pipeline technologies in the AWS ecosystem, including Kinesis, Airflow, Spark, Lambda, Flink and Athena. We store data in databases including Clickhouse, Postgres, ElasticSearch, Timestream and Snowflake. As part of our you\-build\-it\-you\-run\-it culture, all engineers support the pipelines in production, including in an on\-call rotation.
**Responsibilities**
* Build and expand our data pipelines and data products supporting Experimentation, Release observability, Metrics, Product Analytics and Flag Insights product lines, as well as internal Business Intelligence.
* Collaborate with frontend engineers, product managers and UX designers to deliver user\-facing features
* Monitor and improve database and pipeline performance
* Write unit, integration, and load tests as necessary
* Actively participate in code reviews
* Write and review technical proposals
* Improve engineering standards, tooling, and processes
**Qualifications**
* 5\+ Years of backend software engineering experience
* Minimum of 1 year experience building product focused Data Pipelines or Data Warehouse
* Demonstrable experience with data pipelines, including some of Kinesis, Airflow, Spark, Lambda, Flink and Athena.
* Experience with event or analytical data sets in databases including some of Clickhouse, Postgres, ElasticSearch, Timestream and Snowflake.
* Familiarity with computer science fundamentals such as data structures, distributed systems, concurrency, and threading
* A commitment to working in a communicative and collaborative environment
* You write code that can be easily understood by others, with an eye towards maintainability
* You hold yourself and others to a high bar when working with production systems
* You value high code quality, automated testing, and other engineering best practices
* Familiarity with Infrastructure\-as\-Code tools like Terraform or equivalent
* Familiarity with observability tools like Datadog or equivalent
**Pay**
*Target pay ranges based on Geographic Zones\* for Level 3:*
* Zone 1: San Francisco/Bay Area or NYC Metropolitan Area, Boston, Seattle \- $171,000 \- $235,000\*\*
* Zone 2: Irvine, LA, Monterey, Santa Barbara, Santa Rosa, Austin, Portland, Philadelphia, Chicago \- $154,000 \- $211,000\*\*
* Zone 3: All other US locations \- $145,000 \- $200,000\*\*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4">
      <c r="A4" t="inlineStr">
        <is>
          <t>li-4290873823</t>
        </is>
      </c>
      <c r="B4" t="inlineStr">
        <is>
          <t>Software Engineer/Senior Software Engineer, Solutions</t>
        </is>
      </c>
      <c r="C4" t="inlineStr">
        <is>
          <t>Genentech</t>
        </is>
      </c>
      <c r="D4" t="inlineStr">
        <is>
          <t>linkedin</t>
        </is>
      </c>
      <c r="E4" t="inlineStr"/>
      <c r="F4" t="inlineStr"/>
      <c r="G4" t="inlineStr">
        <is>
          <t>South San Francisco, CA</t>
        </is>
      </c>
      <c r="H4" t="inlineStr"/>
      <c r="I4"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organizations at Genentech (gRED) and Pharma (pRED) have demonstrated how these technologies accelerate R\&amp;D, leveraging data and novel computational models to drive impact. Seamless data sharing and access to models across gRED and pRED are essential to maximising these opportunities. The Computational Sciences Center of Excellence (CS CoE) is a strategic, unified group whose goal is to harness the transformative power of data and Artificial Intelligence (AI) to assist our scientists in both pRED and gRED to deliver more innovative and life\-changing medicines for patients worldwide.
 Within the CS CoE organisation, the Data and Digital Catalyst (DDC) organization leads the modernization of our computational and data ecosystems by integrating digital technologies across Research and Early Development to empower stakeholders, advance data\-driven science and accelerate decision\-making.
 The Solutions team within the DDC Organization develops modernized and interconnected computational and data ecosystems. The Data Ecosystem is foundational to building solutions that accelerate the work done by our Computational and Bench Scientists and enable ML/AI tool creation and adoption. Our team specializes in building Data Pipelines and Applications for data acquisition, collection, storage, transformation, linkage and sharing.
 As a Software Engineer in the Solutions Engineering capability, you will work closely with colleagues such as Data Engineers, Product Leaders and Tech/ML Ops as well as directly with our key partners including Computational Scientists and Research Scientists. You will build robust and scalable systems that unlock the potential of our diverse scientific data, accelerating the discovery and development of life\-changing treatments for patients. As part of this role, you’ll contribute to building a modern, scalable and robust ecosystem of applications, agents and other tools to capture, move and prepare the scientific data for analysis.
 You are passionate about building scalable, reliable, and reusable capabilities for our shared platform. As a software engineer with strong experience in backend and/or frontend development, you design and implement components with scalability and reliability at their core. You bring hands\-on expertise in cloud technologies and follow engineering best practices—including code reviews, unit testing, and adherence to coding standards—while boosting productivity through AI\-powered development tools and environments.
 Ideally, you are a full\-stack software engineer or data engineer with domain knowledge in biology, chemistry, drug discovery, translational medicine, or a related scientific discipline. You thrive on leveraging platform components to build common solutions, and you excel at engaging with scientific stakeholders to understand their challenges and translate them into effective technology solutions in close collaboration with Product and Engineering teams.
**The Opportunity:**
* Responsible for technical excellence and ensuring our solutions and capabilities are innovative, best\-in\-class and integrated by delivering data flows and pipelines within and across DDC and key domains like Research Biology, Drug Discovery, Translational Medicine and Development and more
* Identify key trends, technologies, and methodologies, and promote their adoption by applying an Open Source, Cloud First, API First and AI First approach to problem\-solving
* Learn, deeply understand and improve our Data Workflows, Application Architecture and Data Ecosystem by leveraging standard patterns like layered architecture, microservices, event\-driven, multi\-tenancy, etc.
* Ensure our technical choices are innovative, best\-in\-class and are inter\-operable and consistent across DDC and domains like Research Biology, Drug Discovery, Translational Medicine and Development and more
* Understand and influence technical decisions around data workflows and application development while working collaboratively with our key partners
* Integrate diverse sets of data together to power AI/ML and Natural Language Search, as well as enable our downstream teams working on Workflows, Visualization and Analytics
* Facilitate the implementation of AI models that take advantage of advances in machine learning and artificial intelligence
**Who You Are:**
* Bachelor’s degree in Computer Science or similar technical field with at least 2\-4\+ years of experience in software engineering (Software Engineer); 4\-7 years of experience (Sr. Software Engineer)
* Extensive experience and technical understanding of modern software and data engineering approaches, including data flow within the cloud and cutting\-edge data storage solutions
* Experience with full stack development. Working knowledge of building Front Ends using JavaScript and other Libraries and Backends using any high level languages like Python, Java
* Experience with Databases and Data Analytics (SQL/NoSQL, ETL, ELT), APIs (REST, GraphQL)
* Experience working on cloud\-native architectures in public clouds (ideally AWS)
* Experience with building Designs for Data Applications which are highly reliable, scalable, performant, secure and robust and ideally on a public cloud platform
* Ability to think strategically and optimize for the long term while acting with a sense of urgency
* Cares about technical and product excellence and building highly usable solutions
* Experience using modern development practices, including documentation, source code management, as well as build and production deployment automation
* Experience reducing Tech Debt and consolidating and deprecating legacy solutions
* Strong oral and written communication skills
 Onsite presence, on our South San Francisco campus, is expected for at least 3 days a week.
 Relocation benefits are available for this job posting.
 The expected salary range for this position based on the primary location of California is $115,200 \- $214,000 (Software Engineer) and $142,500 \- $264,700 (Senior Software Engineer)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5">
      <c r="A5" t="inlineStr">
        <is>
          <t>li-4365580693</t>
        </is>
      </c>
      <c r="B5" t="inlineStr">
        <is>
          <t>Software Engineer, Mail</t>
        </is>
      </c>
      <c r="C5" t="inlineStr">
        <is>
          <t>Notion</t>
        </is>
      </c>
      <c r="D5" t="inlineStr">
        <is>
          <t>linkedin</t>
        </is>
      </c>
      <c r="E5" t="inlineStr"/>
      <c r="F5" t="inlineStr"/>
      <c r="G5" t="inlineStr">
        <is>
          <t>San Francisco, CA</t>
        </is>
      </c>
      <c r="H5" t="inlineStr"/>
      <c r="I5"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We’re building Notion Mail to rethink how email fits into the bigger picture of your work. Over time, it reduces context switching, connects email to the rest of Notion, and uses AI to help people move faster from “inbox” to “done.” We’re looking for a backend engineer to help build and evolve the systems behind Notion Mail, including the infrastructure, data models, and asynchronous workflows that make high\-quality syncing and AI\-powered experiences possible.
 On the backend, you’ll work on services that power inbox intelligence, such as auto\-triage and auto\-drafting workflows, and the reliability and observability that these experiences depend on. You’ll collaborate closely with product, design, and other engineering teams, and you’ll have meaningful ownership in a product that’s early enough for your work to shape the foundation and direction.
**What You'll Achieve**
* Own systems and infrastructure that power AI\-assisted email communication workflows at scale.
* Build and evolve reliable data flows and models that keep email state accurate and up to date.
* Design asynchronous processing systems that support high\-volume, low\-latency product experiences.
* Partner cross\-functionally with engineering, product, and design to deliver end\-to\-end features from backend foundations to customer facing experiences.
* Help keep production systems healthy by strengthening observability, improving performance, and increasing operational reliability over time.
**Skills You'll Need To Bring**
* Systems design \&amp; production infrastructure experience: You’ve designed systems with clear tradeoffs, and you have hands on experience with infrastructure topics like Kubernetes, observability/telemetry (e.g., Honeycomb), and operating reliable production systems.
* Strong data modeling skills: You can design durable data models and APIs that are correct, evolvable, and performant as product requirements grow.
* Ownership and initiative: You thrive in a fast\-moving, unstructured environment and are comfortable taking ownership of ambiguous problems. You act with a bias toward action and focus on results.
* Pragmatic problem\-solver: You prioritize business impact and understand the balance between craft, speed, and long\-term maintainability. You’re opinionated but not ideological, and you learn new technologies as you go.
* Collaborative and empathetic: You work well across teams, offer guidance to unblock others, and communicate clearly when aligning on technical direction.
* You don’t need to be an AI expert, but you’re curious and willing to adopt AI tools to work smarter and deliver better results
**Nice To Haves**
* Past full stack experience, or interest in doing some full stack work over time
* Experience building high\-volume asynchronous job execution and orchestration systems
* Hands\-on experience with AWS infrastructure and a background in distributed systems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$176,000 \- $207,000 per year.
 By clicking “Submit Application”, I understand and agree that Notion and its affiliates and subsidiaries will collect and process my information in accordance with Notion’s Global Recruiting Privacy Policy and NYLL 144\.</t>
        </is>
      </c>
    </row>
    <row r="6">
      <c r="A6" t="inlineStr">
        <is>
          <t>li-4349618734</t>
        </is>
      </c>
      <c r="B6" t="inlineStr">
        <is>
          <t>Backend Software Engineer - B2B Applications</t>
        </is>
      </c>
      <c r="C6" t="inlineStr">
        <is>
          <t>OpenAI</t>
        </is>
      </c>
      <c r="D6" t="inlineStr">
        <is>
          <t>linkedin</t>
        </is>
      </c>
      <c r="E6" t="inlineStr"/>
      <c r="F6" t="inlineStr"/>
      <c r="G6" t="inlineStr"/>
      <c r="H6" t="inlineStr"/>
      <c r="I6"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backend engineers to design and scale the systems that drive our developer and enterprise\-facing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Own the end\-to\-end development lifecycle for new platform capabilities and integrations with other systems
* Collaborate closely with product, design and external customers to understand problems and implement effective solutions
* Work with the research team to improve our next generation of models
**Your Background Might Look Something Like**
* 2\+ years of professional engineering experience (excluding internships) in relevant roles at tech and product\-driven companies
* Former founder, or early engineer at a startup who has built a product from scratch is a plus
* Are proficient in one or more backend languages (e.g., Python, Go, Rust, Typescript or similar) and distributed systems concepts.
* Enjoy building infrastructure that supports billions of requests and petabytes of data.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7">
      <c r="A7" t="inlineStr">
        <is>
          <t>li-4381355970</t>
        </is>
      </c>
      <c r="B7" t="inlineStr">
        <is>
          <t>Software Engineer I - Back-End (U.S.)</t>
        </is>
      </c>
      <c r="C7" t="inlineStr">
        <is>
          <t>IntelliSurvey</t>
        </is>
      </c>
      <c r="D7" t="inlineStr">
        <is>
          <t>linkedin</t>
        </is>
      </c>
      <c r="E7" t="inlineStr"/>
      <c r="F7" t="inlineStr"/>
      <c r="G7" t="inlineStr">
        <is>
          <t>Orange County, CA</t>
        </is>
      </c>
      <c r="H7" t="inlineStr"/>
      <c r="I7" t="inlineStr">
        <is>
          <t>**About Us**
 We’re a global team with a mission to enable professional research online. Headquartered in the United States, Irvine, California. IntelliSurvey has spent over two decades building powerful survey and reporting tools used by a wide range of companies. Our platform simplifies complex research challenges, and we continue to innovate and evolve our software with a focus on performance, usability, and flexibility.
 We are seeking a Back\-End Software Engineer I to help design, develop, and enhance industry\-leading survey software used to collect data through online and mobile platforms. In this role, you will build scalable back\-end systems and services that support high\-performance applications and reliable data collection. The ideal candidate enjoys solving complex technical challenges, writing clean and maintainable code, and collaborating with a team to deliver efficient, user\-friendly software solutions.
 If you're passionate about writing clean, maintainable code and contributing to a collaborative engineering culture, we’d love to hear from you.
 Salary Range \- $75,000 to $100,000 plus bonus
**What You'll Do**
* Develop and maintain back\-end components and services used by IntelliSurvey's platform
* Write clean, efficient, and well documented code using object\-oriented Perl (with Moose)
* Work with PostgreSQL database
* Collaborate with front\-end engineers, product managers, and other stakeholders
* Participate in code reviews and contribute to engineering best practices
* Troubleshoot and resolve production issues and assist with Tier 2 escalations
* Contribute to automated testing and CI/CD pipelines
* Use Git and Atlassian tools (JIRA, Crucible, Fisheye) for development workflows
* Work in Linux\-based environments
* Continuously improve system performance and scalability
**What We're Looking For**
 Education \&amp; Experience
* Bachelor’s degree in Computer Science, Engineering, or a related field, or equivalent exp.
* 2\-4 years of professional software development experience
* Experience with backend languages such as Perl (preferred) or Python (2 plus years)
* Willingness to learn and work with Modern Perl
* Experience with navigating and managing Linux systems using the command line
* Interest in learning Rust
* Experience with automated testing and CI/CD pipelines
* Experience with PostgreSQL or other relational databases
* Experience working in Linux environments
* Familiarity with Git and Agile tools such as JIRA
* Understanding of object\-oriented programming and scalable software architecture
* Strong problem\-solving and communication skills, self\-starter
* Ability to work effectively in a distributed team
**Why You'll Love Working Here**
* 100 percent Remote or Hybrid if local to Irvine, CA. We also bring the team together once or twice a year for in\-person meet\-ups.
* Generous time off: 6 weeks per year, 3 weeks of PTO, 8 Company holidays and 6 floating holidays.
* Comprehensive Health Benefits
* 401(K) with Company Match
* Flexible hours
* Career growth opportunites
* Collaborative and Supportive engineering culture
* Equal Opportunity Employer
 All offers of employment are contingent upon successful completion of a background check.
 Powered by JazzHR</t>
        </is>
      </c>
    </row>
    <row r="8">
      <c r="A8" t="inlineStr">
        <is>
          <t>li-4324744789</t>
        </is>
      </c>
      <c r="B8" t="inlineStr">
        <is>
          <t>Software Engineer, Generalist</t>
        </is>
      </c>
      <c r="C8" t="inlineStr">
        <is>
          <t>Stainless</t>
        </is>
      </c>
      <c r="D8" t="inlineStr">
        <is>
          <t>linkedin</t>
        </is>
      </c>
      <c r="E8" t="inlineStr"/>
      <c r="F8" t="inlineStr"/>
      <c r="G8" t="inlineStr">
        <is>
          <t>New York, NY</t>
        </is>
      </c>
      <c r="H8" t="inlineStr"/>
      <c r="I8" t="inlineStr">
        <is>
          <t>**About Stainless**
 Stainless is a fast\-growing tech startup building the future of APIs. Our customers include industry leaders like OpenAI, Anthropic, and Cloudflare.
 We have raised over $35 million from a16z, Sequoia, and founders/C\-levels from Stripe, Datadog, Segment, Linear, and more.
 We are headquartered in NYC, just west of SoHo, and are a team of \~60 strong expecting to double in the next \~9 to 12 months.
****Role****
 Joining as a generalist engineer, you’ll have a focus area, but we’ll all be pitching in on every aspect of the company and acting with a high degree of ownership in a collegial, humble atmosphere.
 You'll build the core systems that form the foundation of the company for years, both scrappily getting things done wherever help is needed and thinking deeply on foundational architecture.
****Who you are****
* Experience level to build anything you can imagine, with great design and sound architecture.
* Built and/or maintained a popular open\-source project.
+ Alternatively, maintained internal abstractions used across an engineering org.
* Experience consuming APIs you didn’t control, produced APIs you didn’t consume, and been the sole consumer of an API you built and could iterate on.
* Location: onsite in our physical office location in Manhattan, New York.
* Experience both designing and stewarding APIs at scale, whether internal or external.
* Ability to build great abstractions that stand the test of time when used by other engineers of varying skill levels, beginner to formidable.
* A true passion for developer experience and empathy for developers from all backgrounds (junior, non\-traditional etc).
* Quick learner, self\-motivated, and able to execute quickly whilst maintaining high quality.
* Great product sense.
* Programming languages:
+ Expertise with TypeScript, our language of choice.
+ Broad polyglot interest/experience – comfort working across multiple programming languages.
* Bonus points:
+ Have used GraphQL and appreciate its benefits and drawbacks.
+ Experience / interest working with ASTs (eg, lint rules, rich codemods, compilers, etc).
+ Experience and/or interest in writing blogs, speaking at conferences and engaging with developer communities.
**Benefits**
* We offer competitive salary and generous equity grants.
* Great healthcare coverage options (e.g., fully covered platinum plans).
* Paid commuter benefits \&amp; similar.
* Paid team lunch/meals during workdays.
* Flexible PTO plus 3 weeks of company\-wide vacation a year (2 weeks in December, 1 week at the end of the summer).
* Flexible WFH and 1 month fully remote per year ("remote February").
 Compensation Range: $150K \- $260K</t>
        </is>
      </c>
    </row>
    <row r="9">
      <c r="A9" t="inlineStr">
        <is>
          <t>li-4349578269</t>
        </is>
      </c>
      <c r="B9" t="inlineStr">
        <is>
          <t>Software Engineer, Backend - Sora</t>
        </is>
      </c>
      <c r="C9" t="inlineStr">
        <is>
          <t>OpenAI</t>
        </is>
      </c>
      <c r="D9" t="inlineStr">
        <is>
          <t>linkedin</t>
        </is>
      </c>
      <c r="E9" t="inlineStr"/>
      <c r="F9" t="inlineStr"/>
      <c r="G9" t="inlineStr"/>
      <c r="H9" t="inlineStr"/>
      <c r="I9" t="inlineStr">
        <is>
          <t>**About The Team**
 The Sora team is pioneering multimodal capabilities for OpenAI’s foundation models. We’re a hybrid research and product team focused on integrating multimodal functionalities into our AI products, ensuring they are reliable, user\-friendly, and aligned with our mission of broad societal benefit.
**About The Role**
 We’re looking for experienced, problem\-solving engineers to build new products and scale our systems. Our success depends on our ability to quickly iterate on products while also ensuring that they are performant and reliable.
 You’ll work in a deeply iterative, collaborative, fast\-paced environment to bring our technology to millions of users around the world, and ensure it’s delivered with safety and reliability in mind.
 As we explore new frontiers in video\-enabled AI and other modalities, you will help define our product strategy and build the foundations for these initiatives. We value engineers who take initiative, demonstrate strong product instincts, and maintain a user\-centric focus in their work.
**In This Role, You Will**
* Collaborate with cross\-functional teams to design, build, and iterate on innovative video product features.
* Translate user needs and research insights into scalable product solutions.
* Work with researchers to integrate advanced video capabilities into our core offerings.
* Shape the technical roadmap and product strategy for our video initiatives.
**You Might Thrive In This Role If You**
* Have 6\+ years of industry experience in product engineering, with a proven record of shipping impactful, user\-focused products.
* Excel in environments with ambiguity and rapid change, turning complex requirements into practical, elegant solutions.
* Possess a proactive mindset with the ability to quickly learn new technologies and share your insights with your team.
* Bonus: Have experience building or supporting video infrastructure, which will be valuable as our product scales.
**This role is based in San Francisco, CA. We use a hybrid work model of 3 days in the office per week and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0">
      <c r="A10" t="inlineStr">
        <is>
          <t>li-4355800113</t>
        </is>
      </c>
      <c r="B10" t="inlineStr">
        <is>
          <t>Software Engineer II</t>
        </is>
      </c>
      <c r="C10" t="inlineStr">
        <is>
          <t>Sony Interactive Entertainment</t>
        </is>
      </c>
      <c r="D10" t="inlineStr">
        <is>
          <t>linkedin</t>
        </is>
      </c>
      <c r="E10" t="inlineStr"/>
      <c r="F10" t="inlineStr"/>
      <c r="G10" t="inlineStr">
        <is>
          <t>San Mateo, CA</t>
        </is>
      </c>
      <c r="H10" t="inlineStr"/>
      <c r="I10"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 owned subsidiary of Sony Corporation.
**The Opportunity**
 As a
 **Software Engineer II** 
 on the
 **Client Platform team** 
 , you’ll play a key role in building the next generation of PlayStation experiences. You’ll collaborate with talented engineers and designers to craft intuitive, performant, and beautiful cross\-platform applications that reach millions of players around the world. This team builds the
 **core application framework, shared libraries, and foundational components** 
 that other product and feature teams rely on to deliver PlayStation experiences to millions of users worldwide. You’ll work with senior engineers to design and maintain the underlying systems that make PlayStation applications fast, scalable, and consistent across environments — giving other teams the tools and flexibility to innovate. This is your chance to help shape how players connect, discover, and engage across the PlayStation ecosystem — from concept to launch and beyond.
**Responsibilities**
* Design, develop, test, and document React\-based cross\-platform applications that deliver seamless and consistent user experiences.
* Collaborate with Product Owners and Product Managers to translate feature requirements into scalable, maintainable solutions.
* Partner with cross\-functional teams to define architecture and ensure best practices for performance, accessibility, and reliability.
* Write comprehensive unit and component tests to maintain product quality and prevent regressions.
* Participate in peer reviews and provide constructive feedback on design and implementation.
* Continuously improve development workflows and contribute to evolving engineering standards.
* Explore innovative ideas and emerging technologies through Hackathons and Café Days to help drive future PlayStation experiences.
**Required Qualifications**
* Bachelor’s degree in Computer Science or a related field, or equivalent professional experience.
* 3\+ years of development experience building user\-facing applications or systems using JavaScript/TypeScript.
* Strong proficiency in React and related tools and libraries.
* Demonstrated experience creating and maintaining cross\-platform applications.
* Strong problem\-solving skills and attention to quality.
* Excellent communication and collaboration skills in a distributed team environment.
* Hands\-on experience with modern build and testing tools such as Webpack, Babel, Jest, or similar.
* Familiarity with GraphQL, RESTful APIs, and containerization (e.g., Docker).
* Experience with CI/CD pipelines and automated testing frameworks.
* Understanding of performance optimization, accessibility, and responsive design principles.
* Interest or experience in applying AI/ML concepts to enhance user experiences — such as intelligent UI behaviors, personalization, recommendation systems, or automated testing tools.
* Experience integrating or experimenting with AI\-powered development tools, frameworks, or APIs (e.g., code assistants, generative models, or LLM\-based automation).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$163,700—$245,500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1">
      <c r="A11" t="inlineStr">
        <is>
          <t>li-4382602218</t>
        </is>
      </c>
      <c r="B11" t="inlineStr">
        <is>
          <t>Sr Software Engineer</t>
        </is>
      </c>
      <c r="C11" t="inlineStr">
        <is>
          <t>Uber</t>
        </is>
      </c>
      <c r="D11" t="inlineStr">
        <is>
          <t>linkedin</t>
        </is>
      </c>
      <c r="E11" t="inlineStr"/>
      <c r="F11" t="inlineStr"/>
      <c r="G11" t="inlineStr">
        <is>
          <t>New York, NY</t>
        </is>
      </c>
      <c r="H11" t="inlineStr"/>
      <c r="I11" t="inlineStr">
        <is>
          <t>**About The Role**
 Collaborates with stakeholders within the team to build and maintain backend services and solutions to support user\-facing products.
**About The Team (We Are Hiring For Multiple Teams)**
 Grocery \&amp; Retail is Uber's newest and fast growing business line, delighting customers with next\-hour delivery of household essentials from their favorite local stores. The team is focused on building best\-in\-class products and technology to support merchants, consumers and couriers in shopping and fulfilling orders on the Uber platform. We solve challenging technical problems across consumer experiences, fulfillment orchestration, search, ranking, recommendations, catalog and merchant platforms to meet the needs of the growing business.
 The Grocery and Retail team is looking for a Software Engineer to execute on the team's ambitious and fast\-paced technology strategy. This is an important and visible role with a potential for significant impact on the fast growing grocery and retail business. We are looking for someone with deep knowledge and passion for software engineering, enjoys solving challenging technical and product problems, and can effectively collaborate with stakeholders.
**What You'll Do**
* Design, develop, and maintain robust and scalable software solutions
* Collaborate with product managers, cross\-engineering teams, data scientists and other partners to gather requirements and translate them into technical specifications
* Identify opportunities and lead of the entire development lifecycle end\-to\-end, from architecture design and coding to deployment
* Participate in code reviews, provide constructive feedback, and mentor junior engineers to foster a culture of continuous learning and improvement
* Mentor and guide other engineers, providing technical leadership and encouraging a collaborative and growth\-oriented team environment
* Build and maintain scalable backend services and infrastructure
* Stay up\-to\-date with the latest technologies and industry trends, evaluating their potential impact on our software systems and recommending appropriate integrations or improvements
****Basic Qualifications:****
* Bachelor's degree or equivalent in Computer Science, Engineering, Mathematics or related field with at least 3 years of full\-time Software Engineering work experience OR PhD in Computer Science, Engineering, Mathematics or related field with at least 1 year of full\-time Software Engineering work experience
* Proficiency in at least one programming language such as Java, C\+\+, Python, or Go
* 3 years of experience with backend development, building and delivering end\-user products.
****Preferred Qualifications:****
* Master's degree or higher in Computer Science, Engineering, Mathematics or related field
* More than 5 years of full\-time Software Engineering work experience
* Proven experience building highly available distributed systems (at Uber scale) and working across multiple backend services
* Experience working on scalable backend systems utilizing a microservices architecture
* High bar for quality as demonstrated by code reviews, documentation, unit and integration testing
* Experience with optimization techniques and algorithmic development
* Strong problem\-solving skills, with expertise in algorithms, data structures, and complexity analysis
 For New York, NY\-based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
      <c r="A12" t="inlineStr">
        <is>
          <t>li-4311672139</t>
        </is>
      </c>
      <c r="B12" t="inlineStr">
        <is>
          <t>Software Engineer, Agentic Runtime</t>
        </is>
      </c>
      <c r="C12" t="inlineStr">
        <is>
          <t>Glean</t>
        </is>
      </c>
      <c r="D12" t="inlineStr">
        <is>
          <t>linkedin</t>
        </is>
      </c>
      <c r="E12" t="inlineStr"/>
      <c r="F12" t="inlineStr"/>
      <c r="G12" t="inlineStr"/>
      <c r="H12" t="inlineStr"/>
      <c r="I12"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The Agents Runtime team builds the low‑latency, reliable, and secure foundation that powers Glean’s AI agents and assistant experiences at scale. You’ll design and operate core runtime services for multi‑turn orchestration, tool calling, model routing, memory, streaming, and safety. You’ll work across distributed systems, production observability, and ML infra integrations to deliver an experience that feels instant, accurate, and trustworthy — while optimizing cost and reliability.
**You Will**
* Own impactful runtime problems end‑to‑end — from architecture and design to production launch and ongoing reliability.
* Build and evolve core services for session lifecycle, streaming responses (e.g., gRPC/WebSockets), structured tool execution, memory/state, and policy/guardrails.
* Design for performance, correctness, and cost: reduce p50/p95 latency, improve tail behavior, and optimize token/tool budgets.
* Integrate with leading LLM providers (e.g., OpenAI, Anthropic, Google Gemini) and internal evaluation frameworks to improve quality and predictability.
* Harden the platform with fault isolation, retries, timeouts, circuit‑breaking, backpressure, and graceful degradation.
* Instrument deep observability (tracing, metrics, logs) and create playbooks/SLOs for high availability and on‑call excellence.
* Collaborate closely with product, quality, and application teams to prioritize the most impactful roadmap investments.
**You Are**
* 3\+ years of software engineering experience building production distributed systems or cloud‑native applications.
* BS/BA in Computer Science or related field, or equivalent practical experience.
* Strong coding skills in at least one of: Python, Go, Java, or C\+\+, with a focus on reliability, performance, and tests.
* Product‑minded: you prioritize customer impact, clear SLAs/SLOs, and pragmatic iteration.
* Ownership‑driven with a positive, proactive attitude; comfortable leading projects or learning from battle‑tested engineers.
* Experience operating services on Kubernetes and at least one major cloud (e.g., GCP, AWS, or Azure).
* Familiarity with event/streaming systems (e.g., Pub/Sub, Kafka), caching (e.g., Redis), and data stores for low‑latency paths.
* Practical understanding of LLM/agents building blocks: tool/function calling, structured outputs, streaming, and model selection/routing.
* Strong observability and debugging skills: tracing (e.g., OpenTelemetry), metrics, dashboards, and production forensics.
* Background in one or more areas is a plus: policy/guardrails, multi‑tenant isolation, rate‑limiting, concurrency control, cost optimization.
**Location:**
* This role is hybrid (3\-4 days a week in one of our SF Bay Area offices)
**Compensation \&amp; Benefits**
 The standard base salary range for this position is $170,000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3">
      <c r="A13" t="inlineStr">
        <is>
          <t>li-4337103061</t>
        </is>
      </c>
      <c r="B13" t="inlineStr">
        <is>
          <t>Software Developer, Backend</t>
        </is>
      </c>
      <c r="C13" t="inlineStr">
        <is>
          <t>Gruve</t>
        </is>
      </c>
      <c r="D13" t="inlineStr">
        <is>
          <t>linkedin</t>
        </is>
      </c>
      <c r="E13" t="inlineStr"/>
      <c r="F13" t="inlineStr"/>
      <c r="G13" t="inlineStr"/>
      <c r="H13" t="inlineStr"/>
      <c r="I13" t="inlineStr">
        <is>
          <t>**About Gruve**
 Gruve is an innovative software services startup dedicated to transforming enterprises to AI powerhouses. We specialize in cybersecurity, customer experience, cloud infrastructure, and advanced technologies such as Large Language Models (LLMs). Our mission is to assist our customers in their business strategies utilizing their data to make more intelligent decisions. As a well\-funded early\-stage startup, Gruve offers a dynamic environment with strong customer and partner networks.
**About The Role**
 We are looking for a highly skilled
 **Backend Developer** 
 to join a fast\-paced and rapidly growing engineering team. The ideal candidate has a strong background in building and operating high\-scale, low\-latency distributed systems and thrives in environments where ownership, technical excellence, and collaboration are essential.
**Key Responsibilities**
* Design, build, and maintain low\-latency, large\-scale distributed systems that are reliable, performant, and scalable.
* Contribute across the full software development lifecycle, from architecture and design to deployment, monitoring, and operations.
* Collaborate closely with cross\-functional engineering teams to deliver high\-quality features and system improvements.
* Debug complex production issues with strong analytical and problem\-solving skills.
* Drive technical initiatives, set best practices, and contribute to continuous improvement of system reliability and performance.
* Mentor junior engineers and provide technical leadership on new projects and infrastructure enhancements.
**Basic Qualifications**
* 3\+ years of software development experience in a fast\-paced, high\-growth environment.
* Demonstrated experience building large\-scale, distributed systems with low\-latency requirements.
* Proficiency in Go or Python, with strong production debugging and technical problem\-solving abilities.
* Experience operating distributed systems in production, with a strong sense of ownership and accountability.
* Excellent communication skills and the ability to collaborate effectively across teams.
* Experience mentoring junior engineers and providing technical direction on new initiatives.
**Salary Range**
 $50\-67 per hour
***This position is being hired for a customer of Gruve.***
***Gruve is not able to provide visa sponsorship for this role. Applicants must be authorized to work in the United States without the need for current or future sponsorship.***
**Why Gruve**
 At Gruve, we foster a culture of innovation, collaboration, and continuous learning. We are committed to building a diverse and inclusive workplace where everyone can thrive and contribute their best work. If you’re passionate about technology and eager to make an impact, we’d love to hear from you.
 Gruve is an equal opportunity employer. We welcome applicants from all backgrounds and thank all who apply; however, only those selected for an interview will be contacted.</t>
        </is>
      </c>
    </row>
    <row r="14">
      <c r="A14" t="inlineStr">
        <is>
          <t>li-4341937030</t>
        </is>
      </c>
      <c r="B14" t="inlineStr">
        <is>
          <t>Senior Software Engineer - Full Stack</t>
        </is>
      </c>
      <c r="C14" t="inlineStr">
        <is>
          <t>Sony Interactive Entertainment</t>
        </is>
      </c>
      <c r="D14" t="inlineStr">
        <is>
          <t>linkedin</t>
        </is>
      </c>
      <c r="E14" t="inlineStr"/>
      <c r="F14" t="inlineStr"/>
      <c r="G14" t="inlineStr">
        <is>
          <t>San Mateo, CA</t>
        </is>
      </c>
      <c r="H14" t="inlineStr"/>
      <c r="I14"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Software Engineer \- Full Stack
 San Mateo \- Hybrid
 We are looking for a Full\-Stack Software Engineer to join our agile high\-performance Dev Team and contribute to the Best Place to Play. You will apply your software development skills and to delight our users with innovative features. You will work and collaborate daily with a diverse team dedicated to excellence, inclusion, and fun. This is a rare opportunity to be part of one of the world’s most recognized brands, and to collaborate with PlayStation engineering teams across the globe. This is a hybrid role in San Mato.
 Responsibilities:
* Work as part of an Agile Scrum team to design and develop end\-to\-end Platform Features using C/C\+\+ in the Game SDK, React/React\-Native/JS in the front\-end, and Java/JS/Graph QL in the backend, delivering highly scalable applications running on the PS5 console.
* Own and deliver Multi\-platform SDK features and Sample Programs using C/C\+\+ and be accountable for the results.
* Ability to support front\-end UI components/backend server development as needed.
* Collaborate with Product Management and UX designers on requirements.
* Investigate and Resolve reported Defects and work with the QE team members to close on the issues.
* Work on continuous improvement of software, by profiling, refactoring and optimizing the code.
* Work with limited supervision under tight time constraints and respond to rapidly evolving requirements.
 Required Qualifications:
* Bachelor’s degree in Computer Science or a related field. Equivalent industry experience will be evaluated.
* Solid base in Computer Science, understanding of OOP, Data Structures, and Design Patterns.
* Strong technical, analytical, and problem\-solving skills.
* 3\+ years of experience with designing and developing SDKs, Front\-End Apps, and integrating with backend services.
* Strong programming skills using C/C\+\+, experience with Front\-End development using JS/React/React Native.
* Passionate about quality and writing clean, readable code that scales and performs well.
* A collaborative teammate, a fast learner, with a positive and can\-do attitude.
* Excellent communication skills, both written and verbal.
 Preferred Qualifications:
* Experience with popular JavaScript UI frameworks, React and React Native, Node.js, and Restful APIs.
* Experience with Service\-side development using Java or other server programming languages like Python
* Built and developed GraphQL\-based applications
* Experience working in Gaming, Digital Media Services, Device Software.
* Experience working with a large multi\-cultural team that values collaboration and inclusive professional conduct.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$193,300—$289,900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5">
      <c r="A15" t="inlineStr">
        <is>
          <t>li-4355451695</t>
        </is>
      </c>
      <c r="B15" t="inlineStr">
        <is>
          <t>Senior Software Engineer</t>
        </is>
      </c>
      <c r="C15" t="inlineStr">
        <is>
          <t>FanDuel</t>
        </is>
      </c>
      <c r="D15" t="inlineStr">
        <is>
          <t>linkedin</t>
        </is>
      </c>
      <c r="E15" t="inlineStr"/>
      <c r="F15" t="inlineStr"/>
      <c r="G15" t="inlineStr">
        <is>
          <t>New York, NY</t>
        </is>
      </c>
      <c r="H15" t="inlineStr"/>
      <c r="I15" t="inlineStr">
        <is>
          <t>**THE POSITION**
 Our roster has an opening with your name on it
 As a Senior Software Engineer within one of FanDuel’s Risk Management Automation teams, you will be an essential part of a cross functional agile team that directly impacts our business. You will work collaboratively with a team to implement creative, high\-quality solutions, scope effort and timelines, and balance priorities of our stakeholders and engineering needs. Your team will work closely together to deliver exceptionally high\-quality software, while taking pride and ownership in testing, deploying, monitoring, and maintaining that software. Our engineers own every part of the software delivery lifecycle.
 You will work directly with risk managers at FanDuel to improve the major automated risk management platforms. You will be a domain expert on automated risk implementation and how that fits into the larger Risk and Trading landscape. You will go beyond the software developer role and will be called upon to identify opportunities yourself in the risk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SDE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pair program with our more junior engineers, and deliver constant improvements to our systems. We want you to be excited about constantly learning and driving your professional development. You should have most, or all, of the following skills:
* You have deep experience with C Sharp and backend systems.
* You have experience working directly with stakeholders/end users.
* You write simple and extendable code following standards and best practices.
*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You can train new team\-mates on how your team's software is constructed, how it operates, how secure it is, and how it fits into the bigger picture
* You foster a constructive dialogue and seek resolutions in a professional way
* You help recruit and interview for your team
* You estimate stories/tasks accurately and deliver them in time
* You mentor and help to develop others
* On\-call rotation where required. You provide excellent customer support
* You keep yourself up to date with market standards, open\-source frameworks
* Most importantly, you are humble, pragmatic, self\-managed, thirsty for knowledge, never satisfied and always challenging the norm. Responsible for the state of the code you both inherit and produce
* Creative problem\-solving ability
* A passion for learning and always getting better
**THE STATS**
 What we're looking for in our next teammate
* Degree in Computer Science, Data Science, Engineering.
* 5 or more years of industry experience in a Software Engineering field, Machine Learning, Data Science, Finance Engineering
* Proficient in building services with modern OOP languages, C\# is essential.
* A fundamental understanding of data structures and algorithms.
* Proficient in working with GitOps Patterns
* Experience working with CI/CD pipeline tooling (BuildKite and GitHub Actions knowledge is beneficial).
* Experience working with cloud\-based infrastructure and technologies.
* Knowledge of AWS with API gateway/workflow orchestration/lambda/serverless applications.
* Knowledge of infrastructure as code is nice to have, notably Terraform and Helm.
* Experience interacting and designing relational databases.
* Experience with streaming technologies (Kafka is nice to have).
* Ability to document code, research, and designs clearly (Jira and Confluence experience nice to have).
* Proficiency in translating requirements into design and developing applications.
* Understanding of containers (e.g. Docker), and orchestration (Kubernetes).
* Demonstrated abilities driving operational excellence and on call support.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$149,000 \- $195,300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6">
      <c r="A16" t="inlineStr">
        <is>
          <t>li-4382368945</t>
        </is>
      </c>
      <c r="B16" t="inlineStr">
        <is>
          <t>Sr. Software Engineer</t>
        </is>
      </c>
      <c r="C16" t="inlineStr">
        <is>
          <t>Disney Experiences</t>
        </is>
      </c>
      <c r="D16" t="inlineStr">
        <is>
          <t>linkedin</t>
        </is>
      </c>
      <c r="E16" t="inlineStr"/>
      <c r="F16" t="inlineStr"/>
      <c r="G16" t="inlineStr">
        <is>
          <t>Celebration, FL</t>
        </is>
      </c>
      <c r="H16" t="inlineStr"/>
      <c r="I16" t="inlineStr">
        <is>
          <t>At Disney Experiences Technology (DXT), our team creates world\-class immersive digital experiences for the Company’s premier vacation brands including Disney’s Parks \&amp; Resorts worldwide, Disney Cruise Line, Aulani, A Disney Resort \&amp; Spa, and Disney Vacation Club.
 We are responsible for the end\-to\-end digital and physical Guest experience for all technology \&amp; digital\-led initiatives across the Attractions \&amp; Entertainment, Food \&amp; Beverage, Resorts \&amp; Transportation and Merchandise lines of business as well as other initiatives including MyDisneyExperience and Hey, Disney!
 This role sits in the Disney Vacation Club (DVC) organization within Technology \&amp; Digital for Disney Experiences. It works closely with DVC Business, along with Sales \&amp; Marketing, and Member Services Technology groups across the company.
 The Sr. Software Engineer will report to the Manager, Software Engineering.
 The Sr. Software Engineer is expected to play a critical role in:
* Contributing to the design and implementation of custom applications and integrations, cloud services, and application components.
* Taking ownership of development tasks and lead smaller project components from planning through implementation.
* Communicating effectively with technical and business stakeholders, ensuring clarity and professionalism in discussions.
* Collaborating with on\-shore and off\-shore development teams, clients, and technical groups to deliver project objectives.
* Supporting team members in delivering technology solutions that meet business needs and follow best engineering practices.
* Participating in regular code reviews and help maintain coding standards.
* Providing input on technical direction and help assess the quality of deliverables.
* Working closely with technical leaders to align on delivery approaches and manage dependencies.
* Participating in the design and enhancement of software features and platform improvements.
* Working independently to deliver assigned tasks within agreed timelines.
* Practicing agile development in a collaborative, dynamic team environment.
* Adapting quickly to changing business needs and new technologies.
* Following programming and style guidelines to ensure high\-quality, secure code.
* Creating and maintaining documentation, procedures, and work instructions as needed.
* Demonstrating creativity in evaluating business needs and suggesting technical solutions.
**What You’ll Do**
* May lead small projects encompassing analysis, design, programming, debugging, and modification of software enhancements and/or new products used in local, networked, cloud\-based, or Internet\-related computer programs
* Responsible for performing testing and debugging of applications
* Code may be used in commercial and end\-user applications or focus on software and tools supporting infrastructure and technology platforms
* Code at the component level
* Work typically involves large or highly sophisticated software programs and systems
* Possess a proven understanding of current programming language and technologies, with strong skills in writing code and completing programming tasks
* Interact with users to define system requirements and/or necessary modifications
* Conceive, design, develop, test, and implement software components, fixes, improvements, and/or new systems and applications
* Design and develop highly scalable software systems and applications
* You will be expected to stay up to date and leverage emerging technologies such as Generative AI/helper tools like Github Copilot
**Required Qualifications**
* Minimum 5 years of related work experience
* Comfortable working in an Agile environment
* Advanced level knowledge in Java, Angular, Node.js stack, with a proactive demeanor towards continuous learning and skill development, and an interest in mastering emerging data engineering tools and methodologies
* Advanced level knowledge of microservices, RESTful Web Services or APIs.
* Proficiency in object\-oriented programming with an understanding of design principles
* Proficiency in design, development, and implementation of highly scalable, high\-volume software systems and components and major SaaS solutions
* Experience with event driven architecture, including technologies such as Pub\-Sub, Kafka, and similar solutions
* Strong knowledge of unit testing, behavioral testing and continuous integration
* Monitoring tools such as Splunk, AppDynamics, and New Relic
* Software Performance Optimization (memory, CPU, scaling, etc.)
**Preferred Qualifications**
* Experience in developing cloud\-based solutions using managed and serverless technologies as appropriate such as Docker, AWS ECS, Google GKE, AWS Lambda, Google Cloud Functions, AWS DynamoDB, or Google Firestore
* Experience with JavaScript frameworks (Angular and Node.js)
* Experience in Timeshare industry is a plus
* Database Design Experience including both relational and NoSQL such as DynamoDB
* Experience with QA and software analytic tools is a plus
**Required Education**
* Bachelor's or foreign equivalent Degree in Computer Science, Information Systems, Software, Electrical or Electronics Engineering, or comparable field of study, and/or equivalent work experience
 \#DISNEYTECH</t>
        </is>
      </c>
    </row>
    <row r="17">
      <c r="A17" t="inlineStr">
        <is>
          <t>li-4372796885</t>
        </is>
      </c>
      <c r="B17" t="inlineStr">
        <is>
          <t>Software Engineer, Platform</t>
        </is>
      </c>
      <c r="C17" t="inlineStr">
        <is>
          <t>Scale AI</t>
        </is>
      </c>
      <c r="D17" t="inlineStr">
        <is>
          <t>linkedin</t>
        </is>
      </c>
      <c r="E17" t="inlineStr"/>
      <c r="F17" t="inlineStr"/>
      <c r="G17" t="inlineStr"/>
      <c r="H17" t="inlineStr"/>
      <c r="I17" t="inlineStr">
        <is>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In this role, you will support the design and development of shared platforms used across Scale. This includes designing our foundational data platforms and lifecycle, architecting Scale’s core cloud infrastructure and orchestration stack, and redefining how engineers develop, build, test, and deploy software at Scale. You’ll also get widespread exposure to the forefront of the AI race as Scale sees it in enterprises, startups, governments, and large tech companies.
 You will:
* Drive the design, and implementation of our foundational platforms and systems, working closely with stakeholders and internal customers to understand and refine requirements.
* Collaborating with cross\-functional teams to define, design, and deliver new features.
* Proactively identifying opportunities for, and driving improvements to, current programming practices, including process enhancements and tool upgrades.
* Presenting technical information to teams and stakeholders, providing guidance and insight on development processes and technologies.
 Ideally you’d have:
* 3\+ years of full\-time engineering experience, post\-graduation with specialities in back\-end systems.
* Extensive experience in software development and a deep understanding of distributed systems and public cloud platforms (AWS preferred).
* Show a track record of independent ownership of successful engineering projects.
* Possess excellent communication and collaboration skills, and the ability to translate complex technical concepts to non\-technical stakeholders.
* Experience working fluently with standard containerization \&amp; deployment technologies like Kubernetes, Terraform, Docker, etc.
* Experience with orchestration platforms, such as Temporal and AWS Step Functions.
* Experience with NoSQL document databases (MongoDB) and structured databases (Postgres).
* Strong knowledge of software engineering best practices and CI/CD tooling (CircleCI).
 Nice to haves:
* Experience with data warehouses (Snowflake, Firebolt) and data pipeline/ETL tools (Dagster, dbt).
* Experience with authentication/authorization systems (Zanzibar, Authz, etc.)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$179,400—$224,250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8">
      <c r="A18" t="inlineStr">
        <is>
          <t>li-4365590067</t>
        </is>
      </c>
      <c r="B18" t="inlineStr">
        <is>
          <t>Software Engineer III, Payments</t>
        </is>
      </c>
      <c r="C18" t="inlineStr">
        <is>
          <t>Google</t>
        </is>
      </c>
      <c r="D18" t="inlineStr">
        <is>
          <t>linkedin</t>
        </is>
      </c>
      <c r="E18" t="inlineStr"/>
      <c r="F18" t="inlineStr"/>
      <c r="G18" t="inlineStr">
        <is>
          <t>Mountain View, CA</t>
        </is>
      </c>
      <c r="H18" t="inlineStr"/>
      <c r="I18"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
      <c r="A19" t="inlineStr">
        <is>
          <t>li-4379653340</t>
        </is>
      </c>
      <c r="B19" t="inlineStr">
        <is>
          <t>Software Engineer II</t>
        </is>
      </c>
      <c r="C19" t="inlineStr">
        <is>
          <t>The Walt Disney Company</t>
        </is>
      </c>
      <c r="D19" t="inlineStr">
        <is>
          <t>linkedin</t>
        </is>
      </c>
      <c r="E19" t="inlineStr"/>
      <c r="F19" t="inlineStr"/>
      <c r="G19" t="inlineStr">
        <is>
          <t>Glendale, CA</t>
        </is>
      </c>
      <c r="H19" t="inlineStr"/>
      <c r="I19"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The Audience Data and Measurement (ADM) team is part of Ad Platforms, with a mission to help advertisers reach the right audience and deliver personalized, optimized experiences tailored to customer needs and interests. Our ADM Platform offers a unified solution for audience data exchange and enrichment, Ads measurement, as well as high\-concurrency, low\-latency audience targeting services powered by advanced data technologies. This is a dynamic, cross\-domain team delivering end\-to\-end solutions across diverse technical areas, including machine learning, big data, microservices, and data visualization.
 As a Software Engineer II, you will use your Java, Scala, Python, scripting, DevOps, and data persistence skills to write and test code that delivers new features for our application portfolio. You will be an important part of a motivated team where we’ll be looking for you to collaborate with the team to contribute to application architecture, code quality, and make sure we are building the right things for our users. We want someone that has 4 or more years’ experience in designing and architecting highly scalable, secure, performant, and usable big data applications using Java, Scala and Python. The ideal candidate would possess solid skills in big data technology (Spark and Flink), while having expertise with orchestration and containerization platforms (Airflow, Docker and Kubernetes), coupled with hands on persistence and data streaming technology experience (Databricks, Snowflake, Redis, Kafka).
 While The Walt Disney Company is a large company, ideally, we’d like it if you have some previous experience in a startup environment and are comfortable performing multiple roles. We strive to get things done quickly, with high quality, and we are committed to the agile methodology. Our work is guided by lean principles (looking at value and looking for waste; not doing anything ‘for the sake of doing it’).
 We’re looking for a passionate, impactful, technical contributor who wants to come here to do their very best work and make their mark, add their chapter to the long and storied history of The Walt Disney Company. Someone who holds themselves and their teammates accountable in a professional, collaborative manner. A collaborative technologist who seeks to bring the best out in themselves and those around them. Someone who can provide a fresh perspective and innovative insight to our initiatives.
**Responsibilities And Duties Of The Role**
* Build components of large\-scale data platform for real\-time and batch processing, and own features of big data applications to fit evolving business needs
* Build next\-gen cloud based big data infrastructure for batch and streaming data applications, and continuously improve performance, scalability and availability
* Contribute to the best engineering practices, including the use of design patterns, CI/CD, code review and automated test
* Chip in ground\-breaking innovation and apply the state\-of\-the\-art technologies
* As a key member of the team, contribute to all aspects of the software lifecycle: design, experimentation, implementation and testing
* Collaborate with team to develop software architectures which are robust, fault\-tolerant, and cloud\-native
* Possess AWS managed service solution design and implementation experience
* Reason logically and creatively, identifying problems, drawing valid conclusions from the data available, and develop effective solutions while applying creative thinking in the design and development of high performing data applications
* Collaborate with fellow engineers to keep the team’s technology radar and architecture principles aligned to the industry and needs of our users
* Deliver multiple projects utilizing an Agile methodology
* Take a high ownership, self\-sufficient, hands\-on position on the team to collaborate and drive quality, maintain application stability
* Write complex programs, analyze code changes and suggest improvements
* Check\-in valuable, clean code on a daily basis that adds new features and capabilities
* Investigate and resolve any production issues from end user to persistence layer and work to prevent them
* Work with leads, product managers and managers to ensure that all project deliverables are on time and high quality
* Work collaboratively with other service teams
**Required Education, Experience/Skills/Training**
 Basic Qualifications
* Hold a Bachelor’s degree in Computer Science, Computer Information Systems, Engineering, or another technical field
* Have 3\+ years of experience in big data application development in a large enterprise environment using Java, Scala, Python, including familiarity with modern frameworks and platforms (e.g., Spark, Flink, Singlestore, Kafka, Nifi and AWS big data technologies)
* Be able to demonstrate experience working with relational databases, SQL and newer NoSQL data stores as well as event streaming platforms
* Demonstrated ability with cloud infrastructure technologies, including Terraform, K8S, Spinnaker, IAM, ALB, etc.
* Have a strong interest in open source technology
* Knowledge of building highly available and scalable services
* Passion about technologies and openness to interdisciplinary work
* Possess good communication skills and enjoy helping others to succeed as a team
* Care about your craft and have opinions about the “right” way to do things with technology
**Preferred Qualifications**
* Master's degree in Computer Science, Software Engineering or related technical discipline is desirable
* Previous work experience in advertising industry\-based applications
* Experience with Databricks, Snowflake, Presto, Kinesis
* Experience working with vendor teams to deliver high quality results
* Knowledge of performance testing and application profiling
* Strong curiosity about how Disney delivers the Magic and a desire to be a part of it
 \#DISNEYTECH
 The hiring range for this position in Glendale, California is $117,500 to $157,500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0">
      <c r="A20" t="inlineStr">
        <is>
          <t>li-4372797944</t>
        </is>
      </c>
      <c r="B20" t="inlineStr">
        <is>
          <t>Software Engineer, Platform</t>
        </is>
      </c>
      <c r="C20" t="inlineStr">
        <is>
          <t>Scale AI</t>
        </is>
      </c>
      <c r="D20" t="inlineStr">
        <is>
          <t>linkedin</t>
        </is>
      </c>
      <c r="E20" t="inlineStr"/>
      <c r="F20" t="inlineStr"/>
      <c r="G20" t="inlineStr"/>
      <c r="H20" t="inlineStr"/>
      <c r="I20" t="inlineStr">
        <is>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In this role, you will support the design and development of shared platforms used across Scale. This includes designing our foundational data platforms and lifecycle, architecting Scale’s core cloud infrastructure and orchestration stack, and redefining how engineers develop, build, test, and deploy software at Scale. You’ll also get widespread exposure to the forefront of the AI race as Scale sees it in enterprises, startups, governments, and large tech companies.
 You will:
* Drive the design, and implementation of our foundational platforms and systems, working closely with stakeholders and internal customers to understand and refine requirements.
* Collaborating with cross\-functional teams to define, design, and deliver new features.
* Proactively identifying opportunities for, and driving improvements to, current programming practices, including process enhancements and tool upgrades.
* Presenting technical information to teams and stakeholders, providing guidance and insight on development processes and technologies.
 Ideally you’d have:
* 3\+ years of full\-time engineering experience, post\-graduation with specialities in back\-end systems.
* Extensive experience in software development and a deep understanding of distributed systems and public cloud platforms (AWS preferred).
* Show a track record of independent ownership of successful engineering projects.
* Possess excellent communication and collaboration skills, and the ability to translate complex technical concepts to non\-technical stakeholders.
* Experience working fluently with standard containerization \&amp; deployment technologies like Kubernetes, Terraform, Docker, etc.
* Experience with orchestration platforms, such as Temporal and AWS Step Functions.
* Experience with NoSQL document databases (MongoDB) and structured databases (Postgres).
* Strong knowledge of software engineering best practices and CI/CD tooling (CircleCI).
 Nice to haves:
* Experience with data warehouses (Snowflake, Firebolt) and data pipeline/ETL tools (Dagster, dbt).
* Experience with authentication/authorization systems (Zanzibar, Authz, etc.)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$179,400—$224,250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1">
      <c r="A21" t="inlineStr">
        <is>
          <t>li-4363387375</t>
        </is>
      </c>
      <c r="B21" t="inlineStr">
        <is>
          <t>Software Engineer</t>
        </is>
      </c>
      <c r="C21" t="inlineStr">
        <is>
          <t>Pariveda</t>
        </is>
      </c>
      <c r="D21" t="inlineStr">
        <is>
          <t>linkedin</t>
        </is>
      </c>
      <c r="E21" t="inlineStr"/>
      <c r="F21" t="inlineStr"/>
      <c r="G21" t="inlineStr">
        <is>
          <t>San Francisco, CA</t>
        </is>
      </c>
      <c r="H21" t="inlineStr"/>
      <c r="I21" t="inlineStr">
        <is>
          <t>Pariveda is a North American\-based, employee\-owned professional services firm. We provide strategy and technology services across industries. As a mission\-driven organization and Certified B Corp, we enable our clients to imagine and do more, whether it’s making next quarter’s goals or navigating the future. From ideas to impact, we help clients get better at what they do to improve people and profits. Learn more about our mission and culture as well as our recruitment process and interview prep.
 Pariveda is not your average professional services firm. Looking to join a team in San Francisco where you will be challenged and encouraged to grow your career in a supportive, purpose\-driven environment?
 Explore a career with Pariveda, an employee\-owned professional services firm that provides strategy and technology services—from idea to impact. We have been named by Glassdoor as a Best Place to Work seven times since 2017 and are currently looking for motivated individuals who are passionate about using technology to solve problems and help others succeed.
 To learn more about our culture and what you can expect at Pariveda, review our Findamentals – the behaviors that show who we are.
**You Can Expect To**
 As a Pariveda Consultant, you will work in small teams, collaborating with other Pariveda employees while partnering with clients to solve real business challenges in an agile, people\-first way.
* Grow your career with the support of a dedicated mentor and a clearly defined career path. You will be reviewed every 6 months and eligible for promotion every 12 months.
* Try new things to develop yourself as a leader. Learn to estimate, gather requirements, develop, test, manage projects, architect and deliver. We do it all!
* Explore different technologies and develop applications in languages including: Java, .NET, Python, JavaScript, and SQL, Web technologies like React, Redux, Angular, Vue, Mobile technologies including iOS and Android, Cloud technologies like AWS, Azure, Google Cloud, and Data Driven solutions, IoT, Machine Learning, DevOps, and more.
* Utilize AI strategically to enhance client solutions, incorporating AI tools to streamline development, uncover insights, and accelerate delivery while clearly communicating the value, limitations, and ethical use of AI to clients and stakeholders.
* Sharpen your professional communication skills. Create and present findings, solutions, and demos to audiences including senior executives and stakeholders.
* Work within a hybrid model
* Actively engage in our culture of continuous learning, community service, social gatherings, and personal and professional development.
* Work with smart, humble, and supportive people.
**We Look For**
* Passionate technologists with at least 6\+ months of full\-time software development experience
* Lifelong learners for a passion for technology
* Skilled problem solvers with the desire and proven ability to create innovative solutions
* Flexible and adaptable attitude\- Client, teams and technologies will change with each new challenge
* Future technology leaders\- Dynamic individuals energized by fast paced personal and professional growth
* Professional communicators who can explain and present concepts to technical and non\-technical audiences alike
* Bachelor’s Degree in MIS, Computer Science, Math, Engineering or comparable experience
* Legally authorized to work for any company in the United States without sponsorship
**Pariveda Benefits**
* Transparent and Equitable Salary.
* Comprehensive medical, dental, and vision insurance for you and your family
* Employer Health Savings Account (HSA) contribution
* 2% 401(k), vested immediately
* Company ownership through Employee Stock Ownership Plan (ESOP)
* Plenty of Paid Time Off – 4 weeks of vacation time, 10 holidays, 1 floating holiday
* Paid sabbatical after 5 years of service for Principals and above
* Paid parental leave \&amp; breast milk shipping costs reimbursed for work travel
* Employee Assistance Program (EAP), health concierge, and financial wellness tool
* Company paid cell phone plan and device stipend
* Life insurance
* Short\-Term and Long\-Term Disability
 Pariveda Solutions aspires that our employee diversity is representative of the markets in which we serve. Employment decisions are based solely on merit and business needs and not on race, color, religion, sex, sexual orientation, gender, gender identity, gender expression, pregnancy, marital status, national origin, citizenship status (if authorized to work in the country where the job is located), uniform service member, military or veteran status, ancestry, age (over 40\), physical or mental disability including HIV or AIDS, medical condition, genetic information, political affiliation, or any other category protected by applicable federal, provincial, or local law.
 Our commitment to a welcoming, inclusive environment means we embrace applicants from all backgrounds. If you feel you may need an accommodation at any stage of our interview process due to a disability, please contact the Human Resources team at careandsupport@parivedasolutions.com or \+1 844\-325\-2729, select option 3 and then option 1 Human Resources.
 Compensation Range: $91\.8K \- $101K</t>
        </is>
      </c>
    </row>
    <row r="22">
      <c r="A22" t="inlineStr">
        <is>
          <t>li-4372028534</t>
        </is>
      </c>
      <c r="B22" t="inlineStr">
        <is>
          <t>Software Developer (Front-End)</t>
        </is>
      </c>
      <c r="C22" t="inlineStr">
        <is>
          <t>Bandwidth Inc.</t>
        </is>
      </c>
      <c r="D22" t="inlineStr">
        <is>
          <t>linkedin</t>
        </is>
      </c>
      <c r="E22" t="inlineStr"/>
      <c r="F22" t="inlineStr"/>
      <c r="G22" t="inlineStr">
        <is>
          <t>Raleigh, NC</t>
        </is>
      </c>
      <c r="H22" t="inlineStr"/>
      <c r="I22"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As a member of our
 **Front\-End** 
 team, you’ll get to help design and build our UI used across the globe by our customers. You’ll be responsible for making sure our front\-end is great looking and easy to use. We’re looking for people who get excited about making great experiences for our customers.
**What You'll Do:** 
* Build and maintain Bandwidth’s front\-end / UI used by our customers
* Help drive decisions around front\-end design and architecture
* Drive awareness of front\-end technologies and best practices
* Play a critical role in making Bandwidth a great place for other engineers
**What You Need:** 
* 2\-3 years experience building scalable web applications using modern Javascript frameworks (React, Vue, Angular)
* Proficiency with Javascript (ES6\) and Typescript
* Familiarity with React Hooks and creating custom hooks
* Ability to debug and optimize web applications using Chrome developer tools
* Comfortable with writing testable code via frameworks such as Jest, Cypress or React Testing Library
* Bachelor’s degree or equivalent experience
* A results driven approach
**Bonus Points:** 
* You have experience with Micro Front\-Ends (MFEs) and the challenges and pitfalls related to them.
* You’re comfortable working in AWS and deploying applications to AWS (S3 \+ Cloudfront)
* You’re familiar with GitHub actions.
* Accessibility is important to you, and you know accessible best practices in semantic HTML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23">
      <c r="A23" t="inlineStr">
        <is>
          <t>li-4347881925</t>
        </is>
      </c>
      <c r="B23" t="inlineStr">
        <is>
          <t>Software Engineer, Generalist</t>
        </is>
      </c>
      <c r="C23" t="inlineStr">
        <is>
          <t>Stainless</t>
        </is>
      </c>
      <c r="D23" t="inlineStr">
        <is>
          <t>linkedin</t>
        </is>
      </c>
      <c r="E23" t="inlineStr"/>
      <c r="F23" t="inlineStr"/>
      <c r="G23" t="inlineStr">
        <is>
          <t>San Francisco, CA</t>
        </is>
      </c>
      <c r="H23" t="inlineStr"/>
      <c r="I23" t="inlineStr">
        <is>
          <t>**About Stainless**
 Stainless is a fast\-growing tech startup building the future of APIs. Our customers include industry leaders like OpenAI, Anthropic, and Cloudflare.
 We have raised over $35 million from a16z, Sequoia, and founders/C\-levels from Stripe, Datadog, Segment, Linear, and more.
 We are headquartered in NYC, just west of SoHo, and are a team of \~60 strong expecting to double in the next \~9 to 12 months.
****Role****
 Joining as a generalist engineer, you’ll have a focus area, but we’ll all be pitching in on every aspect of the company and acting with a high degree of ownership in a collegial, humble atmosphere.
 You'll build the core systems that form the foundation of the company for years, both scrappily getting things done wherever help is needed and thinking deeply on foundational architecture.
****Who you are****
* Experience level to build anything you can imagine, with great design and sound architecture.
* Built and/or maintained a popular open\-source project.
+ Alternatively, maintained internal abstractions used across an engineering org.
* Experience consuming APIs you didn’t control, produced APIs you didn’t consume, and been the sole consumer of an API you built and could iterate on.
* Location: onsite in our physical office location in Manhattan, New York.
* Experience both designing and stewarding APIs at scale, whether internal or external.
* Ability to build great abstractions that stand the test of time when used by other engineers of varying skill levels, beginner to formidable.
* A true passion for developer experience and empathy for developers from all backgrounds (junior, non\-traditional etc).
* Quick learner, self\-motivated, and able to execute quickly whilst maintaining high quality.
* Great product sense.
* Programming languages:
+ Expertise with TypeScript, our language of choice.
+ Broad polyglot interest/experience – comfort working across multiple programming languages.
* Bonus points:
+ Have used GraphQL and appreciate its benefits and drawbacks.
+ Experience / interest working with ASTs (eg, lint rules, rich codemods, compilers, etc).
+ Experience and/or interest in writing blogs, speaking at conferences and engaging with developer communities.
**Benefits**
* We offer competitive salary and generous equity grants.
* Great healthcare coverage options (e.g., fully covered platinum plans).
* Paid commuter benefits \&amp; similar.
* Paid team lunch/meals during workdays.
* Flexible PTO plus 3 weeks of company\-wide vacation a year (2 weeks in December, 1 week at the end of the summer).
* Flexible WFH and 1 month fully remote per year ("remote February").
 Compensation Range: $150K \- $260K</t>
        </is>
      </c>
    </row>
    <row r="24">
      <c r="A24" t="inlineStr">
        <is>
          <t>li-4371790036</t>
        </is>
      </c>
      <c r="B24" t="inlineStr">
        <is>
          <t>Sr. Software Developer (Messaging)</t>
        </is>
      </c>
      <c r="C24" t="inlineStr">
        <is>
          <t>Bandwidth Inc.</t>
        </is>
      </c>
      <c r="D24" t="inlineStr">
        <is>
          <t>linkedin</t>
        </is>
      </c>
      <c r="E24" t="inlineStr"/>
      <c r="F24" t="inlineStr"/>
      <c r="G24" t="inlineStr">
        <is>
          <t>Raleigh, NC</t>
        </is>
      </c>
      <c r="H24" t="inlineStr"/>
      <c r="I24"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Let’s face it… People read text messages, more than any other medium, which is why we are the fastest growing segment in Bandwidth. We’re looking for a
 **Senior Software Developer** 
 who will lead by example, move fast, dive deep, is not afraid of failure and proud of the code you deliver to deploy highly scalable, cloud based applications that allow customers to provision, send, receive, and track billions of messages.
**What You'll Do:** 
* Own (along with the rest of the development team) your services, from design to testing to operations and monitoring in production.
* Identify and solve scaling problems through application development and infrastructure optimizations.
* Improve system uptime by developing and deploying applications into redundant architectures.
* Look critically at what we’re building and how we’re building it, and you’ll originate ideas and activities that advance our craft.
* Work closely with product managers and business stakeholders to create solutions that deliver the power to communicate.
**What You Need:** 
 You are the right candidate if…
* You have a broad knowledge of architectural design patterns and professional experience knowing when and how best to apply them.
* You embrace a continuous learning mindset and have a proven history of leading by example through your design, your coding, and your mentoring of other developers.
* You enjoy writing code alongside a team of talented developers with experience in distributed cloud\-based microservices and full stack systems in an iterative, MVP\-first environment.
* You are consistently innovating while actively reducing the complexity and increasing scalability and security across the software you develop.
* You enjoy having your head in the Cloud (particularly the AWS Cloud).
* You enjoy having a mission\-focus, solving complex problems at scale, and working closely with stakeholders to continually improve the customer experience and platform reliability.
**Bonus Points:** 
 It would also be really great if...
* You have expertise in Java and Spring.
* You have experience with AWS (ECS, API Gateway, S3, SQS), Messaging Brokers (Kafka, ActiveMQ) and Kubernetes.
* You have experience with relational and non\-relational database systems.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25">
      <c r="A25" t="inlineStr">
        <is>
          <t>li-4321351170</t>
        </is>
      </c>
      <c r="B25" t="inlineStr">
        <is>
          <t>Software Engineer - Acceleration</t>
        </is>
      </c>
      <c r="C25" t="inlineStr">
        <is>
          <t>Perplexity</t>
        </is>
      </c>
      <c r="D25" t="inlineStr">
        <is>
          <t>linkedin</t>
        </is>
      </c>
      <c r="E25" t="inlineStr"/>
      <c r="F25" t="inlineStr"/>
      <c r="G25" t="inlineStr">
        <is>
          <t>New York, NY</t>
        </is>
      </c>
      <c r="H25" t="inlineStr"/>
      <c r="I25" t="inlineStr">
        <is>
          <t>Perplexity is seeking creative, AI\-pilled engineers to join our Acceleration team. Our company is reshaping the way people navigate the internet and the wider world. The Acceleration team's mandate is to continually uplevel the way our company and our teams operate, to deliver order\-of\-magnitude improvements in product and user experience.
 Just as Perplexity is heralding an agentic future for the internet, you will ensure that our company makes the best use of AI tools and agents to multiply the leverage of our lean, mission\-focused teams. Today, Perplexity uses AI tools across everything we do, from frontend and backend engineering to applied AI research and business operations. Tomorrow’s AI technology will be even more capable, and the Acceleration team will lead both software and process engineering to harness AI so that the company can deliver at maximum velocity.
 The ideal candidate will possess sound technical judgment forged in the trenches of internet\-scale companies, paired with voracious use of today’s most advanced AI tools/models and a capacious imagination to rethink how work gets done in the leading companies of tomorrow. They should thrive in a hybrid role that marries facets of AI product development, infrastructure/platform engineering, developer experience, and more.
**Responsibilities**
* Identify, prioritize, and execute on the highest\-potential opportunities to accelerate Perplexity’s delivery cadence with frontier AI capabilities.
* Develop empathy for the nuances of our technical and business teams’ work across disciplines and verticals, toward collaborating with them to harness AI in new ways.
* Make our codebases, systems, and knowledge stores legible to AI.
* Help the company triangulate toward the optimal point on the quality\-velocity Pareto frontier, while shifting that frontier outward with AI tools and agents.
* Keep abreast of new AI tools/models and make maximally effective use of them in your own work, setting an example across the company and inspiring others to do the same.
* Help the company make high\-conviction bets on specific technologies in situations where indecision is a comfortable and tempting default.
* Work with engineering leadership, recruiting, and others to ensure we instill an AI\-forward culture and select for those who will thrive in such an environment.
* Note: this is an extremely technical and hands\-on role. Strong vision and creativity is necessary but not sufficient for success. You will be expected to build both prototypes and production systems, as well as to reengineer our codebases, infrastructure, processes, and anything else that must evolve to realize this vision.
**Qualifications**
* 4 to 20\+ years of industry experience, ideally with a substantial portion focused on infrastructure/platform engineering or developer acceleration in environments featuring significant technical complexity.
* Daily use of AI models/tools, along with strong intuition on their jagged frontiers.
* Proficiency with Python, along with experience and/or desire to learn more about Rust, TypeScript, Go, and other languages.
* Strong understanding of (and empathy for) the work of technical staff across disciplines, along with an enthusiasm to learn about the work of business and operations teams.
* Broad working knowledge of the typical stacks used by AI product \&amp; applied research companies. (For example: you don’t need to have experience hand\-rolling CUDA kernels, but you should know what CUDA is and when/where/why it’s used.)
* An obsession with improving the legibility of (and reducing brittleness in) both software and human\-orchestrated processes.
* Experience navigating tricky exploration\-exploitation tradeoffs, balancing the need to ship today with the need to build capacity for tomorrow.
 Compensation Range: $250K \- $405K</t>
        </is>
      </c>
    </row>
    <row r="26">
      <c r="A26" t="inlineStr">
        <is>
          <t>li-4341895001</t>
        </is>
      </c>
      <c r="B26" t="inlineStr">
        <is>
          <t>Software Engineer, Integrity Foundations</t>
        </is>
      </c>
      <c r="C26" t="inlineStr">
        <is>
          <t>OpenAI</t>
        </is>
      </c>
      <c r="D26" t="inlineStr">
        <is>
          <t>linkedin</t>
        </is>
      </c>
      <c r="E26" t="inlineStr"/>
      <c r="F26" t="inlineStr"/>
      <c r="G26" t="inlineStr">
        <is>
          <t>San Francisco, CA</t>
        </is>
      </c>
      <c r="H26" t="inlineStr"/>
      <c r="I26" t="inlineStr">
        <is>
          <t>**About The Team**
 The Applied Foundations team at OpenAI is dedicated to ensuring that our cutting\-edge technology is not only revolutionary but also secure from a myriad of adversarial threats. We strive to maintain the integrity of our platforms as they scale.
 The Applied Foundations team is at the front lines of defending against financial abuse, scaled attacks, and other forms of misuse that could undermine the user experience or harm our operational stability. Integrity Foundations provides the core building blocks and infrastructure for this work.
**About The Role**
 At OpenAI, our mission is to advance AI in a way that is safe, reliable, and aligned with broad societal values. The applied foundations role is crucial for maintaining the trustworthiness of our platforms. You will be pivotal in developing robust defenses against a spectrum of adversarial behaviors that threaten our ecosystem.
 In this role, you'll work with our entire engineering team to design and implement systems that detect and prevent abuse, promote user safety, and reduce risk across our platform. You'll be at the forefront of our efforts to ensure that the immense potential of AI is harnessed in a responsible and sustainable manner.
**In This Role, You Will**
* Develop and enhance systems to detect and prevent various forms of abuse including financial fraud, botting, and scripting.
* Collaborate with cross\-functional teams to design solutions that protect against and mitigate adversarial attacks without compromising user experience.
* Assist with response to active incidents on the platform and build new tooling and infrastructure that address the fundamental problems.
**You Might Thrive In This Role If You**
* Have at least 3 years of professional software engineering experience.
* Have experience setting up and maintaining production backend services and data pipelines.
* Have a humble attitude, an eagerness to help your colleagues, and a desire to do whatever it takes to make the team succeed.
* Are self\-directed and enjoy figuring out the best way to solve a particular problem
* Own problems end\-to\-end, and are willing to pick up whatever knowledge you're missing to get the job done.
* Care about AI Safety in production environments and have the expertise to build software systems that defend against abuse.
* Build tools to accelerate your own workflows, but only when off\-the\-shelf solutions would not do.
**Our tech stack**
* Our infrastructure is built on Terraform, Kubernetes, Azure, Python, Postgres, and Kafka. While we value experience with these technologies, we are primarily looking for engineers with strong technical skills and the ability to quickly pick up new tools and frameworks.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27">
      <c r="A27" t="inlineStr">
        <is>
          <t>li-4376217387</t>
        </is>
      </c>
      <c r="B27" t="inlineStr">
        <is>
          <t>Java/Javascript Software Engineer</t>
        </is>
      </c>
      <c r="C27" t="inlineStr">
        <is>
          <t>BeaconFire Inc.</t>
        </is>
      </c>
      <c r="D27" t="inlineStr">
        <is>
          <t>linkedin</t>
        </is>
      </c>
      <c r="E27" t="inlineStr"/>
      <c r="F27" t="inlineStr"/>
      <c r="G27" t="inlineStr">
        <is>
          <t>North Carolina, United States</t>
        </is>
      </c>
      <c r="H27" t="inlineStr"/>
      <c r="I27"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8">
      <c r="A28" t="inlineStr">
        <is>
          <t>li-4372062697</t>
        </is>
      </c>
      <c r="B28" t="inlineStr">
        <is>
          <t>Full Stack Software Engineer</t>
        </is>
      </c>
      <c r="C28" t="inlineStr">
        <is>
          <t>Crossing Hurdles</t>
        </is>
      </c>
      <c r="D28" t="inlineStr">
        <is>
          <t>linkedin</t>
        </is>
      </c>
      <c r="E28" t="inlineStr"/>
      <c r="F28" t="inlineStr"/>
      <c r="G28" t="inlineStr">
        <is>
          <t>San Francisco, CA</t>
        </is>
      </c>
      <c r="H28" t="inlineStr"/>
      <c r="I28" t="inlineStr">
        <is>
          <t>**Crossing Hurdles** 
 is a global recruitment firm partnering with an AI\-first recruiting platform building a real\-time AI interviewer.
**Role Snapshot** 
**Role:** 
 Full\-Stack Software Engineer
**YOE:** 
 5 \- 8 years of experience of full stack engineering experience (senior\+ level)
**Location:** 
 San Francisco \| Onsite (5 days a week)
**Compensation:** 
 $150K \- $250K
**About The Company** 
 Alex, an AI\-first recruiting platform building a real\-time AI interviewer that helps companies dramatically improve hiring signal and speed. They conduct live, adaptive interviews over video and phone calls, asking personalized follow\-ups in real time and helping employers evaluate candidates more accurately at scale.
**Why You Should Consider** 
* Build a real\-time AI interviewer used in production
* Solve hard, real engineering problems
* High ownership and founder\-level exposure
* Direct impact on people’s careers</t>
        </is>
      </c>
    </row>
    <row r="29">
      <c r="A29" t="inlineStr">
        <is>
          <t>li-4382364938</t>
        </is>
      </c>
      <c r="B29" t="inlineStr">
        <is>
          <t>Backend Software Engineer</t>
        </is>
      </c>
      <c r="C29" t="inlineStr">
        <is>
          <t>Wiraa</t>
        </is>
      </c>
      <c r="D29" t="inlineStr">
        <is>
          <t>linkedin</t>
        </is>
      </c>
      <c r="E29" t="inlineStr"/>
      <c r="F29" t="inlineStr"/>
      <c r="G29" t="inlineStr"/>
      <c r="H29" t="inlineStr"/>
      <c r="I29" t="inlineStr">
        <is>
          <t>**About The Company**
 Bright Vision Technologies is a forward\-thinking software development company dedicated to building innovative solutions that help businesses automate and optimize their operations. We leverage cutting\-edge technologies to create scalable, secure, and high\-performance backend systems. Our commitment to excellence and innovation has established us as a trusted partner for organizations seeking to transform their business processes through technology. As we continue to grow, we are focused on fostering a dynamic and inclusive work environment that encourages professional development and collaboration. Our team is composed of talented professionals who are passionate about delivering high\-quality solutions that meet our clients' evolving needs. We believe in leveraging the latest advancements in technology to drive efficiency, security, and scalability for our clients across various industries.
**About The Role**
 We are seeking a skilled Backend Software Engineer/Developer to join our team in a full\-time capacity. This role offers an exciting opportunity to work on innovative projects utilizing a broad spectrum of technologies including Java, Python, Spring Boot, Django, Flask, and more. The ideal candidate will have a strong background in developing scalable, secure, and high\-performance backend systems within a microservices architecture. This position is based in Bridgewater, New Jersey, with options for remote or hybrid work arrangements. The role involves designing, developing, and maintaining backend services, ensuring seamless integration with front\-end applications, and optimizing system performance. As part of our team, you will be instrumental in delivering solutions that enhance operational efficiency for our clients. We are particularly interested in candidates who are eligible for H1B sponsorship in 2027 and are currently on OPT, CPT, H4 EAD, TN, E3, or other non\-immigrant visas, seeking sponsorship for the upcoming H1B quota.
**Qualifications**
* Bachelor’s degree in Computer Science, Software Engineering, or related field
* Minimum of 3 to 5 years of real\-time experience in backend development
* Proficiency in Java and Python programming languages
* Experience with Spring Boot, Django, and Flask frameworks
* Strong understanding of RESTful API design and JSON data interchange
* Hands\-on experience with microservices architecture
* Database expertise in SQL (PostgreSQL, MySQL) and NoSQL (MongoDB)
* Knowledge of message brokers and streaming platforms such as Kafka and Redis
* Experience with containerization and orchestration tools like Docker and Kubernetes
* Familiarity with cloud platforms such as AWS or Azure
* Version control experience using Git
* Understanding of CI/CD pipelines and automation
* Proficiency in Linux environment and command\-line tools
* Experience with Agile methodologies and team collaboration
* Ability to perform unit testing using JUnit, PyTest, or similar frameworks
* Excellent problem\-solving skills and attention to detail
* Strong communication skills and ability to work in a team environment
**Responsibilities**
* Design, develop, and maintain scalable backend systems and microservices
* Create and optimize RESTful APIs to facilitate seamless integration with frontend and other services
* Implement security best practices to safeguard data and system integrity
* Collaborate with cross\-functional teams to gather requirements and translate them into technical solutions
* Participate in code reviews, debugging, and performance tuning to ensure high\-quality deliverables
* Maintain and improve existing backend infrastructure, ensuring reliability and scalability
* Develop and execute unit tests to ensure code quality and functionality
* Document technical specifications and system architecture for future reference
* Stay updated with the latest industry trends and incorporate best practices into development processes
* Support deployment and troubleshooting in cloud environments such as AWS or Azure
**Benefits**
* Competitive salary and comprehensive benefits package
* Opportunities for professional growth and career advancement
* Flexible work arrangements including remote and hybrid options
* Supportive and inclusive work environment
* Access to cutting\-edge technologies and training resources
* Paid time off and holidays
* Health, dental, and vision insurance plans
* Retirement savings plans
 Equal Opportunity
 Bright Vision Technologies (BV Teck) is committed to providing equal employment opportunities to all employees and applicants without regard to race, color, religion, sex, sexual orientation, gender identity or expression, national origin, age, genetic information, disability, veteran status, or any other protected status as defined by applicable federal, state, or local laws. We prohibit workplace harassment and discrimination and promote a diverse and inclusive environment. All employment decisions are based on merit, qualifications, and business needs. We encourage individuals from all backgrounds to apply and welcome accommodations during the recruitment process to ensure equitable participation.</t>
        </is>
      </c>
    </row>
    <row r="30">
      <c r="A30" t="inlineStr">
        <is>
          <t>li-4376216423</t>
        </is>
      </c>
      <c r="B30" t="inlineStr">
        <is>
          <t>Java/Javascript Software Engineer</t>
        </is>
      </c>
      <c r="C30" t="inlineStr">
        <is>
          <t>BeaconFire Inc.</t>
        </is>
      </c>
      <c r="D30" t="inlineStr">
        <is>
          <t>linkedin</t>
        </is>
      </c>
      <c r="E30" t="inlineStr"/>
      <c r="F30" t="inlineStr"/>
      <c r="G30" t="inlineStr">
        <is>
          <t>Florida, United States</t>
        </is>
      </c>
      <c r="H30" t="inlineStr"/>
      <c r="I30"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31">
      <c r="A31" t="inlineStr">
        <is>
          <t>li-4239977995</t>
        </is>
      </c>
      <c r="B31" t="inlineStr">
        <is>
          <t>Software Engineer, Distributed Systems</t>
        </is>
      </c>
      <c r="C31" t="inlineStr">
        <is>
          <t>Figma</t>
        </is>
      </c>
      <c r="D31" t="inlineStr">
        <is>
          <t>linkedin</t>
        </is>
      </c>
      <c r="E31" t="inlineStr"/>
      <c r="F31" t="inlineStr"/>
      <c r="G31" t="inlineStr">
        <is>
          <t>San Francisco, CA</t>
        </is>
      </c>
      <c r="H31" t="inlineStr"/>
      <c r="I3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At Figma, infrastructure is at the heart of everything we build. As a Software Engineer on our Infrastructure team, you’ll help design, build, and operate the systems that power our real\-time collaborative design tools used by millions of people worldwide. We’re scaling fast, and we’re looking for experienced distributed systems engineers across a variety of teams. Whether you’re passionate about storage, compute orchestration, developer tooling, networking, or real\-time data systems, this role offers an opportunity to shape the technical foundation of one of the most beloved design platforms in the world.
 This is a full time role that can be held from one of our US hubs or remotely in the United States.
**What You’ll Do at Figma:**
* Design, build, and maintain scalable and reliable infrastructure systems that support product innovation and user collaboration at scale.
* Architect and evolve distributed systems including storage platforms, streaming infrastructure, and compute orchestration.
* Improve developer experience by building internal platforms, CI/CD systems, build tools, and APIs.
* Collaborate across product and infrastructure teams to design secure, maintainable, and performant systems.
* Participate in shaping platform strategy, roadmaps, and engineering best practices across the organization.
* Debug and resolve complex production issues that span services and layers of the stack.
* Mentor engineers and foster a culture of collaboration, inclusivity, and technical excellence.
**We’d Love to Hear From You If You Have:**
* 5\+ years of Software Engineering experience, specifically in backend or infrastructure engineering..
* Deep understanding of distributed systems concepts such as sharding, replication, consistency, and eventual convergence.
* Experience with cloud\-native environments (AWS, GCP, or Azure), infrastructure\-as\-code, and container orchestration.
* Proficiency in languages such as Go, TypeScript, Python, Rust, or Ruby.
* Strong system design skills and a track record of architecting resilient production systems.
* Excellent communication skills, with experience collaborating across teams and mentoring others.
**While it’s not required, it’s an added plus if you also have:**
* Experience scaling storage platforms (e.g., Postgres, Redis, S3, DynamoDB) or operating streaming systems like Kafka.
* Background in traffic management, DDoS mitigation, or service mesh technologies (e.g., Envoy, Istio).
* A history of developing complex, realtime distributed systems at scale.
* A passion for building developer productivity tools, including development environments, CI/CD pipelines, and build systems.
* Experience with evolving large\-scale, shared developer platforms to improve reliability and developer velocity.
* Strong problem\-solving skills and a bias for action—especially when tackling high\-impact, gritty challenges.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32">
      <c r="A32" t="inlineStr">
        <is>
          <t>li-4382387051</t>
        </is>
      </c>
      <c r="B32" t="inlineStr">
        <is>
          <t>Software Developer (.NET, API)</t>
        </is>
      </c>
      <c r="C32" t="inlineStr">
        <is>
          <t>Wiraa</t>
        </is>
      </c>
      <c r="D32" t="inlineStr">
        <is>
          <t>linkedin</t>
        </is>
      </c>
      <c r="E32" t="inlineStr"/>
      <c r="F32" t="inlineStr"/>
      <c r="G32" t="inlineStr"/>
      <c r="H32" t="inlineStr"/>
      <c r="I32" t="inlineStr">
        <is>
          <t>**About The Company**
 Established in 1935, BECU is a member\-owned financial institution serving over 1\.5 million members with a managed asset portfolio exceeding $30 billion. Our core philosophy, "people helping people," underscores our commitment to prioritizing our members, communities, and employees above profits. With a rich history of fostering financial well\-being and community development, BECU has built a reputation for trust, innovation, and service excellence. As we look toward the future, we are undergoing significant business and technology transformations to better serve our members and stay at the forefront of the financial industry. Joining BECU means becoming part of a purpose\-driven organization dedicated to making a positive impact through innovative solutions and collaborative growth.
**About The Role**
 We are seeking a highly skilled Principal Software Developer (PSD) to lead the design, development, and implementation of cutting\-edge technology solutions that enhance the member experience and strengthen BECU’s market position. In this role, you will leverage your technical mastery, strategic insight, and leadership capabilities to architect scalable, reliable, and innovative systems. You will collaborate closely with business stakeholders, guide cross\-functional teams, and serve as a technical visionary to drive enterprise\-wide initiatives. This position offers an excellent opportunity to influence technological direction, mentor upcoming talent, and contribute to impactful projects that support millions of members. Whether working remotely or onsite, you will be an integral part of a dynamic team committed to continuous improvement and technological excellence.
**Qualifications**
* Bachelor’s degree in a technical or business discipline, or equivalent work/education experience
* Minimum of 10 years of IT experience with demonstrated expertise in application design
* Experience with financial products such as mortgages, loans, credit cards, and deposits
* Proficiency in managing source control models and organizational development practices
* Strong knowledge of Secure Development best practices
* Proven ability to learn and implement emerging technologies across the product lifecycle
* Experience designing and delivering REST APIs
* Expertise in .NET and C\# development
* Familiarity with open\-source technologies and libraries
* Hands\-on experience with Azure cloud development and architecture, including security and operational considerations
* High\-level expertise in server\-side web development, REST/web services, or large\-scale data analytics
* Deep understanding of SOLID principles, Object\-Oriented Programming, and Microservices architecture
* Knowledge of SDLC and Agile methodologies
* Experience with CI/CD tools such as Azure DevOps, GitHub Actions, Jenkins, or TeamCity
* Strong background in Test\-Driven Development, unit testing, and performance/load testing
* Proficiency with Git workflows, code reviews, and branching strategies
* Experience with SQL, data warehousing, ETL processes, and NoSQL systems like Cosmos DB
* Proven leadership in enterprise\-wide initiatives and cross\-team collaboration
**Responsibilities**
* Design and evelop innovative, market\-leading solutions that address business challenges and enhance member experiences
* Visualize, articulate, and promote technical strategies that set new industry standards
* Collaborate with business leaders to build prototypes and conceptualize solutions aligned with strategic goals
* Stay current with emerging technologies and share insights to inform team practices
* Lead complex, multi\-tier architecture projects, including analysis, coding, testing, and documentation
* Identify and implement process improvements to enhance engineering practices and operational efficiency
* Uphold and promote coding standards, best practices, and code quality across teams
* Drive technical strategy and enterprise\-wide architectural decisions
* Mentor and develop technical talent, fostering a culture of continuous learning and collaboration
* Provide expert technical consultation to delivery teams, resolving complex challenges
* Support Agile planning and execution, breaking down work into manageable components
* Partner with cross\-functional teams to deliver large\-scale initiatives throughout the SDLC
**Benefits**
* 401(k) plan with up to 3% company match and 4% annual contribution
* Comprehensive medical, dental, and vision insurance coverage for employees and families
* PTO and Exchange Programs to support work\-life balance
* Tuition Reimbursement Program to foster continuous learning
* Volunteer time off through BECU Cares and donation matching initiatives
 Equal Opportunity
 BECU is an equal opportunity employer. We celebrate diversity and are committed to creating an inclusive environment for all employees. All qualified applicants will receive consideration for employment without regard to race, color, religion, sex, national origin, veteran status, disability, sexual orientation, gender identity, or any other protected status.</t>
        </is>
      </c>
    </row>
    <row r="33">
      <c r="A33" t="inlineStr">
        <is>
          <t>li-4323228669</t>
        </is>
      </c>
      <c r="B33" t="inlineStr">
        <is>
          <t>Software Engineer - Growth</t>
        </is>
      </c>
      <c r="C33" t="inlineStr">
        <is>
          <t>BitGo</t>
        </is>
      </c>
      <c r="D33" t="inlineStr">
        <is>
          <t>linkedin</t>
        </is>
      </c>
      <c r="E33" t="inlineStr"/>
      <c r="F33" t="inlineStr"/>
      <c r="G33" t="inlineStr">
        <is>
          <t>San Francisco, CA</t>
        </is>
      </c>
      <c r="H33" t="inlineStr"/>
      <c r="I33"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BitGo is looking for a Backend Software Engineer to join our Growth Organization and help us build the first\-time user experience for institutional clients and individuals.
**Responsibilities:**
* Design and build scalable, well abstracted, and robust APIs, libraries, and services to empower our API\-first platform.
* Own functionality and scalability features by taking responsibility from inception to deployment and customer integration.
* Expose and document functionality to the UI, third\-party developers, and our internal and external tooling.
* Collaborate with cross\-functional teams to define, design, and ship new features.
* Write clean, maintainable, and efficient code.
* Ensure the performance, quality, and responsiveness of applications.
* Identify and correct bottlenecks and fix bugs.
* Continuously discover, evaluate, and implement new technologies to maximize development efficiency.
* Participate in code reviews and contribute to a culture of continuous improvement.
* Work closely with product managers, designers, and other engineers to understand and refine product requirements.
* Provide mentorship to your peers in the broader engineering team through code reviews and education on best practices.
**Skills \&amp; Experience:**
 We are looking for teammates who share and practice our values: open communication, transparency, taking ownership, and a high level of craftsmanship. We are looking for coworkers who share our vision and mission: deliver trust in digital assets.
**Required:**
* At least 3\+ years of proven experience of back\-end and server\-side development.
* Great at algorithm design, problem solving, and complexity analysis.
* Strong experience with of TypeScript, Node.js and Express.
* Strong experience with Node.js, TypeScript, PostgreSQL and MongoDB.
* Strong experience with RESTful API design.
* Experience with microservices and service\-oriented architectures.
* Experience with unit and functional testing and debugging.
* Experience in Git/GitHub and branching methodologies, code review tools, CI tools, etc.
* Ability to move quickly and adjust course as needed in a fast\-paced environment.
* Bachelor’s degree in computer science, applied mathematics, or another technical discipline from a top university.
* Understanding of and strong interest in cryptocurrencies and blockchain.
**Preferred:**
* Experience developing consumer\-facing crypto products.
* Proven experience building public\-facing APIs in a production environment.
* Ability to work full\-stack and familiarity with React.
* Experience working with clients and/or business partners.
* Familiarity with any of the following: digital wallets, clearing and settlement, lending, trading, accounting systems, etc.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**Pay Transparency Notice:** 
 Depending upon your leveling and location, the compensation for this role averages between $160,000 \- $200,000 USD base salary. Equity, an annual performance bonus and the benefits outlined below are also a part of this role's package.
**Here are some of the benefits working at BitGo:**
* Competitive base salary, bonus and stock options.
* 100% company paid health insurance for employee, partner and dependents.
* Up to 4% 401k company match.
* Paid parental leave, paid vacation.
* Free commuter pass.
* Free custom lunches, dinners and snacks.
* Computer equipment and workplace furniture to suit your needs.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row>
    <row r="34">
      <c r="A34" t="inlineStr">
        <is>
          <t>li-4365591112</t>
        </is>
      </c>
      <c r="B34" t="inlineStr">
        <is>
          <t>Software Engineer III, Embedded Systems/Firmware, Platforms Infrastructure Engineering</t>
        </is>
      </c>
      <c r="C34" t="inlineStr">
        <is>
          <t>Google</t>
        </is>
      </c>
      <c r="D34" t="inlineStr">
        <is>
          <t>linkedin</t>
        </is>
      </c>
      <c r="E34" t="inlineStr"/>
      <c r="F34" t="inlineStr"/>
      <c r="G34" t="inlineStr">
        <is>
          <t>Sunnyvale, CA</t>
        </is>
      </c>
      <c r="H34" t="inlineStr"/>
      <c r="I34" t="inlineStr">
        <is>
          <t>Note: By applying to this position you will have an opportunity to share your preferred working location from the following:
 **Sunnyvale, CA, USA; Austin, TX, USA** 
 .
 **Minimum qualifications:**
* Bachelor’s degree or equivalent practical experience.
* 2 years of experience in low level systems programming languages (e.g. C\+\+ or C), or 1 year of experience with an advanced degree in an industry setting.
* 2 years of experience with working with embedded operating systems.
**Preferred qualifications:**
* Master's degree or PhD in Computer Science or related technical field.
* 2 years of experience with data structures or algorithms in either an academic or industry setting.
* 2 years of experience with performance, systems data analysis, visualization tools, or debugging.
* Experience developing accessible technologies.
* Proficiency in code and system health, diagnosis and resolution, and software test engineering.
**About The Job**
 In this role, you will manage project priorities, deadlines, and deliverables. You will also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design reviews with peers and stakeholders to decide amongst available technologies.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
      <c r="A35" t="inlineStr">
        <is>
          <t>li-4376217364</t>
        </is>
      </c>
      <c r="B35" t="inlineStr">
        <is>
          <t>Java Software Engineer</t>
        </is>
      </c>
      <c r="C35" t="inlineStr">
        <is>
          <t>BeaconFire Inc.</t>
        </is>
      </c>
      <c r="D35" t="inlineStr">
        <is>
          <t>linkedin</t>
        </is>
      </c>
      <c r="E35" t="inlineStr"/>
      <c r="F35" t="inlineStr"/>
      <c r="G35" t="inlineStr">
        <is>
          <t>Washington, United States</t>
        </is>
      </c>
      <c r="H35" t="inlineStr"/>
      <c r="I35"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36">
      <c r="A36" t="inlineStr">
        <is>
          <t>li-4371784724</t>
        </is>
      </c>
      <c r="B36" t="inlineStr">
        <is>
          <t>Software Engineer</t>
        </is>
      </c>
      <c r="C36" t="inlineStr">
        <is>
          <t>Akron Brass Company</t>
        </is>
      </c>
      <c r="D36" t="inlineStr">
        <is>
          <t>linkedin</t>
        </is>
      </c>
      <c r="E36" t="inlineStr"/>
      <c r="F36" t="inlineStr"/>
      <c r="G36" t="inlineStr">
        <is>
          <t>Wooster, OH</t>
        </is>
      </c>
      <c r="H36" t="inlineStr"/>
      <c r="I36" t="inlineStr">
        <is>
          <t>If you’re looking for a special place to build or grow your career, you’ve found it. Whether you’re an experienced professional, a recent college graduate or somewhere in between, IDEX is a place where you can apply your existing skills and learn new ones in an environment where you can make an impact.
 With interesting opportunities in engineering, marketing, sales, supply chain, operations, HR, finance, and more across more than 40 diverse businesses (https://www.idexcorp.com/our\-businesses/business\-segments/) around the globe, chances are, we have something special for you.
**This position is not eligible for sponsorship of U.S. work visas**
**REPORTS TO (Title)** 
 : Software Development Manager
**Essential Duties And Responsibilities**
* Software Development: Design, develop, and maintain software applications and systems using various programming languages (e.g., Java, Python, C\+\+).
* Collaboration: Work closely with project managers, UX designers, and other stakeholders to gather requirements and ensure technical specifications are met.
* Testing and Debugging: Conduct testing and debugging of software applications to ensure reliability and efficiency.
* Documentation: Document development processes, system designs, and user manuals to facilitate understanding and maintenance.
* Continuous Improvement: Update software to integrate new features or enhancements and maintain quality and performance standards.
* All other duties as assigned.
**Knowledge, Skills And Required Abilities**
* Educational Background: A bachelor's degree in computer science, software engineering, or a related field is typically required.
* Technical Proficiency: Strong knowledge of programming languages and software development methodologies, including familiarity with version control systems like Git.
* Problem\-Solving Skills: Exceptional analytical and problem\-solving abilities to address software issues and improve functionality.
* Teamwork: Ability to work effectively in a team environment, sharing code and collaborating on projects.
**Education And Experience**
* BS degree in Computer Science, Engineering, or a related field.
* 2\+ years experience in software engineering role
* Experience in hands\-on development and troubleshooting on Windows.Net.
* Solid programming experience in Visual Basic.Net, C\#.Net, T\-SQL
* Manufacturing background is a plus.
**Work Environment**
* Ability to move within office and manufacturing complex, write by hand and keyboard, and perform general office functions.
* Ability to communicate by speech and hearing via phone and in person.
* Visual acuity needed for close detail work and computer use.
* The work environment characteristics described here are representative
* The work environment characteristics described here are representative of those an employee encounters while performing the essential functions of this job. Reasonable accommodations may be made to enable individuals with disabilities to perform the essential functions.
 Are you ready to join a different kind of company where our people, our culture, and our commitments are centered around providing trusted solutions that improve lives around the world?
**IDEX is an Equal Opportunity Employer** 
 . IDEX gives consideration for employment to qualified applicants without regard to race, color, religion, creed, genetic information, sex, sexual orientation, gender identity or expression, marital status, age, national origin, disability, protected veteran status, or any other consideration or protected category made unlawful by federal, state or local laws.
**Attention Applicants:** 
 If you are an individual with a disability and require a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our Talent Acquisition Team at lfcareers@idexcorp.com for assistance with an accommodation. These contact tools may be used only by individuals with a disability for accommodation requests. Do not inquire as to the status of an application.
**Job Family:** 
 Information Technology
**Business Unit:** 
 Akron Brass</t>
        </is>
      </c>
    </row>
    <row r="37">
      <c r="A37" t="inlineStr">
        <is>
          <t>li-4290875615</t>
        </is>
      </c>
      <c r="B37" t="inlineStr">
        <is>
          <t>Software Engineer, Frontend</t>
        </is>
      </c>
      <c r="C37" t="inlineStr">
        <is>
          <t>Ramp</t>
        </is>
      </c>
      <c r="D37" t="inlineStr">
        <is>
          <t>linkedin</t>
        </is>
      </c>
      <c r="E37" t="inlineStr"/>
      <c r="F37" t="inlineStr"/>
      <c r="G37" t="inlineStr">
        <is>
          <t>Florida, United States</t>
        </is>
      </c>
      <c r="H37" t="inlineStr"/>
      <c r="I37"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Our ideal candidate has a deep understanding of JavaScript, a passion for web performance, and can creatively come up with solutions to solve customer's needs. Our tech stack currently involves TypeScript, React, Vite, and Ryu, our in\-house design system.
 Check out our Engineering Blog for more on our tech stack, mission and values!
 What You’ll Do
* Build!
* Design performant, beautiful, and usable interfaces
* Collaborate on our technical vision. Lead discussions and implementation of multiple complex projects
* Foster a culture of upholding industry\-leading UX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You'll Need
* Minimum of 2 years of frontend engineering experience preferred
* Proficiency in JavaScript and React
* Knack for getting the visuals right
* Track record of shipping high\-quality products and developing projects at scale
* Ability to turn business and product ideas into engineering solutions
* Desire to work in a fast\-paced environment, continuously grow, and master your craft
* Alignment with Ramp’s core values of enabling businesses to grow more by spending less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38">
      <c r="A38" t="inlineStr">
        <is>
          <t>li-4271761522</t>
        </is>
      </c>
      <c r="B38" t="inlineStr">
        <is>
          <t>Senior Software Engineer, Full Stack</t>
        </is>
      </c>
      <c r="C38" t="inlineStr">
        <is>
          <t>Retell AI</t>
        </is>
      </c>
      <c r="D38" t="inlineStr">
        <is>
          <t>linkedin</t>
        </is>
      </c>
      <c r="E38" t="inlineStr"/>
      <c r="F38" t="inlineStr"/>
      <c r="G38" t="inlineStr"/>
      <c r="H38" t="inlineStr"/>
      <c r="I38"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Our vision for 2026 is to build a modern CX platform where entire contact centers are powered by AI. Instead of basic automation that needs constant human tuning, we’re creating intelligent AI “workers” that can act as frontline agents, QA analysts, and managers — continuously executing, monitoring, and improving customer interactions.
 We’re growing quickly and looking for ambitious builders who want to tackle hard technical problems, move fast, and have real impact at one of the fastest\-growing voice AI startups.
 Let’s build the future together.
* We’re a top 50 AI app in a16z list: https://tinyurl.com/5853dt2x
* \#4 on Brex's Fast\-Growing Software Vendors of 2025: https://www.brex.com/journal/brex\-benchmark\-december\-2025
* We're also one of the top ranking startups on: https://leanaileaderboard.com/
**About The Role**
 As a Senior Full\-Stack Engineer, you’ll shape the heart of Retell AI’s voice automation platform, building scalable systems and intuitive interfaces that power millions of AI\-driven conversations. You’ll work across the stack—leveraging React, TypeScript, and Node.js—to deliver fast, beautiful, and reliable solutions. Collaborating closely with the founding team, you’ll bridge backend architecture (like prompt orchestration and telephony integrations) with frontend experiences (such as dashboards and analytics tools), ensuring seamless customer onboarding and impactful user experiences. This high\-impact role offers rapid feedback loops, customer collaboration, and the opportunity to define a category\-leading product that transforms global communication.
**Key Responsibilities**
* Develop core features like prompt orchestration, dashboards, analytics, and telephony integrations.
* Build scalable full\-stack systems, from polished UIs to robust APIs and DevOps workflows.
* Lead projects from architecture to production, owning coding, deployment, and iteration.
* Create intuitive interfaces and APIs, enabling customers to activate in hours.
* Support customer onboarding, debug issues, and turn feedback into product enhancements.
**YOU MIGHT THRIVE IF**
* Have 2\+ years of full\-stack experience with React, TypeScript, Node.js, or Python.
* Hold a degree in CS, CE, or equivalent practical experience.
* Take ownership like a founder, proactively solving problems across the stack.
* Thrive in fast\-paced settings, quickly adapting to new tools and challenges.
* Communicate clearly, collaborating effectively in small, dynamic teams.
 JOB DETAILS
* Cash: 215k \- 290k
* Equity: Offers Equity
* Location: Redwood City, CA, US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exceptional builders.
* High Ownership: Small teams, \&gt;$1M revenue/employee, and significant equity.
* Performance\-Based: Offers tied to interview performance, not experience or past salaries.
 INTERVIEW PROCESS
* Online Assessment (1\.5 Hours): Coding questions on practical problem\-solving (7 days to complete).
* Intro Call (15\-20min): Connect with our Founding Recruiter to get a deeper look at the team and the work you'd be doing.
* Technical Phone Interview (45 min): Practical coding session focused on code fluency and system design (For frontend roles, we will focus on React\-specific questions. For backend roles, we take a technology\-agnostic approach.)
* Technical Interview (45 min): A deep dive into your backend chops and how you think through systems design.
* Onsite/Virtual Interviews (2–3 hrs): Hosted in our office if located in the Bay Area or virtual, with three rounds:
+ Practical Coding: Tackle real\-world coding tasks with debugging.
+ System Design: Architect a production\-ready system.
+ Tools \&amp; Automation: Build automations or improve workflows in any basic environment setup like python, java, node.js, etc.
 Learn More
 Retell AI \- API That Turns Your LLM Into A Human\-Like Voice Agent
 Retell AI Basics: Everything You Need to Start Building Voice Agents
 Join Retell AI to shape the future of voice automation, building scalable, impactful full\-stack systems that redefine AI\-driven communication.</t>
        </is>
      </c>
    </row>
    <row r="39">
      <c r="A39" t="inlineStr">
        <is>
          <t>li-4376216445</t>
        </is>
      </c>
      <c r="B39" t="inlineStr">
        <is>
          <t>Java Software Engineer</t>
        </is>
      </c>
      <c r="C39" t="inlineStr">
        <is>
          <t>BeaconFire Inc.</t>
        </is>
      </c>
      <c r="D39" t="inlineStr">
        <is>
          <t>linkedin</t>
        </is>
      </c>
      <c r="E39" t="inlineStr"/>
      <c r="F39" t="inlineStr"/>
      <c r="G39" t="inlineStr">
        <is>
          <t>Pennsylvania, United States</t>
        </is>
      </c>
      <c r="H39" t="inlineStr"/>
      <c r="I39"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40">
      <c r="A40" t="inlineStr">
        <is>
          <t>li-4239980531</t>
        </is>
      </c>
      <c r="B40" t="inlineStr">
        <is>
          <t>Software Engineer, Machine Learning</t>
        </is>
      </c>
      <c r="C40" t="inlineStr">
        <is>
          <t>Figma</t>
        </is>
      </c>
      <c r="D40" t="inlineStr">
        <is>
          <t>linkedin</t>
        </is>
      </c>
      <c r="E40" t="inlineStr"/>
      <c r="F40" t="inlineStr"/>
      <c r="G40" t="inlineStr">
        <is>
          <t>San Francisco, CA</t>
        </is>
      </c>
      <c r="H40" t="inlineStr"/>
      <c r="I40"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 Design, build, and productionize ML models for Search, Discovery, Ranking, Retrieval\-Augmented Generation (RAG), and generative AI features.
* Build and maintain scalable data pipelines to collect high\-quality training and evaluation datasets, including annotation systems and human\-in\-the\-loop workflows.
* Collaborate with AI researchers to iterate on datasets, evaluation metrics, and model architectures to improve quality and relevance.
* Work with product engineers to define and deliver impactful AI features across Figma’s platform.
* Partner with infrastructure engineers to develop and optimize systems for training, inference, monitoring, and deployment.
* Explore new ideas at the edge of what’s technically possible and help shape the long\-term AI vision at Figma.
**We’d love to hear from you If you have:**
* 5\+ years of industry experience in software engineering, with 3\+ years focused on applied machine learning or AI.
* Strong experience with end\-to\-end ML model development, including training, evaluation, deployment, and monitoring.
* Proficiency in Python and familiarity with ML libraries like PyTorch, TensorFlow, Scikit\-learn, Spark MLlib, or XGBoost.
* Experience designing and building scalable data and annotation pipelines, as well as evaluation systems for AI model quality.
* Experience mentoring or leading others and contributing to a culture of technical excellence and innovation.
**While not required, It’s an added plus if you also have:**
* Familiarity with search relevance, ranking, NLP, or RAG systems.
* Experience with AI infrastructure and MLOps, including observability, CI/CD, and automation for ML workflows.
* Experience working on creative or design\-focused ML applications.
* Knowledge of additional languages such as C\+\+ or Go is a plus, but not required.
* A product mindset with the ability to tie technical work to user outcomes and business impact.
*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41">
      <c r="A41" t="inlineStr">
        <is>
          <t>li-4382375551</t>
        </is>
      </c>
      <c r="B41" t="inlineStr">
        <is>
          <t>Software Engineer - AI/ML</t>
        </is>
      </c>
      <c r="C41" t="inlineStr">
        <is>
          <t>Wiraa</t>
        </is>
      </c>
      <c r="D41" t="inlineStr">
        <is>
          <t>linkedin</t>
        </is>
      </c>
      <c r="E41" t="inlineStr"/>
      <c r="F41" t="inlineStr"/>
      <c r="G41" t="inlineStr"/>
      <c r="H41" t="inlineStr"/>
      <c r="I41" t="inlineStr">
        <is>
          <t>**About The Company**
 For more than 50 years, NISC has been at the forefront of developing innovative technology solutions tailored to the needs of its members. Serving over 960 energy and communication organizations across North America, NISC’s mission is to deliver high\-quality, member\-focused, and cost\-effective software products and services. Our members collectively serve over 18 million end customers, including residential and commercial clients receiving power, internet, television, and telephone services. By empowering our members with enterprise software solutions, we enable their employees to operate efficiently, provide exceptional customer service, and stay competitive in their respective industries.
 NISC is committed to serving its members and supporting community development through cutting\-edge software, outstanding customer support, and a forward\-looking approach to technology, including AI integration. Recognized as one of ComputerWorld’s Best Places to Work for 23 years, we foster a culture of innovation, integrity, and collaboration. As an AI\-forward organization, we aim to lead industry transformation by leveraging the latest advancements in artificial intelligence and machine learning. Our dedication to quality, integrity, and continuous improvement makes us a trusted partner for utility and broadband providers across North America.
**About The Role**
 We are seeking a highly skilled and innovative AI\-native Software Engineer with a strong agency to join our dynamic team. This role is focused on building, deploying, and maintaining real\-world AI systems that are embedded into our mission\-critical enterprise applications used by utilities and broadband providers. Unlike research roles, this position emphasizes practical implementation and operational excellence, ensuring AI solutions deliver tangible business value and improve customer interactions, operational workflows, and automation at scale.
 The ideal candidate thrives in fast\-paced environments, demonstrates a proactive ownership mindset, and has a proven track record of deploying AI solutions used by actual users. You will be responsible for designing scalable AI features, integrating large language models (LLMs), and developing data pipelines and retrieval systems. Your work will directly influence how our members serve their communities by transforming operational processes and customer service through innovative AI applications. This role offers a unique opportunity to shape the future of AI in the utility and broadband industries, contributing to impactful projects that make a difference in everyday lives.
 As a core strategic priority, AI at NISC is integrated into our product development lifecycle. You will collaborate with cross\-functional teams to embed AI capabilities across our platform, continuously explore new AI advancements, and optimize solutions for performance, reliability, and cost\-efficiency. If you are passionate about building real\-world AI systems that drive meaningful business outcomes and thrive in an environment that encourages experimentation and ownership, we encourage you to apply.
**Qualifications**
* Bachelor’s Degree in Computer Science, Computer Engineering, or a related field; Master’s Degree in Artificial Intelligence or Machine Learning preferred
* 8\-10\+ years of experience in software development, with at least 3\+ years focused on AI/ML software solutions
* Proven experience deploying AI systems used by real customers, not just prototypes or academic projects
* Hands\-on experience integrating LLMs, prompt engineering, fine\-tuning, and API orchestration
* Experience designing Retrieval\-Augmented Generation (RAG) pipelines, embeddings workflows, and working with vector databases
* Experience deploying AI solutions in cloud environments such as AWS, Azure, or GCP
* Strong proficiency in Python and familiarity with ML frameworks like PyTorch or TensorFlow
* Experience building scalable APIs and backend services
* Understanding of agentic architectures, orchestration frameworks, and multi\-agent systems
* Ability to optimize AI performance, latency, and cost in production environments
* Knowledge of observability, model evaluation, and monitoring frameworks
* Excellent problem\-solving skills with a “there’s a way” mindset
* Strong communication skills to translate AI capabilities into business value
**Responsibilities**
* Design, develop, and deploy production\-grade AI\-powered features and applications leveraging LLMs, RAG pipelines, and agentic workflows
* Translate innovative ideas from concept to operational systems, including rapid prototyping, user validation, and iterative improvement
* Integrate foundation models, fine\-tuned models, and multi\-agent systems into enterprise applications securely and scalably
* Design and optimize data ingestion pipelines, embeddings workflows, and vector database implementations to support high\-quality AI responses
* Ensure AI systems are resilient, observable, and cost\-efficient in live environments
* Align AI solutions with operational realities of utilities, broadband providers, and cooperatives to ensure practicality and usability
* Continuously explore emerging AI capabilities and evaluate their applicability to enhance products and development practices
* Collaborate with product, architecture, and engineering teams to embed AI features across our platform
* Follow established software development methodologies and contribute to best practices
* Perform other duties as assigned to support organizational goals
**Benefits**
* Medical, Dental, and Vision Insurance
* Health Savings Account (HSA) with $100 monthly contributions from NISC, with opportunities to earn up to $800 annually through Wellness Rewards
* Dependent Care Flexible Spending Account (FSA)
* Fully covered life insurance up to three times the annual base salary
* Fully covered short\-term and long\-term disability insurance
* 401(k) retirement plan with employee matching up to 6% and employer
**Equal opportunity**
 We are proud to be an Equal Employment Opportunity employer. We are committed to equal employment opportunity regardless of race, color, ancestry, religion, sex, national origin, sexual orientation, age, citizenship, marital status, disability, gender identity, veteran status, or any other basis protected by federal, state, or local law.</t>
        </is>
      </c>
    </row>
    <row r="42">
      <c r="A42" t="inlineStr">
        <is>
          <t>li-4376200847</t>
        </is>
      </c>
      <c r="B42" t="inlineStr">
        <is>
          <t>Java Software Engineer</t>
        </is>
      </c>
      <c r="C42" t="inlineStr">
        <is>
          <t>BeaconFire Inc.</t>
        </is>
      </c>
      <c r="D42" t="inlineStr">
        <is>
          <t>linkedin</t>
        </is>
      </c>
      <c r="E42" t="inlineStr"/>
      <c r="F42" t="inlineStr"/>
      <c r="G42" t="inlineStr">
        <is>
          <t>Illinois, United States</t>
        </is>
      </c>
      <c r="H42" t="inlineStr"/>
      <c r="I42"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43">
      <c r="A43" t="inlineStr">
        <is>
          <t>li-4239981544</t>
        </is>
      </c>
      <c r="B43" t="inlineStr">
        <is>
          <t>Software Engineer, Distributed Systems</t>
        </is>
      </c>
      <c r="C43" t="inlineStr">
        <is>
          <t>Figma</t>
        </is>
      </c>
      <c r="D43" t="inlineStr">
        <is>
          <t>linkedin</t>
        </is>
      </c>
      <c r="E43" t="inlineStr"/>
      <c r="F43" t="inlineStr"/>
      <c r="G43" t="inlineStr"/>
      <c r="H43" t="inlineStr"/>
      <c r="I4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At Figma, infrastructure is at the heart of everything we build. As a Software Engineer on our Infrastructure team, you’ll help design, build, and operate the systems that power our real\-time collaborative design tools used by millions of people worldwide. We’re scaling fast, and we’re looking for experienced distributed systems engineers across a variety of teams. Whether you’re passionate about storage, compute orchestration, developer tooling, networking, or real\-time data systems, this role offers an opportunity to shape the technical foundation of one of the most beloved design platforms in the world.
 This is a full time role that can be held from one of our US hubs or remotely in the United States.
**What You’ll Do at Figma:**
* Design, build, and maintain scalable and reliable infrastructure systems that support product innovation and user collaboration at scale.
* Architect and evolve distributed systems including storage platforms, streaming infrastructure, and compute orchestration.
* Improve developer experience by building internal platforms, CI/CD systems, build tools, and APIs.
* Collaborate across product and infrastructure teams to design secure, maintainable, and performant systems.
* Participate in shaping platform strategy, roadmaps, and engineering best practices across the organization.
* Debug and resolve complex production issues that span services and layers of the stack.
* Mentor engineers and foster a culture of collaboration, inclusivity, and technical excellence.
**We’d Love to Hear From You If You Have:**
* 5\+ years of Software Engineering experience, specifically in backend or infrastructure engineering..
* Deep understanding of distributed systems concepts such as sharding, replication, consistency, and eventual convergence.
* Experience with cloud\-native environments (AWS, GCP, or Azure), infrastructure\-as\-code, and container orchestration.
* Proficiency in languages such as Go, TypeScript, Python, Rust, or Ruby.
* Strong system design skills and a track record of architecting resilient production systems.
* Excellent communication skills, with experience collaborating across teams and mentoring others.
**While it’s not required, it’s an added plus if you also have:**
* Experience scaling storage platforms (e.g., Postgres, Redis, S3, DynamoDB) or operating streaming systems like Kafka.
* Background in traffic management, DDoS mitigation, or service mesh technologies (e.g., Envoy, Istio).
* A history of developing complex, realtime distributed systems at scale.
* A passion for building developer productivity tools, including development environments, CI/CD pipelines, and build systems.
* Experience with evolving large\-scale, shared developer platforms to improve reliability and developer velocity.
* Strong problem\-solving skills and a bias for action—especially when tackling high\-impact, gritty challenges.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44">
      <c r="A44" t="inlineStr">
        <is>
          <t>li-4364438918</t>
        </is>
      </c>
      <c r="B44" t="inlineStr">
        <is>
          <t>Senior, Software Engineer</t>
        </is>
      </c>
      <c r="C44" t="inlineStr">
        <is>
          <t>Sam's Club</t>
        </is>
      </c>
      <c r="D44" t="inlineStr">
        <is>
          <t>linkedin</t>
        </is>
      </c>
      <c r="E44" t="inlineStr"/>
      <c r="F44" t="inlineStr"/>
      <c r="G44" t="inlineStr">
        <is>
          <t>Sunnyvale, CA</t>
        </is>
      </c>
      <c r="H44" t="inlineStr"/>
      <c r="I44" t="inlineStr">
        <is>
          <t>Position Summary...As a Senior, Software Engineer on the Sam's Membership team, your role will involve transforming requirements into practical solutions through coding, fostering collaboration across diverse teams, and offering strategic insights to drive innovation, mentoring and leading small teams of 2\-3 engineers.
 What you'll do...What you'll do:
* Leads and collaborates on Engineering projects; identifies short\- and long\-term solutions and timeline; reviews and implements proposed solutions; implements new architectural patterns; performs design and code reviews.
* Troubleshoots business and production issues; reviews and analyzes information; engages support teams; formulates action plan; performs root cause analysis; completes online documentation.
* Leads discovery phase of medium to large projects; partners with various teams; obtains cross\-function approvals; drives proof\-of\-concept; implements prototypes.
* Develops Innovation strategies, processes, and best practices; leads internal technical teams; partners with cross\-functional teams; communicates with decision\-makers; resolves technology differences.
* Leads and participates in complex projects; reviews project requirements; translates requirements into technical solutions; writes and develops code; conducts unit testing; collaborates with teams; troubleshoots issues; ensures on\-time delivery.
* Supports business objectives; collaborates with business partners; identifies and addresses opportunities; leads cross\-functional partnership.
* Utilizes industry research to improve technology environment; analyzes industry best practices; benchmarks industry against internal processes; defines software development standards.
* Drives execution of business plans and projects; identifies customer and operational needs; develops and communicates plans and priorities; removes barriers; measures progress and adjusts performance.
* Ensures business needs are being met; evaluates effectiveness of current plans and initiatives; solicits and applies suggestions for improving efficiency; participates in community outreach events.
 What you'll bring:
* 5\+ years of extensive software development experience building distributed systems and Micro\-Services.
* Expert level knowledge and understanding of Java Technologies, SQL/NOSQL Databases, Container Technologies.
* Ability to build products with focus on automation.
* A disciplined approach to development, code review, testing, documentation, and code structure in a team environment.
* A constant desire to improve, learn more and take things to the next level and a passion for adopting the latest features in Kubernetes, Java, and Spring Boot.
* Effectively translating requirements into project parameters while working with agility.
* Helping cross\-functional teams to solve for business problems and develop solutions that enable us to redefine a “best\-in\-class” customer experience.
* Encouraging the project teams that you oversee to work collaboratively and to aim for insight\-driven outcomes.
**About Walmart General/Not Function Specific**
 Sam Walton opened the first Sam's Club in 1983 to meet a growing need among customers who wanted to buy merchandise in bulk. Since then, Sam's Club has grown rapidly, opening more than 600 clubs in the U.S. and 100 clubs internationally. By offering affordable, wholesale merchandise to members, Sam's Club helps make saving simple for families and small business owners. Sam's Club employs about 110,000 associates in the U.S. The average club is 134,000 square feet and offers bulk groceries and general merchandise. Most clubs also have specialty services, such as a pharmacy, an optical department, a photo center, or a tire and battery center.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**Benefits**
 For information about benefits and eligibility, see One.Walmart.
 The annual salary range for this position is $117,000\.00 \- $234,000\.00 Additional compensation includes annual or quarterly performance bonuses. Additional compensation for certain positions may also include Regional Pay Zone (RPZ) (based on location).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45">
      <c r="A45" t="inlineStr">
        <is>
          <t>li-4329385765</t>
        </is>
      </c>
      <c r="B45" t="inlineStr">
        <is>
          <t>Software Engineer – Satellite Modeling and Tasking</t>
        </is>
      </c>
      <c r="C45" t="inlineStr">
        <is>
          <t>Array Labs</t>
        </is>
      </c>
      <c r="D45" t="inlineStr">
        <is>
          <t>linkedin</t>
        </is>
      </c>
      <c r="E45" t="inlineStr"/>
      <c r="F45" t="inlineStr"/>
      <c r="G45" t="inlineStr">
        <is>
          <t>Palo Alto, CA</t>
        </is>
      </c>
      <c r="H45" t="inlineStr"/>
      <c r="I45" t="inlineStr">
        <is>
          <t>**Array Labs builds advanced radar systems to help humanity understand and respond to changes across the physical world. 
 We’re launching a coordinated fleet of radar satellites to create a high\-resolution 3D map of the Earth – updated in real time – enabling faster, smarter decision\-making for government and commercial organizations supporting disaster response, infrastructure resilience, and mission\-critical geopolitical intelligence.
 We design and build our satellites end\-to\-end, producing the world’s most advanced earth observation satellites. Our fleet will deliver unprecedented levels of accuracy, coverage, and responsiveness to power critical insights precisely where they’re needed most.
**Responsibilities:** 
* Responsible for building and implementing automation solutions for spacecraft and ground station for operating swarms of coordinated imaging satellites
* Implement controllers developed by GNC engineers to plan and execute satellite maneuvers, including orbit corrections and station\-keeping, to optimize satellite positions and performance.
* Develop and maintain mission planning software that integrates mission design, operational concepts, and flight hardware requirements
* Design and implement systems to manage asynchronous data streams, integrating real\-time information to generate and upload new decisions and schedules
* Design architecture concepts considering spacecraft coordination, payload and system budget capabilities, data collection requirements, autonomy, and mission operations
* Implement automation and algorithms for precise orbit determination of Array Labs and GNSS satellites
* Evolve and implement models to characterize vehicles and satellite systems propulsion, power, precision, navigation, timing, and tracking requirements
* Optimize schedules to maximize imagery opportunities based on imaging priorities and system capabilities
**Basic Qualifications:** 
* Bachelor’s degree in engineering, computer science or a related field, with 3\+ years of experience
* At least two of the preferred skill and experiences listed
* Experience developing autonomous systems and integrating them into larger operational frameworks
* Understanding of how to create, configure, and manage Docker containers
* Experience with continuous integration systems and automated test execution pipelines (Gitlab preferred)
* Strong programming skills in languages such as Python, C\+\+, or Rust
* Experience with cloud platforms (AWS, GCP, Azure) and containerization technologies (e.g., Docker, Kubernetes)
* Familiarity with database systems and CRUD operations in database management, preferably PostgreSQL and TimescaleDB
* Familiarity with RESTful API design and implementation
* Experience with physics\-based software packages and/or model\-based digital engineering tools
**Preferred Skills and Experience:** 
* Knowledge of precision orbit determination methods
* Familiarity with FreeFlyer, STK GMAT, and/or custom\-developed equivalent
* Familiarity with satellite dynamics, including orbit determination, attitude control systems, and station\-keeping maneuvers
* Experience with flight software and embedded systems
* Experience setting up automated hardware in the loop (HIL) test benches
* Familiarity with satellite mission operations and/or Ground Station as a Service providers
* Experience with geospatial, remote sensing, 3D data, and/or digital signal processing techniques (e.g. SAR and optical satellite imagery, LiDAR point clouds)
**ITAR Requirements:**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**Equal Opportunity Employer** 
* Array Labs is an Equal Opportunity Employer. Employment decisions are made on the basis of merit, competence, and job qualifications and will not be influenced in any manner by gender, color, race, ethnicity, national origin, sexual orientation, religion, age, gender identity, veteran status, disability status, marital status, mental or physical disability or any other legally protected status
**Interview Process
 We will conduct three interviews via Zoom; the typical process takes around 2\-4 weeks to complete from start to finish.
**Hiring and Compensation Strategy
 Our hiring and compensation strategy is simple:
 1\) find uncommonly good people
 2\) pay them uncommonly well
 You can anticipate competitive pay, with high flexibility between salary and equity\-based compensation.
**Why you should join Array Labs
 Array Labs is launching a constellation of satellites to create the first high\-resolution, real\-time, three\-dimensional model of Earth. Our next\-generation satellite technology will offer image quality 60x greater than traditional techniques, profoundly expanding humanity’s ability to understand and respond to events on a global scale.
 In forging an affordable, accessible, accurate representation of Earth, our work has the potential to transform the face of dozens of fields, including autonomy, telecommunications, disaster relief, gaming, climate science, defense and construction.********</t>
        </is>
      </c>
    </row>
    <row r="46">
      <c r="A46" t="inlineStr">
        <is>
          <t>li-4382611045</t>
        </is>
      </c>
      <c r="B46" t="inlineStr">
        <is>
          <t>Software Engineer, AI</t>
        </is>
      </c>
      <c r="C46" t="inlineStr">
        <is>
          <t>Wiraa</t>
        </is>
      </c>
      <c r="D46" t="inlineStr">
        <is>
          <t>linkedin</t>
        </is>
      </c>
      <c r="E46" t="inlineStr"/>
      <c r="F46" t="inlineStr"/>
      <c r="G46" t="inlineStr"/>
      <c r="H46" t="inlineStr"/>
      <c r="I46" t="inlineStr">
        <is>
          <t>**About The Company**
 Gusto is a leading provider of cloud\-based payroll, benefits, and HR management solutions dedicated to empowering small businesses across the United States. With a mission to grow the small business economy, Gusto simplifies complex administrative processes such as payroll, health insurance, 401(k) plans, and HR compliance, enabling entrepreneurs to focus on their craft and serve their customers effectively. Headquartered with teams in Denver, San Francisco, and New York, Gusto proudly supports over 400,000 small businesses, fostering a diverse and inclusive workplace that reflects and celebrates its customer base. The company's innovative approach combines technology, compassion, and expertise to create a seamless experience for small business owners and their employees.
**About The Role**
 We are seeking a highly skilled Staff Software Engineer to join the Ai Tooling Team within the Developer Productivity division at Gusto. In this pivotal role, you will be responsible for architecting and scaling the Ai platform that fundamentally enhances how Gusto develops software. Operating at the intersection of platform engineering and applied artificial intelligence, you will lead efforts to embed intelligent automation into the development lifecycle, creating tools that empower engineers to work more efficiently and effectively. Your work will involve designing and implementing internal AI workflows, automating complex tasks such as code reviews and refactoring, stabilizing local development environments, and optimizing CI/CD pipelines. By harnessing Large Language Models and cutting\-edge AI technologies, you will help eliminate developer friction, accelerate engineering velocity, and foster a culture of innovation within the organization.
 The Ai Developer Tools team views AI as a transformative leap in software craftsmanship. Our goal is to equip every engineer at Gusto with "superpower" tools that understand our codebase and handle repetitive toil, allowing our developers to concentrate on creative problem\-solving within a safe and well\-guarded environment. As a key member of this team, you will collaborate closely with cross\-functional partners, evangelize best practices, and stay at the forefront of emerging AI research and frameworks to ensure our tooling remains world\-class.
**Qualifications**
* 8\+ years of professional software development experience, demonstrating a strong understanding of system architecture and production\-grade code delivery.
* Deep familiarity with AI\-native development, including prompting, fine\-tuning, and retrieval\-augmented generation (RAG) systems.
* Proficiency with Rails, Ruby, and developer tooling tailored for large engineering teams.
* Strong architectural thinking and the ability to translate complex AI concepts into practical, scalable solutions.
* Experience working closely with cross\-functional teams, understanding their pain points, and delivering impactful tools.
* Excellent communication skills, capable of explaining technical AI concepts to diverse audiences.
* Curiosity and enthusiasm for exploring emerging AI technologies, frameworks, and research to inform tooling and best practices.
* Ability to operate as both a collaborator and a strategic thinker, balancing immediate needs with long\-term vision.
**Responsibilities**
* Design and develop internal AI workflows and platforms that seamlessly integrate Large Language Models into the developer experience, including automated pull request reviews and autonomous agents.
* Collaborate with engineering teams across the organization to identify pain points and develop AI\-powered solutions that improve developer productivity and reduce toil.
* Partner with infrastructure and platform teams to ensure AI tools are scalable, secure, and maintainable in production environments.
* Stay current with advancements in AI research, frameworks, and best practices, and incorporate these insights into internal tooling and workflows.
* Identify bottlenecks within the development lifecycle and leverage AI to streamline processes from environment setup to automated testing and deployment.
* Monitor and maintain the health of developer tools, diagnosing and resolving issues related to performance, networking, and integration.
* Advocate for AI\-driven innovation within the engineering organization, evangelizing new approaches and fostering a culture of experimentation.
**Benefits**
* Competitive salary package, with targeted compensation between $190,000 to $250,000 annually depending on location and experience.
* Stock options/equity grants to align your success with the company's growth.
* Comprehensive health insurance plans covering medical, dental, and vision.
* Generous paid time off and holiday policies to support work\-life balance.
* Flexible remote work arrangements and supportive work environment.
* Professional development opportunities, including access to cutting\-edge AI research and training.
* A collaborative and inclusive workplace culture that values innovation and diversity.
 Equal Opportunity
 Gusto is committed to creating a diverse environment and is proud to be an equal opportunity employer. We do not discriminate based on race, religion, color, national origin, gender, sexual orientation, age, disability, or any other protected status. We believe that a diverse team fosters innovation and better solutions, and we welcome applicants from all backgrounds to join us in our mission to grow the small business economy.</t>
        </is>
      </c>
    </row>
    <row r="47">
      <c r="A47" t="inlineStr">
        <is>
          <t>li-4372945684</t>
        </is>
      </c>
      <c r="B47" t="inlineStr">
        <is>
          <t>Senior Full Stack Software Engineer</t>
        </is>
      </c>
      <c r="C47" t="inlineStr">
        <is>
          <t>SoFi</t>
        </is>
      </c>
      <c r="D47" t="inlineStr">
        <is>
          <t>linkedin</t>
        </is>
      </c>
      <c r="E47" t="inlineStr"/>
      <c r="F47" t="inlineStr"/>
      <c r="G47" t="inlineStr">
        <is>
          <t>San Francisco, CA</t>
        </is>
      </c>
      <c r="H47" t="inlineStr"/>
      <c r="I4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Software Engineer you’ll play a critical, hands\-on role in building, deploying, and optimizing scalable, enterprise\-class, production\-grade, full\-stack custom applications. The ideal candidate has 5\+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for advanced AI workloads).
* Manage deployment pipelines and infrastructure as code using ArgoCD, GitLab CI/CD, and AWS best practices.
* Collaborate with the AI engineers on the team to implement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5\+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8">
      <c r="A48" t="inlineStr">
        <is>
          <t>li-4372956216</t>
        </is>
      </c>
      <c r="B48" t="inlineStr">
        <is>
          <t>Senior Full Stack Software Engineer</t>
        </is>
      </c>
      <c r="C48" t="inlineStr">
        <is>
          <t>SoFi</t>
        </is>
      </c>
      <c r="D48" t="inlineStr">
        <is>
          <t>linkedin</t>
        </is>
      </c>
      <c r="E48" t="inlineStr"/>
      <c r="F48" t="inlineStr"/>
      <c r="G48" t="inlineStr">
        <is>
          <t>New York, NY</t>
        </is>
      </c>
      <c r="H48" t="inlineStr"/>
      <c r="I4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Software Engineer you’ll play a critical, hands\-on role in building, deploying, and optimizing scalable, enterprise\-class, production\-grade, full\-stack custom applications. The ideal candidate has 5\+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for advanced AI workloads).
* Manage deployment pipelines and infrastructure as code using ArgoCD, GitLab CI/CD, and AWS best practices.
* Collaborate with the AI engineers on the team to implement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5\+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9">
      <c r="A49" t="inlineStr">
        <is>
          <t>li-4321053497</t>
        </is>
      </c>
      <c r="B49" t="inlineStr">
        <is>
          <t>Senior Software Engineer - AI Core Engineering</t>
        </is>
      </c>
      <c r="C49" t="inlineStr">
        <is>
          <t>The Walt Disney Company</t>
        </is>
      </c>
      <c r="D49" t="inlineStr">
        <is>
          <t>linkedin</t>
        </is>
      </c>
      <c r="E49" t="inlineStr"/>
      <c r="F49" t="inlineStr"/>
      <c r="G49" t="inlineStr">
        <is>
          <t>Glendale, CA</t>
        </is>
      </c>
      <c r="H49" t="inlineStr"/>
      <c r="I49"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We’re hiring a Senior AI Engineer to build the AI core capabilities and tooling that accelerate teams across Ad Technology. You will create shared agents, initializers, registries, and reusable services and web applications that make it fast, safe, and cost\-effective for engineering squads to adopt AI.
 Your work will emphasize common design principles, guardrails, governance, observability, and evaluation, so teams can deliver high\-quality AI solutions quickly—without reinventing the basics.
 This role blends backend engineering, LLM orchestration, and developer enablement. You’ll design APIs, SDKs, reusable agents, and web\-based solutions that standardize adoption, define patterns for multi\-turn interactions, and provide evaluation/traceability so teams can confidently scale AI across Disney Ad Tech.
**Responsibilities And Duties Of The Role**
**AI Core Design \&amp; Principles**
* Define and implement shared design patterns for agents and services, including context management, retrieval, safety, and evaluation.
* Establish reusable blueprints that standardize how AI solutions are built across Ad Tech.
**Reusable Agents \&amp; Tools**
* Build production\-ready agents, initializers, and libraries for common use cases (summarization, troubleshooting, semantic extraction).
* Develop high\-quality APIs and SDKs that simplify adoption of AI capabilities by other engineering teams.
**Shared Services \&amp; Web Applications**
* Deliver core services for retrieval, memory, and orchestration, integrated with enterprise and consumer facing systems.
* Create internal webapps and dashboards that expose AI capabilities, evaluation metrics, and adoption accelerators.
**Safety, Governance \&amp; Observability**
* Embed guardrails, compliance checks, and prompt safety into all shared components.
* Implement model evaluation and observability frameworks for quality, reliability, and cost monitoring at scale.
**Basic Qualifications**
* 5\+ years of backend or applied AI/ML engineering with a track record of building production\-grade systems.
* Proficiency in Python (libraries, testing, packaging) and building scalable APIs or SDKs.
* Hands\-on experience with LLM APIs (e.g., OpenAI, Anthropic, Claude) and frameworks such as LangChain or LangGraph.
* Experience integrating with enterprise AI services such as AWS Bedrock or Azure AI Foundry, including model invocation, routing, and governance integration.
* Experience developing reusable agents, libraries, or internal tooling adopted by multiple teams.
* Knowledge of guardrails and evaluation techniques for LLMs, including prompt safety, output validation, and quality regression testing.
* Strong collaboration and communication skills; able to work across infra, data, security, and product teams.
* Bedrock or AI Foundry
**Preferred Qualifications**
* Experience building AI enablement tooling (registries, agent initializers, internal frameworks) for enterprise use.
* Familiarity with observability for AI systems: tracing, latency and cost dashboards, drift detection.
* Knowledge of AI gateway patterns (e.g., routing, usage throttling, model fallback, quota enforcement).
* Exposure to multi\-agent orchestration, simulation frameworks, or synthetic data for testing/eval.
* Understanding of enterprise governance: security, compliance, audit, and policy enforcement in AI systems.
* Previous experience in a developer enablement role (platform engineering, frameworks, SDKs) where reusable components accelerated adoption across large organizations.
 Required Education
* Bachelor’s degree in Computer Science, Engineering, or related technical field (Master’s preferred), or equivalent experience.
 \#DISNEYTECH
 The hiring range for this position in Los Angeles, California is $141,900 to 190,300 per year, Seattle, WA is $148,700 to $199,400, and San Francisco, CA is $155,400 to $208,400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0">
      <c r="A50" t="inlineStr">
        <is>
          <t>li-4365660773</t>
        </is>
      </c>
      <c r="B50" t="inlineStr">
        <is>
          <t>Software Engineer II</t>
        </is>
      </c>
      <c r="C50" t="inlineStr">
        <is>
          <t>Microsoft</t>
        </is>
      </c>
      <c r="D50" t="inlineStr">
        <is>
          <t>linkedin</t>
        </is>
      </c>
      <c r="E50" t="inlineStr"/>
      <c r="F50" t="inlineStr"/>
      <c r="G50" t="inlineStr">
        <is>
          <t>Redmond, WA</t>
        </is>
      </c>
      <c r="H50" t="inlineStr"/>
      <c r="I50" t="inlineStr">
        <is>
          <t>**Overview**
 Microsoft’s Path team helps customers along their journey from the initial idea to the final realization of their goals from
 **Idea\-to\-Plan\-to\-Done.**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With Visio, we help customers model and conceptualize information pathways through process diagrams, organizational charts, and more to visualize what it is and what it can be. Collectively, we're responsible for an incredible portfolio of products and services that help guide people and organizations along their journey to achieve more. And of course, Microsoft being a leader in the AI space, we are heavily investing in making all our products \&amp; services more intelligent with AI tools and agents.
 We are looking for a
 **Software Engineer II** 
 to join the Path Engineering team under CAP (Collaborative Apps \&amp; Platforms) org. By using the next generation of Work Management experiences, and infusing Microsoft's Copilot and Generative AI technologies with Path products, you’ll help create the future of how customers get things done – from drawing diagrams and designs, to generating plans for work, and actually executing some tasks through agents. You’ll reach tens of millions of customers with the technology you create and inspire hundreds of engineers on the team to go beyond what’s possible today to create the work management platform for the future.
 Microsoft’s mission is to empower every person and every organization on the planet to achieve more. By integrating the power of generative AI with tools for workflow management you will directly contribute to that mission empowering customers to achieve at a pace and scale beyond what has previously been considered possible.
**Responsibilities**
* You will design and develop large\-scale distributed software services and solutions.
* You will have knowledge of how products and services work, with a history of developing, deploying and evolving products in a DevOps managed production environment.
* You will design features and capabilities to enable experiences for millions of users, interacting with the service through dedicated Web and mobile clients, and through Teams.
* You will carry out quick technology “spikes” (or proofs of concepts, flighting) to create value in new features and service.
* You will work in an agile and collaborative environment, you will interact with many of the other major Microsoft 365 teams to build cross service integrations, such as Teams, SharePoint, and Exchange.
* You will develop and maintain technical documentation, including design documents, test plans, and user guides.
* You will stay up\-to\-date with emerging trends and technologies in software development and apply them to improve service offerings.
* You will participate in code reviews and provide constructive feedback to team members to improve code quality.
* You will troubleshoot and debug complex issues in production environments, and work with the team to implement solutions.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Knowledge of Azure, AWS or GCP cloud technologies
* 2\+ years experience with TypeScript and React or equivalent front\-end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1">
      <c r="A51" t="inlineStr">
        <is>
          <t>li-4381372358</t>
        </is>
      </c>
      <c r="B51" t="inlineStr">
        <is>
          <t>Software Engineer</t>
        </is>
      </c>
      <c r="C51" t="inlineStr">
        <is>
          <t>Jobright.ai</t>
        </is>
      </c>
      <c r="D51" t="inlineStr">
        <is>
          <t>linkedin</t>
        </is>
      </c>
      <c r="E51" t="inlineStr"/>
      <c r="F51" t="inlineStr"/>
      <c r="G51" t="inlineStr"/>
      <c r="H51" t="inlineStr"/>
      <c r="I51" t="inlineStr">
        <is>
          <t>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Chatfin
 One\-liner: ChatFin is an AI platform that automates finance and accounting workflows with real\-time insights.
 Salary: $1,000/mo \- $10,000/mo
 Why Join Us:
 Role Responsibilities
 • At least 1–2 years of experience in Full Stack Development
 • Strong expertise in JavaScript, TypeScript, and Node.js backend technologies
 • Experience with any JavaScript\-based frontend framework (React / Vue / Angular, etc.)
 • Good understanding of building scalable REST APIs and backend systems
 • Knowledge of SQL databases like MySQL or PostgreSQL
 • Familiarity with web scraping, data extraction, and internet automation is a big plus
 • Understanding of Machine Learning, NLP, LangChain, or AI workflows is an added advantage
 • Ability to work in a fast\-paced startup environment with an ownership mindset
 Qualifications
 Required
 • At least 1–2 years of experience in Full Stack Development
 • Strong expertise in JavaScript, TypeScript, and Node.js backend technologies
 • Experience with any JavaScript\-based frontend framework (React / Vue / Angular, etc.)
 • Good understanding of building scalable REST APIs and backend systems
 • Knowledge of SQL databases like MySQL or PostgreSQL
 • Ability to work in a fast\-paced startup environment with an ownership mindset
 Preferred
 • Familiarity with web scraping, data extraction, and internet automation is a big plus
 • Understanding of Machine Learning, NLP, LangChain, or AI workflows is an added advantage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52">
      <c r="A52" t="inlineStr">
        <is>
          <t>li-4381041597</t>
        </is>
      </c>
      <c r="B52" t="inlineStr">
        <is>
          <t>Sr. Software Developer - Apps/C# .NET</t>
        </is>
      </c>
      <c r="C52" t="inlineStr">
        <is>
          <t>NPAworldwide</t>
        </is>
      </c>
      <c r="D52" t="inlineStr">
        <is>
          <t>linkedin</t>
        </is>
      </c>
      <c r="E52" t="inlineStr"/>
      <c r="F52" t="inlineStr"/>
      <c r="G52" t="inlineStr">
        <is>
          <t>Redlands, CA</t>
        </is>
      </c>
      <c r="H52" t="inlineStr"/>
      <c r="I52" t="inlineStr">
        <is>
          <t>**Job Description**
 Bring your passion for creating awesome apps and join us in developing leading\-edge cross\-platform mapping and GIS solutions that run on the latest mobile devices.
 This is a great opportunity to design and develop the next\-generation of app building technology.
**Responsibilities**
 Design and develop focused native apps that meet the requirements of a broad range of users
 Design responsive and intuitive user interfaces for mobile, desktop, and web systems
 Design and develop cross platform app building technology
 Work as part of an Agile team building feature\-rich modernized applications using C\# .NET
 Develop excellent software for use in field mapping, data collection, sensor networks, street navigation, and much more
 Collaborate with other programmers and developers throughout the development process
 Define user requirements; design and develop applications and APIs for devices and web\-based services
 Ensure that ArcGIS software meets real\-world usage scenarios
 Solve and articulate complex problems with application design, development, and user experiences
**Requirements**
 5\+ years of commercial software development experience
 Fluent in and passionate about .NET C\#
 Xamarin / Xamarin Forms / MAUI / C\# development experience
 Experience of Telerik UI for .NET desirable
 Experience with building and consuming JSON, XAML/XML, and Web Services
 A flare for user experience and interface design
 Cross\-platform app development
 Understanding of algorithms and design patterns
 Experience with GitHub, Jenkins, Microsoft App Center
 Ability to work closely with the team to build quality software in a constantly evolving environment
 Effective time management and organizational skills
 Excellent written and verbal communication skills
 Bachelors degree in computer science, engineering, mathematics, GIS, or related field
**Recommended Qualifications**
 Masters degree in computer science, engineering, mathematics, GIS, or related field
 Experience with mobile application development (iOS, Android)
**Qualifications**
 Recommended Qualifications
 Masters degree in computer science, engineering, mathematics, GIS, or related field
 Experience with mobile application development (iOS, Android)
**Why Is This a Great Opportunity**
 Bring your passion for creating awesome apps and join us in developing leading\-edge cross\-platform mapping and GIS solutions that run on the latest mobile devices. This is a great opportunity to design and develop the next\-generation of app building technology.
**Salary Type** 
 : Annual Salary
**Salary Min** 
 : $ 140000
**Salary Max** 
 : $ 190000
**Currency Type** 
 : USD</t>
        </is>
      </c>
    </row>
    <row r="53">
      <c r="A53" t="inlineStr">
        <is>
          <t>li-4364436927</t>
        </is>
      </c>
      <c r="B53" t="inlineStr">
        <is>
          <t>Senior Software Engineer</t>
        </is>
      </c>
      <c r="C53" t="inlineStr">
        <is>
          <t>Cohere Health</t>
        </is>
      </c>
      <c r="D53" t="inlineStr">
        <is>
          <t>linkedin</t>
        </is>
      </c>
      <c r="E53" t="inlineStr"/>
      <c r="F53" t="inlineStr"/>
      <c r="G53" t="inlineStr"/>
      <c r="H53" t="inlineStr"/>
      <c r="I53" t="inlineStr">
        <is>
          <t>**Opportunity Overview**
 We are seeking a Senior Software Engineer to join our Engineering team. In this role, you will build and enhance mission\-critical healthcare technology that powers clinical letter generation, notification systems, and queue management for health insurance plans covering over 15 million people. You'll partner closely with product, design, and clinical teams to deliver end\-to\-end features on a modern full\-stack platform. This is an opportunity to make a direct impact on healthcare outcomes while working with modern technologies in a fast\-paced, collaborative environment.
**What You’ll Do**
* Design, develop, test, and deploy end\-to\-end features and platform enhancements across our cloud infrastructure and web applications
* Own the full software development lifecycle from technical design through production deployment and monitoring
* Collaborate with cross\-functional teams in product, design, and clinical operations to deliver high\-quality user experiences for healthcare practitioners
* Support all layers of our platform, from database design to backend services (Java, Python, Groovy) to frontend applications (React, TypeScript)
* Lead technical design discussions, bringing data\-driven analysis and expertise to inform architectural decisions
* Continuously evaluate and implement new technologies and services to maximize development efficiency and platform capabilities
* Champion quality and testing best practices by writing comprehensive test coverage and maintaining high code standards
* Mentor and support junior engineers on your team, fostering a culture of learning and technical excellence
**What You’ll Need**
* 6\+ years of experience in software development lifecycle
* Bachelor's degree in computer science, software engineering, or equivalent practical experience
* Strong backend development experience using Java, Python, or Groovy
* Demonstrated experience building web applications with React and JavaScript
* Proficiency with modern software development practices including version control (Git), unit testing, and CI/CD pipelines
* Strong collaboration skills and ability to work effectively with product and design teams
* Proven ability to own product development end\-to\-end with excellent design and development standards
* Thrives in fast\-paced startup environments and enjoys working on collaborative agile teams
**Pay \&amp; Perks**
 💻 Fully remote opportunity with about 5% travel
 🩺 Medical, dental, vision, life, disability insurance, and Employee Assistance Program
 📈 401K retirement plan with company match; flexible spending and health savings account
 🏝️ Up to 184 hours (23 days) of PTO per year \+ company holidays
 👶 Up to 14 weeks of paid parental leave
 🐶 Pet insurance
 The salary range for this position is $130,000 to $145,000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\#BI\-Remote</t>
        </is>
      </c>
    </row>
    <row r="54">
      <c r="A54" t="inlineStr">
        <is>
          <t>li-4239984026</t>
        </is>
      </c>
      <c r="B54" t="inlineStr">
        <is>
          <t>Software Engineer, Production Engineering</t>
        </is>
      </c>
      <c r="C54" t="inlineStr">
        <is>
          <t>Figma</t>
        </is>
      </c>
      <c r="D54" t="inlineStr">
        <is>
          <t>linkedin</t>
        </is>
      </c>
      <c r="E54" t="inlineStr"/>
      <c r="F54" t="inlineStr"/>
      <c r="G54" t="inlineStr">
        <is>
          <t>San Francisco, CA</t>
        </is>
      </c>
      <c r="H54" t="inlineStr"/>
      <c r="I5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The Production Engineering team focuses on end\-to\-end reliability, durability, scalability, and performance of Figma products and services. We’re looking for an experienced Engineer to scale and drive the initiatives and programs that support Figma’s production engineering efforts, allowing our product teams to rapidly deliver new features. This is a critical part of success for both our ability to build new products and features, support the growth of our user base, and enable innovation for all engineering (infrastructure and product teams, alike).
 We’re looking for a generalist with a strong grasp of Computer Science fundamentals. The ideal candidate will have experience building and running complex large scale services. Additionally, they will have a passion for building tools that simplify operating large\-scale infrastructure and for improving the operational maturity of Figma.
 This is a full time role that can be held from one of our US hubs or remotely in the United States.
**What you'll do at Figma:**
* Work closely with the engineering team to define standard methodologies and goals around reliability, durability, scalability, and performance
* Address common operational challenges through better telemetry and by building tools / services
* Debug production issues across services and levels of the stack
* Participate in design reviews and production reviews for new features, products or infrastructure components
* Plan for the growth of Figma’s infrastructure
* Operate and maintain AWS Infrastructure
**We’d love to hear from you if you have:**
* Have 5\+ years of Software Engineering experience operating infrastructure components / services at scale. You have a proven grasp of Computer Science fundamentals and have a strong interest in distributed systems
* Have experience managing infrastructure services in AWS, Microsoft Azure or Google Cloud
* Have a track record for being able to diagnose problems within complex systems.
**While it’s not required, it’s an added plus if you also have:**
* Have excellent problem solving skills and technical communication skills. You use a systematic and thorough approach. You think from first principles and have a bias for action. Are driven by impact. You are willing to work on grungy problems if they have a high impact on the business or the health of the infrastructure.
* Care deeply about the quality of the software / systems you build. You have an artisan mentality and are always looking to improve your craft. At the same time you are able to strike the right balance between idealism and pragmatism.
* Finally, Figma is a close\-knit company with a strong culture that promotes inclusivity and collaboration, taking ambitious goals and having fun doing so. You deeply value these traits and see yourself actively contributing to it.
* Demonstrated unwavering commitment to operational security and best practices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55">
      <c r="A55" t="inlineStr">
        <is>
          <t>li-4365575665</t>
        </is>
      </c>
      <c r="B55" t="inlineStr">
        <is>
          <t>Software Engineer III, Infrastructure, Google Cloud Global Networking</t>
        </is>
      </c>
      <c r="C55" t="inlineStr">
        <is>
          <t>Google</t>
        </is>
      </c>
      <c r="D55" t="inlineStr">
        <is>
          <t>linkedin</t>
        </is>
      </c>
      <c r="E55" t="inlineStr"/>
      <c r="F55" t="inlineStr"/>
      <c r="G55" t="inlineStr">
        <is>
          <t>Sunnyvale, CA</t>
        </is>
      </c>
      <c r="H55" t="inlineStr"/>
      <c r="I55"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**Atlanta, GA, USA; Sunnyvale, CA, USA; Seattle, WA, USA; Kirkland, WA, USA** 
 .
 **Minimum qualifications:**
* Bachelor’s degree or equivalent practical experience.
* 2 years of experience programming in C\+\+, Python or Go.
* 2 years of experience with developing large \- scale infrastructure, distributed systems or networking,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6">
      <c r="A56" t="inlineStr">
        <is>
          <t>li-4323257034</t>
        </is>
      </c>
      <c r="B56" t="inlineStr">
        <is>
          <t>Senior Software Engineer, Product Engineering, Americas</t>
        </is>
      </c>
      <c r="C56" t="inlineStr">
        <is>
          <t>Ashby</t>
        </is>
      </c>
      <c r="D56" t="inlineStr">
        <is>
          <t>linkedin</t>
        </is>
      </c>
      <c r="E56" t="inlineStr"/>
      <c r="F56" t="inlineStr"/>
      <c r="G56" t="inlineStr">
        <is>
          <t>Denver, CO</t>
        </is>
      </c>
      <c r="H56" t="inlineStr"/>
      <c r="I56"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57">
      <c r="A57" t="inlineStr">
        <is>
          <t>li-4381358531</t>
        </is>
      </c>
      <c r="B57" t="inlineStr">
        <is>
          <t>Sr. Software Engineer</t>
        </is>
      </c>
      <c r="C57" t="inlineStr">
        <is>
          <t>The Walt Disney Company</t>
        </is>
      </c>
      <c r="D57" t="inlineStr">
        <is>
          <t>linkedin</t>
        </is>
      </c>
      <c r="E57" t="inlineStr"/>
      <c r="F57" t="inlineStr"/>
      <c r="G57" t="inlineStr">
        <is>
          <t>Celebration, FL</t>
        </is>
      </c>
      <c r="H57" t="inlineStr"/>
      <c r="I57" t="inlineStr">
        <is>
          <t>At Disney Experiences Technology (DXT), our team creates world\-class immersive digital experiences for the Company’s premier vacation brands including Disney’s Parks \&amp; Resorts worldwide, Disney Cruise Line, Aulani, A Disney Resort \&amp; Spa, and Disney Vacation Club.
 We are responsible for the end\-to\-end digital and physical Guest experience for all technology \&amp; digital\-led initiatives across the Attractions \&amp; Entertainment, Food \&amp; Beverage, Resorts \&amp; Transportation and Merchandise lines of business as well as other initiatives including MyDisneyExperience and Hey, Disney!
 This role sits in the Disney Vacation Club (DVC) organization within Technology \&amp; Digital for Disney Experiences. It works closely with DVC Business, along with Sales \&amp; Marketing, and Member Services Technology groups across the company.
 The Sr. Software Engineer will report to the Manager, Software Engineering.
 The Sr. Software Engineer is expected to play a critical role in:
* Contributing to the design and implementation of custom applications and integrations, cloud services, and application components.
* Taking ownership of development tasks and lead smaller project components from planning through implementation.
* Communicating effectively with technical and business stakeholders, ensuring clarity and professionalism in discussions.
* Collaborating with on\-shore and off\-shore development teams, clients, and technical groups to deliver project objectives.
* Supporting team members in delivering technology solutions that meet business needs and follow best engineering practices.
* Participating in regular code reviews and help maintain coding standards.
* Providing input on technical direction and help assess the quality of deliverables.
* Working closely with technical leaders to align on delivery approaches and manage dependencies.
* Participating in the design and enhancement of software features and platform improvements.
* Working independently to deliver assigned tasks within agreed timelines.
* Practicing agile development in a collaborative, dynamic team environment.
* Adapting quickly to changing business needs and new technologies.
* Following programming and style guidelines to ensure high\-quality, secure code.
* Creating and maintaining documentation, procedures, and work instructions as needed.
* Demonstrating creativity in evaluating business needs and suggesting technical solutions.
**What You’ll Do**
* May lead small projects encompassing analysis, design, programming, debugging, and modification of software enhancements and/or new products used in local, networked, cloud\-based, or Internet\-related computer programs
* Responsible for performing testing and debugging of applications
* Code may be used in commercial and end\-user applications or focus on software and tools supporting infrastructure and technology platforms
* Code at the component level
* Work typically involves large or highly sophisticated software programs and systems
* Possess a proven understanding of current programming language and technologies, with strong skills in writing code and completing programming tasks
* Interact with users to define system requirements and/or necessary modifications
* Conceive, design, develop, test, and implement software components, fixes, improvements, and/or new systems and applications
* Design and develop highly scalable software systems and applications
* You will be expected to stay up to date and leverage emerging technologies such as Generative AI/helper tools like Github Copilot
**Required Qualifications**
* Minimum 5 years of related work experience
* Comfortable working in an Agile environment
* Advanced level knowledge in Java, Angular, Node.js stack, with a proactive demeanor towards continuous learning and skill development, and an interest in mastering emerging data engineering tools and methodologies
* Advanced level knowledge of microservices, RESTful Web Services or APIs.
* Proficiency in object\-oriented programming with an understanding of design principles
* Proficiency in design, development, and implementation of highly scalable, high\-volume software systems and components and major SaaS solutions
* Experience with event driven architecture, including technologies such as Pub\-Sub, Kafka, and similar solutions
* Strong knowledge of unit testing, behavioral testing and continuous integration
* Monitoring tools such as Splunk, AppDynamics, and New Relic
* Software Performance Optimization (memory, CPU, scaling, etc.)
**Preferred Qualifications**
* Experience in developing cloud\-based solutions using managed and serverless technologies as appropriate such as Docker, AWS ECS, Google GKE, AWS Lambda, Google Cloud Functions, AWS DynamoDB, or Google Firestore
* Experience with JavaScript frameworks (Angular and Node.js)
* Experience in Timeshare industry is a plus
* Database Design Experience including both relational and NoSQL such as DynamoDB
* Experience with QA and software analytic tools is a plus
**Required Education**
* Bachelor's or foreign equivalent Degree in Computer Science, Information Systems, Software, Electrical or Electronics Engineering, or comparable field of study, and/or equivalent work experience
 \#DISNEYTECH</t>
        </is>
      </c>
    </row>
    <row r="58">
      <c r="A58" t="inlineStr">
        <is>
          <t>li-4372962614</t>
        </is>
      </c>
      <c r="B58" t="inlineStr">
        <is>
          <t>Software Engineer III</t>
        </is>
      </c>
      <c r="C58" t="inlineStr">
        <is>
          <t>Sam's Club</t>
        </is>
      </c>
      <c r="D58" t="inlineStr">
        <is>
          <t>linkedin</t>
        </is>
      </c>
      <c r="E58" t="inlineStr"/>
      <c r="F58" t="inlineStr"/>
      <c r="G58" t="inlineStr">
        <is>
          <t>Sunnyvale, CA</t>
        </is>
      </c>
      <c r="H58" t="inlineStr"/>
      <c r="I58" t="inlineStr">
        <is>
          <t>Position Summary...
 What you'll do...Looking for a talented and product\-oriented Developer to join our high\-performing team at Developer Experience and GenAI Platform team. In this role, you will collaborate with engineers and product visionaries to design, develop, and deliver innovative developer platforms that drive our Developer Productivity ecosystem.
 As a key contributor, you will leverage your expertise in both backend and frontend technologies to create scalable, engaging, and seamless user experiences. This role offers the opportunity to work on cutting\-edge AI solutions, interact with global engineering teams, and contribute to our vibrant tech community.
 \*\*\*\*\*Immigration Sponsorship support will NOT be available for this position\*\*\*\*\*
 What you'll do:
* Partner with UX designers, product managers, and business analysts to understand requirements and co\-design technical solutions
* Design and develop scalable, high\-performance membership software components for Sam's Club's global eCommerce platform, serving millions of users across multiple tenants
* Build and maintain orchestration layers that seamlessly bridge front\-end experiences with back\-end REST and GraphQL APIs Collaborate with architects to establish and implement technical best practices and design patterns
* Create proof\-of\-concepts (POCs) to validate performance optimizations and innovative solutions for complex business challenges
* Write comprehensive unit, integration, and end\-to\-end tests using React Testing Library and Jest across development, staging, and production environments
* Deploy production\-ready code to Microsoft Azure Cloud environments following established release management processes: Monitor, troubleshoot, and resolve production issues using tools like Chrome DevTools, Microsoft Application Insights, and Postman Provide on\-call support during peak periods including holidays and major sales events
 What you'll bring:
* Strong proficiency in JavaScript and TypeScript with solid object\-oriented programming principles
* Proven experience building production\-grade, customer\-facing web applications using modern frameworks: React, Next.js, and state management libraries (Redux, Context API, etc.)
* ackend \&amp; API Development: Hands\-on experience designing, building, and maintaining RESTful APIs using Node.js with frameworks such as Fastify, Hapi.js, or Express Experience with GraphQL schema design, query optimization, and implementing GraphQL APIs using Apollo Server or similar frameworks
* Working knowledge of data structures, algorithms, and database systems (SQL/NoSQL)
* Proficient with Git version control and modern release management workflows in cloud environments Experience with package management (npm/pnpm/yarn) and Node.js ecosystem
* Preferred Skills : Proficiency in Java, HTML5, CSS3, JavaScript, and modern frameworks like ReactJS, React Native, Redux, Webpack, and Node.js.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**Benefits**
 For information about benefits and eligibility, see One.Walmart.
 Sunnyvale, California US\-11789: The annual salary range for this position is $117,000\.00 \- $234,000\.00
 Bentonville, Arkansas US\-09930: The annual salary range for this position is $90,000\.00 \- $180,000\.00 Additional compensation includes annual or quarterly performance bonuses. Additional compensation for certain positions may also include Regional Pay Zone (RPZ) (based on location).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59">
      <c r="A59" t="inlineStr">
        <is>
          <t>li-4372014219</t>
        </is>
      </c>
      <c r="B59" t="inlineStr">
        <is>
          <t>Software Engineer, Cloud Security, Distributed Systems</t>
        </is>
      </c>
      <c r="C59" t="inlineStr">
        <is>
          <t>Google</t>
        </is>
      </c>
      <c r="D59" t="inlineStr">
        <is>
          <t>linkedin</t>
        </is>
      </c>
      <c r="E59" t="inlineStr"/>
      <c r="F59" t="inlineStr"/>
      <c r="G59" t="inlineStr">
        <is>
          <t>Sunnyvale, CA</t>
        </is>
      </c>
      <c r="H59" t="inlineStr"/>
      <c r="I59" t="inlineStr">
        <is>
          <t>**Minimum qualifications:**
* Bachelor’s degree or equivalent practical experience.
* 2 years of experience with software development coding in C\+\+ programming language.
* 2 years of experience with developing large\-scale infrastructure, or distributed systems.
**Preferred qualifications:**
* Master's degree or PhD in Computer Science or related technical fields.
* 2 years of experience with data structures and algorithms.
* Experience in Cloud Security.
* Experience with programming in Rust or Go.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li-4382394654</t>
        </is>
      </c>
      <c r="B60" t="inlineStr">
        <is>
          <t>Frontend Engineer (Js/TypeScript)</t>
        </is>
      </c>
      <c r="C60" t="inlineStr">
        <is>
          <t>Wiraa</t>
        </is>
      </c>
      <c r="D60" t="inlineStr">
        <is>
          <t>linkedin</t>
        </is>
      </c>
      <c r="E60" t="inlineStr"/>
      <c r="F60" t="inlineStr"/>
      <c r="G60" t="inlineStr"/>
      <c r="H60" t="inlineStr"/>
      <c r="I60" t="inlineStr">
        <is>
          <t>**About The Company**
 Foxglove is at the forefront of building the data infrastructure essential for robots operating in the real world. As robotics technology transitions from research laboratories into mainstream production environments, the need for robust observability, visualization, and data management tools becomes critical. Foxglove develops innovative solutions that enable robotics and autonomous systems teams to efficiently ingest, store, query, replay, and analyze vast volumes of multimodal sensor data from live systems and production fleets. Our platform empowers engineers to understand robot behavior, troubleshoot issues, and improve system performance, thereby accelerating the deployment and reliability of autonomous technologies.
**About The Role**
 We are seeking an experienced and highly adaptable Forward\-Deployed Engineer to join our team at Foxglove. This role is ideal for a product\-minded full\-stack engineer who excels in customer\-facing environments and enjoys tackling complex technical challenges within robotics and observability domains. As a Forward\-Deployed Engineer, you will work directly with strategic clients to integrate and extend Foxglove’s platform into their operational environments. You will also contribute to our core product development by providing upstream feedback and innovative solutions. This position offers a unique blend of hands\-on development, problem\-solving, and collaborative engagement with customer teams. Your efforts will ensure seamless integration of our tools into client workflows and help identify opportunities for product improvements based on real\-world use cases.
**Qualifications**
* 5\+ years of professional experience in JavaScript/TypeScript development
* 3\+ years of experience working with Robotics or Autonomous systems
* Proven track record in customer\-facing engineering roles, preferably within robotics or autonomous domains
* Experience in rapid prototyping and iterative delivery with external stakeholders
* Strong front\-end skills in React and TypeScript, with back\-end experience in Node.js or Python
* Familiarity with C\+\+ or ROS is a plus
* Solid understanding of network and cloud architecture (AWS, GCP, Azure)
* Experience working with database\-backed REST APIs
* Ability to own problems end\-to\-end, learn missing components, and communicate technical details effectively
* Willingness to travel extensively and work on\-site with customers when necessary
**Responsibilities**
* Embed deeply with customer teams to understand their business goals, technical requirements, and domain constraints
* Design and develop end\-to\-end solutions using an experiment\-driven, iterative approach, leveraging technologies such as TypeScript, React, Node.js, Python, ROS, and SQL
* Draft clear scopes of work, timelines, and success metrics for proofs\-of\-concept and production deployments
* Collaborate hands\-on with customer engineers to deploy solutions on their cloud or on\-premise environments, ensuring successful adoption
* Partner with Sales and Customer Success teams to provide a seamless customer experience and measurable outcomes
* Relay frontline insights to Research, Product, and Engineering teams to influence product roadmap and improvements
* Document best practices, contribute to internal libraries, and mentor future Forward\-Deployed Engineers for scalable growth
**Benefits**
* $300 monthly budget towards commuter benefits or personal workspace setup (remote only)
* Competitive equity grant as part of a Series B company
* Comprehensive health coverage including Medical, Dental, Vision, and Term Life insurance at 100% for employees and 75% for dependents
* 401(k) plan with up to 4% matching contributions
* Four weeks of vacation, along with holidays and winter break
* All expenses paid company off\-sites held 1\-2 times per year
 Equal Opportunity
 Foxglove is committed to creating an inclusive environment and is proud to be an equal opportunity employer. We do not discriminate based on race, color, religion, gender, gender identity or expression, sexual orientation, national origin, age, disability, or any other protected status. We believe diversity enhances our team and drives innovation, and we welcome applicants from all backgrounds to apply and join us in shaping the future of robotics and autonomous systems.</t>
        </is>
      </c>
    </row>
    <row r="61">
      <c r="A61" t="inlineStr">
        <is>
          <t>li-4312355545</t>
        </is>
      </c>
      <c r="B61" t="inlineStr">
        <is>
          <t>Software Engineer, Robotics</t>
        </is>
      </c>
      <c r="C61" t="inlineStr">
        <is>
          <t>Anduril Industries</t>
        </is>
      </c>
      <c r="D61" t="inlineStr">
        <is>
          <t>linkedin</t>
        </is>
      </c>
      <c r="E61" t="inlineStr"/>
      <c r="F61" t="inlineStr"/>
      <c r="G61" t="inlineStr">
        <is>
          <t>Irvine, CA</t>
        </is>
      </c>
      <c r="H61" t="inlineStr"/>
      <c r="I6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Defense team builds robots that find other robots and knock them out of the sky. At a time when air superiority can no longer be taken for granted, the Air Defense Team provides mission critical capabilities to warfighters. From detection to tracking, identification, deterrence, and defeat, our family of networked sensors and effectors enables our customers to rapidly close the kill chain against a broad range of Unmanned Aerial System (UAS) threats. Working across product, engineering, sales, logistics, operations, and mission success, the Air Defense team develops, tests, deploys, and sustains the Anduril Air Defense Family of Systems (FoS) in challenging operational environments worldwide.
**About The Role**
 We're looking for a Staff Software Engineer specializing in Robotics to join our growing team in Irvine, CA. As a Software Engineer on the Air Defense team, you will solve a wide variety of problems involving autonomy, systems integration, robotics, networking, and more, while making pragmatic engineering tradeoffs along the way. Your efforts will ensure that Anduril products seamlessly work together to achieve a variety of critical outcomes. Above all, Software Engineers on Air Defense are driven by a “Whatever It Takes” mindset—executing in an
 *expedient* 
 ,
 *scalable* 
 , and
 *pragmatic* 
 way while keeping the mission top\-of\-mind and making sound engineering decisions to deliver successful outcomes correctly, on\-time, and with high quality.
**What You'll Do**
* Write and maintain core libraries and services that perform critical functions for collaborative teams of robots \- for example, frame transformations, targeting and guidance, etc.
* Own feature development and rollout of large, complex features for our products. This includes systems analysis, sensor selection and integration, perception architecture and implementation, motion planning, health management, behavior analysis, simulation and test infrastructure, and interfaces with lower\- and higher\-level systems.
* Implement scalable sub\-systems including sensor processing, perception, tracking, motion planning, health management, anomaly detection, simulation, testing fixtures, and vehicle interfaces
* Work closely with Anduril and 3rd party robotic platform hardware teams, as well as operational subject matter experts to align on requirements during product development and iterate towards a final design.
**Required Qualifications**
* Strong engineering background from industry or school, ideally in areas/fields such as Robotics, Computer Science, Software Engineering, Mechatronics, Electrical Engineering, Mathematics, or Physics.
* 3\+ years of C\+\+ or Rust experience in a Linux development environment
* Proven understanding of data structures, algorithms, concurrency, and code optimization
* Experience troubleshooting and analyzing remotely deployed software systems
* Eligible to obtain and maintain an active U.S. Top Secret SCI security clearance
**Preferred Qualifications**
* MS, ideally in areas/fields such as Robotics, Computer Science, Software Engineering
* Experience programming for embedded and physical devices
* Experience in one or more of the following: motion planning, perception, localization, mapping, controls, and related system performance metrics.
* Understanding of systems software (kernel, device drivers, system calls) and optimizing for limited resources
 US Salary Range
 $166,000—$282,000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**Protecting Yourself from Recruitment Scams**
 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
 To Ensure Your Safety And Help You Navigate Your Job Search With Confidence, Please Keep The Following Critical Points In Mind
* No Financial Requests: Anduril will never solicit payment or demand personal financial details (such as banking information, credit card numbers, or social security numbers) at any stage of our hiring process. Our legitimate recruitment is entirely free for candidates.
* Please always verify communications:
+ Direct from Anduril: Our recruiters will only email you from an @anduril.com address.
+ Via Agency Partner: If contacted by a recruiting agency for an Anduril role, their email will clearly identify their agency. If you suspect any suspicious activity, please verify the agency's authenticity by reaching out to contact@anduril.com.
*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
 To view Anduril's candidate data privacy policy, please visit https://anduril.com/applicant\-privacy\-notice/.</t>
        </is>
      </c>
    </row>
    <row r="62">
      <c r="A62" t="inlineStr">
        <is>
          <t>li-4372917102</t>
        </is>
      </c>
      <c r="B62" t="inlineStr">
        <is>
          <t>VP, Software Developer - Treasury Technology</t>
        </is>
      </c>
      <c r="C62" t="inlineStr">
        <is>
          <t>Jefferies</t>
        </is>
      </c>
      <c r="D62" t="inlineStr">
        <is>
          <t>linkedin</t>
        </is>
      </c>
      <c r="E62" t="inlineStr"/>
      <c r="F62" t="inlineStr"/>
      <c r="G62" t="inlineStr">
        <is>
          <t>New York, NY</t>
        </is>
      </c>
      <c r="H62" t="inlineStr"/>
      <c r="I62" t="inlineStr">
        <is>
          <t>**Job Description**
 You will work as part of the Treasury Technology team at Jefferies. The team provides solutions and support for cash and liquidity management. Covering FX, Fixed Income and Equities, including financing (Repo and Stock Lending), we are looking for a strong all round senior developer who will work across the treasury technology stack to design, build, and maintain core treasury systems. The role demands deep, practical expertise in .NET development, SQL Server, and integration with treasury platforms, with an emphasis on reliability, scalability, and compliance.
**Key Responsibilities**
* Application Development \&amp; Architecture
* Lead the design, development, and deployment of treasury systems using .NET (Core \&amp; Framework).
* Architect solutions integrating with key Treasury platforms for trade capture, settlements, and risk reporting.
* Deliver APIs and middleware for real\-time data exchange across systems.
* Conduct code reviews and implement automated testing frameworks.
* Database Design \&amp; Management
* Design and optimize SQL Server databases supporting high\-volume transactional data.
* Develop stored procedures, functions, views, and ETL processes for treasury data.
* Implement robust backup, disaster recovery, and data integrity controls.
* Treasury System Integration
* Work closely with Treasury Operations to understand trade lifecycle processes (FX, MM, derivatives, collateral).
* Build interfaces for trade feeds, cash flow forecasting, and position reporting.
* Project \&amp; Stakeholder Management
* Own delivery of key treasury technology projects from inception to production.
* Collaborate with business analysts, treasury, and risk teams to capture and refine requirements.
**Essential Skills \&amp; Experience**
 Technical Expertise
* Strong proficiency in C\#, .NET Core, ASP.NET MVC/Web API, Entity Framework, and LINQ.
* Expert\-level SQL Server knowledge including performance tuning, query optimization, indexing.
* Understanding of financial instruments (FX, MM, swaps, repos) and trade lifecycle.
 Leadership \&amp; Communication
* Skilled in translating treasury business requirements into technical specifications.
* Strong stakeholder engagement skills with the ability to explain technical topics to non\-technical audiences.
* Knowledge of CI/CD pipelines and automated testing suites.
**Other Useful Skills \&amp; Experience**
* Python
* Angular / Typescript / JavaScript
* Snowflake (nice to have)
* Power BI (nice to have)
 Primary Location Full Time Salary Range of $150,000 \- $200,000\.
**About Us**
 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
 At Jefferies, we are committed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committed to creating and sustaining a workforce that welcomes individuals from all backgrounds to apply. Our employment decisions are made without regard to race, creed, color, national origin, ancestry, religion, pregnancy, age, medical condition, physical or mental disability, marital status, domestic partner status, sex, sexual orientation, gender,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 to individuals with disabilities, as required by applicable law.
 The salary offered will take into consideration an individual’s experience level and qualifications. In addition to salary, Jefferies Financial Group is proud to offer a comprehensive benefits package to eligible, full\-time employees or part\-time employees, who are scheduled to work at least 30 hours or more per week, including an annual discretionary incentive and retention bonus, competitive employee benefits, including: medical, dental \&amp; vision coverage; 401(k); life, accident, and disability insurance; and wellness programs. Jefferies also offers paid time off packages that include planned time off (e.g., vacation), unplanned time off (e.g., sick leave), and paid holidays, and for full\-time employees, paid parental leave.</t>
        </is>
      </c>
    </row>
    <row r="63">
      <c r="A63" t="inlineStr">
        <is>
          <t>li-4371770769</t>
        </is>
      </c>
      <c r="B63" t="inlineStr">
        <is>
          <t>Software Engineer III - Embedded</t>
        </is>
      </c>
      <c r="C63" t="inlineStr">
        <is>
          <t>EVONA</t>
        </is>
      </c>
      <c r="D63" t="inlineStr">
        <is>
          <t>linkedin</t>
        </is>
      </c>
      <c r="E63" t="inlineStr"/>
      <c r="F63" t="inlineStr"/>
      <c r="G63" t="inlineStr">
        <is>
          <t>Sacramento, CA</t>
        </is>
      </c>
      <c r="H63" t="inlineStr"/>
      <c r="I63" t="inlineStr">
        <is>
          <t>Software Engineer III – Embedded Systems
 A leading U.S.\-based defense and national security engineering organization is seeking a
 **Software Engineer III – Embedded Systems** 
 to support the development of advanced airborne ISR and propulsion\-related technologies.
**The Role**
 You will contribute to the architecture, development, integration, and testing of embedded software systems supporting airborne intelligence, surveillance, and reconnaissance platforms.
 Working alongside senior engineers and customers, you will help define software requirements, prototype alternate architectures, and deliver robust solutions in demanding operational environments.
**Key Responsibilities**
* Define and implement embedded software requirements and system designs
* Develop, integrate, and test embedded applications within RTOS environments
* Evaluate and incorporate emerging software technologies, including open\-source tools where appropriate
* Support architectural prototyping and alternative design approaches
* Prepare and present technical materials at internal and customer reviews
* Participate in peer reviews, customer meetings, and problem\-solving sessions
* Make informed technical decisions that influence software product direction
* Contribute to Agile development processes and collaborative engineering efforts
**Required Qualifications**
* Bachelor’s degree in Engineering or Computer Science
* 4 to 7 years of experience in embedded software development
* Strong experience with C/C\+\+, Python, MATLAB, Linux, and Git
* Understanding of object\-oriented design, concurrent programming, digital signal processing, and distributed systems
* Experience working in RTOS environments
* Familiarity with Agile methodologies and tools such as JIRA
* Knowledge of secure programming and encryption principles
* Strong communication skills and ability to operate in collaborative team environments
* Willingness to travel up to 25 percent
* U.S. Citizenship required with the ability to obtain and maintain a U.S. Security Clearance
**Preferred Qualifications**
* Current DoD Top Secret SCI clearance
* Master’s degree in Computer Science or Engineerin</t>
        </is>
      </c>
    </row>
    <row r="64">
      <c r="A64" t="inlineStr">
        <is>
          <t>li-4365664519</t>
        </is>
      </c>
      <c r="B64" t="inlineStr">
        <is>
          <t>Senior Software Engineer, Backend - IT Product</t>
        </is>
      </c>
      <c r="C64" t="inlineStr">
        <is>
          <t>Rippling</t>
        </is>
      </c>
      <c r="D64" t="inlineStr">
        <is>
          <t>linkedin</t>
        </is>
      </c>
      <c r="E64" t="inlineStr"/>
      <c r="F64" t="inlineStr"/>
      <c r="G64" t="inlineStr">
        <is>
          <t>San Francisco, CA</t>
        </is>
      </c>
      <c r="H64" t="inlineStr"/>
      <c r="I64"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IT Product Team**
 The IT Product Engineering team is critical to unifying Rippling's workforce management system, bridging the gap between HR and traditional IT administration. Our mission is to build software that enables businesses to manage employee devices, applications, and access security automatically, leveraging Rippling's single source of employee truth (the HRIS). We automate the complexity of IT management from the moment a new employee is hired to the moment they offboard.
**What We Build**
 We build the mission\-critical software that simplifies IT for organizations, turning complex, manual processes into simple, one\-click solutions. Our core product domains include:
* Device Management (MDM): Developing systems to securely enroll, configure, manage, and inventory corporate devices (macOS, Windows, iOS, etc.), including policy enforcement and remote wipe capabilities.
* App Management \&amp; Identity: Creating the centralized platform for provisioning and de\-provisioning employee access to hundreds of third\-party SaaS applications, ensuring instant security and compliance through integrated identity and access management (IAM).
* Inventory \&amp; Asset Management: Building the core financial and logistical systems to track physical assets, manage software licenses, and automate IT procurement from device ordering to deployment.
* Security \&amp; Compliance: Developing the mechanisms for setting, managing, and enforcing security policies across all devices and applications, ensuring employee and corporate data remain protected.
**What You Will Do**
* Own the design and implementation of core backend services and APIs that power critical product capabilities and complex business logic.
* Ensure all systems are built for high\-volume scale, reliability, and security, making strategic decisions about infrastructure and data integrity.
* Work seamlessly with product, frontend, and platform teams to translate feature goals into robust, high\-performance technical solutions.
* Elevate the team's technical standards, lead code and design reviews, and mentor engineers on backend best practices.
**What You Will Need**
* 5\+ years of experience in a production environment using Python, Go, or a similar high\-scale backend language.
* Deep expertise in distributed systems architecture, data modeling, and performance optimization of relational databases.
* You have seen and contributed to systems operating at a significant technical and organizational scale.
* Strong understanding of CS/algorithms fundamentals and experience with complex project delivery.
* Exceptional communication skills with technical and cross\-functional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65">
      <c r="A65" t="inlineStr">
        <is>
          <t>li-4372995772</t>
        </is>
      </c>
      <c r="B65" t="inlineStr">
        <is>
          <t>Senior Full Stack Engineer - Mobile</t>
        </is>
      </c>
      <c r="C65" t="inlineStr">
        <is>
          <t>Teleport</t>
        </is>
      </c>
      <c r="D65" t="inlineStr">
        <is>
          <t>linkedin</t>
        </is>
      </c>
      <c r="E65" t="inlineStr"/>
      <c r="F65" t="inlineStr"/>
      <c r="G65" t="inlineStr"/>
      <c r="H65" t="inlineStr"/>
      <c r="I65" t="inlineStr">
        <is>
          <t>**We help companies stay secure while moving fast.**
 Built by engineers for engineers, The Teleport Access Platform delivers on\-demand, least privileged access to infrastructure based on cryptographic identity and zero trust, with built\-in identity security and policy governance, making the happy path for engineers the secure path.
 Teleport is trusted by the world’s fastest\-moving companies, including Elastic, Snowflake, Doordash, and NASDAQ. We recently raised US$110M at a US$1\.1B valuation.
**Our Vision**
 Today's computing environments have too much complexity, too many network boundaries, and too little trust. Complexity slows engineers down and leads to human errors. Complex systems can’t be secure despite the red tape of bureaucracy. We make trusted computing simple. This gives engineers the freedom to move and build a better future.
**Why Teleport**
 At Teleport, we focus on empowering our people to accomplish their goals by working alongside highly talented people to make the most of their careers. You have the freedom, autonomy and trust to do what you’re great at and have a significant impact on the future prospects of the company.
 Whether that’s taking a feature or project from ideation to deployment or working with some of the biggest, most interesting companies in the world and solving real challenges for them, we want you to help us build the future.
 We’re not a big company. You won’t get lost in a crowd. Instead, we move fast, with a team that wants to make an impact, that shares in our success, and gives you the freedom, power, and autonomy to become the very best at what you do.
****About Us****
 Teleport is the Infrastructure Identity Company, modernizing identity, access, and policy for infrastructure, improving engineering velocity and resiliency of critical infrastructure against human factors and/or compromise.
 We are a fast\-growing, well\-funded Y\-Combinator company. We value our craft, are strong supporters of work/life balance, and embrace a culture of humility, honesty, and transparency.
****About This Job****
 We are looking for product\-focused mobile engineers to help launch our first mobile app. This role gives you the opportunity to define how we develop for mobile and to work with other teams to integrate mobile app development into our engineering practices.
 You will build native mobile applications (starting with iOS), while also contributing to backend APIs, and integrations for all parts of Teleport.
 You will work on the full product lifecycle from working with customers to understand their problems, writing RFDs for your proposed design, implementation, testing, and documentation.
 Teleport is an open core project and most of the code you will write will be open source.
**Projects you may work on**
* Extending Teleport's Device Trust functionality to iOS and other mobile platforms
* Making Teleport easier to use on mobile platforms.
* Building mobile features that support our passwordless vision.
****Requirements****
* iOS experience
* Experience with Go, Android, or Cryptography engineering is a plus
 As we are a startup, you should be comfortable changing the area of focus and working directly with customers.
**Interview Process**
* You will join 30 minute intro call and we will walk you through the compensation, interview process and requirements.
* You join a Slack channel and submit a coding challenge in Go and TypeScript using GitHub.
****Benefits****
* Extensive health coverage
* Annual expense budget
* Rest \&amp; recovery policies that maximize leave and your ability to recharge
* Investment in your future with retirement savings plans
* Equity in a US $1\.1\-bn business
* Professional development opportunities
 Teleport is an equal opportunity employer and does not discriminate against any employee or applicant on the basis of age, color, disability, gender, national origin, race, religion, sexual orientation, veteran status, or any classifications protected by federal, state, or local law.
 Candidate Privacy Notice: For information about our collection and processing of job applicant personal data for this position, please see our Job Applicant Privacy Policy and Notice of Collection at https://goteleport.com/legal/apply/job\-applicant/
****The Benefits****
 While many companies flaunt their benefits and perks to convince you to join their company, we believe your career is more important than that. That’s why we focus on making your day\-to\-day the best it can be while empowering you to achieve your goals and aspirations.
 What does that mean?
* It means you’ll have the autonomy to make your own decisions and focus on what’s important to you and your role.
* It means having access to a senior team that supports you and wants to see you succeed.
* You’ll have a smart team you can learn from, collaborate with, and grow with.
* It means being able to make an impact and have a voice in the future of the feature, product or company direction. We don’t just leave you to focus on a niche. We allow you to spread your wings and take advantage of opportunities, challenging projects and exciting problems.
* It means removing the bureaucracy and red tape that stifles innovation while giving you access to all the information you need to build and take action more quickly.
* It means allowing you to have the career you’ve always wanted today, rather than having to “earn your stripes” and wait for the right moment. If you’re good enough, you’re good enough.
 But we don’t stop there.
 In Addition To The Career Opportunities At Teleport, We Offer a Whole Range Of Benefits That Help You To Maximize Your Future, Including:
* Extensive health coverage
* Annual expense budget
* Rest \&amp; recovery policies that maximize leave and your ability to recharge
* Investment in your future with retirement savings plans
* Equity in a US $1\.1\-bn business
* Professional development opportunities
**Do you have what it takes?**
 Get to use (and know) Teleport through our unique interview process
 At Teleport, we do things a bit differently. And when we say we only hire top talent, we actually mean it. Because of this, our interview process is different too \- and we’re proud of it. We let your work do the talking. We don’t go in for six rounds of interviews, live whiteboard or live\-coding. We don’t hire people that can talk a good game. We only want the best. And for that, we need to see what you can do, in your own time, in your own way. For real.
 But interviews are a two\-way street. Through the project, you’ll get a real taste of life at Teleport, including:
* We’re flexible \- you’ll have plenty of time to complete your project, if life gets in the way, that’s ok. We can \- work around you.
* We give you autonomy \- you’ll have the space and freedom to figure things out, make decisions, and problem\-solve.
* We’re collaborative \- Got questions?
* We have answers. You’ll have support from your team \- the one you’ll be working with day in day out if you’re successful in getting the role.
* We progress careers \- During the project, see how much you learn. That’s what working at Teleport is like. We like learning, on the job. All\-the\-time.
* We can move fast (if you can) \- two weeks sound like a long time? No problem? Early submissions are fine, and we’ll keep the process moving.
 Think you’ve got what it takes? We’d love to see it! Unconvinced? We can guarantee three things:
* It’ll challenge you.
* You'll learn a lot.
* If you love the process, you'll love working at Teleport.
 Teleport is an equal opportunity employer and does not discriminate against any employee or applicant on the basis of age, color, disability, gender, national origin, race, religion, sexual orientation, veteran status, or any classifications protected by federal, state, or local law.
 Candidate Privacy Notice: For information about our collection and processing of job applicant personal data for this position, please see our Job Applicant Privacy Policy and Notice of Collection at https://goteleport.com/legal/apply/job\-applicant/
 Compensation Range: $189,040 \- $278,000</t>
        </is>
      </c>
    </row>
    <row r="66">
      <c r="A66" t="inlineStr">
        <is>
          <t>li-4326940131</t>
        </is>
      </c>
      <c r="B66" t="inlineStr">
        <is>
          <t>Software Engineer, Sandboxing (Systems)</t>
        </is>
      </c>
      <c r="C66" t="inlineStr">
        <is>
          <t>Anthropic</t>
        </is>
      </c>
      <c r="D66" t="inlineStr">
        <is>
          <t>linkedin</t>
        </is>
      </c>
      <c r="E66" t="inlineStr"/>
      <c r="F66" t="inlineStr"/>
      <c r="G66" t="inlineStr">
        <is>
          <t>San Francisco, CA</t>
        </is>
      </c>
      <c r="H66" t="inlineStr"/>
      <c r="I6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seeking a Linux OS and System Programming Subject Matter Expert to join our Infrastructure team. In this role, you'll work on accelerating and optimizing our virtualization and VM workloads that power our AI infrastructure. Your expertise in low\-level system programming, kernel optimization, and virtualization technologies will be crucial in ensuring Anthropic can scale our compute infrastructure efficiently and reliably for training and serving frontier AI models.
**Responsibilities**
* Optimize our virtualization stack, improving performance, reliability, and efficiency of our VM environments
* Design and implement kernel modules, drivers, and system\-level components to enhance our compute infrastructure
* Investigate and resolve performance bottlenecks in virtualized environments
* Collaborate with cloud engineering teams to optimize interactions between our workloads and underlying hardware
* Develop tooling for monitoring and improving virtualization performance
* Work with our ML engineers to understand their computational needs and optimize our systems accordingly
* Contribute to the design and implementation of our next\-generation compute infrastructure
* Share knowledge with team members on low\-level systems programming and Linux kernel internals
* Partner with cloud providers to influence hardware and platform features for AI workloads
**You May Be a Good Fit If You**
* Have experience with Linux kernel development, system programming, or related low\-level software engineering
* Understand virtualization technologies (KVM, Xen, QEMU, etc.) and their performance characteristics
* Have experience optimizing system performance for compute\-intensive workloads
* Are familiar with modern CPU architectures and memory systems
* Have strong C/C\+\+ programming skills and ideally experience with systems languages like Rust
* Understand Linux resource management, scheduling, and memory management
* Have experience profiling and debugging system\-level performance issues
* Are comfortable diving into unfamiliar codebases and technical domains
* Are results\-oriented, with a bias towards practical solutions and measurable impact
* Care about the societal impacts of AI and are passionate about building safe, reliable systems
**Strong Candidates May Also Have Experience With**
* GPU virtualization and acceleration technologies
* Cloud infrastructure at scale (AWS, GCP)
* Container technologies and their underlying implementation (Docker, containerd, runc, OCI)
* eBPF programming and kernel tracing tools
* OS\-level security hardening and isolation techniques
* Developing custom scheduling algorithms for specialized workloads
* Performance optimization for ML/AI specific workloads
* Network stack optimization and high\-performance networking
* Experience with TPUs, custom ASICs, or other ML accelerators
**Representative Projects**
* Optimizing kernel parameters and VM configurations to reduce inference latency for large language models
* Implementing custom memory management schemes for large\-scale distributed training
* Developing specialized I/O schedulers to prioritize ML workloads
* Creating lightweight virtualization solutions tailored for AI inference
* Building monitoring and instrumentation tools to identify system\-level bottlenecks
* Enhancing communication between VMs for distributed training workloads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67">
      <c r="A67" t="inlineStr">
        <is>
          <t>li-4365583248</t>
        </is>
      </c>
      <c r="B67" t="inlineStr">
        <is>
          <t>Software Engineer III, AI/ML GenAI, Google Cloud Data Management</t>
        </is>
      </c>
      <c r="C67" t="inlineStr">
        <is>
          <t>Google</t>
        </is>
      </c>
      <c r="D67" t="inlineStr">
        <is>
          <t>linkedin</t>
        </is>
      </c>
      <c r="E67" t="inlineStr"/>
      <c r="F67" t="inlineStr"/>
      <c r="G67" t="inlineStr">
        <is>
          <t>Mountain View, CA</t>
        </is>
      </c>
      <c r="H67" t="inlineStr"/>
      <c r="I67" t="inlineStr">
        <is>
          <t>**Minimum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li-4372931963</t>
        </is>
      </c>
      <c r="B68" t="inlineStr">
        <is>
          <t>Senior Software Engineer, Systems</t>
        </is>
      </c>
      <c r="C68" t="inlineStr">
        <is>
          <t>Anthropic</t>
        </is>
      </c>
      <c r="D68" t="inlineStr">
        <is>
          <t>linkedin</t>
        </is>
      </c>
      <c r="E68" t="inlineStr"/>
      <c r="F68" t="inlineStr"/>
      <c r="G68" t="inlineStr">
        <is>
          <t>San Francisco, CA</t>
        </is>
      </c>
      <c r="H68" t="inlineStr"/>
      <c r="I6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Infrastructure organization is foundational to our mission of developing AI systems that are reliable, interpretable, and steerable. The systems we build determine how quickly we can train new models, how reliably we can run safety experiments, and how effectively we can scale Claude to millions of users — demonstrating that safe, reliable infrastructure and frontier capabilities can go hand in hand.
 The Systems engineering team owns compute uptime and resilience at massive scale, building the clusters, automation, and observability that make frontier AI research possible and safely deployable to customers.
*Team Matching: Team matching is determined after the interview process based on interview performance, interests, and business priorities. Please note we may also consider you for different Infrastructure teams.*
**Responsibilities**
* Lead infrastructure projects from design through delivery, owning scope, execution, and outcomes
* Build and maintain systems that support AI clusters at massive scale (thousands to hundreds of thousands of machines)
* Partner with cloud providers and internal teams to solve compute, networking, and reliability challenges
* Tackle difficult technical problems in your domain and proactively fill gaps in tooling, documentation, and processes
* Contribute to operational practices including incident response, postmortems, and on\-call rotations
**You May Be a Good Fit If You**
* Have 6\+ years of software engineering experience
* Have led technical projects end\-to\-end over multiple months, including scoping, breaking down work, and driving delivery
* Have deep knowledge of distributed systems, reliability, and cloud platforms (Kubernetes, IaC, AWS/GCP)
* Are strong in at least one systems language (Python, Rust, Go, Java)
* Solve hard problems independently and know when to pull others in
* Help teammates grow through knowledge sharing and thoughtful technical guidance
* Communicate clearly in design docs, presentations, and cross\-functional discussions
**Strong Candidates May Have**
*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69">
      <c r="A69" t="inlineStr">
        <is>
          <t>li-4382387605</t>
        </is>
      </c>
      <c r="B69" t="inlineStr">
        <is>
          <t>Software Engineer</t>
        </is>
      </c>
      <c r="C69" t="inlineStr">
        <is>
          <t>Robert Half</t>
        </is>
      </c>
      <c r="D69" t="inlineStr">
        <is>
          <t>linkedin</t>
        </is>
      </c>
      <c r="E69" t="inlineStr"/>
      <c r="F69" t="inlineStr"/>
      <c r="G69" t="inlineStr">
        <is>
          <t>Las Vegas, NV</t>
        </is>
      </c>
      <c r="H69" t="inlineStr"/>
      <c r="I69" t="inlineStr">
        <is>
          <t>We are looking for a skilled Software Engineer to join our team in Las Vegas, Nevada. This role involves utilizing your expertise in object\-oriented programming to develop advanced software solutions, ensuring the seamless integration of new system features while maintaining existing requirements. As part of a collaborative environment, you will work closely with various teams to deliver high\-quality software aligned with business and customer objectives.
***ABSOULTE MUST HAVES:***
 • Recent/Current development experience in an Embedded Linux Environment
 • Extensive C/C\+\+ object\-oriented programming experience
 • Willingness to live in and work onsite in Las Vegas 5 days per week (relocation assistance is available)
 • US Citizenship or Green Card \- our client is not transferring or sponsoring visas at this time
 • Willingness to submit to a comprehensive background check and drug screen
***Responsibilities:***
 • Design and implement software solutions using object\-oriented programming principles to meet project requirements.
 • Collaborate with Quality Assurance and Software Design teams to develop and enhance system features.
 • Create software for embedded systems, ensuring compatibility with industry standards and protocols.
 • Utilize agile development methodologies, automation tools, and continuous integration to optimize workflows.
 • Develop and maintain multi\-threaded applications and socket APIs to support system functionality.
 • Conduct thorough testing to ensure software accuracy, reliability, and compliance with requirements.
 • Communicate effectively with internal teams and stakeholders to provide technical insights and updates.
 • Apply analytical thinking to troubleshoot and resolve complex software issues.
 • Manage tasks efficiently while maintaining a high level of accuracy and attention to detail.
 • Work within the casino management systems environment, applying knowledge of technology constraints and requirements.
 • Extensive experience in software development, with at least 7 years in a related role.
 • Proficiency in programming languages such as C and C\+\+, with expertise in embedded systems.
 • Familiarity with Linux operating systems and the gcc compiler.
 • Strong understanding of multi\-threaded applications and socket APIs.
 • Exceptional communication skills, both written and verbal, with the ability to engage professionally at all levels.
 • Advanced knowledge of Microsoft Office tools for documentation and reporting.
 • Proven ability to analyze and solve complex technical problems.
 • Must be eligible to obtain and retain gaming licensure as required.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70">
      <c r="A70" t="inlineStr">
        <is>
          <t>li-4372973306</t>
        </is>
      </c>
      <c r="B70" t="inlineStr">
        <is>
          <t>(USA) Staff, Software Engineer</t>
        </is>
      </c>
      <c r="C70" t="inlineStr">
        <is>
          <t>Walmart</t>
        </is>
      </c>
      <c r="D70" t="inlineStr">
        <is>
          <t>linkedin</t>
        </is>
      </c>
      <c r="E70" t="inlineStr"/>
      <c r="F70" t="inlineStr"/>
      <c r="G70" t="inlineStr">
        <is>
          <t>Sunnyvale, CA</t>
        </is>
      </c>
      <c r="H70" t="inlineStr"/>
      <c r="I70" t="inlineStr">
        <is>
          <t>Position Summary...
 What you'll do...As a Staff Software Engineer – Frontend on the Platform team, you’ll own the architecture and maintenance of advanced frontend frameworks that power marketplace experiences and empower sellers and partners. You’ll design, build, optimize, and monitor platform health; collaborate with product and UX/UI teams; and mentor engineers—using TypeScript/JavaScript, React, GraphQL, and GenAI tooling to shape the future of our platform.
 About Team:
 What you'll do:
* Platform \&amp; frameworks: Design and build reusable web frameworks, shared build pipelines, and platform capabilities that many product teams depend on. Own build optimization (bundling, caching, tree\-shaking, code\-splitting) and developer experience.
* Hands\-on engineering: Spend most of your time in code — implementing features, reviewing code, debugging, and optimizing. Set and uphold quality and consistency standards.
* GenAI \&amp; agentic workflows: Use GenAI tooling to make developer and platform flows more agentic (e.g., smarter scaffolding, codegen, diagnostics, automation). Experiment with and adopt AI\-assisted tooling to improve productivity and reliability.
* Orchestration Layer (OL): Design, implement, and evolve the Orchestration Layer (OL) that coordinates micro frontends, app shell, and shared services. Ensure consistent lifecycle, routing, and integration patterns so applications run reliably at scale.
* Frontend craft: Build responsive UIs with TypeScript/JavaScript, HTML, and CSS. Use React with Webpack (or similar) and modern tooling. Apply or extend design systems and CSS approaches (e.g., Bootstrap/Foundation or equivalent) for consistency and performance.
* Data layer \&amp; APIs: Work with GraphQL for platform and product data — schema design, queries/mutations, and client integration (e.g., Apollo, Relay). Ensure consistent, efficient data access across the platform.
* Performance \&amp; health: Own frontend performance — load time, runtime, and resource usage. Optimize browser storage and memory. Define metrics, monitoring, and practices for app health and performance at scale.
* Architecture \&amp; standards: Drive frontend and build architecture decisions. Stay current on frameworks and tooling. Document patterns, conventions, and platform capabilities so teams can adopt them easily.
* Leadership \&amp; collaboration: Mentor engineers, lead technical initiatives, and work with product and other platform teams. Represent the platform in cross\-team design and rollout of new capabilities.
 What you'll bring:
* Frontend: Strong experience with TypeScript/JavaScript, HTML, CSS, and React. Solid experience with modern build tooling (e.g., Webpack, Vite, or similar) and frontend performance optimization.
* Orchestration Layer (OL): Experience designing or implementing Orchestration Layer patterns — app shell, micro frontend coordination, shared lifecycle, routing, or similar platform orchestration at scale.
* GraphQL: Experience with GraphQL — schema design, queries/mutations/subscriptions, and client usage (e.g., Apollo Client, Relay) for robust, type\-safe data access.
* Platform / build: Experience with build optimization, monorepos, and shared tooling. Familiarity with orchestration tooling (e.g., Nx, Lerna) or similar is a plus.
* Performance: Proven ability to improve load times, runtime performance, and resource usage. Understanding of browser storage, memory, and caching strategies.
* GenAI / tooling: Interest or experience using GenAI tools to improve developer workflows, automation, or agentic flows. Willingness to evaluate and integrate AI\-assisted tooling.
* Code quality: Track record of clean, testable, maintainable TypeScript/JavaScript code and thorough code review. Strong analytical and problem\-solving skills.
* Leadership: Experience leading technical efforts, mentoring others, and making architecture decisions. Good verbal and written communication.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71">
      <c r="A71" t="inlineStr">
        <is>
          <t>li-4343158725</t>
        </is>
      </c>
      <c r="B71" t="inlineStr">
        <is>
          <t>Staff Full Stack Engineer</t>
        </is>
      </c>
      <c r="C71" t="inlineStr">
        <is>
          <t>SoFi</t>
        </is>
      </c>
      <c r="D71" t="inlineStr">
        <is>
          <t>linkedin</t>
        </is>
      </c>
      <c r="E71" t="inlineStr"/>
      <c r="F71" t="inlineStr"/>
      <c r="G71" t="inlineStr">
        <is>
          <t>New York, NY</t>
        </is>
      </c>
      <c r="H71" t="inlineStr"/>
      <c r="I7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Staff Full Stack Engineer you’ll play a critical, hands\-on role in building, deploying, and optimizing scalable, enterprise\-class, production\-grade, full\-stack custom applications. The ideal candidate has 8\+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or equivalent for advanced AI workloads).
* Manage deployment pipelines and infrastructure as code using ArgoCD, GitLab CI/CD, and AWS best practices.
* Collaborate with the AI engineers on the team to implement production grade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8\+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72">
      <c r="A72" t="inlineStr">
        <is>
          <t>li-4245484977</t>
        </is>
      </c>
      <c r="B72" t="inlineStr">
        <is>
          <t>Sr. Embedded Software Engineer</t>
        </is>
      </c>
      <c r="C72" t="inlineStr">
        <is>
          <t>Panasonic Avionics Corporation</t>
        </is>
      </c>
      <c r="D72" t="inlineStr">
        <is>
          <t>linkedin</t>
        </is>
      </c>
      <c r="E72" t="inlineStr"/>
      <c r="F72" t="inlineStr"/>
      <c r="G72" t="inlineStr">
        <is>
          <t>Irvine, CA</t>
        </is>
      </c>
      <c r="H72" t="inlineStr"/>
      <c r="I72"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Avionics Way**
 The Avionics Way captures the essence of what makes our employees special, and by extension, our organization. It’s comprised of 5 core identifiers \- Pioneers, Problem Solvers, Accountable, Collaborative, and Customer Focused \- that together form a robust, working framework for our continued success. Beyond a philosophy, the Avionics Way is our guide to daily practices. It provides a clear, actionable model to help employees, at all levels, realize their ambitions through outsized contributions to their teams and the company. This model clearly defines expectations for performance at all levels of the organization, as well as establishes specific actions and modes of working that reinforce our philosophy on the path to achieving our goals.
**Responsibilities**
**Job Summary:**
 Responsible for taking a leading role in researching, developing, and maintaining real\-time embedded software including complex development. Linux OS/Kernel configuration for various hardware architectures as well as verifying hardware through software. High\-level architecture development in C/C\+\+, hardware device drivers, networked client\-server applications, multiple database driven applications, and network security methodologies. Has specific technical project or product responsibility. Provides mentorship, leadership and/or technical guidance to engineers on a project
**Major Responsibilities**
* Translates designs into software by analyzing functional specifications and interpreting complex system design specifications and provides systems engineering support on large\- scale systems, major system elements, and/or interfacing systems, requiring extensive investigation and clarification.
* Develops functional block diagrams and data/logic flow charts. Develops strategic and implementation plans for large\-scale information systems.
* Codes, integrates, tests, debugs, and refines the software to produce the required product.
* Designs complex software tools and subsystems to support software development, test, and reuse, and manages their implementation.
* Enhances software to reduce operating time or improve efficiency.
* Develops system architecture and design including software, hardware, communications and interface requirements.
* Reviews, evaluates, and analyzes design interfaces. Prepares, reviews, and evaluates interface documentation, specifications, test plans and procedures.
* Conducts analysis to define, analyze and allocate requirements. Prepares program\-level and user\-level documentation.
* Supports system test programs and analyzes system testing.
* Supports strategic system migration
* Performs analysis to define, analyze and allocate requirements and conducts analysis of system requirements and components and performs system audits to ensure all intended system functionality, operations and performance requirements are achieved.
* Documents designs in engineering documents including functional block diagrams and data/logic flow charts.
* Provides systems engineering support on systems, major system elements, and/or interfacing systems.
* Leads and directs the work of others.
* Highly proficient in project planning to ensure timely completion of complex, independent tasks or one or more complex projects. Must know, plan for an integrate internal and external dependencies across multi\-functions
* Proven ability to develop technical approach or design, resource, allocation or time schedule on projects
* Demonstrated high level of experience providing identifiable technical contributions to the success of a specific product/project
* Utilizes specialized knowledge in order to provide recommendations and make decisions in matter of significance to the product and company
* Works on complex issues where analysis of situations or date requires an in\-depth evaluation of variable factors
* Expert with commonly used concepts, practices, and procedures within the Electronic Engineering field
* Interacts with senior internal and external personnel.
* Internal and external contacts often pertain to company plans and objectives.
* Demonstrated engineering communication expertise including concise written and verbal skills.
**Knowledge / Skill Requirements**
* Expert level of C\+\+ programming experience in Linux environment including TCP/IP network programming
* Familiarity with network security methodologies is a plus
* Experience working on distributed applications using Go/Python
* Experience developing, deploying and maintaining applications on AWS infrastructure
* Prior experience with multimedia application development including streaming audio/video servers and clients highly desirable
* Demonstrated ability to manage multiple priorities and make efficient use of given resources such as system lab time and down\-stream process owners and tasks.
* Ability to resolve complex problems quickly efficiently.
* IFE development involves many system level issues including real time, performance and reliability requiring understanding of distributed processors in an embedded system environment. Many problems multi\-dimensional requiring non\-traditional solutions to fit within the constraints of an embedded system providing highest value to the customer and end user to bring entertainment in an aircraft.
* A wide degree of creativity and latitude is expected
* Demonstrated ability to lead multi\-function teams to achieve positive results for complex projects
* Performs as mentor, leader, technical expert and a source of information
* Determines methods and procedures on new assignments and provide guidance to other technical positions
**Qualifications**
**Education / Experience Requirements:**
* Bachelor of Science Degree in Computer Sciences, Computer Engineering or Software Engineering, or equivalent experience.
* Advanced degree is preferred.
* 15\+ years' of embedded software development experience and 3\+ years of Linux application development experience.
* IFE system development experience is a plus.
**Other Requirements**
* Ability to travel to domestic or international locations as required, up to 10% of the time.
 The salary range of
 **$138,000 \- $231,000** 
 is just one component of Panasonic’s total package. The final offer amount may vary based on factors including but not limited to individual’s knowledge, skills, experience, and location. In addition, this role may be eligible for discretionary bonuses and incentives.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REQ\-151758</t>
        </is>
      </c>
    </row>
    <row r="73">
      <c r="A73" t="inlineStr">
        <is>
          <t>li-4381365353</t>
        </is>
      </c>
      <c r="B73" t="inlineStr">
        <is>
          <t>Junior Software Engineer</t>
        </is>
      </c>
      <c r="C73" t="inlineStr">
        <is>
          <t>Haystack</t>
        </is>
      </c>
      <c r="D73" t="inlineStr">
        <is>
          <t>linkedin</t>
        </is>
      </c>
      <c r="E73" t="inlineStr"/>
      <c r="F73" t="inlineStr"/>
      <c r="G73" t="inlineStr"/>
      <c r="H73" t="inlineStr"/>
      <c r="I73" t="inlineStr">
        <is>
          <t>**Junior Software Engineer \| Huntsville, AL or Omaha, NE \| Hybrid \| $69,550 \- $125,725** 
 We're working with a global leader in defense technology and mission\-critical innovation on this exciting opportunity. If you are ready to outthink the status quo and build high\-impact software across Java, Rust, and React, this is where you belong.
 Join a fast\-moving Agile team that refuses to fail, delivering continuous software solutions that protect and power the nation's most vital sectors. You’ll leverage cutting\-edge Generative AI tools to accelerate development and work in an environment where "Step 10" is already ancient history.
**The Role** 
 • Design and maintain robust software components using a modern stack including Java, Rust, and JavaScript.
 • Build and enhance intuitive, user\-facing features using React and modern frontend principles.
 • Collaborate in a high\-velocity Agile squad using Jira for sprint planning and execution.
 • Drive software quality through automated testing frameworks and continuous delivery (CI/CD) pipelines.
 • Implement Generative AI development tools to optimize coding, testing, and complex problem\-solving.
**What You'll Need** 
 • 2\+ years of professional software development experience (or 1\+ year with a Master’s degree).
 • Proficiency in Java, Rust, and/or JavaScript with a desire to work across the full stack.
 • Hands\-on experience with Agile/Scrum methodologies and tools like Jira.
 • Proven experience with automated testing and Test\-Driven Development (TDD) practices.
 • U.S. Citizenship with the ability to obtain a Top Secret clearance (Active TS preferred).
**What's On Offer** 
 • Competitive salary range up to $125,725 with comprehensive health and wellness benefits.
 • Hybrid flexibility with a collaborative onsite presence in Huntsville, AL.
 • Access to modern development practices, emerging AI tools, and massive career growth potential.
 • A culture that values disruption, innovation, and mission\-first engineering.
**Apply via Haystack today!**</t>
        </is>
      </c>
    </row>
    <row r="74">
      <c r="A74" t="inlineStr">
        <is>
          <t>li-4314425009</t>
        </is>
      </c>
      <c r="B74" t="inlineStr">
        <is>
          <t>Sr. Infotainment Platform Software Engineer</t>
        </is>
      </c>
      <c r="C74" t="inlineStr">
        <is>
          <t>General Motors</t>
        </is>
      </c>
      <c r="D74" t="inlineStr">
        <is>
          <t>linkedin</t>
        </is>
      </c>
      <c r="E74" t="inlineStr"/>
      <c r="F74" t="inlineStr"/>
      <c r="G74" t="inlineStr">
        <is>
          <t>Mountain View, CA</t>
        </is>
      </c>
      <c r="H74" t="inlineStr"/>
      <c r="I74" t="inlineStr">
        <is>
          <t>**Job Description**
 Design and implement technical solutions including specifying of requirements, functional decomposition, analysis, development and testing for in\-vehicle software platform team. The ideal candidate would have solid background in implementation and integration of Linux and/or Android based system software solutions who are interested in applying their experience to delivering high quality software for future automotive Infotainment systems
* Design, develop and integrate Android/Linux and QNX components for infotainment solutions in GM vehicles.
* Responsible for the entire life cycle of the Android/QNX domain, including requirements analysis, creating design documents, code development and review, integration, and maintenance of infotainment software.
* Responsible for Android Kernel and framework implementation, integration and stabilization, working across team to analyzing issues and identify solutions.
* Support QNX system integration and stabilization, addressing issues related to QNX components and QVM configuration. Collaborate with cross\-functional teams to enable smooth operation across multi\-OS environments.
* Work side\-by\-side with DevQA engineers on test plan development and review.
* Design and implement power management solutions spanning QNX and Android. Support both normal startup/shutdown sequences and suspend/resume, ensuring reliability and efficiency across platforms.
* Follow agile software development process where quality comes first and ensure that the designed solutions conform to architectural requirements such as scalability, maintainability, reliability, extensibility, testability, usability and security.
* Collaborate with cross\-functional teams and external suppliers on design and integration activities.
* Provide, communicate, and support common best practices among software community
* Leads and generates technical solutions including specifying of requirements, functional decomposition, analysis, development and testing for current, new and major programs
* Lead development of software system team design content and software anomaly corrections.
* Performs complex design and issue analysis
* Specifies and balances system requirements
**Required Qualifications:**
* 10\+ years in Software Development on Linux and/or Android
* Advanced programming and debugging skills with C, C\+\+/11/14, Java, and unit test framework
* Development tools and IDE such as VS Code, Android Studio, Momentics, git, JIRA, CMake, gradle, gcov, SonarQube, etc.
* Solid understanding in Android and QNX system architecture, frameworks, build system and key components, and comfortable with making system extensions and modifications.
* Solid understanding of Linux OS concepts, kernel implementation, device drivers, familiar with debugging and profiling tools.
* Strong analytical skill, debugging capability and problem\-solving skills to tackle complex integration challenges through existing code base in C, C\+\+ and Java. Familiar with different debugging methodologies
* Ability to create, modify and maintain makefiles and build scripts in complex build system
* Solid understanding of software versioning and release management principles, with a focus on codebase organization, branching strategies, and integration processes
* Strong verbal and written communication skills.
* Ability to create clear technical documentation for software development guidelines and integration process
* Must be a goal driven self\-starter, able to work independently under release pressure
* Bachelor's degree in computer science, software engineering, or related degree.
**Preferred Qualification:**
* Experience with various CI/CD tools and processes
* Experience with Yocto Linux
* Experience with Gunyah VM and/or other virtual machine and container technologies
* Experience in automotive industry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$148,000 \- $226,200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This role is categorized as onsite. This means the selected candidate is expected to report to a specific location on a full\-time basis. The selected candidate will be required to travel \&lt;25% for this role.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75">
      <c r="A75" t="inlineStr">
        <is>
          <t>li-4343273832</t>
        </is>
      </c>
      <c r="B75" t="inlineStr">
        <is>
          <t>Senior Software Engineer - Platform Infrastructure (Remote USA)</t>
        </is>
      </c>
      <c r="C75" t="inlineStr">
        <is>
          <t>Confluent</t>
        </is>
      </c>
      <c r="D75" t="inlineStr">
        <is>
          <t>linkedin</t>
        </is>
      </c>
      <c r="E75" t="inlineStr"/>
      <c r="F75" t="inlineStr"/>
      <c r="G75" t="inlineStr">
        <is>
          <t>Texas, United States</t>
        </is>
      </c>
      <c r="H75" t="inlineStr"/>
      <c r="I75"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We are seeking a Senior Software Engineer II to architect, build, and operate services that are core to the company’s cloud infrastructure and product platforms. This is a hybrid engineering role, blending deep software development expertise with hands\-on operational excellence.
 You will design highly scalable platform services (authentication, authorization, identity, secrets management, policy enforcement, security telemetry pipelines, etc.), while also ensuring these systems are reliable, observable, and resilient in production. You’ll work across engineering, security, compliance, and platform orgs to deliver secure\-by\-default building blocks that empower product teams to integrate security seamlessly.
**What You Will Do**
* Architect, design, and develop platform services with a strong focus on scalability, security, and developer experience.
* Lead operational design for reliability: build comprehensive observability, monitoring, and incident response automation into security\-critical services.
* Build automation and tooling to drive self\-healing systems, proactive risk detection, failure recovery, and continuous resilience testing.
* Collaborate with compliance, governance, and risk teams to translate regulatory and policy requirements into scalable technical controls.
* Lead technical design reviews, security architecture reviews, and incident postmortems for platform\-level incidents.
* Mentor engineers across multiple disciplines on both security and operational best practices.
* Own end\-to\-end delivery of services: from initial design and development through deployment, production hardening, and lifecycle maintenance.
**What You Will Bring**
* 6\+ years of experience in software engineering, SRE, or security engineering roles, with significant experience operating security platform services.
* Strong backend software development experience (Go, Java, Rust, Python).
* Expertise with distributed systems, cloud infrastructure (AWS, GCP, Azure), Kubernetes, service mesh, and container orchestration.
* Strong understanding of security domains: IAM, OAuth2, OIDC, PKI, secrets management, policy engines, audit pipelines, zero trust architecture.
* Experience building highly reliable, observable, and resilient production systems.
* Operational expertise: SLOs, SLIs, error budgets, on\-call leadership, incident management.
* Strong collaboration skills to drive alignment across engineering, security, and compliance stakeholders.
* Excellent communication skills with ability to influence technical and business leaders.
* BS, MS, or PhD in computer science or a related field, or equivalent work experience.
**What Gives You An Edge**
* Experience with SPIFFE/SPIRE, OPA/Gatekeeper, Envoy, Istio, and workload identity management.
* Exposure to security compliance frameworks (FedRAMP).
* Experience leading cross\-org security platform architecture initiatives.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$192,200 \- $225,810</t>
        </is>
      </c>
    </row>
    <row r="76">
      <c r="A76" t="inlineStr">
        <is>
          <t>li-4337091237</t>
        </is>
      </c>
      <c r="B76" t="inlineStr">
        <is>
          <t>Software Developer</t>
        </is>
      </c>
      <c r="C76" t="inlineStr">
        <is>
          <t>Two Six Technologies</t>
        </is>
      </c>
      <c r="D76" t="inlineStr">
        <is>
          <t>linkedin</t>
        </is>
      </c>
      <c r="E76" t="inlineStr"/>
      <c r="F76" t="inlineStr"/>
      <c r="G76" t="inlineStr">
        <is>
          <t>Chantilly, VA</t>
        </is>
      </c>
      <c r="H76" t="inlineStr"/>
      <c r="I76"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Two Six Technologies is hiring a Software Developer to support the customer's mission\-essential applications within an Agile Team. The developer will be responsible for the development and support of Python web\-based applications hosted on cloud computing platforms!
 Location: Chantilly, VA
**What You Will Do**
* Develop, test, and deploy new code and efficient software solutions
* Participate in code reviews and ensure high\-quality and reusable code.
* Troubleshoot and debug issues in the application, including performance optimization and error handling
* Provide continuous maintenance, support, and enhancements in existing systems and platforms.
* Provide customer support for software systems and application issues.
* Stay up to date with industry trends, and emerging technologies, applying this knowledge to improve our application
**What You Will Need (basic Qualifications)**
* Minimum of 5\+ years of Software Development experience, or the equivalent combination of education, technical training or work experience.
* Strong proficiency in Typescript, React and Nextjs
* Strong proficiency in Python
**Clearance Requirement**
* Active TS/SCI with Polygraph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$200,000—$240,000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accommodations@twosixtech.com. Information provided will be kept confidential and used only to the extent required to provide needed reasonable accommodations.
 Additionally, please be advised that this business uses E\-Verify in its hiring practices.
 By submitting the following application, I hereby certify that to the best of my knowledge, the information provided is true and accurate.</t>
        </is>
      </c>
    </row>
    <row r="77">
      <c r="A77" t="inlineStr">
        <is>
          <t>li-4382393565</t>
        </is>
      </c>
      <c r="B77" t="inlineStr">
        <is>
          <t>Embedded Systems Software Engineer</t>
        </is>
      </c>
      <c r="C77" t="inlineStr">
        <is>
          <t>Mercor</t>
        </is>
      </c>
      <c r="D77" t="inlineStr">
        <is>
          <t>linkedin</t>
        </is>
      </c>
      <c r="E77" t="inlineStr"/>
      <c r="F77" t="inlineStr"/>
      <c r="G77" t="inlineStr"/>
      <c r="H77" t="inlineStr"/>
      <c r="I77" t="inlineStr">
        <is>
          <t>**About The Job**
**Mercor** 
 connects elite creative and technical talent with leading AI research labs. Headquartered in San Francisco, our investors include
 **Benchmark** 
 ,
 **General Catalyst** 
 ,
 **Peter Thiel** 
 ,
 **Adam D'Angelo** 
 ,
 **Larry Summers** 
 , and
 **Jack Dorsey** 
 .
**Position:** 
 Embedded Software Engineer
**Type:** 
**Full\-Time**
**Compensation:** 
**$95–$130/hour**
**Location:** 
**Remote**
**Role Responsibilities**
* Develop firmware to integrate custom image sensors with a microcontroller unit (MCU).
* Develop firmware to interface with hardware acceleration blocks.
* Develop firmware to interface with sensors such as IMU, barometers, and magnetometers.
* Develop bootloaders and test applications for various peripherals.
* Test the developed firmware with the hardware and document designs.
* Perform performance analysis and work independently in a dynamic environment.
**Qualifications**
**Must\-Have**
* 8\+ years of experience in firmware or embedded software development using C/C\+\+.
* 2\+ years of experience developing drivers for camera sensors on new integrated circuits (ICs).
* 2\+ years of experience developing firmware for multi\-core SoCs or MCUs.
* Experience with Zephyr OS, Embedded Linux, or other real\-time operating systems (RTOS).
* Ability to work autonomously with little or no supervision.
**Preferred**
* Familiarity with MIPI C\-PHY and image sensors.
* Familiarity with I3C, SPI, UART, USB communication protocols.
* Familiarity with Embedded Linux and kernel drivers.
* Familiarity with file systems and bootloaders on small MCUs and larger SoCs.
* Experience with low power optimization of embedded systems.
* Strong technical writing skills.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78">
      <c r="A78" t="inlineStr">
        <is>
          <t>li-4349516768</t>
        </is>
      </c>
      <c r="B78" t="inlineStr">
        <is>
          <t>GM Defense IT - Software Engineer</t>
        </is>
      </c>
      <c r="C78" t="inlineStr">
        <is>
          <t>General Motors</t>
        </is>
      </c>
      <c r="D78" t="inlineStr">
        <is>
          <t>linkedin</t>
        </is>
      </c>
      <c r="E78" t="inlineStr"/>
      <c r="F78" t="inlineStr"/>
      <c r="G78" t="inlineStr">
        <is>
          <t>Warren, MI</t>
        </is>
      </c>
      <c r="H78" t="inlineStr"/>
      <c r="I78" t="inlineStr">
        <is>
          <t>**Job Description**
**Work Classification:**
**Hybrid:** 
 This role is categorized as hybrid. This means the successful candidate is expected to report to Austin, Texas or Warren, MI three times per week, at minimum.
**The Role**
 We are seeking a passionate and experienced Senior Software Developer with a strong foundation in full stack development and advanced data modeling and design capabilities for GM Defense. The ideal candidate will have proven expertise in system integration and hands\-on experience with leading cloud platforms such as Azure, GCP and AWS. In addition, experiences in integrating with or to Saas solutions is preferred.
 You will be responsible for helping lead our engineering efforts through planning, design and architecture, execution, and support. As a technical leader on the team, you will be able to help mentor less experienced engineers, build strong relationships with technical leaders on other teams, and facilitate a strong team culture, applying best practices to solutions.
**What You’ll Do:**
* Own the performance observability for production and lower environments, identifying and acting on concerning trends.
* Develop competency across our complete web technologies stack (client, framework, and services)
* Weigh architectural trade\-offs and apply synchronous and asynchronous design patterns
* Investigate and diagnose performance issues to identify the root cause of the problems
* Develop datasets and workloads that accurately represent the Production environment
* Research and implement best practices, methodologies and tools for applications
* Explore and pitch product ideas and tech initiatives with cross functional teams
* Stay current with emerging technologies and trends and evaluate their potential for adoption
* Mentor junior team members and contribute to team growth and development
**Your Skills \&amp; Abilities (Required Qualifications):**
* Bachelor’s degree in computer science or related field
* 5\+ years of software development experience.
* Strong proficiency with development tools like IntelliJ and Visual Source
* Strong knowledge of web application frameworks such as Angular and React, relational storage solutions based on Postgres, MS/SQL as well as no\-sql solutions such as MS/GRAPH and MONGODB.
* Strong hands on experience with use of AI related IDE plug\-ins such as CoPilot and SourceGraph or use of tools such as CURSOR.
* Strong knowledge of monitoring and observability tools like Data dog, Grafana, Dynatrace.
* Strong technical knowledge of virtualization, storage and networking infrastructures.
* Expertise knowledge in Cloud \&amp; Container Ecosystem (Azure, Docker, Kubernetes)
**What Will Give You A Competitive Edge (Preferred Qualifications):**
* Master’s degree in computer science or related field
* Excellent communication and collaboration skills, with the ability to work effectively with developers, product managers, and business stakeholders.
* Deep expertise in database performance tuning, with a focus on optimizing complex SQL queries.
* Strong analytical skills for identifying root causes of performance issues and resolving code\-level bottlenecks.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is
 **not** 
 eligible for relocation benefits. Any relocation costs would be the responsibility of the selected candidate.*
 GM DOES NOT PROVIDE IMMIGRATION\-RELATED SPONSORSHIP FOR THIS ROLE. DO NOT APPLY FOR THIS ROLE IF YOU WILL
 NEED GM IMMIGRATION SPONSORSHIP (e.g., H\-1B, TN, STEM OPT, etc.) NOW OR IN THE FUTURE.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9">
      <c r="A79" t="inlineStr">
        <is>
          <t>li-4382377691</t>
        </is>
      </c>
      <c r="B79" t="inlineStr">
        <is>
          <t>Senior Software Engineer (AI) - Planner</t>
        </is>
      </c>
      <c r="C79" t="inlineStr">
        <is>
          <t>Microsoft</t>
        </is>
      </c>
      <c r="D79" t="inlineStr">
        <is>
          <t>linkedin</t>
        </is>
      </c>
      <c r="E79" t="inlineStr"/>
      <c r="F79" t="inlineStr"/>
      <c r="G79" t="inlineStr">
        <is>
          <t>Redmond, WA</t>
        </is>
      </c>
      <c r="H79" t="inlineStr"/>
      <c r="I79" t="inlineStr">
        <is>
          <t>**Overview**
 Microsoft’s Path team helps customers along their journey from the initial idea to the final realization of their goals – from Idea to Plan to Done.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And with Visio, we help customers model and conceptualize information pathways that flow through process diagrams, organizational charts, and more to visualize what is and what can be. Collectively, we're responsible for an incredible portfolio of products and services that help guide people and organizations along their journey to achieve more.
 As a
 **Senior Software Engineer** 
 on the Path team, you won’t just be building software—you’ll be transforming how people work, plan, and collaborate every single day. You’ll be
 **modernizing work management with AI** 
 , pioneering next\-generation Large Language Models (LLMs) and advanced Agentic frameworks that supercharge productivity. From leveraging cutting\-edge AI agents to automate repetitive tasks, to creating intelligent assistants that streamline project workflows and proactively complete tasks, you’ll be at the heart of an exciting global effort—redefining how people everywhere get things done.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AI\-Native Development
* Independently uses appropriate artificial intelligence (AI) tools and practices across the software development lifecycle (SDLC) in a disciplined manner. Takes responsibility for the content of their AI\-generated requirements, design documents, code, and other assets, assisting other members of the team to do the same. Uses SDLC and engineering health measures (e.g., Accelerate, SPACE framework, Engineering System Success Playbook \[ESSP]) to improve processes and practices, especially those involving AI. Experiments with AI tools and practices to improve their own capabilities.
 Coding
* Reviews product code and test code to ensure it meets team standards, contains the correct test coverage, and is appropriate for the product or solution area. Brings insight to code reviews to help improve code quality, coaching and providing feedback to develop other engineers' skills. Conducts code reviews in a timely fashion that helps accelerate the pace of development on the team. Considers diagnosability, reliability, testability, and maintainability when reviewing code, and understands when code is ready to be shared or delivered. Applies and reviews for coding patterns, security risks, compliance issues, and best practices in code reviews, providing feedback on code to drive adherence to best practices. Uses automated source code analysis tools that are incorporated into the build/development process.
* Uses debugging tools, tests, logs, telemetry, and other methods to proactively verify assumptions while developing code before issues occur for products in production. Conducts incident retrospectives to identify root causes of problems, implements repair actions, and identifies mechanisms to prevent incident recurrence. Independently applies least\-access principles, uses logging, telemetry, and other appropriate mechanisms to investigate issues while retaining privacy and security, and drives those practices across the team.
* Leads by example within the team to produce extensible, maintainable, well\-tested, secure, and performant code that adheres to design specifications. Continuously improves code performance, testability, maintainability, effectiveness, and cost, while learning about and accounting for relevant trade\-offs. Applies metrics to drive code quality and stability. Applies appropriate coding patterns and best practices (e.g., leveraging state\-of\-the\-art generative artificial intelligence \[GenAI], approaches to source code organization, naming conventions). Identifies and escalates blockers or unknowns during the development process, communicates how they will impact timelines, and identifies strategies and/or opportunities to address them.
 Design
* Independently creates a clear test strategy that ensures solution quality, prevents regression from being introduced into existing code. Ensures test plans incorporate security testing to validate security invariants (including negative cases). Drives adding new tests to cover gaps, deleting or fixing broken tests, and improving the speed, reliability, and defect localization of the test suite. Independently builds testable code and considers testability during design for a project/sub\-section of a product/solution. Understands the different types of tests that can be done on a particular system (e.g., unit tests), maintains up\-to\-date understanding of testing architectures used both across Microsoft and across the industry, and applies them across the architecture as appropriate. Identifies difficult or untestable sections of codes for a project/sub\-section of a product/solution for future design or rearchitecture discussions. Leverages artificial intelligence (AI) tools for test automation.
* Identifies dependencies and incorporates them into the development of design documents for a product, application, service or platform. Actively identifies other teams and technologies to leverage, how they interact, and where their own system or team can support others. Understands upstream and downstream interactions between systems and ensures security, compliance, performance, and reliability can be achieved across the entire stack. Collaborates with other teams to reach common goals where dependencies and validation concerns overlap. Works across teams to resolve conflicts around dependency ownership and required work.
* Leads discussions for and owns the architecture of a products/solutions and creates proposals for architecture by testing design hypotheses and develop complex design specifications. Tests and explores various design options for a complex product/solution scenario, outlining strengths and weaknesses of each option. Independently collaborates with architects to build and modify complex products/solutions, providing feedback as needed. Owns or collaborates with other engineers on the architecture of solutions, with minimal technical oversight. Develops design documents that support user stories and other product requirements. Maintains awareness of the current technology landscape, and determines how to integrate these technologies within existing systems. Shares learnings and identified solutions from investigations with the team and owns for some design decisions. Ensures system architecture and individual designs meet performance, scalability, resiliency, cost of goods sold (COGS), disaster recovery, and other requirements and expectations. Upholds Microsoft standards of security, privacy, and other compliance requirements and expectations. Understands and coaches less experienced engineers on the importance of building solutions that expand upon the work of others. Drives the refinement of products through data analytics, and makes informed decisions in engineering products through data integration. Reviews designs/architectures within and across teams to provide recommendations for improvements.
 Engineering Excellence
* Applies best practices to build code based on well\-established methods and secure design principles while also applying best practices for new code development and formal validation of security invariants. Drives product development and scaling to customer requirements and applies best practices for meeting scaling needs and performance expectations and security promises.
* Considers, identifies requirements for, and drives comprehensive application of automation within production and deployment of a product, targeting zero\-touch deployment when possible. Runs code in simulated or other non\-production environments to confirm functionality and error\-free runtime for products.
* Drives efforts to ensure the correct processes are followed to achieve a high degree of security, privacy, safety, and accessibility. Creates and assures the presence of visible evidence (e.g., audit trail) to demonstrate compliance for products. Develops and maintains a deep understanding of the implications of onboarding new technologies following expectations of compliance at Microsoft. Demonstrates and maintains an up\-to\-date understanding of both global and local regulations for technologies and system applications to ensure regulations are followed and met.
* Works with partner teams to ensure a project/sub\-system of a product works well with the components of the partner team, ensuring proper end\-to\-end testing, live\-site coverage, scalability, performance, and DRI escalation pathways are established before going live.
* Remains current in skills by investing time and effort into being informed of current developments. Proactively seeks new knowledge, evaluating new trends, technical solutions, and patterns, assessing how to adapt them to current problems. Conducts learning and literary sessions to raise awareness on relevant engineering design principles (e.g., security, testability, performance, scalability, accessibility, product knowledge).
* Uses and enhances, or builds, new software developer tools to support easier, faster, and more effective software engineering for products. Identifies whether open source or internal code is available to address coding needs for a project/sub\-system of a product, and reuses it in a responsible manner where applicable. Develops skills in tools outside current areas of expertise. Identifies and/or creates tools that are useful for building the product. Shares best practices and teaches others about new tools and strategies.
* Understands and applies security best practices and establishes code invariants to model "security as code," ensuring each layer is independently secure, and minimizing risk. Supports and/or adopts security standards for clear security code review practices for a project/sub\-system of a product that align with design and engineering principles to raise the security hardening for both protections and detections. Incorporates deployment gates on security controls, and scanners for a project/sub\-system of a product to prevent regressions and/or vulnerabilities that would have customer impact. Includes required security monitoring to ensure detection of violations. Independently works with relevant security partners to define security promises and security invariants for the design of a product/solution while factoring in attacker/investigator personas for security monitoring and telemetry needs, ensure threat models and premortems validate upstream and downstream assumptions and security invariants, establish security breach drills and security incident response processes (e.g., impact analysis, containment), and ensure that artificial intelligence (AI) safety features are implemented for the AI production systems tied to a project/sub\-system of a product.
 Implement
* Leverages their subject\-matter expertise to partner with appropriate stakeholders (e.g., technical program managers) to drive a workgroup's project plans, release plans, and work items. Organizes work into smaller sets of tasks as part of an overall roadmap. Guides other members for project estimation and escalates issues that might cause a delay. Ensures required security protections and detection processes are accounted for in planning. Ensures project plans adhere to security, privacy, and compliance requirements. Ensures all code for a product/solution is properly flighted for quicker mitigation of production incidents. Calculates capacity for planning, accounting for appropriate failover and backup/restore mechanisms for disaster recovery for a project/sub\-system of a product. Makes considerations for efficient operation of a project/sub\-system of a product after it is live. Establishes a rollback plan for a project/sub\-system of a product.
* Leveraging internal experimentation infrastructures, drives experiments that determine the impact of changes, using feature flags/flighting in their code. Collaborates with internal partners (e.g., Data Science, product managers) to incorporate success and guard rail metrics for experimentation.
* Leverages existing deployment frameworks in the implementation of solutions, automating deployment tasks when possible to ensure efficiency. Follows safe change deployment best practices (e.g., ensuring that flights are set correctly) for their team to minimize adverse impact to users and other services. Ensures that solutions are deployed safely, rolling out security\-sensitive features only to applicable, relevant customers and scenarios to reduce the attack surface. Monitors dependency status and ensures that only the latest, secure versions are deployed. Identifies when rollback plans should be enacted for a project/sub\-sub\-system of a product. Builds deployment infrastructure to allow developers' private builds for a project/sub\-sub\-system of a product to be tested in a production\-like environment.
 Reliability and Supportability
* Drives efforts to integrate logging and instrumentation for gathering telemetry data on system behavior such as performance, reliability, availability, usage, and safety mechanisms, and for allowing monitoring and investigating security\-related concerns and scenarios for both live and A/B experiments for products, services, and offerings. Leverages telemetry feedback and effectiveness to independently improve subsequent monitoring designs. Classifies and analyzes data on a range of metrics (e.g., health of the system, where bugs may be occurring), and creates outputs (e.g., notifications, dashboards) that improve monitoring and investigating security\-related concerns and scenarios, system monitoring and/or issue identification and mitigation. Considers the privacy implications of telemetry code changes, and adding new data points.
* Acts as a designated responsible individual (DRI) and guides other engineers by developing and following the playbook, working on\-call to monitor a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 Maintains operations of live site service, following security best practices when responding quickly to mitigate issues while using the minimum required permissions to do so that arise on a rotational, on\-call basis. Implements solutions and mitigations to more complex issues impacting performance or functionality of live site service and escalates appropriately. Reviews and writes incident postmortem and presents insights that drive changes to reduce or eliminate incidents. Independently improves troubleshooting guides (TSGs), wikis, tests, and telemetry to make on\-call better, and recommends user\-facing support documentation and additional test coverage to reduce likelihood of future user\-initiated incidents. Enables secure operations, security monitoring, and integration with live site investigation activities. Identifies and proposes opportunities (e.g., lunch talks, automation, practices, tools) that can be leveraged to improve the live site experience. Adds comprehensive observability and monitoring to services.
 Understand User Requirements
* Collaborates with and guides appropriate internal (e.g., product manager, privacy/security subject matter expert, technical lead) and external (e.g. customer escalation team, public forums) stakeholders to determine and confirm customer/user requirements for a project/sub\-section of a product/solution. Incorporates customer insights into future designs or solution fixes. Ensures unwritten requirements, such as appropriate continuous feedback loops that measure actionable, quantitative (e.g., customer value, usage patterns, solution performance) and qualitative (e.g., accessibility, globalization) indicators of value are incorporated. Understands, provides feedback on, and advocates for security and privacy needs of the customer who will be using the project/sub\-section of a product/solution.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developing LLM Applications, Prompt Engineering, Evals, RAG, Agent Engineering is ideal.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0">
      <c r="A80" t="inlineStr">
        <is>
          <t>li-4355308497</t>
        </is>
      </c>
      <c r="B80" t="inlineStr">
        <is>
          <t>Senior Software Engineer I, Inference</t>
        </is>
      </c>
      <c r="C80" t="inlineStr">
        <is>
          <t>CoreWeave</t>
        </is>
      </c>
      <c r="D80" t="inlineStr">
        <is>
          <t>linkedin</t>
        </is>
      </c>
      <c r="E80" t="inlineStr"/>
      <c r="F80" t="inlineStr"/>
      <c r="G80" t="inlineStr">
        <is>
          <t>Sunnyvale, CA</t>
        </is>
      </c>
      <c r="H80" t="inlineStr"/>
      <c r="I80"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Senior engineers are area owners who lead designs, raise engineering standards, and deliver measurable improvements to latency, throughput, and reliability across multiple services. You’ll partner with product, orchestration, and hardware teams to evolve our Kubernetes\-native inference platform and meet strict P99 SLAs at scale.
**About The Role**
* Lead design reviews and drive architecture within the team; decompose multi\-service work into clear milestones.
* Define and own SLIs/SLOs; ensure post\-incident actions land and reliability improves release\-over\-release.
* Implement advanced optimizations (e.g., micro\-batch schedulers, speculative decoding, KV\-cache reuse) and quantify impact.
* Strengthen incident posture: capacity planning, autoscaling policy, graceful degradation, rollback/traffic\-shift strategies.
* Mentor IC1/IC2 engineers; review cross\-team designs and elevate coding/testing standards.
* For IC4: own an area spanning multiple services and teams (e.g., request routing \&amp; adaptive scheduling, cost\-per\-token analytics, GPU resource isolation).
**Who You Are**
* IC3: \~3–5 years; IC4: \~5–8 years industry experience building distributed systems or cloud services.
* Strong coding in Python or Go (C\+\+ a plus) and deep familiarity with networked systems and performance.
* Hands\-on experience with Kubernetes at production scale, CI/CD, and observability stacks (Prometheus, Grafana, OpenTelemetry).
* Practical knowledge of inference internals: batching, caching, mixed precision (BF16/FP8\), streaming token delivery.
* Proven track record improving tail latency (P95/P99\) and service reliability through metrics\-driven work.
**Preferred**
* Contributions to inference frameworks (vLLM, Triton, TensorRT\-LLM, Ray Serve, TorchServe).
* Experience with CUDA kernels, NCCL/SHARP, RDMA/NUMA, or GPU interconnect topologies.
* Leading multi\-team initiatives or partnering with customers on mission\-critical launches.
**Wondering if you’re a good fit?** 
**We believe in investing in our people and value candidates who can bring their diverse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1">
      <c r="A81" t="inlineStr">
        <is>
          <t>li-4318986479</t>
        </is>
      </c>
      <c r="B81" t="inlineStr">
        <is>
          <t>Senior Software Engineer</t>
        </is>
      </c>
      <c r="C81" t="inlineStr">
        <is>
          <t>Macquarie Group</t>
        </is>
      </c>
      <c r="D81" t="inlineStr">
        <is>
          <t>linkedin</t>
        </is>
      </c>
      <c r="E81" t="inlineStr"/>
      <c r="F81" t="inlineStr"/>
      <c r="G81" t="inlineStr"/>
      <c r="H81" t="inlineStr"/>
      <c r="I81" t="inlineStr">
        <is>
          <t>Fixed Income and currency technology plays a key role in powering our North American Fixed Income and Currency business by deploying a range of current edge technology across a suite of financial products.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everyone \- no matter what role \- contributes ideas and drives outcomes.
**What role will you play?**
 You will be a senior software engineer working with our trading desks to help facilitate trading of new products and maintenance of supporting applications.
 Salary range for this position: $154,000 \- $180,000/Year. Actual base salary may vary based upon, but not limited to, relevant experience, time in role, peer and market data, prior performance, business sector, and geographic location. You may also be eligible for an annual discretionary incentive compensation award. You can further read about the full spectrum of benefits we offer our people listed below.
**What You Offer**
* Python \&amp; C\+\+ mandatory
* Fixed Income and Currency markets knowledge
* Proactive attitude
* Strong verbal and written communication skills
* Collaborative mindset
 We love hearing from anyone inspired to build a better future with us, if you're excited about the role or working at Macquarie we encourage you to apply.
**What We Offer**
**Benefits**
 At Macquarie, you’re empowered to shape a career that’s rewarding in all the ways that matter most to you. Macquarie employees can access a wide range of benefits which, depending on eligibility criteria, include:
* 1 wellbeing leave day per year and a minimum of 25 days of annual leave
* 20 weeks’ paid parental leave for primary caregivers along with 12 days of paid transition leave upon return to work and 6 weeks’ paid leave for secondary caregivers
* 2 days of paid volunteer leave and donation matching
* Benefits and initiatives to support your physical, mental and financial wellbeing such as medical, prescription drug, dental, and vision insurance; health savings account and dependent day care savings account; life insurance, disability, and other insurance plans; 401(k) and short/long term disability
* Access to our Employee Assistance Program, a robust behavioural health network with counselling and coaching services
* Access to a wide range of learning and development opportunities, including reimbursement for professional membership or subscription
* Recognition and service awards
* Hybrid and flexible working arrangements, dependent on role
* Reimbursement for work from home equipment
**About Technology**
 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
**Empowering all kinds of bright and driven people**
 We are committed to providing an inclusive environment for all that values and respects different experiences, skillsets and perspectives. Macquarie provides access to opportunities for all individuals regardless of race, color, religion, sex, sexual orientation, national origin, age, disability, protected veteran status, genetic information, marital status, gender identity or any other characteristic or circumstance.
 We provide reasonable accommodation to individuals who may need support during the recruitment process and employment. If you require an accommodation, please let us know during the application process.</t>
        </is>
      </c>
    </row>
    <row r="82">
      <c r="A82" t="inlineStr">
        <is>
          <t>li-4343407241</t>
        </is>
      </c>
      <c r="B82" t="inlineStr">
        <is>
          <t>Autonomy Platform Software Engineer</t>
        </is>
      </c>
      <c r="C82" t="inlineStr">
        <is>
          <t>Zipline</t>
        </is>
      </c>
      <c r="D82" t="inlineStr">
        <is>
          <t>linkedin</t>
        </is>
      </c>
      <c r="E82" t="inlineStr"/>
      <c r="F82" t="inlineStr"/>
      <c r="G82" t="inlineStr">
        <is>
          <t>South San Francisco, CA</t>
        </is>
      </c>
      <c r="H82" t="inlineStr"/>
      <c r="I82" t="inlineStr">
        <is>
          <t>**About Zipline**
 Do you want to change the world? Zipline is on a mission to transform the way goods move. Our aim is to solve the world’s most urgent and complex access challenges by building, manufacturing and operating the first instant delivery and logistics system that serves all humans equally, wherever they are. From powering Rwanda’s national blood delivery network and Ghana’s COVID\-19 vaccine distribution, to providing on\-demand home delivery for Walmart, to enabling healthcare providers to bring care directly to U.S. homes, we are transforming the way things move for businesses, governments and consumers. The technology is complex but the idea is simple: a teleportation service that delivers what you need, when you need it. Using robotics and autonomy, we are decarbonizing delivery, decreasing road congestion, and reducing fossil fuel consumption and air pollution, while providing equitable access to billions of people and building a more resilient global supply chain.
 Join Zipline and help us to make good on our promise to build an equitable and more resilient global supply chain for billions of people.
**About You And The Role**
 You’re a systems\-minded SWE who lives at the boundary of autonomy, embedded Linux, and hardware. Reporting to the Head of Droid Autonomy, you’ll own the delivery runtime end to end. You’ll bring up compute and sensors on Jetson/Linux, design flight/runtime orchestration—mission state machines, behavior gating, safe\-state transitions—and build observability (logging, health monitoring, replay) for fast, trustworthy post\-flight validation.
 You bring deep Linux expertise (kernel, userspace, performance tuning), experience shipping robotic applications to real customers, and strong software architecture chops in strongly\-typed languages (Rust/C\+\+; Python for tooling). You communicate clearly, make legible, auditable safety decisions, and bridge HW↔SW while leading cross\-functional stakeholders to closure on complex trade\-offs.
**What You'll Do:**
* Integrate and own Delivery Zip runtime software: Bring up, configure, and validate new compute and sensor hardware across our autonomy stack.
* Develop system\-level observability: Build logging, health monitoring, and replay tooling for post\-flight analysis and validation.
* Drive reliability of software: Autonomy subsystem requires a highly reliable platform to build solutions on.
* Develop and maintain embedded software: Write robust, low\-latency Rust/C\+\+ code on embedded Linux.
* Design flight/runtime orchestration logic: Build mission state machines, behavior gating, and safe\-state transitions across compute nodes under real\-time constraints.
* Validate safety and performance: Use SIL/HIL and real\-flight telemetry to measure deterministic behavior and prove reliability before deployment.
**What You'll Bring:**
* 3\+ years of experience in delivering robotic applications to real\-world customers.
* Strong expertise in low level OS/linux/jetson
* Strong software engineering skills, with proficiency in at least one strongly typed language; we use Rust and C\+\+ onboard, and Python for tooling
* Strong system mindset; able to see how the full system comes together
* Deep expertise in embedded Linux development, including experience with kernel modifications, userspace programming, and performance tuning
* Strong software architecture skills, with experience designing and shipping solutions for complex real\-world use cases
* Strong communication and documentation; you make complex safety decisions legible and auditable.
* Able to bridge the gap between HW and SW, to ensure a robust system.
* Technical leadership to bring multiple stakeholders together to drive complex decisions forward.
**What Else You Need to Know**
 This is an in\-office role. We are looking for folks who can be in our
 **South San Francisco** 
 offices at least 4 days per week.
 The starting cash range for this role is $160,000 \- 210,000 a year. Please note that this is a target, starting cash range for a candidate who meets the minimum qualifications for this role. The final cash pay for this role will depend on a variety of factors, including a specific candidate's experience, qualifications, skills, working location, and projected impact. The total compensation package for this role may also include: equity compensation; discretionary annual or performance bonuses; sales incentives; benefits such as medical, dental and vision insurance; paid time off; and more.
 Zipline is an equal opportunity employer and prohibits discrimination and harassment of any type without regard to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characteristics protected by state, federal or local law or our other policies.
 We value diversity at Zipline and welcome applications from those who are traditionally underrepresented in tech. If you like the sound of this position but are not sure if you are the perfect fit, please apply!</t>
        </is>
      </c>
    </row>
    <row r="83">
      <c r="A83" t="inlineStr">
        <is>
          <t>li-4291343613</t>
        </is>
      </c>
      <c r="B83" t="inlineStr">
        <is>
          <t>Senior Software Engineer - Engine Harmony (C++)</t>
        </is>
      </c>
      <c r="C83" t="inlineStr">
        <is>
          <t>Roblox</t>
        </is>
      </c>
      <c r="D83" t="inlineStr">
        <is>
          <t>linkedin</t>
        </is>
      </c>
      <c r="E83" t="inlineStr"/>
      <c r="F83" t="inlineStr"/>
      <c r="G83" t="inlineStr">
        <is>
          <t>San Mateo, CA</t>
        </is>
      </c>
      <c r="H83" t="inlineStr"/>
      <c r="I83"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our Systems team, you will have an immediate impact on the building blocks of Roblox itself. The software you build is a very large application that empowers our global community of 2M\+ developers to push the boundaries of interactive gaming. Your work will touch every part of the engine, from threading and memory management to physics and scripting. If you enjoy working on C\+\+ software and have a passion for working on high\-performance real\-time applications alongside experienced and passionate engineers, you will be right at home on our growing Game Engine team.
**You Will**
* Develop engine code in C\+\+ for sub\-systems critical to the Roblox game engine
* Work on sub\-systems to harmonize resource usage to ensure gameplay works on various devices with varying CPU, memory and bandwidth capabilities
* Work on optimization techniques to improve player engagement
* Work on every application Roblox develops, from mobile phone clients to cloud\-based servers
**You Have**
* 4\+ years of experience and you've worked on deep and challenging problems in large and complex C\+\+ codebases.
* System\-level pointers, templates, and raw blocks of memory are tools to write code, not your enemies
* Experience developing and shipping machine learning models is a strong plus.
* Experience working in the guts of game engine or passion for learning it
* Built systems that work and keep on working reliably
* A curiosity to want to learn and stay up\-to\-date on technology development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4">
      <c r="A84" t="inlineStr">
        <is>
          <t>li-4365588085</t>
        </is>
      </c>
      <c r="B84" t="inlineStr">
        <is>
          <t>Software Engineer, BigQuery Agentic AI</t>
        </is>
      </c>
      <c r="C84" t="inlineStr">
        <is>
          <t>Google</t>
        </is>
      </c>
      <c r="D84" t="inlineStr">
        <is>
          <t>linkedin</t>
        </is>
      </c>
      <c r="E84" t="inlineStr"/>
      <c r="F84" t="inlineStr"/>
      <c r="G84" t="inlineStr">
        <is>
          <t>Kirkland, WA</t>
        </is>
      </c>
      <c r="H84" t="inlineStr"/>
      <c r="I8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
 **Minimum qualifications:**
* Bachelor’s degree or equivalent practical experience.
* 2 years of experience with software development or 1 year of experience with an advanced degree in an industry setting.
* 2 years of software development experience with a focus on AI/ML or Data Analytics.
* 2 years of experience with developing large\-scale infrastructure, distributed systems or networks, or experience with compute technologies, storage or hardware architecture.
* Experience with one or more of Java/Go/Python/TypeScript.
* Experience in Generative AI, Agentic Frameworks (e.g., LangChain, AutoGen), Backend System Design, ML concepts and Cloud services (Google Cloud Platform, Cloud Computing Platform).
**Preferred qualifications:**
* Master's degree or PhD in Computer Science or related technical fields.
* Experience building developer\-facing products for integrated development environments (IDEs like VSCode) or Command Line (CLI).
* Experience with Large Language Models for code (e.g., Gemini, GPT\-4, Claude), modern cloud infrastructure, and industry\-standard developer tool frameworks.
* Familiarity with data warehousing concepts and BigQuery.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in BigQuery’s Analytics AI organization, you will build the intelligent backbone for the next generation of data processing. Our mission is to move beyond simple automation and into the era of Agentic AI, creating sophisticated, autonomous solutions that partner with users to solve their most complex data challenges.
 You will design and implement AI\-native solutions that act as a multiplier and architect agents capable of reasoning over vast datasets, optimizing pipelines, and assisting across the entire data life\-cycle, from ingestion and feature extraction to model training and advanced analytics. You will work at the intersection of large\-scale distributed systems and Generative AI, partnering closely with product managers, engineers, data scientists, and designers to ensure BigQuery remains the industry leader in intelligent data warehousing.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design and development of next\-generation agentic solutions that handle complex reasoning for various data developer experiences such as data ingestion, data pipelines, data science, feature extraction, model training and more.
* Redefine the customer experience for Data Analytics with an AI\-first focus.
* Architect systems that integrate Large Language Models (LLMs) with BigQuery’s core engine to create autonomous "experts" for user personas.
* Iterate on agentic frameworks, contributing to sophisticated tool\-use, memory, context retrieval, multi\-step orchestration, and rigorous evaluation (evals) to ensure accuracy and reliability of orchestration at petabyte scale.
* Partner cross\-functionally with Product, Data Scientists, Applied Scientists, and UX Designers to define the roadmap for AI\-native data journeys.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5">
      <c r="A85" t="inlineStr">
        <is>
          <t>li-4363447359</t>
        </is>
      </c>
      <c r="B85" t="inlineStr">
        <is>
          <t>Staff Software Engineer, Android Platform</t>
        </is>
      </c>
      <c r="C85" t="inlineStr">
        <is>
          <t>Airbnb</t>
        </is>
      </c>
      <c r="D85" t="inlineStr">
        <is>
          <t>linkedin</t>
        </is>
      </c>
      <c r="E85" t="inlineStr"/>
      <c r="F85" t="inlineStr"/>
      <c r="G85" t="inlineStr"/>
      <c r="H85" t="inlineStr"/>
      <c r="I8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Android Platform team’s mission is to provide best\-in\-class experience for Android development at Airbnb to empower engineers to deliver innovative solutions with high velocity and quality at scale.
 We’re ambitious in our vision, and our work spans a large surface area, from frameworks and tooling to build systems, CI, Testing, and IDE integrations. Our latest projects include
 **Trio** 
 , an Android framework for Jetpack Compose screen architecture, and
 **Focus Mode** 
 , an Android Studio plugin to supercharge IDE \&amp; Sync performance, among many others.
**The Difference You Will Make**
 In this role, you’ll be responsible for driving projects that increase the productivity of the Android community at Airbnb and unlock new capabilities through a combination of frameworks and toolings.
**A Typical Day**
* Collaborate with team members \&amp; cross functional partners to identify opportunities for improving our developers’ productivity.
* Drive roadmap projects and deliver high quality results to further our mission.
* Improve our existing frameworks \&amp; build system to deliver on our ambitious vision.
**Your Expertise**
* 9\+ years of industry experience building Android apps using Kotlin.
* Experience building frameworks and build\-systems (using Gradle, Bazel, etc.)
* Deep technical understanding of how dependency injection systems work (e.g. Dagger)
* Experience building code generation tools (e.g. annotation processors, KSP, Kotlin compiler plugins)
* Experience working in medium to large\-scale codebases.
* \[Nice to have] 2\+ years of experience using Jetpack Compose.
* \[Nice to have] Experience building Android Studio / IntelliJ IDEA plugins.
* \[Nice to have] Experience using Compose for desktop.
* Ability to travel to the San Francisco office for about a week each quarter for gatherings.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86">
      <c r="A86" t="inlineStr">
        <is>
          <t>li-4326804147</t>
        </is>
      </c>
      <c r="B86" t="inlineStr">
        <is>
          <t>Senior and Principal Software Engineer - Core AI</t>
        </is>
      </c>
      <c r="C86" t="inlineStr">
        <is>
          <t>Microsoft</t>
        </is>
      </c>
      <c r="D86" t="inlineStr">
        <is>
          <t>linkedin</t>
        </is>
      </c>
      <c r="E86" t="inlineStr"/>
      <c r="F86" t="inlineStr"/>
      <c r="G86" t="inlineStr">
        <is>
          <t>Redmond, WA</t>
        </is>
      </c>
      <c r="H86" t="inlineStr"/>
      <c r="I86"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Observability group is focused on developing solutions to monitor, evaluate, and optimize AI agent performance. We are seeking Senior and Principal Software Engineers to join the Observability platform team. This team is responsible for building the services that power Observability in Foundry.
**Responsibilities**
* Design, implement and deliver AI services to support product offerings for large\-scale agent observability
* Collaborate closely with product management and partner teams to align technical direction with business goals
* Take end\-to\-end responsibility for the development lifecycle and production readiness of the services you build and drive the team’s DevOps culture
* Engage with customers to gather feedback and resolve complex issues
* Understand Microsoft businesses and collaborate with stakeholders towards cohesive, end\-to\-end experiences for Microsoft customers
* Innovate on technical solutions, and patterns that will improve the availability, reliability, efficiency, observability, and performance of products.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6\+ years technical engineering experience with coding in languages including, but not limited to, C\+\+, C\#, Go, Java, or Python
+ OR equivalent experience.
* 6\+ years technical engineering experience designing and delivering highly available, large\-scale cloud services and distributed systems.
* Experience building AI or ML related applications.
* 1\+ years of technical engineering experience with machine learning or Artificial Intelligence (AI) systems
 \#CoreAI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7">
      <c r="A87" t="inlineStr">
        <is>
          <t>li-4381351837</t>
        </is>
      </c>
      <c r="B87" t="inlineStr">
        <is>
          <t>Junior Software Engineer</t>
        </is>
      </c>
      <c r="C87" t="inlineStr">
        <is>
          <t>Haystack</t>
        </is>
      </c>
      <c r="D87" t="inlineStr">
        <is>
          <t>linkedin</t>
        </is>
      </c>
      <c r="E87" t="inlineStr"/>
      <c r="F87" t="inlineStr"/>
      <c r="G87" t="inlineStr">
        <is>
          <t>Eagan, MN</t>
        </is>
      </c>
      <c r="H87" t="inlineStr"/>
      <c r="I87" t="inlineStr">
        <is>
          <t>**Junior AI Software Engineer \| Egg Harbor Township, NJ or Gaithersburg, MD or Eagan, MN \| Hybrid \| $69,550 \- $125,725** 
 We're working with a global leader in mission\-critical digital transformation and aerospace innovation on this exciting opportunity.
 This isn't your average dev role; you'll be building real\-time, safety\-critical systems for the UK National Airspace using C\+\+, Ada, and cutting\-edge AI\-augmented development workflows. We are looking for a forward\-thinking engineer who doesn't just code, but leverages LLMs like Claude and GitHub Copilot to outpace the status quo in high\-availability environments.
**The Role** 
 • Design and maintain high\-availability software for national air traffic management systems utilizing C, C\+\+, and Ada.
 • Lead the charge in AI\-driven engineering by integrating Claude Code and GitHub Copilot into the full SDLC for code generation and refactoring.
 • Develop automated test frameworks and debugging scripts to ensure the reliability of massive, real\-time multi\-threaded systems.
 • Architect low\-level communication protocols including TCP/IP, UDP, and SCTP within Linux Red Hat and virtualized environments.
 • Collaborate with cross\-functional teams to modernize safety\-critical infrastructure with a human\-in\-the\-loop AI approach.
**What You'll Need** 
 • 4\-8 years of software engineering experience (or a Master’s with 2\-6 years) with a strong background in Object\-Oriented Programming.
 • Proven expertise in C\+\+ or C; experience with Ada is a major plus for these mission\-critical systems.
 • Hands\-on proficiency with AI\-assisted coding tools and LLM platforms like OpenAI, Anthropic, or Google Gemini.
 • Solid experience with Linux, hypervisors, and real\-time system integration for complex hardware environments.
 • US Citizenship and the ability to obtain a Public Trust clearance are required for this national infrastructure project.
**What's On Offer** 
 • Highly competitive salary range ($69,550 \- $125,725\) based on experience and technical mastery.
 • Flexible hybrid work schedule (3 days onsite, 2 days remote) to balance high\-stakes mission work with personal flexibility.
 • Opportunity to work on "Step 30" technology at a company that prioritizes disruption and rapid innovation over the status quo.
 • Comprehensive benefits package including Health/Wellness programs, retirement plans, and professional development support.
**Apply via Haystack today!**</t>
        </is>
      </c>
    </row>
    <row r="88">
      <c r="A88" t="inlineStr">
        <is>
          <t>li-4301562299</t>
        </is>
      </c>
      <c r="B88" t="inlineStr">
        <is>
          <t>Principle Software Engineer</t>
        </is>
      </c>
      <c r="C88" t="inlineStr">
        <is>
          <t>Yaskawa Motoman</t>
        </is>
      </c>
      <c r="D88" t="inlineStr">
        <is>
          <t>linkedin</t>
        </is>
      </c>
      <c r="E88" t="inlineStr"/>
      <c r="F88" t="inlineStr"/>
      <c r="G88" t="inlineStr">
        <is>
          <t>Irvine, CA</t>
        </is>
      </c>
      <c r="H88" t="inlineStr"/>
      <c r="I88" t="inlineStr">
        <is>
          <t>ESSENTIAL DUTIES AND RESPONSIBILITIES include the following. Other duties may be assigned.
* Design, develop, maintain, and execute unit and integration tests for software applications using C\# and REST APIs.
* Apply extensive knowledge of SQL database design and development.
* Develop software for automation hardware, including:
+ I/O implementations
+ Real\-time robotic applications
* Prepare comprehensive documentation such as design specifications, program flow diagrams, coding documentation, and end\-user guides.
* Communicate directly with customers to resolve technical issues and provide updates.
* Manage and contribute to multiple projects simultaneously.
* Adhere to ISO procedures and provide constructive feedback to improve processes.
* Interpret and apply relevant industry and clinical laboratory standards.
* Lead and facilitate design reviews with customers, suppliers, and internal departments to ensure robust designs and accurate documentation.
* Conduct validation and verification testing to ensure project success.
* Analyze test data to verify compliance with functional and performance requirements.
* Support debugging efforts and coordinate technical issue resolution both in\-house and at customer sites.
* Provide technical support and leadership across engineering, customer service, manufacturing, and customer teams.
* Communicate project status to stakeholders and team members.
* Assist in preparing and presenting engineering change documentation.
* May be responsible for delivering complete engineering solutions.
* Travel occasionally to customer sites (valid driver’s license and full auto insurance required).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Engineering or related field and a minimum of ten (10\) years’ related experience.
**OTHER SKILLS And ABILITIES**
 Good organizational skills, ability to solve problems, strong verbal and written communication skills. Must be able to multi\-task. Employee must be able to work with minimal supervision, conferring with supervisor on unusual matters. Has some latitude for unreviewed action or decision.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and managers, clients, customers, and the general public.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Work requires individual to devise own methods, to assist with methods used by others, to exercise ingenuity, to analyze situations, and apply judgment required to make decisions of an administrative nature.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and hear. The employee frequently is required to stand; sit; and use hands to finger, handle, or feel objects, tools, or controls. The employee is occasionally required to walk; reach with hands and arms; climb or balance; and stoop, kneel, crouch, or crawl. Would anticipate about four\-six hours a day/minimum at PC. The employee may occasionally lift and/or move up to 25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risk of electrical shock, UV exposure, fumes, spark and heat.
 The noise level in the work environment is usually moderate.
 Duties may require the occasional use of/contact with/exposure to various hazardous materials (such as, but not limited to grease, oils, lubricants, paint, thinner, parts cleaner, etc.). Employees should have basic awareness of hazardous materials cautions. Those directly using the materials must have specific knowledge of material in use.
**Compensation**
 The base salary range for this position is $145K \- $185K annually, plus benefits. Compensation will be determined based on skills, experience, and qualifications.</t>
        </is>
      </c>
    </row>
    <row r="89">
      <c r="A89" t="inlineStr">
        <is>
          <t>li-4382385842</t>
        </is>
      </c>
      <c r="B89" t="inlineStr">
        <is>
          <t>Software Engineer</t>
        </is>
      </c>
      <c r="C89" t="inlineStr">
        <is>
          <t>Haystack</t>
        </is>
      </c>
      <c r="D89" t="inlineStr">
        <is>
          <t>linkedin</t>
        </is>
      </c>
      <c r="E89" t="inlineStr"/>
      <c r="F89" t="inlineStr"/>
      <c r="G89" t="inlineStr">
        <is>
          <t>Hanover, MD</t>
        </is>
      </c>
      <c r="H89" t="inlineStr"/>
      <c r="I89" t="inlineStr">
        <is>
          <t>**Senior Software Engineer \| Hanover, MD \| Hybrid \| $97,750 \- $132,250**
 We're working with a premier leader in subsea robotics and maritime defense technology on this exciting opportunity. Join a team building one\-of\-a\-kind underwater systems and shipboard equipment that push the boundaries of engineering from the deep ocean to the outer reaches of space.
 In this high\-impact role, you will take ownership of the software lifecycle for mission\-critical defense projects, utilizing C\# and modern containerization tools to solve "routine to extreme" challenges. If you are an engineer who thrives on seeing your code operate in the world's harshest environments, this is the career\-defining move you've been looking for.
**The Role**
* Lead the design, development, and integration of C\# software modules (CSUs) within a complex, hardware\-interfacing software architecture.
* Take ownership of subsystem engineering efforts, providing technical leadership to small subgroups and mentorship to junior developers.
* Drive the full software development lifecycle (SDLC), from initial requirements management and concept of operations (CONOPS) to final qualification testing.
* Interface directly with stakeholders to present engineering concepts and technical reports for high\-stakes DoD programs.
* Support hands\-on software testing and troubleshooting on the factory floor, offsite facilities, and occasionally offshore.
**What You'll Need**
* 2\+ years of professional C\# software engineering experience within a structured lifecycle environment.
* Strong technical foundation with a BS in STEM (Science, Technology, Engineering, or Math) or equivalent industry experience.
* Hands\-on familiarity with modern dev tools including Git for version control and Jira for project management.
* Preferred experience with Kubernetes containerization, CI/CD pipelines, and Linux\-based operating systems (Avalonia experience is a plus).
* Must be a US Citizen with the ability to obtain and maintain a DoD Security Clearance.
**What's On Offer**
* Competitive salary range of $97,750 \- $132,250 with a comprehensive benefits package including health, dental, and mental health support.
* Work\-life balance with a flexible hybrid schedule and generous PTO, holiday pay, and parental leave.
* Professional growth through tuition reimbursement and exposure to unique, world\-first engineering projects in the defense and aerospace sectors.
**Apply via Haystack today!**</t>
        </is>
      </c>
    </row>
    <row r="90">
      <c r="A90" t="inlineStr">
        <is>
          <t>li-4301594927</t>
        </is>
      </c>
      <c r="B90" t="inlineStr">
        <is>
          <t>Staff Software Engineer</t>
        </is>
      </c>
      <c r="C90" t="inlineStr">
        <is>
          <t>CooperSurgical</t>
        </is>
      </c>
      <c r="D90" t="inlineStr">
        <is>
          <t>linkedin</t>
        </is>
      </c>
      <c r="E90" t="inlineStr"/>
      <c r="F90" t="inlineStr"/>
      <c r="G90" t="inlineStr">
        <is>
          <t>Livingston, NJ</t>
        </is>
      </c>
      <c r="H90" t="inlineStr"/>
      <c r="I90" t="inlineStr">
        <is>
          <t>**Job Description**
**About CooperSurgical:**
 CooperSurgical is a leading fertility and women’s healthcare company dedicated to putting time on the side of women, babies, and families at the healthcare moments that matter most in life. As a division of CooperCompanies, we're driven by a unified purpose to enable patients to experience life's beautiful moments. Guided by our shared values – dedicated, innovative, friendly, partners, and do the right thing – our offerings support patients throughout their lifetimes, from contraception to fertility and birth solutions, to women’s and family care, and beyond. We currently offer over 600 clinically relevant medical devices to healthcare providers, including testing and treatment options, as well as an innovative suite of assisted reproductive technology and genomic testing solutions. Learn more at www.coopersurgical.com.
**Job Summary:**
 As a Staff Software Engineer on the Cooper Surgical R\&amp;D Software Development team, you will assume a technical leadership role in designing, developing, maintaining, enhancing, and supporting customer\-facing software products. This role involves hands\-on development, architectural design, and driving engineering best practices across distributed systems, microservices, and multiple integrated applications. You will collaborate closely with technical and business stakeholders, contribute to technical strategy, and deliver scalable, secure, and maintainable software solutions. This position requires a strong engineering mindset, excellent interpersonal qualities, and deep experience building cloud\-native applications.
**Responsibilities**
**Essential Functions \&amp; Accountabilities:**
* Lead the design and development of new features and enhancements for existing products and applications, as well as new products and initiatives to meet the evolving needs of our business.
* Play a pivotal role as a full stack developer, demonstrating deep expertise and guiding the team in delivering high\-quality code and scalable software solutions.
* Oversee the maintenance and improvement of existing codebases, emphasizing the replacement of legacy technology with modern solutions.
* Collaborate closely with technical support staff and engineers, providing advanced troubleshooting and resolution of complex technical issues.
* Drive the evolution of software development practices, including identifying opportunities for automation, efficiency, and innovation.
* Mentor and guide junior engineers, fostering their growth and development.
* Collaborate with the team to set the direction of future development within current and future CSI projects, contributing to architectural decisions and technical strategy.
**Qualifications**
**Knowledge, Skills, and Abilities:**
* Extensive experience in backend development using .Net, C\#, Entity Framework, PostgreSQL and MS SQL, with a proven track record of delivering complex and high\-quality software solutions.
* Extensive experience in Windows desktop app development using WPF and Azure Webservices
* Proficiency in advanced front\-end technologies, such as HTML5, CSS3, JavaScript, jQuery, Bootstrap, Vue.js, React/Next.js or similar frameworks, to create highly responsive and user\-friendly web applications.
* Strong expertise in unit testing and test\-driven development (TDD) methodologies to ensure the highest level of code quality and reliability.
* Thorough understanding of AWS cloud solutions, including S3, RDS, and EC2, with the ability to architect and optimize cloud\-based systems.
* Advanced knowledge of DevOps practices, Git version control, test automation, and continuous integration/continuous deployment (CI/CD) best practices.
* Familiarity with containerization technologies like Docker and orchestration tools such as Kubernetes and Terraform.
* An outcome\-focused mindset, with a strong emphasis on process discipline, and a relentless drive for timely project completion.
* Exceptional interpersonal and communication skills, with the ability to collaborate effectively and mentor team members.
* A deep passion for remaining at the forefront of technology, continuous learning, and professional growth.
**Work Environment:**
* Occasional domestic and international travel (: 10%)
* On\-site working from an office in Trumbull, CT, Livingston, NJ, or Boston, MA
**Experience:**
* Minimum of 10 years of relevant experience, demonstrating a significant increase in responsibilities and leadership within the software development field.
**Education:**
* Minimum bachelor’s degree in computer science or related field.
* Master’s degree preferred.
 As an employee of CooperSurgical, you'll receive an outstanding total compensation plan. As we believe your compensation goes beyond your paycheck, we offer a great compensation package, medical coverage, 401(k), parental leave, fertility benefits, paid time off for vacation, personal, sick and holidays, and multiple other perks and benefits. Please visit us at www.coopersurgical.com to learn more about CooperSurgical and the benefits of becoming a member of our team.
 To all agencies: Please, no phone calls or emails to any employee of CooperSurgical about this opening. All resumes submitted by search firms/employment agencies to any employee at CooperSurgical via\-email, the internet or in any form and/or method will be deemed the sole property of CooperSurgical, unless such search firms/employment agencies were engaged by CooperSurgical for this position and a valid agreement with CooperSurgical is in place. In the event a candidate who was submitted outside of the CooperSurgical agency engagement process is hired, no fee or payment of any kind will be paid.
 We are committed to equal employment opportunity regardless of race, color, ancestry, religion, sex, national origin, sexual orientation, age, citizenship, marital status, disability, gender, gender identity or expression, or veteran status. We are proud to be an equal opportunity workplace.
 For U.S. locations that require disclosure of compensation, the starting base pay for this role is between $140,000 \- $170,000\. The actual base pay includes many factors, and is subject to change and modification in the future. This position may also be eligible for other types of compensation and benefits.</t>
        </is>
      </c>
    </row>
    <row r="91">
      <c r="A91" t="inlineStr">
        <is>
          <t>li-4365580440</t>
        </is>
      </c>
      <c r="B91" t="inlineStr">
        <is>
          <t>Staff Software Engineer, Infrastructure, Google Cloud</t>
        </is>
      </c>
      <c r="C91" t="inlineStr">
        <is>
          <t>Google</t>
        </is>
      </c>
      <c r="D91" t="inlineStr">
        <is>
          <t>linkedin</t>
        </is>
      </c>
      <c r="E91" t="inlineStr"/>
      <c r="F91" t="inlineStr"/>
      <c r="G91" t="inlineStr">
        <is>
          <t>Sunnyvale, CA</t>
        </is>
      </c>
      <c r="H91" t="inlineStr"/>
      <c r="I9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2">
      <c r="A92" t="inlineStr">
        <is>
          <t>li-4372031091</t>
        </is>
      </c>
      <c r="B92" t="inlineStr">
        <is>
          <t>Systems Software Engineer</t>
        </is>
      </c>
      <c r="C92" t="inlineStr">
        <is>
          <t>Sunbelt Controls</t>
        </is>
      </c>
      <c r="D92" t="inlineStr">
        <is>
          <t>linkedin</t>
        </is>
      </c>
      <c r="E92" t="inlineStr"/>
      <c r="F92" t="inlineStr"/>
      <c r="G92" t="inlineStr">
        <is>
          <t>Boise, ID</t>
        </is>
      </c>
      <c r="H92" t="inlineStr"/>
      <c r="I92" t="inlineStr">
        <is>
          <t>**Job Summary**
**JOB DESCRIPTION**
 The position requires the individual to apply their basic technical knowledge and any prior experience for the support of project start up, commissioning and troubleshooting activities. In addition, this position will be responsible for field assisting of engineering, programming, graphics and closeout documentation activities for each project. The position requires a basic and proficient level of computer skills and understanding of computer\-operated systems. Additionally, the individual is required to closely interact with the Project Manager and assigned project Software Specialist to assist in the timely completion of each project.
**Essential Functions**
* Assistance in the startup and commissioning activities of control systems designed and programmed by level 2 \&amp; 3 Systems Software Engineer.
* Performs and validates the execution of the initial systems point\-to\-point commissioning activities
* Assists higher level Systems Software Engineer in the commissioning and troubleshooting of local and wide area networks.
* Assists higher level Systems Software Engineer in the utilization of computer hardware and software to support pre\-functional testing of the system software code in relationship to the design sequence of operations.
* Support final systems functional testing as required by the project team.
* Initiates and tracks project checkout documentation and as\-built conditions for submission of the assigned Project Manager.
* Ability to manage time and costs budgets for assigned project tasks as delegated by the Project Manager or higher level Software Specialist.
* Communicates effectively with all other project team members concerning problems, obstacles, issues and information needs from the field.
* Communicates effectively to submit daily and/or weekly summary of work reports to the project team leadership.
* Manages weekly time allocations to multiple assigned projects for on\-time weekly submission of the individual’s time sheet.
* Responsible for practicing safe work habits and participates in office safety program requirements and that of any specific safety requirements of all assigned projects.
* Attends and successfully completes the OSHA 10 and OSHA 30 safety training classes.
* Takes personal responsibility for the successful completion of any assigned formal training and development plans
**Education And Experience**
* Entry level position with a minimum of a High School Diploma.
* Preferred electronics and/or basic IT background. Strong mechanical aptitude and any technical school training are desired.
* Strong working knowledge of MS Office, Windows, File Structure. Basic TCP/IP network structure and web navigation are desired.
* Must be highly organized and possess the ability to work in a high paced environment with the ability to prioritize tasks to meet the schedules given by Sunbelt leadership.
* Has the ability to operate independently and autonomously and take ownership of all assigned tasks.
* Must possess a valid California driver’s license.
* Ability to execute their work to ensure high customer satisfaction and the highest quality deliverable.
* Excellent oral, written and interpersonal skills are a requirement of this position.
**Acco Competencies**
* Proactivity / Initiative: Recognizes what needs to be done and accomplishes it in a manner appropriate for one’s level/position and with minimal supervision.
* Perseverance: Shows the wherewithal to fight for difficult goals despite challenges and to bounce back from adversity.
* Insight: The ability to gather and make sense of information that suggests new possibilities.
* Engagement: Shows a knack for using emotion and logic to communicate a persuasive vision and connect with people.
* Teamwork: The ability to effectively work toward common goals with others by supporting, encouraging, and sharing information in an authentic and approachable manner.
* Big Picture: Understands and contributes to organizations’ short\- and long\-term business strategy. On a personal level has independently developed a vision for short\- and long\-term career success.
* Motivation / Dedication: Commits to excellence in pursuing unselfish goals. Initiates action with collective goals takes responsibility, and shows personal humility.
* Technical Curiosity / Willingness to Learn: Interest in seeking out new experiences, knowledge, and candid feed, back; demonstrating an openness to learning and change.
* Problem\-Solver: Ability to identify, analyze, and solve a problem in support of personal, group, department, or organizational objectives.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stand, use hands to operate computer keyboard and telephone, talk and hear.
* Lift and/or move up to 50 lbs. occasionally, and/or up to 20 lbs. of force frequently, and/or up to 10lbs. of force constantly to move objects.
* Ability to climb up and down the ladder frequently.
* The employee must possess the ability to navigate the complexities of a construction site while working on site and practicing the site safety requirements and policies of the Company.
**Competitive Wages**
 $50,000\.00 to $63,000 Annual Salary.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\#Sunbelt
**About Us**
 Sunbelt Controls is a premier provider of building automation system solutions and services for a wide portfolio of clients across the Western United States. We provide BAS solutions that are comprehensive, ranging from new construction installation and system retrofits to preventative service, data analytics and fault detection diagnostics. We lead the industry with building control products and solutions that reduce energy and operational cost across several vertical markets, including office buildings, data centers, healthcare, education, and biotech/pharmaceutical.
 We deliver value to our clients by utilizing emerging technologies to create smarter buildings through our professional solutions, services, experiences, and ingenuity. Our employees are comprised of intelligent, dedicated, and entrepreneurial team members who put customers first and enjoy what they do. We believe there is a better way… to grow professionally, to partner and deliver a project. If you are ready for new challenges and new opportunities, come join our team!
 What's great about working at Sunbelt Controls is that we’re a big enough company to be a leader in Automated Controls contracting in California, the Pacific Northwest, and the Southwest U.S., but as a 100% employee\-owned ESOP, we’re a private company with a family\-oriented feel. Together, the employees of Sunbelt Controls are comprised of intelligent, dedicated, and entrepreneurial team members who put customers first and enjoy what they do.
**SUNBELT CONTROLS IS AN EQUAL OPPORTUNITY EMPLOYER AA M/F/V/D.**
 We proudly hire U.S. Military Veterans, and those qualified are encouraged to apply.
 Equal Employment Opportunity is The Law.\|Pay Transparency Nondiscrimination Provision
*Sunbelt Controls will consider qualified applicants with criminal histories for employment.*
**At this time, Sunbelt Controls is unable to provide visa sponsorship.**</t>
        </is>
      </c>
    </row>
    <row r="93">
      <c r="A93" t="inlineStr">
        <is>
          <t>li-4382393564</t>
        </is>
      </c>
      <c r="B93" t="inlineStr">
        <is>
          <t>Principal Software Engineer Lead</t>
        </is>
      </c>
      <c r="C93" t="inlineStr">
        <is>
          <t>Mercor</t>
        </is>
      </c>
      <c r="D93" t="inlineStr">
        <is>
          <t>linkedin</t>
        </is>
      </c>
      <c r="E93" t="inlineStr"/>
      <c r="F93" t="inlineStr"/>
      <c r="G93" t="inlineStr"/>
      <c r="H93" t="inlineStr"/>
      <c r="I93"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III
**Type:** 
**Onsite**
**Compensation:** 
**$75–$105/hour**
**Location:** 
**Redmond**
**Role Responsibilities**
* Develop XR applications using OpenXR, covering architecture, implementation, testing, and iteration.
* Build interactive features including input handling, scene and interaction systems, and rendering optimizations.
* Integrate platform and runtime features like tracking spaces and passthrough extensions.
* Create clean, testable code and contribute to CI/build scripts.
* Debug runtime and device issues related to graphics, tracking, and input.
* Collaborate with product, UX, and engineering stakeholders; document designs and tradeoffs.
**Qualifications**
**Must\-Have**
* 3\+ years of professional software development experience.
* Experience shipping 3D real\-time applications like XR, games, or simulations.
* Practical experience with OpenXR core concepts.
* Strong skills in C/C\+\+ and/or C\#.
* Experience with a real\-time engine or framework such as Unity or Unreal.
* Understanding of rendering and performance constraints for XR.
**Preferred**
* Experience shipping an OpenXR\-based app or feature.
* Familiarity with OpenXR extensions.
* Graphics experience with Vulkan/OpenGL/DirectX and profiling tools.
* Android XR experience including Gradle, NDK, and JNI.
* Experience building reusable components for XR interaction.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94">
      <c r="A94" t="inlineStr">
        <is>
          <t>li-4372944525</t>
        </is>
      </c>
      <c r="B94" t="inlineStr">
        <is>
          <t>Staff Software Engineer - AI II</t>
        </is>
      </c>
      <c r="C94" t="inlineStr">
        <is>
          <t>Thomson Reuters</t>
        </is>
      </c>
      <c r="D94" t="inlineStr">
        <is>
          <t>linkedin</t>
        </is>
      </c>
      <c r="E94" t="inlineStr"/>
      <c r="F94" t="inlineStr"/>
      <c r="G94" t="inlineStr">
        <is>
          <t>New York, NY</t>
        </is>
      </c>
      <c r="H94" t="inlineStr"/>
      <c r="I94" t="inlineStr">
        <is>
          <t>This posting is for proactive recruitment purposes and may be used to fill current openings or future vacancies within our organization.
 Staff Software Engineer (AI), Forward Engineering
 As a Staff Software Engineer (AI) you will join our pivotal Forward Engineering team responsible for reimagining critical TR business functions by architecting / prototyping enterprise\-grade AI systems that deliver measurable business value. You will work closely with senior functional leaders to facilitate end\-to\-end optimization of the business processes and workflows through development of scalable, AI\-first solutions.
**About The Role**
 As a Staff Software Engineer (AI), you will lead the design and delivery of innovative AI solutions, driving technical strategy and embedding within business units to reimagine processes and accelerate TR’s AI\-first transformation.
**Architect and Deliver AI Systems**
 Design, build, evaluate, and lead implementation of enterprise\-scale AI solutions, including domain tailored multi\-agent systems and advanced RAG.
**Drive AI Innovation and Strategy**
 Evaluate emerging AI techniques, lead proof‑of‑concept initiatives, and translate cutting\-edge research into actionable technical roadmaps that advance the organization’s AI\-first vision.
**Provide Senior Technical Leadership**
 Direct architectural decisions, convert business requirements into scalable technical designs, mentor engineering talent, and champion MLOps/LLMOps best practices.
**Lead Embedded Cross\-Functional Collaboration**
 Partner directly with business units, SMEs, and product teams to co\-create AI solutions, ensure adoption, and document architectural patterns for organizational capability building.
**Accelerate Enterprise AI Transformation**
 Influence strategic direction, scale successful AI prototypes, and establish standards that elevate engineering excellence and drive company\-wide transformation.
**About You**
**Advanced Software \&amp; AI Engineering Experience**
 8\+ years of software engineering experience, including 4\+ years in senior or lead roles focused on AI/ML system design and delivery.
**Expert\-Level AI/ML Technical Proficiency**
 Mastery of Python and deep hands\-on experience with modern AI/ML frameworks such as PyTorch, TensorFlow, or JAX.
**Strong ML Foundations \&amp; System Design Skills**
 Deep understanding of machine learning principles, model evaluation methodologies, distributed systems, and scalable architecture patterns.
**MLOps/LLMOps \&amp; Lifecycle Ownership**
 Proven ability to manage full lifecycle operations for enterprise AI applications, including deployment, monitoring, model management, and continuous improvement.
**Cloud \&amp; Infrastructure Expertise**
 Demonstrated proficiency with major cloud platforms (AWS, Azure, or GCP) and infrastructure/orchestration tools such as Docker, Kubernetes, and Terraform.
**Production Integration Experience**
 Experience integrating AI models into large\-scale production systems using APIs, data pipelines, and cloud\-native application architectures.
**Leadership \&amp; Communication Skills**
 Strong technical leadership, strategic thinking, and the ability to communicate complex concepts effectively and influence senior stakeholders.
**Preferred Qualifications**
 Experience leading teams in building rapid prototypes and AI\-driven systems for internal stakeholders.
 Advanced knowledge of vector databases, embeddings, semantic search, and information retrieval systems.
 Track record of successful AI solution launches and scaling AI systems for internal business functions.
 Portfolio demonstrating leadership in innovative LLM\-based solutions and AI product development.
 Experience with AI governance, model risk management, and regulatory compliance.
 Publications, patents, or speaking experience in AI/ML domains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$158,000 USD \- $293,000 USD. For any eligible US locations, unless otherwise noted, the base compensation range for this role is $137,100 USD \- $254,700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95">
      <c r="A95" t="inlineStr">
        <is>
          <t>li-4381369658</t>
        </is>
      </c>
      <c r="B95" t="inlineStr">
        <is>
          <t>Full Stack Engineer, Scientific Modeling Tools</t>
        </is>
      </c>
      <c r="C95" t="inlineStr">
        <is>
          <t>RemoteHunter</t>
        </is>
      </c>
      <c r="D95" t="inlineStr">
        <is>
          <t>linkedin</t>
        </is>
      </c>
      <c r="E95" t="inlineStr"/>
      <c r="F95" t="inlineStr"/>
      <c r="G95" t="inlineStr"/>
      <c r="H95" t="inlineStr"/>
      <c r="I95" t="inlineStr">
        <is>
          <t>About the Opportunity:
 The organization is developing an advanced AI platform for discovering and developing clean energy and mineral resources. It leverages generative AI, foundation modeling, and autonomous decision optimization to identify critical resource deposits, measure and characterize them, and design efficient, sustainable production plans. The role focuses on professionalizing and extending internal modeling tools used for generating subsurface outputs, improving software robustness, maintainability, and usability. The team supports multiple scientific domains including geophysics and reservoir simulation.
 Responsibilities:
 • Collaborate with domain experts to translate requirements into accurate, usable, and extensible software
 • Own and improve internal modeling stacks through refactoring and modularization
 • Implement testing strategies such as golden tests, invariants, and property\-based testing where appropriate
 • Perform performance profiling and optimization as needed
 • Enhance documentation and developer experience
 • Design and implement APIs and interfaces for maintainable components
 • Build configuration management patterns for reproducible and debuggable runs
 • Implement and maintain orchestration pipelines for simulation ensembles and data validation
 • Establish versioning and release practices for internal tooling, including metadata management
 • Work primarily in Python and Julia
 • Integrate with ML\-adjacent components and artifacts without developing new ML methods
 Requirements:
 • Strong software engineering fundamentals with proven ownership of complex codebases
 • Production\-grade Python skills
 • Comfort with Julia or willingness to learn deeply
 • Experience designing APIs, handling configuration, and building reliable execution paths for complex workflows
 • Familiarity with performance profiling and optimization tools
 • Familiarity with ML frameworks at an integration level (PyTorch preferred, TensorFlow or JAX also relevant), including artifacts, I/O, and runtime concerns
 • Experience with orchestration or workflow tooling such as Flyte, Prefect, Dagster, or equivalent in\-house patterns
 Nice to have:
 • Experience in geophysics or geomodeling, including survey simulation or related tools like SimPEG
 • Reservoir simulation experience with tools like Eclipse, Intersect, or JutulDarcy
 • Experience solving PDE\-based problems in HPC environments
 • Familiarity with Fortran or C\+\+ codebases common in scientific stacks
 • Experience in simulation, CAD, CFD, or other engineering/scientific software domains
 • Experience supporting scientific users and workflows requiring communication and shared language
 • Experience with batch pipelines and data\-intensive systems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6">
      <c r="A96" t="inlineStr">
        <is>
          <t>li-4381210318</t>
        </is>
      </c>
      <c r="B96" t="inlineStr">
        <is>
          <t>Software Engineer (C++, OOD/OOP, Linux)</t>
        </is>
      </c>
      <c r="C96" t="inlineStr">
        <is>
          <t>KLA</t>
        </is>
      </c>
      <c r="D96" t="inlineStr">
        <is>
          <t>linkedin</t>
        </is>
      </c>
      <c r="E96" t="inlineStr"/>
      <c r="F96" t="inlineStr"/>
      <c r="G96" t="inlineStr">
        <is>
          <t>Milpitas, CA</t>
        </is>
      </c>
      <c r="H96" t="inlineStr"/>
      <c r="I96" t="inlineStr">
        <is>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The RAPID division is the world leading provider of reticle inspection solutions for the semiconductor industry. The company provides inspection solutions to both the mask shops and the semiconductor fabs to ensure that lithography yields are consistently high thus enabling cost\-effective manufacturing.
**Responsibilities**
**Job Description/Preferred Qualifications**
 The best candidates for this position will be a highly motivated self\-driven individual who has strong C\+\+ programming skill and troubleshooting, debugging skill with thorough knowledge in multi\-threaded programming environments and application software.
 While primarily working on inspection software for mask inspection systems, the candidate will interact with multidisciplinary engineering teams including electrical, mechanical, optical, algorithm, and other SW teams to acquire in\-depth domain knowledge and troubleshoot system problems.
**Qualifications**
* BS, MS or PhD, in Computer Science / Engineering or similar fields.
* C\+\+ programming experience is required.
* Strong technical skills in OOD/OOP, design patterns, interface definitions are essential.
* Demonstrated multitasking/threading programming experience are required.
* Strong software diagnostic and troubleshooting skills are required.
* Experience with QT or modern GUI technology is a plus.
* Linux administration knowledge is a plus.
* Knowledge in AI/computer vision is a plus.
* Strong team player and motivated by team success.
* Experience in semiconductor fab operations/manufacturing technology (optional).
**Minimum Qualifications**
 Doctorate (Academic) Degree and 0 years related work experience; Master's Level Degree and related work experience of 3 years; Bachelor's Level Degree and related work experience of 5 years
 Base Pay Range: $136,300\.00 \- $231,700\.00 Annually
 Primary Location: USA\-CA\-Milpitas\-KLA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is>
      </c>
    </row>
    <row r="97">
      <c r="A97" t="inlineStr">
        <is>
          <t>li-4349811611</t>
        </is>
      </c>
      <c r="B97" t="inlineStr">
        <is>
          <t>Senior Software Engineer, Backend - GTPN Platform (Relocate to Singapore)</t>
        </is>
      </c>
      <c r="C97" t="inlineStr">
        <is>
          <t>Airwallex</t>
        </is>
      </c>
      <c r="D97" t="inlineStr">
        <is>
          <t>linkedin</t>
        </is>
      </c>
      <c r="E97" t="inlineStr"/>
      <c r="F97" t="inlineStr"/>
      <c r="G97" t="inlineStr">
        <is>
          <t>New York, NY</t>
        </is>
      </c>
      <c r="H97" t="inlineStr"/>
      <c r="I97"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**The Opportunity**
 The Global Treasury and Payment Network (GTPN) team sits at the core of Airwallex’s payment infrastructure. As Airwallex’s very first product and still the largest revenue driver across the company, GTPN underpins many of our most critical customer experiences. We operate at the intersection of traditional and modern finance, expanding the reach of our global treasury and payment network, strengthening its capabilities and reliability, and delivering innovative payment products built on a robust financial foundation.
 GTPN is a truly global, cross\-site engineering organization, with talented engineers in existing and emerging hubs such as the US, Singapore, Hong Kong, and Shanghai. As we continue to scale worldwide, we’re looking for passionate Senior Software Engineers to join us. You’ll collaborate closely with product managers, designers, and engineers across regions to build and enhance products that not only meet but exceed our customers’ expectations.
**Locations:**
 Singapore or San Francisco
**Why Join Us**
* Be Part of Something Big: Join a team that's redefining the future of finance. Your work will have a direct impact on our mission to revolutionize financial services and help millions of businesses grow globally.
* Grow With Us: At Airwallex, we're committed to your professional development. You'll have opportunities to learn, grow, and shape your career path in a fast\-paced, innovative environment.
* Collaborate With the Best: Work with a team of talented and passionate individuals who are driven by the desire to create something extraordinary.
* Echo Work For Us!
**What You’ll Do**
* Lead with Inspiration \&amp; Purpose: You will oversee the strategy, architecture, development, and operation of Airwallex’s GTPN team to remain at the vanguard of developing cutting\-edge financial solutions.
* Collaborate and Create: Work alongside a team of talented engineers, product managers, and designers to bring our finance products from concept to launch. Your input will be crucial in shaping the future of finance.
* Understand and Empathize: Dive deep into our customers' needs and challenges. Your good product sense will enable you to design and implement solutions that truly resonate with our users.
* Measure and Optimize: Leverage data to drive decisions. Your keen data sense will help you measure the success of our products and identify opportunities for optimization and growth.
**Who You Are**
* A Highly Experienced and Inspirational Leader: You have successfully led a highly effective team that thrives in a dynamic and fast\-paced environment previously. Your outstanding leadership and motivational abilities will be invaluable in mentoring the team, fostering a culture of innovation, and promoting technical excellence within the organization.
* Experienced and Technically Proficient: You possess a wealth of experience in system architecturing and software development, with 10\+ years working in modern engineering practices focused on continuous innovation and high\-quality engineering.
* A Technical and Talent Bar Raiser: You set high standards and lead by example, elevating the capabilities of those around you.
* Empathetic and Insightful: Your deep empathy for customer needs drives your development process, allowing you to create intuitive and impactful products. This understanding is not just about meeting requirements, but enriching user experiences.
* Data\-Driven and Analytical: You view data as a narrative element of development, a critical tool that informs your decision\-making process. Your ability to interpret data enhances product performance and elevates user satisfaction, making you a pivotal member of our team.
* Collaborative and Knowledge\-Sharing: True collaboration is second nature to you. You thrive in team settings and are committed to sharing knowledge and ideas, which you see as vital to fostering innovation. Your role as a coach involves mentoring peers and promoting a learning culture within the team.
* Adaptable and Continuously Learning: In the fast\-paced world of fintech, you stand out for your agility and eagerness to adopt new skills and technologies. Challenges are opportunities for growth, and you are always prepared to expand your horizons.
* Proactive and Ownership\-Driven: You are self\-motivated and take initiative, demonstrating a strong sense of ownership in your projects. Your proactive approach ensures that you are always ahead of the curve, ready to take on responsibilities and lead projects to successful outcomes.
* Efficient and Prioritization\-Savvy: You excel at prioritizing tasks, which enables you to manage your workload effectively while maintaining high standards of quality. This skill ensures that critical project components receive the attention they need without sacrificing overall progress.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180K \- SGD 240K</t>
        </is>
      </c>
    </row>
    <row r="98">
      <c r="A98" t="inlineStr">
        <is>
          <t>li-4319583409</t>
        </is>
      </c>
      <c r="B98" t="inlineStr">
        <is>
          <t>Sr. Software Engineer, Flight Software (Starship)</t>
        </is>
      </c>
      <c r="C98" t="inlineStr">
        <is>
          <t>SpaceX</t>
        </is>
      </c>
      <c r="D98" t="inlineStr">
        <is>
          <t>linkedin</t>
        </is>
      </c>
      <c r="E98" t="inlineStr"/>
      <c r="F98" t="inlineStr"/>
      <c r="G98" t="inlineStr">
        <is>
          <t>Hawthorne, CA</t>
        </is>
      </c>
      <c r="H98" t="inlineStr"/>
      <c r="I9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FLIGHT SOFTWARE (STARSHIP)**
 SpaceX's Starship spacecraft and Super Heavy rocket (collectively referred to as Starship) represent a fully reusable transportation system designed to carry both crew and cargo to Earth orbit, the Moon, Mars and beyond. Starship will be the world's most powerful launch vehicle ever developed, with the ability to carry in excess of 100 metric tons to Earth orbit.
 As a Sr. Software Engineer on the Starship Software team, you will design, develop, and test software that is used to both control and simulate SpaceX flight systems. You will engage with other SpaceX software and hardware engineers to implement and debug software at all layers of our stack – application, operating system, networking, firmware, simulation – to achieve the mission.
 Aerospace experience is not required to be successful here \- rather we look for smart, motivated, collaborative engineers who love solving problems and want to make an impact on a super inspiring mission.
**Responsibilities**
* Develop highly reliable autonomous software systems and the simulations required to validate them
* Own all aspects of software development, including design, testing, and integration to the mission
* Work with counterpart engineering teams to develop and maintain launch and vehicle software, crossing all required software domains necessary to implement and verify control of the pad, ship, and booster to meet mission objectives
* Define and lead impactful projects that enable the mission of Starship
* Continuously improve software standards and software engineering best practices within Starship Software
**Basic Qualifications**
* Bachelor's degree in computer science, engineering, math, or science discipline and 4\+ years of experience in software development; or 6\+ years of professional experience in software development in lieu of a degree
* 4\+ years of experience C\+\+, Python, or Rust
**Preferred Skills And Experience**
* Proven skills and knowledge of C\+\+, Rust, or other systems programming language
* Experience building or working with real\-time embedded systems or distributed computing systems
* Experience designing fault tolerant software
* Strong skills in debugging, performance optimization, and unit testing
* Thorough knowledge of computer architecture and networking
* Basic knowledge of electronics, controls, fluid systems, motor design, or physical mechanics
* Creative approach to first\-principles problem solving
* Ability to work independently and in a team, take initiative, and communicate effectively
**Additional Requirements**
* Willing to work long hours and weekends as needed
**Pay Range**
**COMPENSATION AND BENEFITS:**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99">
      <c r="A99" t="inlineStr">
        <is>
          <t>li-4355520612</t>
        </is>
      </c>
      <c r="B99" t="inlineStr">
        <is>
          <t>Senior Software Engineer, Workspaces- Weights &amp; Biases</t>
        </is>
      </c>
      <c r="C99" t="inlineStr">
        <is>
          <t>Weights &amp; Biases</t>
        </is>
      </c>
      <c r="D99" t="inlineStr">
        <is>
          <t>linkedin</t>
        </is>
      </c>
      <c r="E99" t="inlineStr"/>
      <c r="F99" t="inlineStr"/>
      <c r="G99" t="inlineStr">
        <is>
          <t>Livingston, NJ</t>
        </is>
      </c>
      <c r="H99" t="inlineStr"/>
      <c r="I99"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Models team builds and maintains the core user experience for tracking, visualizing, and analyzing machine learning experiments at Weights \&amp; Biases. Our full\-stack engineering team works closely with Product, Design, and Platform partners to deliver high\-impact, customer\-facing features. We balance strong foundations in performance and reliability with a focus on building intuitive tooling that supports ML workflows at scale for both individual researchers and large ML organizations.
**About The Role**
 As a Senior Software Engineer on the Models team, you will build core features that directly improve how ML engineers interact with and understand their experiment data. You will solve complex technical challenges across the stack to unlock faster, more reliable, and more intuitive user experiences. Working closely with Product and Design, you will translate nuanced user needs into high\-quality, user\-facing implementations. This role emphasizes technical ownership, iterative delivery, and raising the bar for performance and reliability at scale.
**Who You Are**
* 5\+ years of professional software engineering experience building and operating production web applications.
* Demonstrated experience owning and delivering complex, user\-facing features end to end, from technical design through release.
* Strong experience with frontend development, including building complex user interfaces using React and TypeScript.
* Strong experience with backend development, including designing, implementing, and maintaining backend services.
* Proven ability to solve complex technical problems that impact performance, reliability, or usability in large\-scale applications.
* Experience working with APIs and data\-fetching layers, with an understanding of how backend design affects frontend performance and user experience.
* Ability to independently drive technical decisions and break down ambiguous problems into iterative, deliverable work.
* Demonstrated technical leadership through influencing architecture, establishing or evolving technical patterns, and raising engineering best practices within a team or across the organization.
**Preferred:** 
 (if applicable)
* Experience working on data\-intensive or analytics\-heavy web applications.
* Experience with GraphQL APIs, including query optimization and performance tuning.
* Experience with Go or another compiled backend language.
* Experience improving frontend performance for complex, highly interactive user interfaces.
* Familiarity with tools, workflows, or products used by ML engineers, data scientists, or research teams.
* Experience contributing to or evolving shared technical patterns and best practices across multiple teams.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00">
      <c r="A100" t="inlineStr">
        <is>
          <t>li-4323376898</t>
        </is>
      </c>
      <c r="B100" t="inlineStr">
        <is>
          <t>Staff Software Engineer, Product Engineering, Americas</t>
        </is>
      </c>
      <c r="C100" t="inlineStr">
        <is>
          <t>Ashby</t>
        </is>
      </c>
      <c r="D100" t="inlineStr">
        <is>
          <t>linkedin</t>
        </is>
      </c>
      <c r="E100" t="inlineStr"/>
      <c r="F100" t="inlineStr"/>
      <c r="G100" t="inlineStr">
        <is>
          <t>Salt Lake City, UT</t>
        </is>
      </c>
      <c r="H100" t="inlineStr"/>
      <c r="I100"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01">
      <c r="A101" t="inlineStr">
        <is>
          <t>li-4321352468</t>
        </is>
      </c>
      <c r="B101" t="inlineStr">
        <is>
          <t>Principal Software Engineer - Network Engineer (Gaming/Engine)</t>
        </is>
      </c>
      <c r="C101" t="inlineStr">
        <is>
          <t>Roblox</t>
        </is>
      </c>
      <c r="D101" t="inlineStr">
        <is>
          <t>linkedin</t>
        </is>
      </c>
      <c r="E101" t="inlineStr"/>
      <c r="F101" t="inlineStr"/>
      <c r="G101" t="inlineStr">
        <is>
          <t>San Mateo, CA</t>
        </is>
      </c>
      <c r="H101" t="inlineStr"/>
      <c r="I10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Replication Team pulls the players together by ensuring the communication of the game state to all. As a Principal Software Engineer you will help the players experience the game as a nearly synchronous world. Just as the nerves in our bodies coordinate our actions, the network system coordinates all the computers involved into a smooth experience for the players. You will work in all areas of the game platform in your quest for real\-time communication of every part of Roblox.
**You Are**
* A leading engineer with 8\+ years of industry experience
* Experienced with Game networking coming from a Game Engine/Studio
* A systems\-level C\+\+ programming expert and are fascinated by the actual work the CPU does when you use smart pointers, templates, virtual functions, and blocks of memory, both structured and raw
* Keen on each millisecond of the network exchanges: You know where the time goes and how to reduce the waste.
**You Have**
* Deep understanding of how high\-performance and low\-latency networking solutions for a variety of game genres, e.g., high\-fidelity first\-person shooters, massive multiplayer online games, are architected and designed. This includes architecting state synchronization, predictive mechanisms, and bandwidth optimization.
* Practical experience with core game networking paradigms, such as client\-side prediction and server reconciliation, data serialization and compression (e.g., delta encoding), lag compensation.
* Extensive experience with multi\-threaded programming, synchronization primitives, and designing thread\-safe networking systems
* Worked on some or all the devices Roblox supports \- from desktop clients to mobile phone clients to console clients.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2">
      <c r="A102" t="inlineStr">
        <is>
          <t>li-4365596445</t>
        </is>
      </c>
      <c r="B102" t="inlineStr">
        <is>
          <t>Staff Software Engineer, Asset Movement</t>
        </is>
      </c>
      <c r="C102" t="inlineStr">
        <is>
          <t>Paxos</t>
        </is>
      </c>
      <c r="D102" t="inlineStr">
        <is>
          <t>linkedin</t>
        </is>
      </c>
      <c r="E102" t="inlineStr"/>
      <c r="F102" t="inlineStr"/>
      <c r="G102" t="inlineStr"/>
      <c r="H102" t="inlineStr"/>
      <c r="I102" t="inlineStr">
        <is>
          <t>**About Paxos**
 Today’s financial infrastructure is archaic, expensive, inefficient and risky — supporting a system that leaves out more people than it lets in. So we’re rebuilding it.
 We’re on a mission to open the world’s financial system to everyone by enabling the instant movement of any asset, any time, in a trustworthy way. For over a decade, we’ve built blockchain infrastructure that tokenizes, custodies, trades and settles assets for the world’s leading financial institutions, like Mastercard, Visa, Robinhood, and PayPal.
**About The Team**
 The Asset Movement engineering teams at Paxos build secure infrastructure that enables seamless, compliant transfers of digital assets for institutional clients. They modernize treasury systems, abstract financial and blockchain complexities, and deliver unified APIs that support high\-volume transactions and mission\-critical workflows.
**About The Role**
 As a Staff Software Engineer for the Asset Movement teams, you will set architectural direction, drive cross\-team technical initiatives, and enable blueprint\-quality asset movement capabilities. Working across both Asset Orchestration and Assets Core teams, your mission is to build scalable, reliable, and innovative systems that simplify digital asset workflows for our institutional clients.
**What You’ll Do**
* Define and implement technical strategy for stablecoin infrastructure platforms spanning crypto, fiat and orchestration rails
* Architect core reusable services and APIs that drive reliable, compliant, and efficient asset movement across chains and external providers
* Lead cross\-team projects to improve performance, observability, security, and developer experience
* Collaborate closely with staff engineers, tech leads, product, and operational partners to drive organizational change
* Foster a culture of technical leadership, transparency, and high standards within and across teams
* Mentor engineers at all levels to elevate system health and engineering best practices
**About You**
* 8\+ years of experience building and scaling distributed systems in high\-growth technology companies
* Proven track record of leading complex technical initiatives from conception to delivery
* Deep expertise in designing and implementing large\-scale, high\-performance systems
* Strong experience with microservices architecture and cloud\-native technologies
* Experience mentoring engineers and driving technical excellence across teams
* Excellent communication skills with the ability to influence technical decisions across the organization
* Track record of building automation systems and improving operational efficiency
* Demonstrated experience using AI tools to improve how you work
* Bachelor's degree in Computer Science or equivalent practical experience
**Important Notice for Paxos Applicants**
 We’ve become aware of fraudulent accounts posting as Paxos recruiters on LinkedIn and other platforms. These scammers attempt to deceive applicants into paying for job opportunities or providing personal financial information.
**To Verify a Legitimate Paxos Recruiter**
* We only use @paxos.com email addresses
* We never ask for payment or financial details to apply, interview, or work here
* For technical roles, we do not perform a coding interview without prior screening by our engineering team
 Thanks for your interest in Paxos!
 Compensation Range: $212,000 \- $242,775</t>
        </is>
      </c>
    </row>
    <row r="103">
      <c r="A103" t="inlineStr">
        <is>
          <t>li-4372757625</t>
        </is>
      </c>
      <c r="B103" t="inlineStr">
        <is>
          <t>Principal Software Engineer, Corporate AI</t>
        </is>
      </c>
      <c r="C103" t="inlineStr">
        <is>
          <t>Dropbox</t>
        </is>
      </c>
      <c r="D103" t="inlineStr">
        <is>
          <t>linkedin</t>
        </is>
      </c>
      <c r="E103" t="inlineStr"/>
      <c r="F103" t="inlineStr"/>
      <c r="G103" t="inlineStr"/>
      <c r="H103" t="inlineStr"/>
      <c r="I103" t="inlineStr">
        <is>
          <t>Dropbox is a Virtual First company. For this role, we are hiring in Zones 2 and 3\. Please refer to our Compensation section below to see what neighborhoods fall under each Zone.
 Role Description
 The Principal Software Engineer is a highly skilled expert responsible for shaping and executing the organization’s intelligence vision. This role integrates expertise in Artificial Intelligence (AI), Machine Learning (ML), Automation, Data Analytics and Visualization to deliver transformative customer, partner, and colleague experiences that drive revenue growth and enhance productivity.
 The position defines the technical direction for intelligence initiatives, leading the design, development, and deployment of robust, scalable, and secure AI solutions while fostering innovation through emerging technologies.
 A critical aspect of the role is providing partnership, mentorship and technical guidance, cultivating a culture of excellence and continuous learning. Through close cross\-functional collaboration across teams and stakeholders, the role ensures technical efforts are strategically aligned and deliver measurable impact. Additionally, the position plays a central role in strategic problem\-solving, addressing complex challenges in intelligence systems and data pipelines, and making informed architectural decisions that ensure long\-term scalability and success.
**Responsibilities**
* Define, drive, and communicate the technical vision for intelligence, AI, and data initiatives, ensuring alignment with CIT strategy, EPD goals, and broader organizational objectives.
* Take a holistic view of CIT systems and architecture to ensure they are scalable, reliable, secure, and maintainable over multiple years.
* Lead the design, development, and deployment of high performance AI systems, data pipelines, and intelligent services from conception through production.
* Make strategic architectural decisions to address complex AI, data, and platform challenges, balancing short term delivery with long term resilience and scalability
* Identify opportunities to simplify systems, reduce operational and security risk, and improve developer productivity.
* Contribute directly to prototyping, proof of concepts, and implementation of technical components when needed to validate strategy, de risk decisions, or accelerate progress.
* Architect, evolve, and scale AI, automation, and intelligence platforms that enable advanced analytics, personalization, search, and intelligent decision making.
* Drive innovation in intelligence models, distributed training, optimization techniques, and data engineering to maximize performance, quality, and business impact.
* Enhance search and discovery capabilities using intelligent algorithms, natural language processing, and modern data systems.
* Evaluate, select, and integrate emerging technologies in AI, ML, and automation to maintain a competitive and forward looking technical posture.
* Partner across engineering, product, design, infrastructure, and other stakeholders to ensure intelligence initiatives directly support strategic objectives.
* Translate technical capabilities and advancements into clear business outcomes that improve productivity, efficiency, and growth.
* Resolve conflicting requirements and priorities with sound technical judgment that favors long term organizational outcomes over local optimization.
* Advocate for intelligence driven solutions across the organization and influence company wide technical priorities.
* Act as a trusted technical advisor to senior engineering leadership, with IC6 scope extending to org wide and EPD level strategy.
* Provide mentorship and technical guidance to engineers and data scientists from mid level through senior, fostering continuous learning and technical excellence.
* Serve as a technical multiplier by raising the effectiveness of surrounding teams through design reviews, code reviews, architectural guidance, and pragmatic execution.
* Facilitate knowledge sharing across teams through documentation, design writeups, technical discussions, and mentorship programs.
* Act as a voice for engineers by synthesizing feedback, surfacing gaps and risks, and communicating them clearly to leadership.
* Contribute to multi year technical vision and roadmap planning, anticipating future scale, complexity, and organizational needs.
* Identify architectural, operational, and security risks early and mobilize proactive mitigation plans across org boundaries.
* Partner closely with managers, product leaders, and senior engineers to ensure ambitious initiatives remain feasible, sustainable, and well aligned.
* For IC6 scope, influence technical direction beyond CIT and partner directly with senior EPD leadership on company wide strategy.
* Lead and support critical, high impact initiatives by defining technical direction, clarifying requirements, gathering estimates, and ensuring delivery against milestones.
* Drive execution on complex projects with significant ambiguity or high cost of failure.
* Improve engineering effectiveness by championing best practices such as CI, automated testing, reliability reviews, and clear ownership models.
* Promote a bias toward action, thoughtful experimentation, and continuous learning.
* Model excellence in engineering craft, collaboration, accountability, and inclusive behavior.
* Lead by example in living Dropbox values, including integrity, ownership, simplicity, and inclusivity.
* Support hiring by interviewing, calibrating candidates against a high technical bar, and representing Dropbox authentically to candidates and partners.
**Requirements**
* 12\+ years of professional experience in software engineering, with depth in areas such as intelligent workflows, enterprise scale AI adoption, automation, or data engineering.
* Proven track record of leading large scale, multi team technical initiatives from conception to production, including solving ambiguous problems, setting technical vision, and driving impact without direct authority.
* Strong architectural judgment and systems thinking, with the ability to balance short term delivery with long term sustainability, scalability, and operational excellence.
* Demonstrated ability to influence across teams and disciplines through technical leadership, collaboration, and sound decision making rather than formal authority.
* Experience mentoring engineers and raising the technical bar of an organization through design reviews, code reviews, and technical guidance.
* Exceptional written and verbal communication skills, with the ability to clearly explain complex technical concepts, translate technical strategy to diverse audiences, and influence stakeholders at all levels.
**Preferred Qualifications**
* Strong coding ability in at least one language commonly used in AI and data systems such as Python, Java, Go, or Scala, with hands on experience building models, data pipelines, or scalable production services.
* Experience operating in platform, infrastructure, or internal tooling organizations, including leading or significantly influencing org wide technical initiatives.
* Proven ability to navigate ambiguity and competing priorities, drive clarity, and make sound technical and product tradeoffs in partnership with product managers.
* Experience collaborating cross functionally with product, design, infrastructure, and legal or privacy stakeholders to deliver AI powered or data intensive products responsibly.
* Familiarity with AI assisted development practices in large codebases, along with experience representing engineering externally through talks, blogs, or industry events when applicable.
**Compensation**
 US Zone 1
 This role is not available in Zone 1
 US Zone 2
 $256,300—$346,700 USD
 US Zone 3
 $227,800—$308,200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metro), Texas (Austin metro) Virginia (DC metro), Washington (outside Seattle metro), Washington DC metro, West Virginia (DC metro), Wisconsin (Chicago metro)
* US Zone 3: All other US locations
**Company Description**
 Read more about our Benefits.
 Dropbox isn’t just a workplace—it’s a living lab for designing a more enlightened way of working. We’re a global community of bold visionaries and resourceful doers shaping the future of Dropbox and, in turn, the future of work. Our Virtual First model combines the autonomy of a distributed workplace with the power of human connection, creating space for meaningful work and lasting relationships. With a startup mindset and enterprise\-level opportunities, we expect Dropbox employees to think critically, stay curious, and use modern tools, including AI, to improve how work gets done. Here, you can be who you are and grow into who you’re meant to be. You own your impact, helping make work more intuitive, joyful, and human for yourself and hundreds of millions of people worldwide. If you’re ready to push boundaries and challenge yourself, Dropbox is ready for you.
 Team Description
 The Dropbox Engineering Team develops the technology, platforms, and products that create more enlightened ways of working for hundreds of millions of people. Customers rely on Dropbox to manage, share, and collaborate on content seamlessly—our engineering makes that easier and more intuitive than ever before.Our platform features a robust systems software layer that stores and processes exabytes of data, and a suite of growing services that enhance core products like our sharing and sync engine. We’re also driving innovation with new offerings such as Dash, our AI\-powered knowledge management engine. Our infrastructure spans high\-performance servers and cutting\-edge components across multiple data centers worldwide, ensuring reliability, speed, and scalability at a global scale. We think like a startup but build for an enterprise, exploring new possibilities that transform how people work. If you're excited about turning complex technical challenges into intuitive solutions at scale, join our Engineering team.
**Virtual First**
 Dropbox’s Virtual First way of working is designed to help people do their best work with flexibility, autonomy, and connection. Day to day, teams work remotely with nonlinear schedules and core collaboration hours that support deep focus and individual working styles. We prioritize asynchronous communication to improve clarity, respect deep work time, and reduce unnecessary meetings. While remote work is the primary experience for our employees, we also prioritize intentional, in\-person connection. We bring teams together through regular team gatherings, on\-demand workspaces, and Dropbox Neighborhood events in order to strengthen team cohesion, foster creativity, and enhance momentum. Virtual First is built to provide the same access to opportunity, growth, and impact for everyone, regardless of location.
 This role requires travel to offsites and various other team gatherings (approximately 5\-10% of the year or 2\-3 days per quarter). We provide advance notice when possible and encourage candidates to discuss any accommodation needs during the interview process.
 Dropbox supports responsible use of AI for preparation, but misrepresentation of skills or experience is not permitted. See our AI Principles.
 Dropbox is an equal opportunity employer. We are a welcoming place for everyone, and we do our best to make sure all people feel supported and connected at work.</t>
        </is>
      </c>
    </row>
    <row r="104">
      <c r="A104" t="inlineStr">
        <is>
          <t>li-4370800964</t>
        </is>
      </c>
      <c r="B104" t="inlineStr">
        <is>
          <t>2026 Full-time - Software Engineer II - Onsite (AZ)</t>
        </is>
      </c>
      <c r="C104" t="inlineStr">
        <is>
          <t>Raytheon</t>
        </is>
      </c>
      <c r="D104" t="inlineStr">
        <is>
          <t>linkedin</t>
        </is>
      </c>
      <c r="E104" t="inlineStr"/>
      <c r="F104" t="inlineStr"/>
      <c r="G104" t="inlineStr">
        <is>
          <t>Tucson, AZ</t>
        </is>
      </c>
      <c r="H104" t="inlineStr"/>
      <c r="I104" t="inlineStr">
        <is>
          <t>**Date Posted:**
 2026\-03\-05
**Country:**
 United States of America
**Location:**
 US\-AZ\-TUCSON\-805 \~ 1151 E Hermans Rd \~ BLDG 805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sensors,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As part of the Software Engineering Directorate’s (SWE) Effectors Center (EC) team, you will be an integral part of helping Raytheon further our vision to be the global leader in core and next\-generation weapon and security solutions. By any measure, Raytheon is an exciting and rewarding place to work. We pride ourselves on developing mission\-driven, world\-class talent. The result is a workforce that takes pride in the company and consistently delivers superior solutions.
 Our engineers design, develop, and build innovative solutions for the U.S. Government. Experience all aspects of a software development life cycle as a member of a fast\-paced agile team on the leading edge of:
 Real\-time systems design
 Digital signal processing
 Machine Learning and Autonomous Systems
 Cyber Security
 DevOps technologies and methods
 We encourage curious, creative problem solvers to join our team of bright, dedicated software craftspeople in designing and implementing highly innovative systems. You will learn advanced software engineering practices and apply new technologies to develop next generation capabilities and help keep our country safe.
 This position is within the Effectors Center of the Software organization, and is an onsite role located in Tucson, AZ.
**What You Will Do:**
 Assist and participate in the requirements, design, development and testing of real\-time embedded software, application software, and tools, to include development of new work products or enhancement of existing applications and systems.
 Design, code, test, integrate, and document software solutions.
 Participate in internal review of software components and systems.
 Collaborate with project managers and other professionals within Engineering.
 Work on problems with defined scope, schedule, and expectations.
 Follow established development practices and processes to maintain the configuration management of software products.
**What You Will Learn:**
 Use new tools that will keep you state\-of\-the\-art.
 Stay updated with the latest advancements in software development and missile technology to drive innovation.
**Qualifications You Must Have:**
 Master’s degree in Science, Technology, Engineering, or Mathematics (STEM).
 Experience with C, C\+\+, or Java.
 This position requires 12 months or less of relevant professional work experience (excluding Internships).
 The ability to obtain and maintain a U.S. government issued clearance. U.S. citizenship is required as only U.S. citizens are eligible for a security clearance.
**Qualifications We Prefer:**
 Master’s degree in Computer Engineering, Computer Science, or Software Engineering, and prior Internship experience.
 Knowledge of data structures and algorithms, systems software design, operating systems and architectures.
 Knowledge of assembly, C/C\+\+ programming, structured programming concepts.
 Knowledge of object\-oriented design and Unified Model Language.
 Experience writing low level code for microcontroller, Arduino or Raspberry PI
 Interpersonal and communication skills, both verbal and written.
 ABET is the preferred, although not required, accreditation standard. 3\.0 cumulative GPA desired.
 Demonstrated ability to work effectively with colleagues and leaders in a team environment.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role in Tucson, AZ
 Employees who are working in Onsite roles will work primarily onsite. This includes all production employees, as they are essential to the development of our products. This position involves direct support of manufacturing activities and requires spending significant amounts of time in and around factory areas.
 Please upload a copy of your most recent resume when applying to this requisition. Include your cumulative GPA and projected graduation date on your resume.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5">
      <c r="A105" t="inlineStr">
        <is>
          <t>li-4362930561</t>
        </is>
      </c>
      <c r="B105" t="inlineStr">
        <is>
          <t>Principal Software Engineer</t>
        </is>
      </c>
      <c r="C105" t="inlineStr">
        <is>
          <t>Microsoft</t>
        </is>
      </c>
      <c r="D105" t="inlineStr">
        <is>
          <t>linkedin</t>
        </is>
      </c>
      <c r="E105" t="inlineStr"/>
      <c r="F105" t="inlineStr"/>
      <c r="G105" t="inlineStr">
        <is>
          <t>Redmond, WA</t>
        </is>
      </c>
      <c r="H105" t="inlineStr"/>
      <c r="I105" t="inlineStr">
        <is>
          <t>**Overview**
 Are you passionate about operating systems, hardware and computer security? Do you like to work on low level technologies that is directly "code to metal"? Do you take pride in designing secure systems that is a nightmare for the most skilled hackers but a delight to use for end users? If you do, then we might have a very exciting opportunity for you!
 We are the Hardware Security team in the Windows Enterprise and Security group, and we are looking for an experienced, motivated software engineer to help transform and evolve hardware security in all Microsoft products and services. Our code powers billions of devices worldwide and is a constant target of ever more sophisticated cyber criminals. We own some of the most important foundational technologies in Azure, Windows and Xbox that leverage hardware to help protect our customers’ data and devices. Our goal is to ensure our devices are amongst the most secure in the industry, with strong, hardware\-backed guarantees and enforcements that are malware resistant. Our team owns many foundational technologies and platforms such as TPM (Trusted Platform Module), Pluton security processor as well as the Xbox hardware security architecture that our customers rely on for securing their devices.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In our
 **Principal Software Engineering** 
 position, you will be joining a team of highly technical engineers and world\-class experts in hardware/firmware/software security. You will lead and be responsible for building technologies and platforms that leverage the latest advancement in security and incorporate mitigations based on advanced attacks. As technical and project leader, you will influence our product technology roadmap aligning to our business goals. You will be part of a team that values team players and those who love to learn while having abundant opportunities to grow personally and professionally. Specifically, you will:
* Lead the team to design, develop and deliver security firmware and software solutions that achieve security, reliability, scalability, performance, and efficiency for Microsoft products and services.
* Representing Microsoft in security industry standard organization such as Trusted Computing Group for technology specifications discussion and modifications.
* Bring other industry standards into our product and technology planning.
* Leveraging emerging technologies such as Artificial Intelligence to improve individual and team effectiveness
* Define project engineering plan, execute to deliver with focus on accountability, learning and quality
* Mentor and grow the team members’ engineering culture and careers
* Guide the team to develop excellent engineering practices and ensure the product is compliant with security, privacy, accessibility and other compliance requirements
* Evaluate and assess emerging technologies in the hardware security and related area and partner with product management, customers and other Microsoft teams and other companies to define requirements, develop a roadmap and scope project milestones
* Focus on diversity and inclusiveness to enable creative solutions to challenging problems
**Qualifications**
**Required Qualifications:**
* Bachelor's Degree in Computer Science or related technical field AND 6\+ years technical engineering experience with coding in languages including, but not limited to, C, C\+\+, Rust,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Rust, or Python
* OR equivalent experience
* 10\+ years of engineering experience in IT industry.
* Proven track record for creating and owning challenging technical areas in complicated systems, security related area is highly desirable
* Proven track record for collaboration between many teams and delivering results
* Experience in standard groups such as TCG
* Experience in developing \&amp; creating platforms
* Experience in using latest AI technology
* Experience in creating and maintaining open source projects
* Experience in Rust programming language and tool chain
* Experience with computer security and cryptography
* Experience with the hardware/firmware/driver development.
* Experience with Windows operating system architecture
 \#W\+DJOBS
 \#ENSJOBS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6">
      <c r="A106" t="inlineStr">
        <is>
          <t>li-4343248101</t>
        </is>
      </c>
      <c r="B106" t="inlineStr">
        <is>
          <t>Software Engineering Technical Leader</t>
        </is>
      </c>
      <c r="C106" t="inlineStr">
        <is>
          <t>Cisco</t>
        </is>
      </c>
      <c r="D106" t="inlineStr">
        <is>
          <t>linkedin</t>
        </is>
      </c>
      <c r="E106" t="inlineStr"/>
      <c r="F106" t="inlineStr"/>
      <c r="G106" t="inlineStr">
        <is>
          <t>Cary, NC</t>
        </is>
      </c>
      <c r="H106" t="inlineStr"/>
      <c r="I106" t="inlineStr">
        <is>
          <t>The application window is expected to close on: December 23, 2025\.
 NOTE: Job posting may be removed earlier if the position is filled or if a sufficient number of applications are received.
 This role is hybrid in Raleigh, North Carolina, Virginia, Maryland, District of Columbia, DC Metro Area, Beltway.
 \*\*\* The applicant will be performing work on US Government classified environments, and therefore, must be a U.S. Person (i.e., U.S. citizen, U.S. national, lawful permanent resident, asylee, or refugee). This position may also perform work that the U.S. government has specified can only be performed by a U.S. citizen on U.S. soil. The applicant must be eligible for a US Government TS/SCI Clearance \*\*\*
 Meet the Team
 In this role, you will work in the Security \&amp; Trust Government Solutions Organization (GSO) The hiring manager is the GSO Market Access Platform (MAP) Software Development Director. This role will cut across multiple functions inside GSO and Cisco. GSO’s vision is to be the leader in delivering Cisco SaaS offers to global government environments as well as attracting and developing top talent to our innovative engineering team. The GSO MAP team is delivering this vision with a dynamic multi\-functional team that collaborates and implements in an agile setting that values every individual’s contribution.
 Your Impact
 This is a dynamic role, where the selected candidate will be on the cutting edge of cloud\-native software development, system architecture, and DevOps as applied to Cisco's products pursuing various Government Cloud certifications at multiple security levels. As a Software Developer Technical Lead within the GSO MAP team you will provide technical leadership for a development team that collaborates with other software developers, operations, IaaS, SecOps, and incident command teams to design, develop, and deploy high\-quality, high\-availability cloud service offers for our Public Sector customers. You will be accountable for driving the technical vision, architecture, and implementation of the MAP service. You will ensure our software solutions meet exacting performance, security, and scalability requirements, making design decisions, and balancing the challenges of delivering stable, high\-quality software against rapid delivery of new features and releases. You will also provide technical mentorship and guidance to junior developers, fostering a culture of engineering excellence.
**Minimum Qualifications**
* The successful applicant must be eligible for a US Government TS/SCI Clearance.
* 7\+ years proven experience in software development, with a significant portion focused on designing, developing, and deploying complex, scalable software solutions. This includes demonstrated technical leadership, mentorship of junior developers, and driving architectural decisions for critical components or systems.
* Expert understanding and proven practical application of the full software development lifecycle (SDLC), including robust design principles, coding standards, testing strategies, deployment automation, and operational support. Demonstrated experience applying Agile and DevOps principles in a fast\-paced environment.
* Proficiency in at least one modern programming language (e.g., Python, Go, Java, C\#, JavaScript) relevant to cloud\-native development.
* Experience designing, developing, and deploying sophisticated cloud\-native software solutions across regulated government, public, and hybrid clouds.
* Extensive experience with version control systems (e.g., Git), code review processes, and implementing/managing CI/CD pipelines.
**Preferred Qualifications**
* Skilled at accurately translating complex technical concepts into simple terms.
* Recent proficiency with Linux operating systems (e.g., CentOS/RedHat) preferred.
* Strong experience with networking, containerization (e.g., Docker, Kubernetes), and public cloud platforms (e.g., AWS, Azure, GCP) is preferred.
* Experience in building, scaling, and maintaining customer\-facing software applications and services is preferred.
* Experience with microservices architecture, API design (RESTful, GraphQL), and distributed systems.
* Proficiency in these tools, or similar, is highly desired: EKS/Kubernetes, Helm, Terragrunt, Terraform, Open Tofu, Git, CI/CD Runners (e.g., Gitlab CI, Jenkins, ArgoCD, Spinnaker), with an emphasis on their application in software development and deployment.
* Excellent documentation skills for deployment processes and code documentation.
* Strong interpersonal skills, capable of articulating complex technical concepts to both technical and non\-technical team members.
 S\&amp;TO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$149,100\.00 to $218,900\.00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07">
      <c r="A107" t="inlineStr">
        <is>
          <t>li-4364119534</t>
        </is>
      </c>
      <c r="B107" t="inlineStr">
        <is>
          <t>Technical Program Manager III, Software Engineering, Core</t>
        </is>
      </c>
      <c r="C107" t="inlineStr">
        <is>
          <t>Google</t>
        </is>
      </c>
      <c r="D107" t="inlineStr">
        <is>
          <t>linkedin</t>
        </is>
      </c>
      <c r="E107">
        <f>HYPERLINK("https://www.linkedin.com/jobs/view/4364119534", "https://www.linkedin.com/jobs/view/4364119534")</f>
        <v/>
      </c>
      <c r="F107">
        <f>HYPERLINK("https://careers.google.com/jobs/results/111429961310446278-technical-program-manager-iii/?src=Online/LinkedIn/linkedin_us&amp;utm_source=linkedin&amp;utm_medium=jobposting&amp;utm_campaign=contract&amp;urlHash=L1SW", "https://careers.google.com/jobs/results/111429961310446278-technical-program-manager-iii/?src=Online/LinkedIn/linkedin_us&amp;utm_source=linkedin&amp;utm_medium=jobposting&amp;utm_campaign=contract&amp;urlHash=L1SW")</f>
        <v/>
      </c>
      <c r="G107" t="inlineStr">
        <is>
          <t>San Francisco, CA</t>
        </is>
      </c>
      <c r="H107" t="inlineStr"/>
      <c r="I10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San Francisco, CA, USA; Sunnyvale, CA, USA** 
 .
 **Minimum qualifications:**
* Bachelor's degree in a relevant field, or equivalent practical experience.
* 5 years of experience in program management.
* Experience with software development and managing execution of programs that span multiple engineering teams.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8">
      <c r="A108" t="inlineStr">
        <is>
          <t>li-4364465019</t>
        </is>
      </c>
      <c r="B108" t="inlineStr">
        <is>
          <t>Technical Program Manager III, Software Engineering, Core</t>
        </is>
      </c>
      <c r="C108" t="inlineStr">
        <is>
          <t>Google</t>
        </is>
      </c>
      <c r="D108" t="inlineStr">
        <is>
          <t>linkedin</t>
        </is>
      </c>
      <c r="E108">
        <f>HYPERLINK("https://www.linkedin.com/jobs/view/4364465019", "https://www.linkedin.com/jobs/view/4364465019")</f>
        <v/>
      </c>
      <c r="F108" t="inlineStr"/>
      <c r="G108" t="inlineStr">
        <is>
          <t>Sunnyvale, CA</t>
        </is>
      </c>
      <c r="H108" t="inlineStr"/>
      <c r="I10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San Francisco, CA, USA; Sunnyvale, CA, USA** 
 .
 **Minimum qualifications:**
* Bachelor's degree in a relevant field, or equivalent practical experience.
* 5 years of experience in program management.
* Experience with software development and managing execution of programs that span multiple engineering teams.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9">
      <c r="A109" t="inlineStr">
        <is>
          <t>li-4323406809</t>
        </is>
      </c>
      <c r="B109" t="inlineStr">
        <is>
          <t>Staff Software Engineer, Product Engineering, Americas</t>
        </is>
      </c>
      <c r="C109" t="inlineStr">
        <is>
          <t>Ashby</t>
        </is>
      </c>
      <c r="D109" t="inlineStr">
        <is>
          <t>linkedin</t>
        </is>
      </c>
      <c r="E109">
        <f>HYPERLINK("https://www.linkedin.com/jobs/view/4323406809", "https://www.linkedin.com/jobs/view/4323406809")</f>
        <v/>
      </c>
      <c r="F109">
        <f>HYPERLINK("https://jobs.ashbyhq.com/Ashby/6a15668c-3f98-4404-8f1f-927cddfc5af7?utm_source=PRgMeEgv1Z&amp;urlHash=nycW", "https://jobs.ashbyhq.com/Ashby/6a15668c-3f98-4404-8f1f-927cddfc5af7?utm_source=PRgMeEgv1Z&amp;urlHash=nycW")</f>
        <v/>
      </c>
      <c r="G109" t="inlineStr">
        <is>
          <t>Austin, CO</t>
        </is>
      </c>
      <c r="H109" t="inlineStr"/>
      <c r="I109"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10">
      <c r="A110" t="inlineStr">
        <is>
          <t>li-4323286935</t>
        </is>
      </c>
      <c r="B110" t="inlineStr">
        <is>
          <t>Staff Software Engineer, Product Engineering, Americas</t>
        </is>
      </c>
      <c r="C110" t="inlineStr">
        <is>
          <t>Ashby</t>
        </is>
      </c>
      <c r="D110" t="inlineStr">
        <is>
          <t>linkedin</t>
        </is>
      </c>
      <c r="E110">
        <f>HYPERLINK("https://www.linkedin.com/jobs/view/4323286935", "https://www.linkedin.com/jobs/view/4323286935")</f>
        <v/>
      </c>
      <c r="F110">
        <f>HYPERLINK("https://jobs.ashbyhq.com/Ashby/6a15668c-3f98-4404-8f1f-927cddfc5af7?utm_source=PRgMeEgv1Z&amp;urlHash=nycW", "https://jobs.ashbyhq.com/Ashby/6a15668c-3f98-4404-8f1f-927cddfc5af7?utm_source=PRgMeEgv1Z&amp;urlHash=nycW")</f>
        <v/>
      </c>
      <c r="G110" t="inlineStr">
        <is>
          <t>Chicago, IL</t>
        </is>
      </c>
      <c r="H110" t="inlineStr"/>
      <c r="I110"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11">
      <c r="A111" t="inlineStr">
        <is>
          <t>li-4343340006</t>
        </is>
      </c>
      <c r="B111" t="inlineStr">
        <is>
          <t>Backend Engineer, Data Platform</t>
        </is>
      </c>
      <c r="C111" t="inlineStr">
        <is>
          <t>LaunchDarkly</t>
        </is>
      </c>
      <c r="D111" t="inlineStr">
        <is>
          <t>linkedin</t>
        </is>
      </c>
      <c r="E111">
        <f>HYPERLINK("https://www.linkedin.com/jobs/view/4343340006", "https://www.linkedin.com/jobs/view/4343340006")</f>
        <v/>
      </c>
      <c r="F111" t="inlineStr"/>
      <c r="G111" t="inlineStr"/>
      <c r="H111" t="inlineStr"/>
      <c r="I111" t="inlineStr">
        <is>
          <t>**About The Job**
 Software powers the world, and LaunchDarkly empowers all teams to deliver and control the best software. As a Data Platform Engineer, you will help us build batch and stream processing pipelines that process trillions of events per day and deliver data to optimized derived tables that power all major internal and external products built on event data.
 Our platform serves over twenty trillion feature flags daily. To accommodate the large scale of our systems, we use state\-of\-the\-art pipeline technologies in the AWS ecosystem, including Kinesis, Airflow, Spark, Lambda, Flink and Athena. We store data in databases including Clickhouse, Postgres, ElasticSearch, Timestream and Snowflake. As part of our you\-build\-it\-you\-run\-it culture, all engineers support the pipelines in production, including in an on\-call rotation.
**Responsibilities**
* Build and expand our data pipelines and data products supporting Experimentation, Release observability, Metrics, Product Analytics and Flag Insights product lines, as well as internal Business Intelligence.
* Collaborate with frontend engineers, product managers and UX designers to deliver user\-facing features
* Monitor and improve database and pipeline performance
* Write unit, integration, and load tests as necessary
* Actively participate in code reviews
* Write and review technical proposals
* Improve engineering standards, tooling, and processes
**Qualifications**
* 5\+ Years of backend software engineering experience
* Minimum of 1 year experience building product focused Data Pipelines or Data Warehouse
* Demonstrable experience with data pipelines, including some of Kinesis, Airflow, Spark, Lambda, Flink and Athena.
* Experience with event or analytical data sets in databases including some of Clickhouse, Postgres, ElasticSearch, Timestream and Snowflake.
* Familiarity with computer science fundamentals such as data structures, distributed systems, concurrency, and threading
* A commitment to working in a communicative and collaborative environment
* You write code that can be easily understood by others, with an eye towards maintainability
* You hold yourself and others to a high bar when working with production systems
* You value high code quality, automated testing, and other engineering best practices
* Familiarity with Infrastructure\-as\-Code tools like Terraform or equivalent
* Familiarity with observability tools like Datadog or equivalent
**Pay**
*Target pay ranges based on Geographic Zones\* for Level 3:*
* Zone 1: San Francisco/Bay Area or NYC Metropolitan Area, Boston, Seattle \- $171,000 \- $235,000\*\*
* Zone 2: Irvine, LA, Monterey, Santa Barbara, Santa Rosa, Austin, Portland, Philadelphia, Chicago \- $154,000 \- $211,000\*\*
* Zone 3: All other US locations \- $145,000 \- $200,000\*\*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112">
      <c r="A112" t="inlineStr">
        <is>
          <t>li-4290873823</t>
        </is>
      </c>
      <c r="B112" t="inlineStr">
        <is>
          <t>Software Engineer/Senior Software Engineer, Solutions</t>
        </is>
      </c>
      <c r="C112" t="inlineStr">
        <is>
          <t>Genentech</t>
        </is>
      </c>
      <c r="D112" t="inlineStr">
        <is>
          <t>linkedin</t>
        </is>
      </c>
      <c r="E112">
        <f>HYPERLINK("https://www.linkedin.com/jobs/view/4290873823", "https://www.linkedin.com/jobs/view/4290873823")</f>
        <v/>
      </c>
      <c r="F112" t="inlineStr"/>
      <c r="G112" t="inlineStr">
        <is>
          <t>South San Francisco, CA</t>
        </is>
      </c>
      <c r="H112" t="inlineStr"/>
      <c r="I112"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organizations at Genentech (gRED) and Pharma (pRED) have demonstrated how these technologies accelerate R\&amp;D, leveraging data and novel computational models to drive impact. Seamless data sharing and access to models across gRED and pRED are essential to maximising these opportunities. The Computational Sciences Center of Excellence (CS CoE) is a strategic, unified group whose goal is to harness the transformative power of data and Artificial Intelligence (AI) to assist our scientists in both pRED and gRED to deliver more innovative and life\-changing medicines for patients worldwide.
 Within the CS CoE organisation, the Data and Digital Catalyst (DDC) organization leads the modernization of our computational and data ecosystems by integrating digital technologies across Research and Early Development to empower stakeholders, advance data\-driven science and accelerate decision\-making.
 The Solutions team within the DDC Organization develops modernized and interconnected computational and data ecosystems. The Data Ecosystem is foundational to building solutions that accelerate the work done by our Computational and Bench Scientists and enable ML/AI tool creation and adoption. Our team specializes in building Data Pipelines and Applications for data acquisition, collection, storage, transformation, linkage and sharing.
 As a Software Engineer in the Solutions Engineering capability, you will work closely with colleagues such as Data Engineers, Product Leaders and Tech/ML Ops as well as directly with our key partners including Computational Scientists and Research Scientists. You will build robust and scalable systems that unlock the potential of our diverse scientific data, accelerating the discovery and development of life\-changing treatments for patients. As part of this role, you’ll contribute to building a modern, scalable and robust ecosystem of applications, agents and other tools to capture, move and prepare the scientific data for analysis.
 You are passionate about building scalable, reliable, and reusable capabilities for our shared platform. As a software engineer with strong experience in backend and/or frontend development, you design and implement components with scalability and reliability at their core. You bring hands\-on expertise in cloud technologies and follow engineering best practices—including code reviews, unit testing, and adherence to coding standards—while boosting productivity through AI\-powered development tools and environments.
 Ideally, you are a full\-stack software engineer or data engineer with domain knowledge in biology, chemistry, drug discovery, translational medicine, or a related scientific discipline. You thrive on leveraging platform components to build common solutions, and you excel at engaging with scientific stakeholders to understand their challenges and translate them into effective technology solutions in close collaboration with Product and Engineering teams.
**The Opportunity:**
* Responsible for technical excellence and ensuring our solutions and capabilities are innovative, best\-in\-class and integrated by delivering data flows and pipelines within and across DDC and key domains like Research Biology, Drug Discovery, Translational Medicine and Development and more
* Identify key trends, technologies, and methodologies, and promote their adoption by applying an Open Source, Cloud First, API First and AI First approach to problem\-solving
* Learn, deeply understand and improve our Data Workflows, Application Architecture and Data Ecosystem by leveraging standard patterns like layered architecture, microservices, event\-driven, multi\-tenancy, etc.
* Ensure our technical choices are innovative, best\-in\-class and are inter\-operable and consistent across DDC and domains like Research Biology, Drug Discovery, Translational Medicine and Development and more
* Understand and influence technical decisions around data workflows and application development while working collaboratively with our key partners
* Integrate diverse sets of data together to power AI/ML and Natural Language Search, as well as enable our downstream teams working on Workflows, Visualization and Analytics
* Facilitate the implementation of AI models that take advantage of advances in machine learning and artificial intelligence
**Who You Are:**
* Bachelor’s degree in Computer Science or similar technical field with at least 2\-4\+ years of experience in software engineering (Software Engineer); 4\-7 years of experience (Sr. Software Engineer)
* Extensive experience and technical understanding of modern software and data engineering approaches, including data flow within the cloud and cutting\-edge data storage solutions
* Experience with full stack development. Working knowledge of building Front Ends using JavaScript and other Libraries and Backends using any high level languages like Python, Java
* Experience with Databases and Data Analytics (SQL/NoSQL, ETL, ELT), APIs (REST, GraphQL)
* Experience working on cloud\-native architectures in public clouds (ideally AWS)
* Experience with building Designs for Data Applications which are highly reliable, scalable, performant, secure and robust and ideally on a public cloud platform
* Ability to think strategically and optimize for the long term while acting with a sense of urgency
* Cares about technical and product excellence and building highly usable solutions
* Experience using modern development practices, including documentation, source code management, as well as build and production deployment automation
* Experience reducing Tech Debt and consolidating and deprecating legacy solutions
* Strong oral and written communication skills
 Onsite presence, on our South San Francisco campus, is expected for at least 3 days a week.
 Relocation benefits are available for this job posting.
 The expected salary range for this position based on the primary location of California is $115,200 \- $214,000 (Software Engineer) and $142,500 \- $264,700 (Senior Software Engineer)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13">
      <c r="A113" t="inlineStr">
        <is>
          <t>li-4365580693</t>
        </is>
      </c>
      <c r="B113" t="inlineStr">
        <is>
          <t>Software Engineer, Mail</t>
        </is>
      </c>
      <c r="C113" t="inlineStr">
        <is>
          <t>Notion</t>
        </is>
      </c>
      <c r="D113" t="inlineStr">
        <is>
          <t>linkedin</t>
        </is>
      </c>
      <c r="E113">
        <f>HYPERLINK("https://www.linkedin.com/jobs/view/4365580693", "https://www.linkedin.com/jobs/view/4365580693")</f>
        <v/>
      </c>
      <c r="F113">
        <f>HYPERLINK("https://jobs.ashbyhq.com/notion/ff54d0b3-d30f-4622-b6e6-9b9c6e4132ea?source=LinkedIn&amp;urlHash=QlYv", "https://jobs.ashbyhq.com/notion/ff54d0b3-d30f-4622-b6e6-9b9c6e4132ea?source=LinkedIn&amp;urlHash=QlYv")</f>
        <v/>
      </c>
      <c r="G113" t="inlineStr">
        <is>
          <t>San Francisco, CA</t>
        </is>
      </c>
      <c r="H113" t="inlineStr"/>
      <c r="I113"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We’re building Notion Mail to rethink how email fits into the bigger picture of your work. Over time, it reduces context switching, connects email to the rest of Notion, and uses AI to help people move faster from “inbox” to “done.” We’re looking for a backend engineer to help build and evolve the systems behind Notion Mail, including the infrastructure, data models, and asynchronous workflows that make high\-quality syncing and AI\-powered experiences possible.
 On the backend, you’ll work on services that power inbox intelligence, such as auto\-triage and auto\-drafting workflows, and the reliability and observability that these experiences depend on. You’ll collaborate closely with product, design, and other engineering teams, and you’ll have meaningful ownership in a product that’s early enough for your work to shape the foundation and direction.
**What You'll Achieve**
* Own systems and infrastructure that power AI\-assisted email communication workflows at scale.
* Build and evolve reliable data flows and models that keep email state accurate and up to date.
* Design asynchronous processing systems that support high\-volume, low\-latency product experiences.
* Partner cross\-functionally with engineering, product, and design to deliver end\-to\-end features from backend foundations to customer facing experiences.
* Help keep production systems healthy by strengthening observability, improving performance, and increasing operational reliability over time.
**Skills You'll Need To Bring**
* Systems design \&amp; production infrastructure experience: You’ve designed systems with clear tradeoffs, and you have hands on experience with infrastructure topics like Kubernetes, observability/telemetry (e.g., Honeycomb), and operating reliable production systems.
* Strong data modeling skills: You can design durable data models and APIs that are correct, evolvable, and performant as product requirements grow.
* Ownership and initiative: You thrive in a fast\-moving, unstructured environment and are comfortable taking ownership of ambiguous problems. You act with a bias toward action and focus on results.
* Pragmatic problem\-solver: You prioritize business impact and understand the balance between craft, speed, and long\-term maintainability. You’re opinionated but not ideological, and you learn new technologies as you go.
* Collaborative and empathetic: You work well across teams, offer guidance to unblock others, and communicate clearly when aligning on technical direction.
* You don’t need to be an AI expert, but you’re curious and willing to adopt AI tools to work smarter and deliver better results
**Nice To Haves**
* Past full stack experience, or interest in doing some full stack work over time
* Experience building high\-volume asynchronous job execution and orchestration systems
* Hands\-on experience with AWS infrastructure and a background in distributed systems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$176,000 \- $207,000 per year.
 By clicking “Submit Application”, I understand and agree that Notion and its affiliates and subsidiaries will collect and process my information in accordance with Notion’s Global Recruiting Privacy Policy and NYLL 144\.</t>
        </is>
      </c>
    </row>
    <row r="114">
      <c r="A114" t="inlineStr">
        <is>
          <t>li-4349618734</t>
        </is>
      </c>
      <c r="B114" t="inlineStr">
        <is>
          <t>Backend Software Engineer - B2B Applications</t>
        </is>
      </c>
      <c r="C114" t="inlineStr">
        <is>
          <t>OpenAI</t>
        </is>
      </c>
      <c r="D114" t="inlineStr">
        <is>
          <t>linkedin</t>
        </is>
      </c>
      <c r="E114">
        <f>HYPERLINK("https://www.linkedin.com/jobs/view/4349618734", "https://www.linkedin.com/jobs/view/4349618734")</f>
        <v/>
      </c>
      <c r="F114" t="inlineStr"/>
      <c r="G114" t="inlineStr"/>
      <c r="H114" t="inlineStr"/>
      <c r="I114"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backend engineers to design and scale the systems that drive our developer and enterprise\-facing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Own the end\-to\-end development lifecycle for new platform capabilities and integrations with other systems
* Collaborate closely with product, design and external customers to understand problems and implement effective solutions
* Work with the research team to improve our next generation of models
**Your Background Might Look Something Like**
* 2\+ years of professional engineering experience (excluding internships) in relevant roles at tech and product\-driven companies
* Former founder, or early engineer at a startup who has built a product from scratch is a plus
* Are proficient in one or more backend languages (e.g., Python, Go, Rust, Typescript or similar) and distributed systems concepts.
* Enjoy building infrastructure that supports billions of requests and petabytes of data.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15">
      <c r="A115" t="inlineStr">
        <is>
          <t>li-4381355970</t>
        </is>
      </c>
      <c r="B115" t="inlineStr">
        <is>
          <t>Software Engineer I - Back-End (U.S.)</t>
        </is>
      </c>
      <c r="C115" t="inlineStr">
        <is>
          <t>IntelliSurvey</t>
        </is>
      </c>
      <c r="D115" t="inlineStr">
        <is>
          <t>linkedin</t>
        </is>
      </c>
      <c r="E115">
        <f>HYPERLINK("https://www.linkedin.com/jobs/view/4381355970", "https://www.linkedin.com/jobs/view/4381355970")</f>
        <v/>
      </c>
      <c r="F115" t="inlineStr"/>
      <c r="G115" t="inlineStr">
        <is>
          <t>Orange County, CA</t>
        </is>
      </c>
      <c r="H115" t="inlineStr"/>
      <c r="I115" t="inlineStr">
        <is>
          <t>**About Us**
 We’re a global team with a mission to enable professional research online. Headquartered in the United States, Irvine, California. IntelliSurvey has spent over two decades building powerful survey and reporting tools used by a wide range of companies. Our platform simplifies complex research challenges, and we continue to innovate and evolve our software with a focus on performance, usability, and flexibility.
 We are seeking a Back\-End Software Engineer I to help design, develop, and enhance industry\-leading survey software used to collect data through online and mobile platforms. In this role, you will build scalable back\-end systems and services that support high\-performance applications and reliable data collection. The ideal candidate enjoys solving complex technical challenges, writing clean and maintainable code, and collaborating with a team to deliver efficient, user\-friendly software solutions.
 If you're passionate about writing clean, maintainable code and contributing to a collaborative engineering culture, we’d love to hear from you.
 Salary Range \- $75,000 to $100,000 plus bonus
**What You'll Do**
* Develop and maintain back\-end components and services used by IntelliSurvey's platform
* Write clean, efficient, and well documented code using object\-oriented Perl (with Moose)
* Work with PostgreSQL database
* Collaborate with front\-end engineers, product managers, and other stakeholders
* Participate in code reviews and contribute to engineering best practices
* Troubleshoot and resolve production issues and assist with Tier 2 escalations
* Contribute to automated testing and CI/CD pipelines
* Use Git and Atlassian tools (JIRA, Crucible, Fisheye) for development workflows
* Work in Linux\-based environments
* Continuously improve system performance and scalability
**What We're Looking For**
 Education \&amp; Experience
* Bachelor’s degree in Computer Science, Engineering, or a related field, or equivalent exp.
* 2\-4 years of professional software development experience
* Experience with backend languages such as Perl (preferred) or Python (2 plus years)
* Willingness to learn and work with Modern Perl
* Experience with navigating and managing Linux systems using the command line
* Interest in learning Rust
* Experience with automated testing and CI/CD pipelines
* Experience with PostgreSQL or other relational databases
* Experience working in Linux environments
* Familiarity with Git and Agile tools such as JIRA
* Understanding of object\-oriented programming and scalable software architecture
* Strong problem\-solving and communication skills, self\-starter
* Ability to work effectively in a distributed team
**Why You'll Love Working Here**
* 100 percent Remote or Hybrid if local to Irvine, CA. We also bring the team together once or twice a year for in\-person meet\-ups.
* Generous time off: 6 weeks per year, 3 weeks of PTO, 8 Company holidays and 6 floating holidays.
* Comprehensive Health Benefits
* 401(K) with Company Match
* Flexible hours
* Career growth opportunites
* Collaborative and Supportive engineering culture
* Equal Opportunity Employer
 All offers of employment are contingent upon successful completion of a background check.
 Powered by JazzHR</t>
        </is>
      </c>
    </row>
    <row r="116">
      <c r="A116" t="inlineStr">
        <is>
          <t>li-4324744789</t>
        </is>
      </c>
      <c r="B116" t="inlineStr">
        <is>
          <t>Software Engineer, Generalist</t>
        </is>
      </c>
      <c r="C116" t="inlineStr">
        <is>
          <t>Stainless</t>
        </is>
      </c>
      <c r="D116" t="inlineStr">
        <is>
          <t>linkedin</t>
        </is>
      </c>
      <c r="E116">
        <f>HYPERLINK("https://www.linkedin.com/jobs/view/4324744789", "https://www.linkedin.com/jobs/view/4324744789")</f>
        <v/>
      </c>
      <c r="F116">
        <f>HYPERLINK("https://jobs.ashbyhq.com/stainlessapi/41c56e31-5515-48d7-a872-e775ee5c682e/application?utm_source=5BxzzeG4L1&amp;urlHash=ikR_", "https://jobs.ashbyhq.com/stainlessapi/41c56e31-5515-48d7-a872-e775ee5c682e/application?utm_source=5BxzzeG4L1&amp;urlHash=ikR_")</f>
        <v/>
      </c>
      <c r="G116" t="inlineStr">
        <is>
          <t>New York, NY</t>
        </is>
      </c>
      <c r="H116" t="inlineStr"/>
      <c r="I116" t="inlineStr">
        <is>
          <t>**About Stainless**
 Stainless is a fast\-growing tech startup building the future of APIs. Our customers include industry leaders like OpenAI, Anthropic, and Cloudflare.
 We have raised over $35 million from a16z, Sequoia, and founders/C\-levels from Stripe, Datadog, Segment, Linear, and more.
 We are headquartered in NYC, just west of SoHo, and are a team of \~60 strong expecting to double in the next \~9 to 12 months.
****Role****
 Joining as a generalist engineer, you’ll have a focus area, but we’ll all be pitching in on every aspect of the company and acting with a high degree of ownership in a collegial, humble atmosphere.
 You'll build the core systems that form the foundation of the company for years, both scrappily getting things done wherever help is needed and thinking deeply on foundational architecture.
****Who you are****
* Experience level to build anything you can imagine, with great design and sound architecture.
* Built and/or maintained a popular open\-source project.
+ Alternatively, maintained internal abstractions used across an engineering org.
* Experience consuming APIs you didn’t control, produced APIs you didn’t consume, and been the sole consumer of an API you built and could iterate on.
* Location: onsite in our physical office location in Manhattan, New York.
* Experience both designing and stewarding APIs at scale, whether internal or external.
* Ability to build great abstractions that stand the test of time when used by other engineers of varying skill levels, beginner to formidable.
* A true passion for developer experience and empathy for developers from all backgrounds (junior, non\-traditional etc).
* Quick learner, self\-motivated, and able to execute quickly whilst maintaining high quality.
* Great product sense.
* Programming languages:
+ Expertise with TypeScript, our language of choice.
+ Broad polyglot interest/experience – comfort working across multiple programming languages.
* Bonus points:
+ Have used GraphQL and appreciate its benefits and drawbacks.
+ Experience / interest working with ASTs (eg, lint rules, rich codemods, compilers, etc).
+ Experience and/or interest in writing blogs, speaking at conferences and engaging with developer communities.
**Benefits**
* We offer competitive salary and generous equity grants.
* Great healthcare coverage options (e.g., fully covered platinum plans).
* Paid commuter benefits \&amp; similar.
* Paid team lunch/meals during workdays.
* Flexible PTO plus 3 weeks of company\-wide vacation a year (2 weeks in December, 1 week at the end of the summer).
* Flexible WFH and 1 month fully remote per year ("remote February").
 Compensation Range: $150K \- $260K</t>
        </is>
      </c>
    </row>
    <row r="117">
      <c r="A117" t="inlineStr">
        <is>
          <t>li-4349578269</t>
        </is>
      </c>
      <c r="B117" t="inlineStr">
        <is>
          <t>Software Engineer, Backend - Sora</t>
        </is>
      </c>
      <c r="C117" t="inlineStr">
        <is>
          <t>OpenAI</t>
        </is>
      </c>
      <c r="D117" t="inlineStr">
        <is>
          <t>linkedin</t>
        </is>
      </c>
      <c r="E117">
        <f>HYPERLINK("https://www.linkedin.com/jobs/view/4349578269", "https://www.linkedin.com/jobs/view/4349578269")</f>
        <v/>
      </c>
      <c r="F117" t="inlineStr"/>
      <c r="G117" t="inlineStr"/>
      <c r="H117" t="inlineStr"/>
      <c r="I117" t="inlineStr">
        <is>
          <t>**About The Team**
 The Sora team is pioneering multimodal capabilities for OpenAI’s foundation models. We’re a hybrid research and product team focused on integrating multimodal functionalities into our AI products, ensuring they are reliable, user\-friendly, and aligned with our mission of broad societal benefit.
**About The Role**
 We’re looking for experienced, problem\-solving engineers to build new products and scale our systems. Our success depends on our ability to quickly iterate on products while also ensuring that they are performant and reliable.
 You’ll work in a deeply iterative, collaborative, fast\-paced environment to bring our technology to millions of users around the world, and ensure it’s delivered with safety and reliability in mind.
 As we explore new frontiers in video\-enabled AI and other modalities, you will help define our product strategy and build the foundations for these initiatives. We value engineers who take initiative, demonstrate strong product instincts, and maintain a user\-centric focus in their work.
**In This Role, You Will**
* Collaborate with cross\-functional teams to design, build, and iterate on innovative video product features.
* Translate user needs and research insights into scalable product solutions.
* Work with researchers to integrate advanced video capabilities into our core offerings.
* Shape the technical roadmap and product strategy for our video initiatives.
**You Might Thrive In This Role If You**
* Have 6\+ years of industry experience in product engineering, with a proven record of shipping impactful, user\-focused products.
* Excel in environments with ambiguity and rapid change, turning complex requirements into practical, elegant solutions.
* Possess a proactive mindset with the ability to quickly learn new technologies and share your insights with your team.
* Bonus: Have experience building or supporting video infrastructure, which will be valuable as our product scales.
**This role is based in San Francisco, CA. We use a hybrid work model of 3 days in the office per week and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18">
      <c r="A118" t="inlineStr">
        <is>
          <t>li-4355800113</t>
        </is>
      </c>
      <c r="B118" t="inlineStr">
        <is>
          <t>Software Engineer II</t>
        </is>
      </c>
      <c r="C118" t="inlineStr">
        <is>
          <t>Sony Interactive Entertainment</t>
        </is>
      </c>
      <c r="D118" t="inlineStr">
        <is>
          <t>linkedin</t>
        </is>
      </c>
      <c r="E118">
        <f>HYPERLINK("https://www.linkedin.com/jobs/view/4355800113", "https://www.linkedin.com/jobs/view/4355800113")</f>
        <v/>
      </c>
      <c r="F118">
        <f>HYPERLINK("https://job-boards.greenhouse.io/sonyinteractiveentertainmentglobal/jobs/5710429004?gh_src=sgp49gfz4us&amp;urlHash=elIA", "https://job-boards.greenhouse.io/sonyinteractiveentertainmentglobal/jobs/5710429004?gh_src=sgp49gfz4us&amp;urlHash=elIA")</f>
        <v/>
      </c>
      <c r="G118" t="inlineStr">
        <is>
          <t>San Mateo, CA</t>
        </is>
      </c>
      <c r="H118" t="inlineStr"/>
      <c r="I11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 owned subsidiary of Sony Corporation.
**The Opportunity**
 As a
 **Software Engineer II** 
 on the
 **Client Platform team** 
 , you’ll play a key role in building the next generation of PlayStation experiences. You’ll collaborate with talented engineers and designers to craft intuitive, performant, and beautiful cross\-platform applications that reach millions of players around the world. This team builds the
 **core application framework, shared libraries, and foundational components** 
 that other product and feature teams rely on to deliver PlayStation experiences to millions of users worldwide. You’ll work with senior engineers to design and maintain the underlying systems that make PlayStation applications fast, scalable, and consistent across environments — giving other teams the tools and flexibility to innovate. This is your chance to help shape how players connect, discover, and engage across the PlayStation ecosystem — from concept to launch and beyond.
**Responsibilities**
* Design, develop, test, and document React\-based cross\-platform applications that deliver seamless and consistent user experiences.
* Collaborate with Product Owners and Product Managers to translate feature requirements into scalable, maintainable solutions.
* Partner with cross\-functional teams to define architecture and ensure best practices for performance, accessibility, and reliability.
* Write comprehensive unit and component tests to maintain product quality and prevent regressions.
* Participate in peer reviews and provide constructive feedback on design and implementation.
* Continuously improve development workflows and contribute to evolving engineering standards.
* Explore innovative ideas and emerging technologies through Hackathons and Café Days to help drive future PlayStation experiences.
**Required Qualifications**
* Bachelor’s degree in Computer Science or a related field, or equivalent professional experience.
* 3\+ years of development experience building user\-facing applications or systems using JavaScript/TypeScript.
* Strong proficiency in React and related tools and libraries.
* Demonstrated experience creating and maintaining cross\-platform applications.
* Strong problem\-solving skills and attention to quality.
* Excellent communication and collaboration skills in a distributed team environment.
* Hands\-on experience with modern build and testing tools such as Webpack, Babel, Jest, or similar.
* Familiarity with GraphQL, RESTful APIs, and containerization (e.g., Docker).
* Experience with CI/CD pipelines and automated testing frameworks.
* Understanding of performance optimization, accessibility, and responsive design principles.
* Interest or experience in applying AI/ML concepts to enhance user experiences — such as intelligent UI behaviors, personalization, recommendation systems, or automated testing tools.
* Experience integrating or experimenting with AI\-powered development tools, frameworks, or APIs (e.g., code assistants, generative models, or LLM\-based automation).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$163,700—$245,500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19">
      <c r="A119" t="inlineStr">
        <is>
          <t>li-4382602218</t>
        </is>
      </c>
      <c r="B119" t="inlineStr">
        <is>
          <t>Sr Software Engineer</t>
        </is>
      </c>
      <c r="C119" t="inlineStr">
        <is>
          <t>Uber</t>
        </is>
      </c>
      <c r="D119" t="inlineStr">
        <is>
          <t>linkedin</t>
        </is>
      </c>
      <c r="E119">
        <f>HYPERLINK("https://www.linkedin.com/jobs/view/4382602218", "https://www.linkedin.com/jobs/view/4382602218")</f>
        <v/>
      </c>
      <c r="F119" t="inlineStr"/>
      <c r="G119" t="inlineStr">
        <is>
          <t>New York, NY</t>
        </is>
      </c>
      <c r="H119" t="inlineStr"/>
      <c r="I119" t="inlineStr">
        <is>
          <t>**About The Role**
 Collaborates with stakeholders within the team to build and maintain backend services and solutions to support user\-facing products.
**About The Team (We Are Hiring For Multiple Teams)**
 Grocery \&amp; Retail is Uber's newest and fast growing business line, delighting customers with next\-hour delivery of household essentials from their favorite local stores. The team is focused on building best\-in\-class products and technology to support merchants, consumers and couriers in shopping and fulfilling orders on the Uber platform. We solve challenging technical problems across consumer experiences, fulfillment orchestration, search, ranking, recommendations, catalog and merchant platforms to meet the needs of the growing business.
 The Grocery and Retail team is looking for a Software Engineer to execute on the team's ambitious and fast\-paced technology strategy. This is an important and visible role with a potential for significant impact on the fast growing grocery and retail business. We are looking for someone with deep knowledge and passion for software engineering, enjoys solving challenging technical and product problems, and can effectively collaborate with stakeholders.
**What You'll Do**
* Design, develop, and maintain robust and scalable software solutions
* Collaborate with product managers, cross\-engineering teams, data scientists and other partners to gather requirements and translate them into technical specifications
* Identify opportunities and lead of the entire development lifecycle end\-to\-end, from architecture design and coding to deployment
* Participate in code reviews, provide constructive feedback, and mentor junior engineers to foster a culture of continuous learning and improvement
* Mentor and guide other engineers, providing technical leadership and encouraging a collaborative and growth\-oriented team environment
* Build and maintain scalable backend services and infrastructure
* Stay up\-to\-date with the latest technologies and industry trends, evaluating their potential impact on our software systems and recommending appropriate integrations or improvements
****Basic Qualifications:****
* Bachelor's degree or equivalent in Computer Science, Engineering, Mathematics or related field with at least 3 years of full\-time Software Engineering work experience OR PhD in Computer Science, Engineering, Mathematics or related field with at least 1 year of full\-time Software Engineering work experience
* Proficiency in at least one programming language such as Java, C\+\+, Python, or Go
* 3 years of experience with backend development, building and delivering end\-user products.
****Preferred Qualifications:****
* Master's degree or higher in Computer Science, Engineering, Mathematics or related field
* More than 5 years of full\-time Software Engineering work experience
* Proven experience building highly available distributed systems (at Uber scale) and working across multiple backend services
* Experience working on scalable backend systems utilizing a microservices architecture
* High bar for quality as demonstrated by code reviews, documentation, unit and integration testing
* Experience with optimization techniques and algorithmic development
* Strong problem\-solving skills, with expertise in algorithms, data structures, and complexity analysis
 For New York, NY\-based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0">
      <c r="A120" t="inlineStr">
        <is>
          <t>li-4311672139</t>
        </is>
      </c>
      <c r="B120" t="inlineStr">
        <is>
          <t>Software Engineer, Agentic Runtime</t>
        </is>
      </c>
      <c r="C120" t="inlineStr">
        <is>
          <t>Glean</t>
        </is>
      </c>
      <c r="D120" t="inlineStr">
        <is>
          <t>linkedin</t>
        </is>
      </c>
      <c r="E120">
        <f>HYPERLINK("https://www.linkedin.com/jobs/view/4311672139", "https://www.linkedin.com/jobs/view/4311672139")</f>
        <v/>
      </c>
      <c r="F120">
        <f>HYPERLINK("https://job-boards.greenhouse.io/gleanwork/jobs/4616929005&amp;urlHash=d4pE", "https://job-boards.greenhouse.io/gleanwork/jobs/4616929005&amp;urlHash=d4pE")</f>
        <v/>
      </c>
      <c r="G120" t="inlineStr"/>
      <c r="H120" t="inlineStr"/>
      <c r="I120"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The Agents Runtime team builds the low‑latency, reliable, and secure foundation that powers Glean’s AI agents and assistant experiences at scale. You’ll design and operate core runtime services for multi‑turn orchestration, tool calling, model routing, memory, streaming, and safety. You’ll work across distributed systems, production observability, and ML infra integrations to deliver an experience that feels instant, accurate, and trustworthy — while optimizing cost and reliability.
**You Will**
* Own impactful runtime problems end‑to‑end — from architecture and design to production launch and ongoing reliability.
* Build and evolve core services for session lifecycle, streaming responses (e.g., gRPC/WebSockets), structured tool execution, memory/state, and policy/guardrails.
* Design for performance, correctness, and cost: reduce p50/p95 latency, improve tail behavior, and optimize token/tool budgets.
* Integrate with leading LLM providers (e.g., OpenAI, Anthropic, Google Gemini) and internal evaluation frameworks to improve quality and predictability.
* Harden the platform with fault isolation, retries, timeouts, circuit‑breaking, backpressure, and graceful degradation.
* Instrument deep observability (tracing, metrics, logs) and create playbooks/SLOs for high availability and on‑call excellence.
* Collaborate closely with product, quality, and application teams to prioritize the most impactful roadmap investments.
**You Are**
* 3\+ years of software engineering experience building production distributed systems or cloud‑native applications.
* BS/BA in Computer Science or related field, or equivalent practical experience.
* Strong coding skills in at least one of: Python, Go, Java, or C\+\+, with a focus on reliability, performance, and tests.
* Product‑minded: you prioritize customer impact, clear SLAs/SLOs, and pragmatic iteration.
* Ownership‑driven with a positive, proactive attitude; comfortable leading projects or learning from battle‑tested engineers.
* Experience operating services on Kubernetes and at least one major cloud (e.g., GCP, AWS, or Azure).
* Familiarity with event/streaming systems (e.g., Pub/Sub, Kafka), caching (e.g., Redis), and data stores for low‑latency paths.
* Practical understanding of LLM/agents building blocks: tool/function calling, structured outputs, streaming, and model selection/routing.
* Strong observability and debugging skills: tracing (e.g., OpenTelemetry), metrics, dashboards, and production forensics.
* Background in one or more areas is a plus: policy/guardrails, multi‑tenant isolation, rate‑limiting, concurrency control, cost optimization.
**Location:**
* This role is hybrid (3\-4 days a week in one of our SF Bay Area offices)
**Compensation \&amp; Benefits**
 The standard base salary range for this position is $170,000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21">
      <c r="A121" t="inlineStr">
        <is>
          <t>li-4337103061</t>
        </is>
      </c>
      <c r="B121" t="inlineStr">
        <is>
          <t>Software Developer, Backend</t>
        </is>
      </c>
      <c r="C121" t="inlineStr">
        <is>
          <t>Gruve</t>
        </is>
      </c>
      <c r="D121" t="inlineStr">
        <is>
          <t>linkedin</t>
        </is>
      </c>
      <c r="E121">
        <f>HYPERLINK("https://www.linkedin.com/jobs/view/4337103061", "https://www.linkedin.com/jobs/view/4337103061")</f>
        <v/>
      </c>
      <c r="F121" t="inlineStr"/>
      <c r="G121" t="inlineStr"/>
      <c r="H121" t="inlineStr"/>
      <c r="I121" t="inlineStr">
        <is>
          <t>**About Gruve**
 Gruve is an innovative software services startup dedicated to transforming enterprises to AI powerhouses. We specialize in cybersecurity, customer experience, cloud infrastructure, and advanced technologies such as Large Language Models (LLMs). Our mission is to assist our customers in their business strategies utilizing their data to make more intelligent decisions. As a well\-funded early\-stage startup, Gruve offers a dynamic environment with strong customer and partner networks.
**About The Role**
 We are looking for a highly skilled
 **Backend Developer** 
 to join a fast\-paced and rapidly growing engineering team. The ideal candidate has a strong background in building and operating high\-scale, low\-latency distributed systems and thrives in environments where ownership, technical excellence, and collaboration are essential.
**Key Responsibilities**
* Design, build, and maintain low\-latency, large\-scale distributed systems that are reliable, performant, and scalable.
* Contribute across the full software development lifecycle, from architecture and design to deployment, monitoring, and operations.
* Collaborate closely with cross\-functional engineering teams to deliver high\-quality features and system improvements.
* Debug complex production issues with strong analytical and problem\-solving skills.
* Drive technical initiatives, set best practices, and contribute to continuous improvement of system reliability and performance.
* Mentor junior engineers and provide technical leadership on new projects and infrastructure enhancements.
**Basic Qualifications**
* 3\+ years of software development experience in a fast\-paced, high\-growth environment.
* Demonstrated experience building large\-scale, distributed systems with low\-latency requirements.
* Proficiency in Go or Python, with strong production debugging and technical problem\-solving abilities.
* Experience operating distributed systems in production, with a strong sense of ownership and accountability.
* Excellent communication skills and the ability to collaborate effectively across teams.
* Experience mentoring junior engineers and providing technical direction on new initiatives.
**Salary Range**
 $50\-67 per hour
***This position is being hired for a customer of Gruve.***
***Gruve is not able to provide visa sponsorship for this role. Applicants must be authorized to work in the United States without the need for current or future sponsorship.***
**Why Gruve**
 At Gruve, we foster a culture of innovation, collaboration, and continuous learning. We are committed to building a diverse and inclusive workplace where everyone can thrive and contribute their best work. If you’re passionate about technology and eager to make an impact, we’d love to hear from you.
 Gruve is an equal opportunity employer. We welcome applicants from all backgrounds and thank all who apply; however, only those selected for an interview will be contacted.</t>
        </is>
      </c>
    </row>
    <row r="122">
      <c r="A122" t="inlineStr">
        <is>
          <t>li-4341937030</t>
        </is>
      </c>
      <c r="B122" t="inlineStr">
        <is>
          <t>Senior Software Engineer - Full Stack</t>
        </is>
      </c>
      <c r="C122" t="inlineStr">
        <is>
          <t>Sony Interactive Entertainment</t>
        </is>
      </c>
      <c r="D122" t="inlineStr">
        <is>
          <t>linkedin</t>
        </is>
      </c>
      <c r="E122">
        <f>HYPERLINK("https://www.linkedin.com/jobs/view/4341937030", "https://www.linkedin.com/jobs/view/4341937030")</f>
        <v/>
      </c>
      <c r="F122" t="inlineStr"/>
      <c r="G122" t="inlineStr">
        <is>
          <t>San Mateo, CA</t>
        </is>
      </c>
      <c r="H122" t="inlineStr"/>
      <c r="I122"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Software Engineer \- Full Stack
 San Mateo \- Hybrid
 We are looking for a Full\-Stack Software Engineer to join our agile high\-performance Dev Team and contribute to the Best Place to Play. You will apply your software development skills and to delight our users with innovative features. You will work and collaborate daily with a diverse team dedicated to excellence, inclusion, and fun. This is a rare opportunity to be part of one of the world’s most recognized brands, and to collaborate with PlayStation engineering teams across the globe. This is a hybrid role in San Mato.
 Responsibilities:
* Work as part of an Agile Scrum team to design and develop end\-to\-end Platform Features using C/C\+\+ in the Game SDK, React/React\-Native/JS in the front\-end, and Java/JS/Graph QL in the backend, delivering highly scalable applications running on the PS5 console.
* Own and deliver Multi\-platform SDK features and Sample Programs using C/C\+\+ and be accountable for the results.
* Ability to support front\-end UI components/backend server development as needed.
* Collaborate with Product Management and UX designers on requirements.
* Investigate and Resolve reported Defects and work with the QE team members to close on the issues.
* Work on continuous improvement of software, by profiling, refactoring and optimizing the code.
* Work with limited supervision under tight time constraints and respond to rapidly evolving requirements.
 Required Qualifications:
* Bachelor’s degree in Computer Science or a related field. Equivalent industry experience will be evaluated.
* Solid base in Computer Science, understanding of OOP, Data Structures, and Design Patterns.
* Strong technical, analytical, and problem\-solving skills.
* 3\+ years of experience with designing and developing SDKs, Front\-End Apps, and integrating with backend services.
* Strong programming skills using C/C\+\+, experience with Front\-End development using JS/React/React Native.
* Passionate about quality and writing clean, readable code that scales and performs well.
* A collaborative teammate, a fast learner, with a positive and can\-do attitude.
* Excellent communication skills, both written and verbal.
 Preferred Qualifications:
* Experience with popular JavaScript UI frameworks, React and React Native, Node.js, and Restful APIs.
* Experience with Service\-side development using Java or other server programming languages like Python
* Built and developed GraphQL\-based applications
* Experience working in Gaming, Digital Media Services, Device Software.
* Experience working with a large multi\-cultural team that values collaboration and inclusive professional conduct.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$193,300—$289,900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23">
      <c r="A123" t="inlineStr">
        <is>
          <t>li-4355451695</t>
        </is>
      </c>
      <c r="B123" t="inlineStr">
        <is>
          <t>Senior Software Engineer</t>
        </is>
      </c>
      <c r="C123" t="inlineStr">
        <is>
          <t>FanDuel</t>
        </is>
      </c>
      <c r="D123" t="inlineStr">
        <is>
          <t>linkedin</t>
        </is>
      </c>
      <c r="E123">
        <f>HYPERLINK("https://www.linkedin.com/jobs/view/4355451695", "https://www.linkedin.com/jobs/view/4355451695")</f>
        <v/>
      </c>
      <c r="F123" t="inlineStr"/>
      <c r="G123" t="inlineStr">
        <is>
          <t>New York, NY</t>
        </is>
      </c>
      <c r="H123" t="inlineStr"/>
      <c r="I123" t="inlineStr">
        <is>
          <t>**THE POSITION**
 Our roster has an opening with your name on it
 As a Senior Software Engineer within one of FanDuel’s Risk Management Automation teams, you will be an essential part of a cross functional agile team that directly impacts our business. You will work collaboratively with a team to implement creative, high\-quality solutions, scope effort and timelines, and balance priorities of our stakeholders and engineering needs. Your team will work closely together to deliver exceptionally high\-quality software, while taking pride and ownership in testing, deploying, monitoring, and maintaining that software. Our engineers own every part of the software delivery lifecycle.
 You will work directly with risk managers at FanDuel to improve the major automated risk management platforms. You will be a domain expert on automated risk implementation and how that fits into the larger Risk and Trading landscape. You will go beyond the software developer role and will be called upon to identify opportunities yourself in the risk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SDE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pair program with our more junior engineers, and deliver constant improvements to our systems. We want you to be excited about constantly learning and driving your professional development. You should have most, or all, of the following skills:
* You have deep experience with C Sharp and backend systems.
* You have experience working directly with stakeholders/end users.
* You write simple and extendable code following standards and best practices.
*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You can train new team\-mates on how your team's software is constructed, how it operates, how secure it is, and how it fits into the bigger picture
* You foster a constructive dialogue and seek resolutions in a professional way
* You help recruit and interview for your team
* You estimate stories/tasks accurately and deliver them in time
* You mentor and help to develop others
* On\-call rotation where required. You provide excellent customer support
* You keep yourself up to date with market standards, open\-source frameworks
* Most importantly, you are humble, pragmatic, self\-managed, thirsty for knowledge, never satisfied and always challenging the norm. Responsible for the state of the code you both inherit and produce
* Creative problem\-solving ability
* A passion for learning and always getting better
**THE STATS**
 What we're looking for in our next teammate
* Degree in Computer Science, Data Science, Engineering.
* 5 or more years of industry experience in a Software Engineering field, Machine Learning, Data Science, Finance Engineering
* Proficient in building services with modern OOP languages, C\# is essential.
* A fundamental understanding of data structures and algorithms.
* Proficient in working with GitOps Patterns
* Experience working with CI/CD pipeline tooling (BuildKite and GitHub Actions knowledge is beneficial).
* Experience working with cloud\-based infrastructure and technologies.
* Knowledge of AWS with API gateway/workflow orchestration/lambda/serverless applications.
* Knowledge of infrastructure as code is nice to have, notably Terraform and Helm.
* Experience interacting and designing relational databases.
* Experience with streaming technologies (Kafka is nice to have).
* Ability to document code, research, and designs clearly (Jira and Confluence experience nice to have).
* Proficiency in translating requirements into design and developing applications.
* Understanding of containers (e.g. Docker), and orchestration (Kubernetes).
* Demonstrated abilities driving operational excellence and on call support.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$149,000 \- $195,300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24">
      <c r="A124" t="inlineStr">
        <is>
          <t>li-4382368945</t>
        </is>
      </c>
      <c r="B124" t="inlineStr">
        <is>
          <t>Sr. Software Engineer</t>
        </is>
      </c>
      <c r="C124" t="inlineStr">
        <is>
          <t>Disney Experiences</t>
        </is>
      </c>
      <c r="D124" t="inlineStr">
        <is>
          <t>linkedin</t>
        </is>
      </c>
      <c r="E124">
        <f>HYPERLINK("https://www.linkedin.com/jobs/view/4382368945", "https://www.linkedin.com/jobs/view/4382368945")</f>
        <v/>
      </c>
      <c r="F124" t="inlineStr"/>
      <c r="G124" t="inlineStr">
        <is>
          <t>Celebration, FL</t>
        </is>
      </c>
      <c r="H124" t="inlineStr"/>
      <c r="I124" t="inlineStr">
        <is>
          <t>At Disney Experiences Technology (DXT), our team creates world\-class immersive digital experiences for the Company’s premier vacation brands including Disney’s Parks \&amp; Resorts worldwide, Disney Cruise Line, Aulani, A Disney Resort \&amp; Spa, and Disney Vacation Club.
 We are responsible for the end\-to\-end digital and physical Guest experience for all technology \&amp; digital\-led initiatives across the Attractions \&amp; Entertainment, Food \&amp; Beverage, Resorts \&amp; Transportation and Merchandise lines of business as well as other initiatives including MyDisneyExperience and Hey, Disney!
 This role sits in the Disney Vacation Club (DVC) organization within Technology \&amp; Digital for Disney Experiences. It works closely with DVC Business, along with Sales \&amp; Marketing, and Member Services Technology groups across the company.
 The Sr. Software Engineer will report to the Manager, Software Engineering.
 The Sr. Software Engineer is expected to play a critical role in:
* Contributing to the design and implementation of custom applications and integrations, cloud services, and application components.
* Taking ownership of development tasks and lead smaller project components from planning through implementation.
* Communicating effectively with technical and business stakeholders, ensuring clarity and professionalism in discussions.
* Collaborating with on\-shore and off\-shore development teams, clients, and technical groups to deliver project objectives.
* Supporting team members in delivering technology solutions that meet business needs and follow best engineering practices.
* Participating in regular code reviews and help maintain coding standards.
* Providing input on technical direction and help assess the quality of deliverables.
* Working closely with technical leaders to align on delivery approaches and manage dependencies.
* Participating in the design and enhancement of software features and platform improvements.
* Working independently to deliver assigned tasks within agreed timelines.
* Practicing agile development in a collaborative, dynamic team environment.
* Adapting quickly to changing business needs and new technologies.
* Following programming and style guidelines to ensure high\-quality, secure code.
* Creating and maintaining documentation, procedures, and work instructions as needed.
* Demonstrating creativity in evaluating business needs and suggesting technical solutions.
**What You’ll Do**
* May lead small projects encompassing analysis, design, programming, debugging, and modification of software enhancements and/or new products used in local, networked, cloud\-based, or Internet\-related computer programs
* Responsible for performing testing and debugging of applications
* Code may be used in commercial and end\-user applications or focus on software and tools supporting infrastructure and technology platforms
* Code at the component level
* Work typically involves large or highly sophisticated software programs and systems
* Possess a proven understanding of current programming language and technologies, with strong skills in writing code and completing programming tasks
* Interact with users to define system requirements and/or necessary modifications
* Conceive, design, develop, test, and implement software components, fixes, improvements, and/or new systems and applications
* Design and develop highly scalable software systems and applications
* You will be expected to stay up to date and leverage emerging technologies such as Generative AI/helper tools like Github Copilot
**Required Qualifications**
* Minimum 5 years of related work experience
* Comfortable working in an Agile environment
* Advanced level knowledge in Java, Angular, Node.js stack, with a proactive demeanor towards continuous learning and skill development, and an interest in mastering emerging data engineering tools and methodologies
* Advanced level knowledge of microservices, RESTful Web Services or APIs.
* Proficiency in object\-oriented programming with an understanding of design principles
* Proficiency in design, development, and implementation of highly scalable, high\-volume software systems and components and major SaaS solutions
* Experience with event driven architecture, including technologies such as Pub\-Sub, Kafka, and similar solutions
* Strong knowledge of unit testing, behavioral testing and continuous integration
* Monitoring tools such as Splunk, AppDynamics, and New Relic
* Software Performance Optimization (memory, CPU, scaling, etc.)
**Preferred Qualifications**
* Experience in developing cloud\-based solutions using managed and serverless technologies as appropriate such as Docker, AWS ECS, Google GKE, AWS Lambda, Google Cloud Functions, AWS DynamoDB, or Google Firestore
* Experience with JavaScript frameworks (Angular and Node.js)
* Experience in Timeshare industry is a plus
* Database Design Experience including both relational and NoSQL such as DynamoDB
* Experience with QA and software analytic tools is a plus
**Required Education**
* Bachelor's or foreign equivalent Degree in Computer Science, Information Systems, Software, Electrical or Electronics Engineering, or comparable field of study, and/or equivalent work experience
 \#DISNEYTECH</t>
        </is>
      </c>
    </row>
    <row r="125">
      <c r="A125" t="inlineStr">
        <is>
          <t>li-4372796885</t>
        </is>
      </c>
      <c r="B125" t="inlineStr">
        <is>
          <t>Software Engineer, Platform</t>
        </is>
      </c>
      <c r="C125" t="inlineStr">
        <is>
          <t>Scale AI</t>
        </is>
      </c>
      <c r="D125" t="inlineStr">
        <is>
          <t>linkedin</t>
        </is>
      </c>
      <c r="E125">
        <f>HYPERLINK("https://www.linkedin.com/jobs/view/4372796885", "https://www.linkedin.com/jobs/view/4372796885")</f>
        <v/>
      </c>
      <c r="F125">
        <f>HYPERLINK("https://job-boards.greenhouse.io/scaleai/jobs/4594879005?gh_src=acad35425us&amp;urlHash=a1v-", "https://job-boards.greenhouse.io/scaleai/jobs/4594879005?gh_src=acad35425us&amp;urlHash=a1v-")</f>
        <v/>
      </c>
      <c r="G125" t="inlineStr"/>
      <c r="H125" t="inlineStr"/>
      <c r="I125" t="inlineStr">
        <is>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In this role, you will support the design and development of shared platforms used across Scale. This includes designing our foundational data platforms and lifecycle, architecting Scale’s core cloud infrastructure and orchestration stack, and redefining how engineers develop, build, test, and deploy software at Scale. You’ll also get widespread exposure to the forefront of the AI race as Scale sees it in enterprises, startups, governments, and large tech companies.
 You will:
* Drive the design, and implementation of our foundational platforms and systems, working closely with stakeholders and internal customers to understand and refine requirements.
* Collaborating with cross\-functional teams to define, design, and deliver new features.
* Proactively identifying opportunities for, and driving improvements to, current programming practices, including process enhancements and tool upgrades.
* Presenting technical information to teams and stakeholders, providing guidance and insight on development processes and technologies.
 Ideally you’d have:
* 3\+ years of full\-time engineering experience, post\-graduation with specialities in back\-end systems.
* Extensive experience in software development and a deep understanding of distributed systems and public cloud platforms (AWS preferred).
* Show a track record of independent ownership of successful engineering projects.
* Possess excellent communication and collaboration skills, and the ability to translate complex technical concepts to non\-technical stakeholders.
* Experience working fluently with standard containerization \&amp; deployment technologies like Kubernetes, Terraform, Docker, etc.
* Experience with orchestration platforms, such as Temporal and AWS Step Functions.
* Experience with NoSQL document databases (MongoDB) and structured databases (Postgres).
* Strong knowledge of software engineering best practices and CI/CD tooling (CircleCI).
 Nice to haves:
* Experience with data warehouses (Snowflake, Firebolt) and data pipeline/ETL tools (Dagster, dbt).
* Experience with authentication/authorization systems (Zanzibar, Authz, etc.)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$179,400—$224,250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26">
      <c r="A126" t="inlineStr">
        <is>
          <t>li-4365590067</t>
        </is>
      </c>
      <c r="B126" t="inlineStr">
        <is>
          <t>Software Engineer III, Payments</t>
        </is>
      </c>
      <c r="C126" t="inlineStr">
        <is>
          <t>Google</t>
        </is>
      </c>
      <c r="D126" t="inlineStr">
        <is>
          <t>linkedin</t>
        </is>
      </c>
      <c r="E126">
        <f>HYPERLINK("https://www.linkedin.com/jobs/view/4365590067", "https://www.linkedin.com/jobs/view/4365590067")</f>
        <v/>
      </c>
      <c r="F126" t="inlineStr"/>
      <c r="G126" t="inlineStr">
        <is>
          <t>Mountain View, CA</t>
        </is>
      </c>
      <c r="H126" t="inlineStr"/>
      <c r="I126"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7">
      <c r="A127" t="inlineStr">
        <is>
          <t>li-4379653340</t>
        </is>
      </c>
      <c r="B127" t="inlineStr">
        <is>
          <t>Software Engineer II</t>
        </is>
      </c>
      <c r="C127" t="inlineStr">
        <is>
          <t>The Walt Disney Company</t>
        </is>
      </c>
      <c r="D127" t="inlineStr">
        <is>
          <t>linkedin</t>
        </is>
      </c>
      <c r="E127">
        <f>HYPERLINK("https://www.linkedin.com/jobs/view/4379653340", "https://www.linkedin.com/jobs/view/4379653340")</f>
        <v/>
      </c>
      <c r="F127" t="inlineStr"/>
      <c r="G127" t="inlineStr">
        <is>
          <t>Glendale, CA</t>
        </is>
      </c>
      <c r="H127" t="inlineStr"/>
      <c r="I127"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The Audience Data and Measurement (ADM) team is part of Ad Platforms, with a mission to help advertisers reach the right audience and deliver personalized, optimized experiences tailored to customer needs and interests. Our ADM Platform offers a unified solution for audience data exchange and enrichment, Ads measurement, as well as high\-concurrency, low\-latency audience targeting services powered by advanced data technologies. This is a dynamic, cross\-domain team delivering end\-to\-end solutions across diverse technical areas, including machine learning, big data, microservices, and data visualization.
 As a Software Engineer II, you will use your Java, Scala, Python, scripting, DevOps, and data persistence skills to write and test code that delivers new features for our application portfolio. You will be an important part of a motivated team where we’ll be looking for you to collaborate with the team to contribute to application architecture, code quality, and make sure we are building the right things for our users. We want someone that has 4 or more years’ experience in designing and architecting highly scalable, secure, performant, and usable big data applications using Java, Scala and Python. The ideal candidate would possess solid skills in big data technology (Spark and Flink), while having expertise with orchestration and containerization platforms (Airflow, Docker and Kubernetes), coupled with hands on persistence and data streaming technology experience (Databricks, Snowflake, Redis, Kafka).
 While The Walt Disney Company is a large company, ideally, we’d like it if you have some previous experience in a startup environment and are comfortable performing multiple roles. We strive to get things done quickly, with high quality, and we are committed to the agile methodology. Our work is guided by lean principles (looking at value and looking for waste; not doing anything ‘for the sake of doing it’).
 We’re looking for a passionate, impactful, technical contributor who wants to come here to do their very best work and make their mark, add their chapter to the long and storied history of The Walt Disney Company. Someone who holds themselves and their teammates accountable in a professional, collaborative manner. A collaborative technologist who seeks to bring the best out in themselves and those around them. Someone who can provide a fresh perspective and innovative insight to our initiatives.
**Responsibilities And Duties Of The Role**
* Build components of large\-scale data platform for real\-time and batch processing, and own features of big data applications to fit evolving business needs
* Build next\-gen cloud based big data infrastructure for batch and streaming data applications, and continuously improve performance, scalability and availability
* Contribute to the best engineering practices, including the use of design patterns, CI/CD, code review and automated test
* Chip in ground\-breaking innovation and apply the state\-of\-the\-art technologies
* As a key member of the team, contribute to all aspects of the software lifecycle: design, experimentation, implementation and testing
* Collaborate with team to develop software architectures which are robust, fault\-tolerant, and cloud\-native
* Possess AWS managed service solution design and implementation experience
* Reason logically and creatively, identifying problems, drawing valid conclusions from the data available, and develop effective solutions while applying creative thinking in the design and development of high performing data applications
* Collaborate with fellow engineers to keep the team’s technology radar and architecture principles aligned to the industry and needs of our users
* Deliver multiple projects utilizing an Agile methodology
* Take a high ownership, self\-sufficient, hands\-on position on the team to collaborate and drive quality, maintain application stability
* Write complex programs, analyze code changes and suggest improvements
* Check\-in valuable, clean code on a daily basis that adds new features and capabilities
* Investigate and resolve any production issues from end user to persistence layer and work to prevent them
* Work with leads, product managers and managers to ensure that all project deliverables are on time and high quality
* Work collaboratively with other service teams
**Required Education, Experience/Skills/Training**
 Basic Qualifications
* Hold a Bachelor’s degree in Computer Science, Computer Information Systems, Engineering, or another technical field
* Have 3\+ years of experience in big data application development in a large enterprise environment using Java, Scala, Python, including familiarity with modern frameworks and platforms (e.g., Spark, Flink, Singlestore, Kafka, Nifi and AWS big data technologies)
* Be able to demonstrate experience working with relational databases, SQL and newer NoSQL data stores as well as event streaming platforms
* Demonstrated ability with cloud infrastructure technologies, including Terraform, K8S, Spinnaker, IAM, ALB, etc.
* Have a strong interest in open source technology
* Knowledge of building highly available and scalable services
* Passion about technologies and openness to interdisciplinary work
* Possess good communication skills and enjoy helping others to succeed as a team
* Care about your craft and have opinions about the “right” way to do things with technology
**Preferred Qualifications**
* Master's degree in Computer Science, Software Engineering or related technical discipline is desirable
* Previous work experience in advertising industry\-based applications
* Experience with Databricks, Snowflake, Presto, Kinesis
* Experience working with vendor teams to deliver high quality results
* Knowledge of performance testing and application profiling
* Strong curiosity about how Disney delivers the Magic and a desire to be a part of it
 \#DISNEYTECH
 The hiring range for this position in Glendale, California is $117,500 to $157,500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28">
      <c r="A128" t="inlineStr">
        <is>
          <t>li-4372797944</t>
        </is>
      </c>
      <c r="B128" t="inlineStr">
        <is>
          <t>Software Engineer, Platform</t>
        </is>
      </c>
      <c r="C128" t="inlineStr">
        <is>
          <t>Scale AI</t>
        </is>
      </c>
      <c r="D128" t="inlineStr">
        <is>
          <t>linkedin</t>
        </is>
      </c>
      <c r="E128">
        <f>HYPERLINK("https://www.linkedin.com/jobs/view/4372797944", "https://www.linkedin.com/jobs/view/4372797944")</f>
        <v/>
      </c>
      <c r="F128" t="inlineStr"/>
      <c r="G128" t="inlineStr"/>
      <c r="H128" t="inlineStr"/>
      <c r="I128" t="inlineStr">
        <is>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In this role, you will support the design and development of shared platforms used across Scale. This includes designing our foundational data platforms and lifecycle, architecting Scale’s core cloud infrastructure and orchestration stack, and redefining how engineers develop, build, test, and deploy software at Scale. You’ll also get widespread exposure to the forefront of the AI race as Scale sees it in enterprises, startups, governments, and large tech companies.
 You will:
* Drive the design, and implementation of our foundational platforms and systems, working closely with stakeholders and internal customers to understand and refine requirements.
* Collaborating with cross\-functional teams to define, design, and deliver new features.
* Proactively identifying opportunities for, and driving improvements to, current programming practices, including process enhancements and tool upgrades.
* Presenting technical information to teams and stakeholders, providing guidance and insight on development processes and technologies.
 Ideally you’d have:
* 3\+ years of full\-time engineering experience, post\-graduation with specialities in back\-end systems.
* Extensive experience in software development and a deep understanding of distributed systems and public cloud platforms (AWS preferred).
* Show a track record of independent ownership of successful engineering projects.
* Possess excellent communication and collaboration skills, and the ability to translate complex technical concepts to non\-technical stakeholders.
* Experience working fluently with standard containerization \&amp; deployment technologies like Kubernetes, Terraform, Docker, etc.
* Experience with orchestration platforms, such as Temporal and AWS Step Functions.
* Experience with NoSQL document databases (MongoDB) and structured databases (Postgres).
* Strong knowledge of software engineering best practices and CI/CD tooling (CircleCI).
 Nice to haves:
* Experience with data warehouses (Snowflake, Firebolt) and data pipeline/ETL tools (Dagster, dbt).
* Experience with authentication/authorization systems (Zanzibar, Authz, etc.)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$179,400—$224,250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29">
      <c r="A129" t="inlineStr">
        <is>
          <t>li-4381368776</t>
        </is>
      </c>
      <c r="B129" t="inlineStr">
        <is>
          <t>Software Engineer - Platform</t>
        </is>
      </c>
      <c r="C129" t="inlineStr">
        <is>
          <t>SpaceNav</t>
        </is>
      </c>
      <c r="D129" t="inlineStr">
        <is>
          <t>linkedin</t>
        </is>
      </c>
      <c r="E129">
        <f>HYPERLINK("https://www.linkedin.com/jobs/view/4381368776", "https://www.linkedin.com/jobs/view/4381368776")</f>
        <v/>
      </c>
      <c r="F129" t="inlineStr"/>
      <c r="G129" t="inlineStr">
        <is>
          <t>Boulder, CO</t>
        </is>
      </c>
      <c r="H129" t="inlineStr"/>
      <c r="I129" t="inlineStr">
        <is>
          <t>***Job Description***
 SpaceNav is looking for an experienced Platform
 Software Engineer
 who is a self\-motivated demonstrated team\-player.
 In this role, you’ll play a critical part in designing and implementing cloud\-based solutions that power
 mission critical flight dynamics applications used to support satellite operations. You will also be responsible for designing, implementing, and maintaining our Advanced SSA Platform build \&amp; deployment environment. 
 As a Platform Software Engineer, you will bring your skills in Python, Rust, SQL, cloud technologies, and service\-oriented architecture to build and maintain solutions that optimize flight dynamics workflows and uphold satellite operator standards. Beyond these core contributions, you will take on a central role in defining how software is built and delivered at SpaceNav — architecting CI/CD pipelines, driving automation across AWS, and establishing yourself as the cloud infrastructure expert within the engineering department. This is a practical, hands\-on position ideal for an engineer with a systems mindset who thrives at the crossroads of infrastructure and software, where performance, reliability, and automation are paramount.
***Responsibilities***
* Design, develop, and maintain high\-performance applications and services within the Advanced SSA Platform, adhering to systems requirements and Agile methodologies.
* Build and optimize RESTful APIs and enterprise\-grade backend solutions with an emphasis on performance, scalability, and reliability.
* Design, build, and maintain CI/CD pipelines using Bitbucket and AWS CDK to automate build, test, and deployment workflows across development and production environments.
* Leverage AWS CDK to implement infrastructure\-as\-code, enabling repeatable, version\-controlled, and auditable infrastructure deployments.
* Participate in code reviews to uphold code quality, maintainability, and adherence to engineering best practices.
* Embed observability and self\-healing capabilities into the Advanced SSA Platform, driving operational excellence through metrics, monitoring, and automated recovery mechanisms.
* Implement security controls across CI/CD pipelines, including secrets management, access controls, and vulnerability scanning.
* Produce clear, comprehensive documentation for deployment processes, runbooks, and troubleshooting guides to support operational SLA requirements.
* Champion continuous improvement initiatives aimed at reducing deployment friction, accelerating build times, and enhancing developer productivity.
* Collaborate closely with software, flight dynamics, and systems engineers to understand functional needs and deployment requirements.
* Mentor development teams and provide technical guidance on DevOps best practices, cloud\-native patterns, and tooling.
* Participate in on\-call rotations to support Satellite Operations SLA commitments.
***Qualifications***
* Bachelor's degree in Computer Science or Software Engineering.
* 5\+ years of experience as a full\-stack engineer building large\-scale, distributed web applications.
* Demonstrated experience designing and maintaining CI/CD pipelines.
* Strong hands\-on experience with AWS services (Lambda, API Gateway, Fargate, Firehose, RDS), including deploying and managing production workloads.
* Proficiency using AWS CDK for infrastructure\-as\-code automation and provisioning.
* Solid expertise in backend development using languages such as Python, JavaScript/TypeScript, or Rust.
* Experience building user\-facing applications with modern frameworks such as React or Vue.
* Proven ability to design and manage APIs consumed across multiple teams using REST or GraphQL.
* Strong working knowledge of decentralized version control systems such as Git, across platforms like Bitbucket, GitHub, or GitLab.
* Hands\-on experience with containerized application development, particularly using Docker and Kubernetes.
* Familiarity with testing frameworks (e.g., Jest, pytest, Playwright) and test\-driven development practices.
* Experience applying security best practices within CI/CD pipelines and cloud environments.
* Strong written communication skills with a demonstrated ability to produce clear, actionable process documentation.
* A pragmatic, growth\-oriented mindset — capable of balancing near\-term delivery with sound, long\-term architectural thinking.
 The salary range for this role is $120,000 \- $140,000 per year.</t>
        </is>
      </c>
    </row>
    <row r="130">
      <c r="A130" t="inlineStr">
        <is>
          <t>li-4363387375</t>
        </is>
      </c>
      <c r="B130" t="inlineStr">
        <is>
          <t>Software Engineer</t>
        </is>
      </c>
      <c r="C130" t="inlineStr">
        <is>
          <t>Pariveda</t>
        </is>
      </c>
      <c r="D130" t="inlineStr">
        <is>
          <t>linkedin</t>
        </is>
      </c>
      <c r="E130">
        <f>HYPERLINK("https://www.linkedin.com/jobs/view/4363387375", "https://www.linkedin.com/jobs/view/4363387375")</f>
        <v/>
      </c>
      <c r="F130">
        <f>HYPERLINK("https://jobs.ashbyhq.com/pariveda/e48f85b9-97b2-47c4-b9f3-fc993b62539d/application?utm_source=LinkedInPaid&amp;urlHash=BgpE", "https://jobs.ashbyhq.com/pariveda/e48f85b9-97b2-47c4-b9f3-fc993b62539d/application?utm_source=LinkedInPaid&amp;urlHash=BgpE")</f>
        <v/>
      </c>
      <c r="G130" t="inlineStr">
        <is>
          <t>San Francisco, CA</t>
        </is>
      </c>
      <c r="H130" t="inlineStr"/>
      <c r="I130" t="inlineStr">
        <is>
          <t>Pariveda is a North American\-based, employee\-owned professional services firm. We provide strategy and technology services across industries. As a mission\-driven organization and Certified B Corp, we enable our clients to imagine and do more, whether it’s making next quarter’s goals or navigating the future. From ideas to impact, we help clients get better at what they do to improve people and profits. Learn more about our mission and culture as well as our recruitment process and interview prep.
 Pariveda is not your average professional services firm. Looking to join a team in San Francisco where you will be challenged and encouraged to grow your career in a supportive, purpose\-driven environment?
 Explore a career with Pariveda, an employee\-owned professional services firm that provides strategy and technology services—from idea to impact. We have been named by Glassdoor as a Best Place to Work seven times since 2017 and are currently looking for motivated individuals who are passionate about using technology to solve problems and help others succeed.
 To learn more about our culture and what you can expect at Pariveda, review our Findamentals – the behaviors that show who we are.
**You Can Expect To**
 As a Pariveda Consultant, you will work in small teams, collaborating with other Pariveda employees while partnering with clients to solve real business challenges in an agile, people\-first way.
* Grow your career with the support of a dedicated mentor and a clearly defined career path. You will be reviewed every 6 months and eligible for promotion every 12 months.
* Try new things to develop yourself as a leader. Learn to estimate, gather requirements, develop, test, manage projects, architect and deliver. We do it all!
* Explore different technologies and develop applications in languages including: Java, .NET, Python, JavaScript, and SQL, Web technologies like React, Redux, Angular, Vue, Mobile technologies including iOS and Android, Cloud technologies like AWS, Azure, Google Cloud, and Data Driven solutions, IoT, Machine Learning, DevOps, and more.
* Utilize AI strategically to enhance client solutions, incorporating AI tools to streamline development, uncover insights, and accelerate delivery while clearly communicating the value, limitations, and ethical use of AI to clients and stakeholders.
* Sharpen your professional communication skills. Create and present findings, solutions, and demos to audiences including senior executives and stakeholders.
* Work within a hybrid model
* Actively engage in our culture of continuous learning, community service, social gatherings, and personal and professional development.
* Work with smart, humble, and supportive people.
**We Look For**
* Passionate technologists with at least 6\+ months of full\-time software development experience
* Lifelong learners for a passion for technology
* Skilled problem solvers with the desire and proven ability to create innovative solutions
* Flexible and adaptable attitude\- Client, teams and technologies will change with each new challenge
* Future technology leaders\- Dynamic individuals energized by fast paced personal and professional growth
* Professional communicators who can explain and present concepts to technical and non\-technical audiences alike
* Bachelor’s Degree in MIS, Computer Science, Math, Engineering or comparable experience
* Legally authorized to work for any company in the United States without sponsorship
**Pariveda Benefits**
* Transparent and Equitable Salary.
* Comprehensive medical, dental, and vision insurance for you and your family
* Employer Health Savings Account (HSA) contribution
* 2% 401(k), vested immediately
* Company ownership through Employee Stock Ownership Plan (ESOP)
* Plenty of Paid Time Off – 4 weeks of vacation time, 10 holidays, 1 floating holiday
* Paid sabbatical after 5 years of service for Principals and above
* Paid parental leave \&amp; breast milk shipping costs reimbursed for work travel
* Employee Assistance Program (EAP), health concierge, and financial wellness tool
* Company paid cell phone plan and device stipend
* Life insurance
* Short\-Term and Long\-Term Disability
 Pariveda Solutions aspires that our employee diversity is representative of the markets in which we serve. Employment decisions are based solely on merit and business needs and not on race, color, religion, sex, sexual orientation, gender, gender identity, gender expression, pregnancy, marital status, national origin, citizenship status (if authorized to work in the country where the job is located), uniform service member, military or veteran status, ancestry, age (over 40\), physical or mental disability including HIV or AIDS, medical condition, genetic information, political affiliation, or any other category protected by applicable federal, provincial, or local law.
 Our commitment to a welcoming, inclusive environment means we embrace applicants from all backgrounds. If you feel you may need an accommodation at any stage of our interview process due to a disability, please contact the Human Resources team at careandsupport@parivedasolutions.com or \+1 844\-325\-2729, select option 3 and then option 1 Human Resources.
 Compensation Range: $91\.8K \- $101K</t>
        </is>
      </c>
    </row>
    <row r="131">
      <c r="A131" t="inlineStr">
        <is>
          <t>li-4372028534</t>
        </is>
      </c>
      <c r="B131" t="inlineStr">
        <is>
          <t>Software Developer (Front-End)</t>
        </is>
      </c>
      <c r="C131" t="inlineStr">
        <is>
          <t>Bandwidth Inc.</t>
        </is>
      </c>
      <c r="D131" t="inlineStr">
        <is>
          <t>linkedin</t>
        </is>
      </c>
      <c r="E131">
        <f>HYPERLINK("https://www.linkedin.com/jobs/view/4372028534", "https://www.linkedin.com/jobs/view/4372028534")</f>
        <v/>
      </c>
      <c r="F131" t="inlineStr"/>
      <c r="G131" t="inlineStr">
        <is>
          <t>Raleigh, NC</t>
        </is>
      </c>
      <c r="H131" t="inlineStr"/>
      <c r="I131"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As a member of our
 **Front\-End** 
 team, you’ll get to help design and build our UI used across the globe by our customers. You’ll be responsible for making sure our front\-end is great looking and easy to use. We’re looking for people who get excited about making great experiences for our customers.
**What You'll Do:** 
* Build and maintain Bandwidth’s front\-end / UI used by our customers
* Help drive decisions around front\-end design and architecture
* Drive awareness of front\-end technologies and best practices
* Play a critical role in making Bandwidth a great place for other engineers
**What You Need:** 
* 2\-3 years experience building scalable web applications using modern Javascript frameworks (React, Vue, Angular)
* Proficiency with Javascript (ES6\) and Typescript
* Familiarity with React Hooks and creating custom hooks
* Ability to debug and optimize web applications using Chrome developer tools
* Comfortable with writing testable code via frameworks such as Jest, Cypress or React Testing Library
* Bachelor’s degree or equivalent experience
* A results driven approach
**Bonus Points:** 
* You have experience with Micro Front\-Ends (MFEs) and the challenges and pitfalls related to them.
* You’re comfortable working in AWS and deploying applications to AWS (S3 \+ Cloudfront)
* You’re familiar with GitHub actions.
* Accessibility is important to you, and you know accessible best practices in semantic HTML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132">
      <c r="A132" t="inlineStr">
        <is>
          <t>li-4382368809</t>
        </is>
      </c>
      <c r="B132" t="inlineStr">
        <is>
          <t>Software Developer, Full Stack</t>
        </is>
      </c>
      <c r="C132" t="inlineStr">
        <is>
          <t>Wiraa</t>
        </is>
      </c>
      <c r="D132" t="inlineStr">
        <is>
          <t>linkedin</t>
        </is>
      </c>
      <c r="E132">
        <f>HYPERLINK("https://www.linkedin.com/jobs/view/4382368809", "https://www.linkedin.com/jobs/view/4382368809")</f>
        <v/>
      </c>
      <c r="F132" t="inlineStr"/>
      <c r="G132" t="inlineStr"/>
      <c r="H132" t="inlineStr"/>
      <c r="I132" t="inlineStr">
        <is>
          <t>**About The Company**
 Ridgeline International is a pioneering technology company dedicated to combating Ubiquitous Technical Surveillance. Our mission is to assist government agencies and enterprise clients in identifying and resolving complex security challenges they may not even be aware of. With a foundation built on curiosity, creativity, and flexibility, we prioritize innovation and continuous iteration to deliver effective solutions. Our commitment to excellence has positioned us as leaders in the space of digital signature management and security. We foster a dynamic and collaborative environment where talented professionals come together to make meaningful impacts through cutting\-edge technology.
**About The Role**
 We are seeking a skilled Software Developer, Full Stack, to join our team and contribute to the development of mission\-critical applications. This hands\-on engineering role involves taking ownership of features from conception to deployment, working closely with a talented team of developers, systems engineers, and Azure DevOps specialists. The ideal candidate will thrive in a fast\-paced environment, enjoy solving complex problems across the entire technology stack, and be committed to delivering reliable, high\-quality solutions that have a tangible impact. Your work will directly influence how large enterprises and the U.S. Government manage their digital signatures and security protocols, making this a uniquely impactful opportunity.
**Qualifications**
* Active SECRET clearance is required.
* Five or more years of full\-stack development experience using C\# and ASP.NET in production environments.
* At least two years of hands\-on experience with Node.js in live settings.
* Strong expertise in database design, performance tuning, and query optimization across SQL Server, MySQL, and MongoDB (Azure Cosmos DB).
* Experience integrating and working with REST and GraphQL APIs, including authentication, error handling, and data transformation.
* Practical experience implementing GIS and mapping technologies such as ArcGIS or Leaflet.
* Three or more years working with Azure DevOps or equivalent CI/CD platforms.
* Experience managing Azure Key Vault, certificates, and secure secrets handling.
* Proficiency configuring and troubleshooting Azure Cache for Redis.
* Solid understanding of database backup, restore, capacity planning, and performance optimization.
**Responsibilities**
* Design, develop, and maintain full\-stack applications using C\# ASP.NET, ensuring they are scalable and reliable.
* Integrate GIS and mapping technologies like ArcGIS and Leaflet into application workflows to enhance functionality.
* Build and consume REST and GraphQL APIs, ensuring secure and efficient data exchange with internal and external systems.
* Write clean, well\-documented, and testable code while participating in code reviews to uphold quality standards.
* Design database schemas, optimize queries, and support performance tuning across SQL Server, MySQL, and Azure Cosmos DB.
* Manage Azure DevOps pipelines for continuous integration and deployment, including build and release management.
* Handle Azure Key Vault, certificates, and secrets securely to support application security.
* Configure and support Azure Cache for Redis to optimize application performance.
* Participate in incident response, root cause analysis, and system monitoring to ensure operational stability.
* Enhance monitoring, alerting, and logging practices using Azure Monitor and Log Analytics.
* Support compliance requirements such as NIST, RMF, or CMMC by documenting architecture and operational procedures.
* Contribute to long\-term system sustainability through documentation and process improvements.
**Benefits**
* Impactful work contributing to national security and enterprise innovation.
* Collaborative culture that values teamwork, innovation, and shared success.
* Opportunities for professional development, mentorship, and career advancement.
* Flexible paid time off and holiday policies.
* Generous 401(k) plan with up to 10% match, including automatic contributions.
* Comprehensive health benefits including medical (HSA \&amp; PPO options), dental, vision, disability, and life insurance.
* Employer contributions to Health Savings Accounts.
* Access to learning and development programs, professional coaching, and privacy protection services.
* Modern technology and tools to support your work, including free snacks and drinks in the office.
 Equal Opportunity
 Ridgeline International is an equal opportunity employer committed to creating a diverse and inclusive workplace. We do not discriminate based on race, color, religion, sex, sexual orientation, gender identity, national origin, age, disability, veteran status, or any other protected characteristic. We welcome applications from all qualified individuals and provide reasonable accommodations for candidates with disabilities. Your privacy and confidentiality will be maintained throughout the hiring process. For accommodations or inquiries.</t>
        </is>
      </c>
    </row>
    <row r="133">
      <c r="A133" t="inlineStr">
        <is>
          <t>li-4371790036</t>
        </is>
      </c>
      <c r="B133" t="inlineStr">
        <is>
          <t>Sr. Software Developer (Messaging)</t>
        </is>
      </c>
      <c r="C133" t="inlineStr">
        <is>
          <t>Bandwidth Inc.</t>
        </is>
      </c>
      <c r="D133" t="inlineStr">
        <is>
          <t>linkedin</t>
        </is>
      </c>
      <c r="E133">
        <f>HYPERLINK("https://www.linkedin.com/jobs/view/4371790036", "https://www.linkedin.com/jobs/view/4371790036")</f>
        <v/>
      </c>
      <c r="F133" t="inlineStr"/>
      <c r="G133" t="inlineStr">
        <is>
          <t>Raleigh, NC</t>
        </is>
      </c>
      <c r="H133" t="inlineStr"/>
      <c r="I133"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Let’s face it… People read text messages, more than any other medium, which is why we are the fastest growing segment in Bandwidth. We’re looking for a
 **Senior Software Developer** 
 who will lead by example, move fast, dive deep, is not afraid of failure and proud of the code you deliver to deploy highly scalable, cloud based applications that allow customers to provision, send, receive, and track billions of messages.
**What You'll Do:** 
* Own (along with the rest of the development team) your services, from design to testing to operations and monitoring in production.
* Identify and solve scaling problems through application development and infrastructure optimizations.
* Improve system uptime by developing and deploying applications into redundant architectures.
* Look critically at what we’re building and how we’re building it, and you’ll originate ideas and activities that advance our craft.
* Work closely with product managers and business stakeholders to create solutions that deliver the power to communicate.
**What You Need:** 
 You are the right candidate if…
* You have a broad knowledge of architectural design patterns and professional experience knowing when and how best to apply them.
* You embrace a continuous learning mindset and have a proven history of leading by example through your design, your coding, and your mentoring of other developers.
* You enjoy writing code alongside a team of talented developers with experience in distributed cloud\-based microservices and full stack systems in an iterative, MVP\-first environment.
* You are consistently innovating while actively reducing the complexity and increasing scalability and security across the software you develop.
* You enjoy having your head in the Cloud (particularly the AWS Cloud).
* You enjoy having a mission\-focus, solving complex problems at scale, and working closely with stakeholders to continually improve the customer experience and platform reliability.
**Bonus Points:** 
 It would also be really great if...
* You have expertise in Java and Spring.
* You have experience with AWS (ECS, API Gateway, S3, SQS), Messaging Brokers (Kafka, ActiveMQ) and Kubernetes.
* You have experience with relational and non\-relational database systems.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134">
      <c r="A134" t="inlineStr">
        <is>
          <t>li-4321351170</t>
        </is>
      </c>
      <c r="B134" t="inlineStr">
        <is>
          <t>Software Engineer - Acceleration</t>
        </is>
      </c>
      <c r="C134" t="inlineStr">
        <is>
          <t>Perplexity</t>
        </is>
      </c>
      <c r="D134" t="inlineStr">
        <is>
          <t>linkedin</t>
        </is>
      </c>
      <c r="E134">
        <f>HYPERLINK("https://www.linkedin.com/jobs/view/4321351170", "https://www.linkedin.com/jobs/view/4321351170")</f>
        <v/>
      </c>
      <c r="F134" t="inlineStr"/>
      <c r="G134" t="inlineStr">
        <is>
          <t>San Francisco, CA</t>
        </is>
      </c>
      <c r="H134" t="inlineStr"/>
      <c r="I134" t="inlineStr">
        <is>
          <t>Perplexity is seeking creative, AI\-pilled engineers to join our Acceleration team. Our company is reshaping the way people navigate the internet and the wider world. The Acceleration team's mandate is to continually uplevel the way our company and our teams operate, to deliver order\-of\-magnitude improvements in product and user experience.
 Just as Perplexity is heralding an agentic future for the internet, you will ensure that our company makes the best use of AI tools and agents to multiply the leverage of our lean, mission\-focused teams. Today, Perplexity uses AI tools across everything we do, from frontend and backend engineering to applied AI research and business operations. Tomorrow’s AI technology will be even more capable, and the Acceleration team will lead both software and process engineering to harness AI so that the company can deliver at maximum velocity.
 The ideal candidate will possess sound technical judgment forged in the trenches of internet\-scale companies, paired with voracious use of today’s most advanced AI tools/models and a capacious imagination to rethink how work gets done in the leading companies of tomorrow. They should thrive in a hybrid role that marries facets of AI product development, infrastructure/platform engineering, developer experience, and more.
**Responsibilities**
* Identify, prioritize, and execute on the highest\-potential opportunities to accelerate Perplexity’s delivery cadence with frontier AI capabilities.
* Develop empathy for the nuances of our technical and business teams’ work across disciplines and verticals, toward collaborating with them to harness AI in new ways.
* Make our codebases, systems, and knowledge stores legible to AI.
* Help the company triangulate toward the optimal point on the quality\-velocity Pareto frontier, while shifting that frontier outward with AI tools and agents.
* Keep abreast of new AI tools/models and make maximally effective use of them in your own work, setting an example across the company and inspiring others to do the same.
* Help the company make high\-conviction bets on specific technologies in situations where indecision is a comfortable and tempting default.
* Work with engineering leadership, recruiting, and others to ensure we instill an AI\-forward culture and select for those who will thrive in such an environment.
* Note: this is an extremely technical and hands\-on role. Strong vision and creativity is necessary but not sufficient for success. You will be expected to build both prototypes and production systems, as well as to reengineer our codebases, infrastructure, processes, and anything else that must evolve to realize this vision.
**Qualifications**
* 4 to 20\+ years of industry experience, ideally with a substantial portion focused on infrastructure/platform engineering or developer acceleration in environments featuring significant technical complexity.
* Daily use of AI models/tools, along with strong intuition on their jagged frontiers.
* Proficiency with Python, along with experience and/or desire to learn more about Rust, TypeScript, Go, and other languages.
* Strong understanding of (and empathy for) the work of technical staff across disciplines, along with an enthusiasm to learn about the work of business and operations teams.
* Broad working knowledge of the typical stacks used by AI product \&amp; applied research companies. (For example: you don’t need to have experience hand\-rolling CUDA kernels, but you should know what CUDA is and when/where/why it’s used.)
* An obsession with improving the legibility of (and reducing brittleness in) both software and human\-orchestrated processes.
* Experience navigating tricky exploration\-exploitation tradeoffs, balancing the need to ship today with the need to build capacity for tomorrow.
 Compensation Range: $250K \- $405K</t>
        </is>
      </c>
    </row>
    <row r="135">
      <c r="A135" t="inlineStr">
        <is>
          <t>li-4341895001</t>
        </is>
      </c>
      <c r="B135" t="inlineStr">
        <is>
          <t>Software Engineer, Integrity Foundations</t>
        </is>
      </c>
      <c r="C135" t="inlineStr">
        <is>
          <t>OpenAI</t>
        </is>
      </c>
      <c r="D135" t="inlineStr">
        <is>
          <t>linkedin</t>
        </is>
      </c>
      <c r="E135">
        <f>HYPERLINK("https://www.linkedin.com/jobs/view/4341895001", "https://www.linkedin.com/jobs/view/4341895001")</f>
        <v/>
      </c>
      <c r="F135" t="inlineStr"/>
      <c r="G135" t="inlineStr">
        <is>
          <t>San Francisco, CA</t>
        </is>
      </c>
      <c r="H135" t="inlineStr"/>
      <c r="I135" t="inlineStr">
        <is>
          <t>**About The Team**
 The Applied Foundations team at OpenAI is dedicated to ensuring that our cutting\-edge technology is not only revolutionary but also secure from a myriad of adversarial threats. We strive to maintain the integrity of our platforms as they scale.
 The Applied Foundations team is at the front lines of defending against financial abuse, scaled attacks, and other forms of misuse that could undermine the user experience or harm our operational stability. Integrity Foundations provides the core building blocks and infrastructure for this work.
**About The Role**
 At OpenAI, our mission is to advance AI in a way that is safe, reliable, and aligned with broad societal values. The applied foundations role is crucial for maintaining the trustworthiness of our platforms. You will be pivotal in developing robust defenses against a spectrum of adversarial behaviors that threaten our ecosystem.
 In this role, you'll work with our entire engineering team to design and implement systems that detect and prevent abuse, promote user safety, and reduce risk across our platform. You'll be at the forefront of our efforts to ensure that the immense potential of AI is harnessed in a responsible and sustainable manner.
**In This Role, You Will**
* Develop and enhance systems to detect and prevent various forms of abuse including financial fraud, botting, and scripting.
* Collaborate with cross\-functional teams to design solutions that protect against and mitigate adversarial attacks without compromising user experience.
* Assist with response to active incidents on the platform and build new tooling and infrastructure that address the fundamental problems.
**You Might Thrive In This Role If You**
* Have at least 3 years of professional software engineering experience.
* Have experience setting up and maintaining production backend services and data pipelines.
* Have a humble attitude, an eagerness to help your colleagues, and a desire to do whatever it takes to make the team succeed.
* Are self\-directed and enjoy figuring out the best way to solve a particular problem
* Own problems end\-to\-end, and are willing to pick up whatever knowledge you're missing to get the job done.
* Care about AI Safety in production environments and have the expertise to build software systems that defend against abuse.
* Build tools to accelerate your own workflows, but only when off\-the\-shelf solutions would not do.
**Our tech stack**
* Our infrastructure is built on Terraform, Kubernetes, Azure, Python, Postgres, and Kafka. While we value experience with these technologies, we are primarily looking for engineers with strong technical skills and the ability to quickly pick up new tools and frameworks.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36">
      <c r="A136" t="inlineStr">
        <is>
          <t>li-4376217387</t>
        </is>
      </c>
      <c r="B136" t="inlineStr">
        <is>
          <t>Java/Javascript Software Engineer</t>
        </is>
      </c>
      <c r="C136" t="inlineStr">
        <is>
          <t>BeaconFire Inc.</t>
        </is>
      </c>
      <c r="D136" t="inlineStr">
        <is>
          <t>linkedin</t>
        </is>
      </c>
      <c r="E136">
        <f>HYPERLINK("https://www.linkedin.com/jobs/view/4376217387", "https://www.linkedin.com/jobs/view/4376217387")</f>
        <v/>
      </c>
      <c r="F136" t="inlineStr"/>
      <c r="G136" t="inlineStr">
        <is>
          <t>North Carolina, United States</t>
        </is>
      </c>
      <c r="H136" t="inlineStr"/>
      <c r="I136"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37">
      <c r="A137" t="inlineStr">
        <is>
          <t>li-4372062697</t>
        </is>
      </c>
      <c r="B137" t="inlineStr">
        <is>
          <t>Full Stack Software Engineer</t>
        </is>
      </c>
      <c r="C137" t="inlineStr">
        <is>
          <t>Crossing Hurdles</t>
        </is>
      </c>
      <c r="D137" t="inlineStr">
        <is>
          <t>linkedin</t>
        </is>
      </c>
      <c r="E137">
        <f>HYPERLINK("https://www.linkedin.com/jobs/view/4372062697", "https://www.linkedin.com/jobs/view/4372062697")</f>
        <v/>
      </c>
      <c r="F137" t="inlineStr"/>
      <c r="G137" t="inlineStr">
        <is>
          <t>San Francisco, CA</t>
        </is>
      </c>
      <c r="H137" t="inlineStr"/>
      <c r="I137" t="inlineStr">
        <is>
          <t>**Crossing Hurdles** 
 is a global recruitment firm partnering with an AI\-first recruiting platform building a real\-time AI interviewer.
**Role Snapshot** 
**Role:** 
 Full\-Stack Software Engineer
**YOE:** 
 5 \- 8 years of experience of full stack engineering experience (senior\+ level)
**Location:** 
 San Francisco \| Onsite (5 days a week)
**Compensation:** 
 $150K \- $250K
**About The Company** 
 Alex, an AI\-first recruiting platform building a real\-time AI interviewer that helps companies dramatically improve hiring signal and speed. They conduct live, adaptive interviews over video and phone calls, asking personalized follow\-ups in real time and helping employers evaluate candidates more accurately at scale.
**Why You Should Consider** 
* Build a real\-time AI interviewer used in production
* Solve hard, real engineering problems
* High ownership and founder\-level exposure
* Direct impact on people’s careers</t>
        </is>
      </c>
    </row>
    <row r="138">
      <c r="A138" t="inlineStr">
        <is>
          <t>li-4382364938</t>
        </is>
      </c>
      <c r="B138" t="inlineStr">
        <is>
          <t>Backend Software Engineer</t>
        </is>
      </c>
      <c r="C138" t="inlineStr">
        <is>
          <t>Wiraa</t>
        </is>
      </c>
      <c r="D138" t="inlineStr">
        <is>
          <t>linkedin</t>
        </is>
      </c>
      <c r="E138">
        <f>HYPERLINK("https://www.linkedin.com/jobs/view/4382364938", "https://www.linkedin.com/jobs/view/4382364938")</f>
        <v/>
      </c>
      <c r="F138" t="inlineStr"/>
      <c r="G138" t="inlineStr"/>
      <c r="H138" t="inlineStr"/>
      <c r="I138" t="inlineStr">
        <is>
          <t>**About The Company**
 Bright Vision Technologies is a forward\-thinking software development company dedicated to building innovative solutions that help businesses automate and optimize their operations. We leverage cutting\-edge technologies to create scalable, secure, and high\-performance backend systems. Our commitment to excellence and innovation has established us as a trusted partner for organizations seeking to transform their business processes through technology. As we continue to grow, we are focused on fostering a dynamic and inclusive work environment that encourages professional development and collaboration. Our team is composed of talented professionals who are passionate about delivering high\-quality solutions that meet our clients' evolving needs. We believe in leveraging the latest advancements in technology to drive efficiency, security, and scalability for our clients across various industries.
**About The Role**
 We are seeking a skilled Backend Software Engineer/Developer to join our team in a full\-time capacity. This role offers an exciting opportunity to work on innovative projects utilizing a broad spectrum of technologies including Java, Python, Spring Boot, Django, Flask, and more. The ideal candidate will have a strong background in developing scalable, secure, and high\-performance backend systems within a microservices architecture. This position is based in Bridgewater, New Jersey, with options for remote or hybrid work arrangements. The role involves designing, developing, and maintaining backend services, ensuring seamless integration with front\-end applications, and optimizing system performance. As part of our team, you will be instrumental in delivering solutions that enhance operational efficiency for our clients. We are particularly interested in candidates who are eligible for H1B sponsorship in 2027 and are currently on OPT, CPT, H4 EAD, TN, E3, or other non\-immigrant visas, seeking sponsorship for the upcoming H1B quota.
**Qualifications**
* Bachelor’s degree in Computer Science, Software Engineering, or related field
* Minimum of 3 to 5 years of real\-time experience in backend development
* Proficiency in Java and Python programming languages
* Experience with Spring Boot, Django, and Flask frameworks
* Strong understanding of RESTful API design and JSON data interchange
* Hands\-on experience with microservices architecture
* Database expertise in SQL (PostgreSQL, MySQL) and NoSQL (MongoDB)
* Knowledge of message brokers and streaming platforms such as Kafka and Redis
* Experience with containerization and orchestration tools like Docker and Kubernetes
* Familiarity with cloud platforms such as AWS or Azure
* Version control experience using Git
* Understanding of CI/CD pipelines and automation
* Proficiency in Linux environment and command\-line tools
* Experience with Agile methodologies and team collaboration
* Ability to perform unit testing using JUnit, PyTest, or similar frameworks
* Excellent problem\-solving skills and attention to detail
* Strong communication skills and ability to work in a team environment
**Responsibilities**
* Design, develop, and maintain scalable backend systems and microservices
* Create and optimize RESTful APIs to facilitate seamless integration with frontend and other services
* Implement security best practices to safeguard data and system integrity
* Collaborate with cross\-functional teams to gather requirements and translate them into technical solutions
* Participate in code reviews, debugging, and performance tuning to ensure high\-quality deliverables
* Maintain and improve existing backend infrastructure, ensuring reliability and scalability
* Develop and execute unit tests to ensure code quality and functionality
* Document technical specifications and system architecture for future reference
* Stay updated with the latest industry trends and incorporate best practices into development processes
* Support deployment and troubleshooting in cloud environments such as AWS or Azure
**Benefits**
* Competitive salary and comprehensive benefits package
* Opportunities for professional growth and career advancement
* Flexible work arrangements including remote and hybrid options
* Supportive and inclusive work environment
* Access to cutting\-edge technologies and training resources
* Paid time off and holidays
* Health, dental, and vision insurance plans
* Retirement savings plans
 Equal Opportunity
 Bright Vision Technologies (BV Teck) is committed to providing equal employment opportunities to all employees and applicants without regard to race, color, religion, sex, sexual orientation, gender identity or expression, national origin, age, genetic information, disability, veteran status, or any other protected status as defined by applicable federal, state, or local laws. We prohibit workplace harassment and discrimination and promote a diverse and inclusive environment. All employment decisions are based on merit, qualifications, and business needs. We encourage individuals from all backgrounds to apply and welcome accommodations during the recruitment process to ensure equitable participation.</t>
        </is>
      </c>
    </row>
    <row r="139">
      <c r="A139" t="inlineStr">
        <is>
          <t>li-4376216423</t>
        </is>
      </c>
      <c r="B139" t="inlineStr">
        <is>
          <t>Java/Javascript Software Engineer</t>
        </is>
      </c>
      <c r="C139" t="inlineStr">
        <is>
          <t>BeaconFire Inc.</t>
        </is>
      </c>
      <c r="D139" t="inlineStr">
        <is>
          <t>linkedin</t>
        </is>
      </c>
      <c r="E139">
        <f>HYPERLINK("https://www.linkedin.com/jobs/view/4376216423", "https://www.linkedin.com/jobs/view/4376216423")</f>
        <v/>
      </c>
      <c r="F139" t="inlineStr"/>
      <c r="G139" t="inlineStr">
        <is>
          <t>Florida, United States</t>
        </is>
      </c>
      <c r="H139" t="inlineStr"/>
      <c r="I139"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40">
      <c r="A140" t="inlineStr">
        <is>
          <t>li-4382387051</t>
        </is>
      </c>
      <c r="B140" t="inlineStr">
        <is>
          <t>Software Developer (.NET, API)</t>
        </is>
      </c>
      <c r="C140" t="inlineStr">
        <is>
          <t>Wiraa</t>
        </is>
      </c>
      <c r="D140" t="inlineStr">
        <is>
          <t>linkedin</t>
        </is>
      </c>
      <c r="E140">
        <f>HYPERLINK("https://www.linkedin.com/jobs/view/4382387051", "https://www.linkedin.com/jobs/view/4382387051")</f>
        <v/>
      </c>
      <c r="F140">
        <f>HYPERLINK("https://www.wiraa.com/job-description/usDE6BF74BB4C053E653B3F2A1EB0B3614?source=Linkedin&amp;urlHash=n3Kr", "https://www.wiraa.com/job-description/usDE6BF74BB4C053E653B3F2A1EB0B3614?source=Linkedin&amp;urlHash=n3Kr")</f>
        <v/>
      </c>
      <c r="G140" t="inlineStr"/>
      <c r="H140" t="inlineStr"/>
      <c r="I140" t="inlineStr">
        <is>
          <t>**About The Company**
 Established in 1935, BECU is a member\-owned financial institution serving over 1\.5 million members with a managed asset portfolio exceeding $30 billion. Our core philosophy, "people helping people," underscores our commitment to prioritizing our members, communities, and employees above profits. With a rich history of fostering financial well\-being and community development, BECU has built a reputation for trust, innovation, and service excellence. As we look toward the future, we are undergoing significant business and technology transformations to better serve our members and stay at the forefront of the financial industry. Joining BECU means becoming part of a purpose\-driven organization dedicated to making a positive impact through innovative solutions and collaborative growth.
**About The Role**
 We are seeking a highly skilled Principal Software Developer (PSD) to lead the design, development, and implementation of cutting\-edge technology solutions that enhance the member experience and strengthen BECU’s market position. In this role, you will leverage your technical mastery, strategic insight, and leadership capabilities to architect scalable, reliable, and innovative systems. You will collaborate closely with business stakeholders, guide cross\-functional teams, and serve as a technical visionary to drive enterprise\-wide initiatives. This position offers an excellent opportunity to influence technological direction, mentor upcoming talent, and contribute to impactful projects that support millions of members. Whether working remotely or onsite, you will be an integral part of a dynamic team committed to continuous improvement and technological excellence.
**Qualifications**
* Bachelor’s degree in a technical or business discipline, or equivalent work/education experience
* Minimum of 10 years of IT experience with demonstrated expertise in application design
* Experience with financial products such as mortgages, loans, credit cards, and deposits
* Proficiency in managing source control models and organizational development practices
* Strong knowledge of Secure Development best practices
* Proven ability to learn and implement emerging technologies across the product lifecycle
* Experience designing and delivering REST APIs
* Expertise in .NET and C\# development
* Familiarity with open\-source technologies and libraries
* Hands\-on experience with Azure cloud development and architecture, including security and operational considerations
* High\-level expertise in server\-side web development, REST/web services, or large\-scale data analytics
* Deep understanding of SOLID principles, Object\-Oriented Programming, and Microservices architecture
* Knowledge of SDLC and Agile methodologies
* Experience with CI/CD tools such as Azure DevOps, GitHub Actions, Jenkins, or TeamCity
* Strong background in Test\-Driven Development, unit testing, and performance/load testing
* Proficiency with Git workflows, code reviews, and branching strategies
* Experience with SQL, data warehousing, ETL processes, and NoSQL systems like Cosmos DB
* Proven leadership in enterprise\-wide initiatives and cross\-team collaboration
**Responsibilities**
* Design and evelop innovative, market\-leading solutions that address business challenges and enhance member experiences
* Visualize, articulate, and promote technical strategies that set new industry standards
* Collaborate with business leaders to build prototypes and conceptualize solutions aligned with strategic goals
* Stay current with emerging technologies and share insights to inform team practices
* Lead complex, multi\-tier architecture projects, including analysis, coding, testing, and documentation
* Identify and implement process improvements to enhance engineering practices and operational efficiency
* Uphold and promote coding standards, best practices, and code quality across teams
* Drive technical strategy and enterprise\-wide architectural decisions
* Mentor and develop technical talent, fostering a culture of continuous learning and collaboration
* Provide expert technical consultation to delivery teams, resolving complex challenges
* Support Agile planning and execution, breaking down work into manageable components
* Partner with cross\-functional teams to deliver large\-scale initiatives throughout the SDLC
**Benefits**
* 401(k) plan with up to 3% company match and 4% annual contribution
* Comprehensive medical, dental, and vision insurance coverage for employees and families
* PTO and Exchange Programs to support work\-life balance
* Tuition Reimbursement Program to foster continuous learning
* Volunteer time off through BECU Cares and donation matching initiatives
 Equal Opportunity
 BECU is an equal opportunity employer. We celebrate diversity and are committed to creating an inclusive environment for all employees. All qualified applicants will receive consideration for employment without regard to race, color, religion, sex, national origin, veteran status, disability, sexual orientation, gender identity, or any other protected status.</t>
        </is>
      </c>
    </row>
    <row r="141">
      <c r="A141" t="inlineStr">
        <is>
          <t>li-4239977995</t>
        </is>
      </c>
      <c r="B141" t="inlineStr">
        <is>
          <t>Software Engineer, Distributed Systems</t>
        </is>
      </c>
      <c r="C141" t="inlineStr">
        <is>
          <t>Figma</t>
        </is>
      </c>
      <c r="D141" t="inlineStr">
        <is>
          <t>linkedin</t>
        </is>
      </c>
      <c r="E141">
        <f>HYPERLINK("https://www.linkedin.com/jobs/view/4239977995", "https://www.linkedin.com/jobs/view/4239977995")</f>
        <v/>
      </c>
      <c r="F141">
        <f>HYPERLINK("https://boards.greenhouse.io/figma/jobs/5552549004?gh_jid=5552549004&amp;gh_src=28109e334us&amp;source=LinkedIn&amp;urlHash=Pds7", "https://boards.greenhouse.io/figma/jobs/5552549004?gh_jid=5552549004&amp;gh_src=28109e334us&amp;source=LinkedIn&amp;urlHash=Pds7")</f>
        <v/>
      </c>
      <c r="G141" t="inlineStr">
        <is>
          <t>San Francisco, CA</t>
        </is>
      </c>
      <c r="H141" t="inlineStr"/>
      <c r="I14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At Figma, infrastructure is at the heart of everything we build. As a Software Engineer on our Infrastructure team, you’ll help design, build, and operate the systems that power our real\-time collaborative design tools used by millions of people worldwide. We’re scaling fast, and we’re looking for experienced distributed systems engineers across a variety of teams. Whether you’re passionate about storage, compute orchestration, developer tooling, networking, or real\-time data systems, this role offers an opportunity to shape the technical foundation of one of the most beloved design platforms in the world.
 This is a full time role that can be held from one of our US hubs or remotely in the United States.
**What You’ll Do at Figma:**
* Design, build, and maintain scalable and reliable infrastructure systems that support product innovation and user collaboration at scale.
* Architect and evolve distributed systems including storage platforms, streaming infrastructure, and compute orchestration.
* Improve developer experience by building internal platforms, CI/CD systems, build tools, and APIs.
* Collaborate across product and infrastructure teams to design secure, maintainable, and performant systems.
* Participate in shaping platform strategy, roadmaps, and engineering best practices across the organization.
* Debug and resolve complex production issues that span services and layers of the stack.
* Mentor engineers and foster a culture of collaboration, inclusivity, and technical excellence.
**We’d Love to Hear From You If You Have:**
* 5\+ years of Software Engineering experience, specifically in backend or infrastructure engineering..
* Deep understanding of distributed systems concepts such as sharding, replication, consistency, and eventual convergence.
* Experience with cloud\-native environments (AWS, GCP, or Azure), infrastructure\-as\-code, and container orchestration.
* Proficiency in languages such as Go, TypeScript, Python, Rust, or Ruby.
* Strong system design skills and a track record of architecting resilient production systems.
* Excellent communication skills, with experience collaborating across teams and mentoring others.
**While it’s not required, it’s an added plus if you also have:**
* Experience scaling storage platforms (e.g., Postgres, Redis, S3, DynamoDB) or operating streaming systems like Kafka.
* Background in traffic management, DDoS mitigation, or service mesh technologies (e.g., Envoy, Istio).
* A history of developing complex, realtime distributed systems at scale.
* A passion for building developer productivity tools, including development environments, CI/CD pipelines, and build systems.
* Experience with evolving large\-scale, shared developer platforms to improve reliability and developer velocity.
* Strong problem\-solving skills and a bias for action—especially when tackling high\-impact, gritty challenges.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42">
      <c r="A142" t="inlineStr">
        <is>
          <t>li-4365591112</t>
        </is>
      </c>
      <c r="B142" t="inlineStr">
        <is>
          <t>Software Engineer III, Embedded Systems/Firmware, Platforms Infrastructure Engineering</t>
        </is>
      </c>
      <c r="C142" t="inlineStr">
        <is>
          <t>Google</t>
        </is>
      </c>
      <c r="D142" t="inlineStr">
        <is>
          <t>linkedin</t>
        </is>
      </c>
      <c r="E142">
        <f>HYPERLINK("https://www.linkedin.com/jobs/view/4365591112", "https://www.linkedin.com/jobs/view/4365591112")</f>
        <v/>
      </c>
      <c r="F142" t="inlineStr"/>
      <c r="G142" t="inlineStr">
        <is>
          <t>Sunnyvale, CA</t>
        </is>
      </c>
      <c r="H142" t="inlineStr"/>
      <c r="I142" t="inlineStr">
        <is>
          <t>Note: By applying to this position you will have an opportunity to share your preferred working location from the following:
 **Sunnyvale, CA, USA; Austin, TX, USA** 
 .
 **Minimum qualifications:**
* Bachelor’s degree or equivalent practical experience.
* 2 years of experience in low level systems programming languages (e.g. C\+\+ or C), or 1 year of experience with an advanced degree in an industry setting.
* 2 years of experience with working with embedded operating systems.
**Preferred qualifications:**
* Master's degree or PhD in Computer Science or related technical field.
* 2 years of experience with data structures or algorithms in either an academic or industry setting.
* 2 years of experience with performance, systems data analysis, visualization tools, or debugging.
* Experience developing accessible technologies.
* Proficiency in code and system health, diagnosis and resolution, and software test engineering.
**About The Job**
 In this role, you will manage project priorities, deadlines, and deliverables. You will also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design reviews with peers and stakeholders to decide amongst available technologies.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3">
      <c r="A143" t="inlineStr">
        <is>
          <t>li-4376217364</t>
        </is>
      </c>
      <c r="B143" t="inlineStr">
        <is>
          <t>Java Software Engineer</t>
        </is>
      </c>
      <c r="C143" t="inlineStr">
        <is>
          <t>BeaconFire Inc.</t>
        </is>
      </c>
      <c r="D143" t="inlineStr">
        <is>
          <t>linkedin</t>
        </is>
      </c>
      <c r="E143">
        <f>HYPERLINK("https://www.linkedin.com/jobs/view/4376217364", "https://www.linkedin.com/jobs/view/4376217364")</f>
        <v/>
      </c>
      <c r="F143" t="inlineStr"/>
      <c r="G143" t="inlineStr">
        <is>
          <t>Washington, United States</t>
        </is>
      </c>
      <c r="H143" t="inlineStr"/>
      <c r="I143"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44">
      <c r="A144" t="inlineStr">
        <is>
          <t>li-4371784724</t>
        </is>
      </c>
      <c r="B144" t="inlineStr">
        <is>
          <t>Software Engineer</t>
        </is>
      </c>
      <c r="C144" t="inlineStr">
        <is>
          <t>Akron Brass Company</t>
        </is>
      </c>
      <c r="D144" t="inlineStr">
        <is>
          <t>linkedin</t>
        </is>
      </c>
      <c r="E144">
        <f>HYPERLINK("https://www.linkedin.com/jobs/view/4371784724", "https://www.linkedin.com/jobs/view/4371784724")</f>
        <v/>
      </c>
      <c r="F144" t="inlineStr"/>
      <c r="G144" t="inlineStr">
        <is>
          <t>Wooster, OH</t>
        </is>
      </c>
      <c r="H144" t="inlineStr"/>
      <c r="I144" t="inlineStr">
        <is>
          <t>If you’re looking for a special place to build or grow your career, you’ve found it. Whether you’re an experienced professional, a recent college graduate or somewhere in between, IDEX is a place where you can apply your existing skills and learn new ones in an environment where you can make an impact.
 With interesting opportunities in engineering, marketing, sales, supply chain, operations, HR, finance, and more across more than 40 diverse businesses (https://www.idexcorp.com/our\-businesses/business\-segments/) around the globe, chances are, we have something special for you.
**This position is not eligible for sponsorship of U.S. work visas**
**REPORTS TO (Title)** 
 : Software Development Manager
**Essential Duties And Responsibilities**
* Software Development: Design, develop, and maintain software applications and systems using various programming languages (e.g., Java, Python, C\+\+).
* Collaboration: Work closely with project managers, UX designers, and other stakeholders to gather requirements and ensure technical specifications are met.
* Testing and Debugging: Conduct testing and debugging of software applications to ensure reliability and efficiency.
* Documentation: Document development processes, system designs, and user manuals to facilitate understanding and maintenance.
* Continuous Improvement: Update software to integrate new features or enhancements and maintain quality and performance standards.
* All other duties as assigned.
**Knowledge, Skills And Required Abilities**
* Educational Background: A bachelor's degree in computer science, software engineering, or a related field is typically required.
* Technical Proficiency: Strong knowledge of programming languages and software development methodologies, including familiarity with version control systems like Git.
* Problem\-Solving Skills: Exceptional analytical and problem\-solving abilities to address software issues and improve functionality.
* Teamwork: Ability to work effectively in a team environment, sharing code and collaborating on projects.
**Education And Experience**
* BS degree in Computer Science, Engineering, or a related field.
* 2\+ years experience in software engineering role
* Experience in hands\-on development and troubleshooting on Windows.Net.
* Solid programming experience in Visual Basic.Net, C\#.Net, T\-SQL
* Manufacturing background is a plus.
**Work Environment**
* Ability to move within office and manufacturing complex, write by hand and keyboard, and perform general office functions.
* Ability to communicate by speech and hearing via phone and in person.
* Visual acuity needed for close detail work and computer use.
* The work environment characteristics described here are representative
* The work environment characteristics described here are representative of those an employee encounters while performing the essential functions of this job. Reasonable accommodations may be made to enable individuals with disabilities to perform the essential functions.
 Are you ready to join a different kind of company where our people, our culture, and our commitments are centered around providing trusted solutions that improve lives around the world?
**IDEX is an Equal Opportunity Employer** 
 . IDEX gives consideration for employment to qualified applicants without regard to race, color, religion, creed, genetic information, sex, sexual orientation, gender identity or expression, marital status, age, national origin, disability, protected veteran status, or any other consideration or protected category made unlawful by federal, state or local laws.
**Attention Applicants:** 
 If you are an individual with a disability and require a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our Talent Acquisition Team at lfcareers@idexcorp.com for assistance with an accommodation. These contact tools may be used only by individuals with a disability for accommodation requests. Do not inquire as to the status of an application.
**Job Family:** 
 Information Technology
**Business Unit:** 
 Akron Brass</t>
        </is>
      </c>
    </row>
    <row r="145">
      <c r="A145" t="inlineStr">
        <is>
          <t>li-4290875615</t>
        </is>
      </c>
      <c r="B145" t="inlineStr">
        <is>
          <t>Software Engineer, Frontend</t>
        </is>
      </c>
      <c r="C145" t="inlineStr">
        <is>
          <t>Ramp</t>
        </is>
      </c>
      <c r="D145" t="inlineStr">
        <is>
          <t>linkedin</t>
        </is>
      </c>
      <c r="E145">
        <f>HYPERLINK("https://www.linkedin.com/jobs/view/4290875615", "https://www.linkedin.com/jobs/view/4290875615")</f>
        <v/>
      </c>
      <c r="F145">
        <f>HYPERLINK("https://jobs.ashbyhq.com/ramp/4e64ab86-4e30-403b-b1b9-41dc052570ce?src=LinkedIn&amp;urlHash=QA8l", "https://jobs.ashbyhq.com/ramp/4e64ab86-4e30-403b-b1b9-41dc052570ce?src=LinkedIn&amp;urlHash=QA8l")</f>
        <v/>
      </c>
      <c r="G145" t="inlineStr">
        <is>
          <t>Florida, United States</t>
        </is>
      </c>
      <c r="H145" t="inlineStr"/>
      <c r="I145"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Our ideal candidate has a deep understanding of JavaScript, a passion for web performance, and can creatively come up with solutions to solve customer's needs. Our tech stack currently involves TypeScript, React, Vite, and Ryu, our in\-house design system.
 Check out our Engineering Blog for more on our tech stack, mission and values!
 What You’ll Do
* Build!
* Design performant, beautiful, and usable interfaces
* Collaborate on our technical vision. Lead discussions and implementation of multiple complex projects
* Foster a culture of upholding industry\-leading UX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You'll Need
* Minimum of 2 years of frontend engineering experience preferred
* Proficiency in JavaScript and React
* Knack for getting the visuals right
* Track record of shipping high\-quality products and developing projects at scale
* Ability to turn business and product ideas into engineering solutions
* Desire to work in a fast\-paced environment, continuously grow, and master your craft
* Alignment with Ramp’s core values of enabling businesses to grow more by spending less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146">
      <c r="A146" t="inlineStr">
        <is>
          <t>li-4271761522</t>
        </is>
      </c>
      <c r="B146" t="inlineStr">
        <is>
          <t>Senior Software Engineer, Full Stack</t>
        </is>
      </c>
      <c r="C146" t="inlineStr">
        <is>
          <t>Retell AI</t>
        </is>
      </c>
      <c r="D146" t="inlineStr">
        <is>
          <t>linkedin</t>
        </is>
      </c>
      <c r="E146">
        <f>HYPERLINK("https://www.linkedin.com/jobs/view/4271761522", "https://www.linkedin.com/jobs/view/4271761522")</f>
        <v/>
      </c>
      <c r="F146">
        <f>HYPERLINK("https://jobs.ashbyhq.com/retell-ai/dc995420-9909-4867-83f4-0816fe758a6f?utm_source=LinkedInPaid&amp;urlHash=1ZvC", "https://jobs.ashbyhq.com/retell-ai/dc995420-9909-4867-83f4-0816fe758a6f?utm_source=LinkedInPaid&amp;urlHash=1ZvC")</f>
        <v/>
      </c>
      <c r="G146" t="inlineStr"/>
      <c r="H146" t="inlineStr"/>
      <c r="I146"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Our vision for 2026 is to build a modern CX platform where entire contact centers are powered by AI. Instead of basic automation that needs constant human tuning, we’re creating intelligent AI “workers” that can act as frontline agents, QA analysts, and managers — continuously executing, monitoring, and improving customer interactions.
 We’re growing quickly and looking for ambitious builders who want to tackle hard technical problems, move fast, and have real impact at one of the fastest\-growing voice AI startups.
 Let’s build the future together.
* We’re a top 50 AI app in a16z list: https://tinyurl.com/5853dt2x
* \#4 on Brex's Fast\-Growing Software Vendors of 2025: https://www.brex.com/journal/brex\-benchmark\-december\-2025
* We're also one of the top ranking startups on: https://leanaileaderboard.com/
**About The Role**
 As a Senior Full\-Stack Engineer, you’ll shape the heart of Retell AI’s voice automation platform, building scalable systems and intuitive interfaces that power millions of AI\-driven conversations. You’ll work across the stack—leveraging React, TypeScript, and Node.js—to deliver fast, beautiful, and reliable solutions. Collaborating closely with the founding team, you’ll bridge backend architecture (like prompt orchestration and telephony integrations) with frontend experiences (such as dashboards and analytics tools), ensuring seamless customer onboarding and impactful user experiences. This high\-impact role offers rapid feedback loops, customer collaboration, and the opportunity to define a category\-leading product that transforms global communication.
**Key Responsibilities**
* Develop core features like prompt orchestration, dashboards, analytics, and telephony integrations.
* Build scalable full\-stack systems, from polished UIs to robust APIs and DevOps workflows.
* Lead projects from architecture to production, owning coding, deployment, and iteration.
* Create intuitive interfaces and APIs, enabling customers to activate in hours.
* Support customer onboarding, debug issues, and turn feedback into product enhancements.
**YOU MIGHT THRIVE IF**
* Have 2\+ years of full\-stack experience with React, TypeScript, Node.js, or Python.
* Hold a degree in CS, CE, or equivalent practical experience.
* Take ownership like a founder, proactively solving problems across the stack.
* Thrive in fast\-paced settings, quickly adapting to new tools and challenges.
* Communicate clearly, collaborating effectively in small, dynamic teams.
 JOB DETAILS
* Cash: 215k \- 290k
* Equity: Offers Equity
* Location: Redwood City, CA, US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exceptional builders.
* High Ownership: Small teams, \&gt;$1M revenue/employee, and significant equity.
* Performance\-Based: Offers tied to interview performance, not experience or past salaries.
 INTERVIEW PROCESS
* Online Assessment (1\.5 Hours): Coding questions on practical problem\-solving (7 days to complete).
* Intro Call (15\-20min): Connect with our Founding Recruiter to get a deeper look at the team and the work you'd be doing.
* Technical Phone Interview (45 min): Practical coding session focused on code fluency and system design (For frontend roles, we will focus on React\-specific questions. For backend roles, we take a technology\-agnostic approach.)
* Technical Interview (45 min): A deep dive into your backend chops and how you think through systems design.
* Onsite/Virtual Interviews (2–3 hrs): Hosted in our office if located in the Bay Area or virtual, with three rounds:
+ Practical Coding: Tackle real\-world coding tasks with debugging.
+ System Design: Architect a production\-ready system.
+ Tools \&amp; Automation: Build automations or improve workflows in any basic environment setup like python, java, node.js, etc.
 Learn More
 Retell AI \- API That Turns Your LLM Into A Human\-Like Voice Agent
 Retell AI Basics: Everything You Need to Start Building Voice Agents
 Join Retell AI to shape the future of voice automation, building scalable, impactful full\-stack systems that redefine AI\-driven communication.</t>
        </is>
      </c>
    </row>
    <row r="147">
      <c r="A147" t="inlineStr">
        <is>
          <t>li-4376216445</t>
        </is>
      </c>
      <c r="B147" t="inlineStr">
        <is>
          <t>Java Software Engineer</t>
        </is>
      </c>
      <c r="C147" t="inlineStr">
        <is>
          <t>BeaconFire Inc.</t>
        </is>
      </c>
      <c r="D147" t="inlineStr">
        <is>
          <t>linkedin</t>
        </is>
      </c>
      <c r="E147">
        <f>HYPERLINK("https://www.linkedin.com/jobs/view/4376216445", "https://www.linkedin.com/jobs/view/4376216445")</f>
        <v/>
      </c>
      <c r="F147" t="inlineStr"/>
      <c r="G147" t="inlineStr">
        <is>
          <t>Pennsylvania, United States</t>
        </is>
      </c>
      <c r="H147" t="inlineStr"/>
      <c r="I147"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48">
      <c r="A148" t="inlineStr">
        <is>
          <t>li-4239980531</t>
        </is>
      </c>
      <c r="B148" t="inlineStr">
        <is>
          <t>Software Engineer, Machine Learning</t>
        </is>
      </c>
      <c r="C148" t="inlineStr">
        <is>
          <t>Figma</t>
        </is>
      </c>
      <c r="D148" t="inlineStr">
        <is>
          <t>linkedin</t>
        </is>
      </c>
      <c r="E148">
        <f>HYPERLINK("https://www.linkedin.com/jobs/view/4239980531", "https://www.linkedin.com/jobs/view/4239980531")</f>
        <v/>
      </c>
      <c r="F148">
        <f>HYPERLINK("https://boards.greenhouse.io/figma/jobs/5551532004?gh_jid=5551532004&amp;gh_src=28109e334us&amp;source=LinkedIn&amp;urlHash=HEz9", "https://boards.greenhouse.io/figma/jobs/5551532004?gh_jid=5551532004&amp;gh_src=28109e334us&amp;source=LinkedIn&amp;urlHash=HEz9")</f>
        <v/>
      </c>
      <c r="G148" t="inlineStr">
        <is>
          <t>San Francisco, CA</t>
        </is>
      </c>
      <c r="H148" t="inlineStr"/>
      <c r="I148"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 Design, build, and productionize ML models for Search, Discovery, Ranking, Retrieval\-Augmented Generation (RAG), and generative AI features.
* Build and maintain scalable data pipelines to collect high\-quality training and evaluation datasets, including annotation systems and human\-in\-the\-loop workflows.
* Collaborate with AI researchers to iterate on datasets, evaluation metrics, and model architectures to improve quality and relevance.
* Work with product engineers to define and deliver impactful AI features across Figma’s platform.
* Partner with infrastructure engineers to develop and optimize systems for training, inference, monitoring, and deployment.
* Explore new ideas at the edge of what’s technically possible and help shape the long\-term AI vision at Figma.
**We’d love to hear from you If you have:**
* 5\+ years of industry experience in software engineering, with 3\+ years focused on applied machine learning or AI.
* Strong experience with end\-to\-end ML model development, including training, evaluation, deployment, and monitoring.
* Proficiency in Python and familiarity with ML libraries like PyTorch, TensorFlow, Scikit\-learn, Spark MLlib, or XGBoost.
* Experience designing and building scalable data and annotation pipelines, as well as evaluation systems for AI model quality.
* Experience mentoring or leading others and contributing to a culture of technical excellence and innovation.
**While not required, It’s an added plus if you also have:**
* Familiarity with search relevance, ranking, NLP, or RAG systems.
* Experience with AI infrastructure and MLOps, including observability, CI/CD, and automation for ML workflows.
* Experience working on creative or design\-focused ML applications.
* Knowledge of additional languages such as C\+\+ or Go is a plus, but not required.
* A product mindset with the ability to tie technical work to user outcomes and business impact.
*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49">
      <c r="A149" t="inlineStr">
        <is>
          <t>li-4376200847</t>
        </is>
      </c>
      <c r="B149" t="inlineStr">
        <is>
          <t>Java Software Engineer</t>
        </is>
      </c>
      <c r="C149" t="inlineStr">
        <is>
          <t>BeaconFire Inc.</t>
        </is>
      </c>
      <c r="D149" t="inlineStr">
        <is>
          <t>linkedin</t>
        </is>
      </c>
      <c r="E149">
        <f>HYPERLINK("https://www.linkedin.com/jobs/view/4376200847", "https://www.linkedin.com/jobs/view/4376200847")</f>
        <v/>
      </c>
      <c r="F149" t="inlineStr"/>
      <c r="G149" t="inlineStr">
        <is>
          <t>Illinois, United States</t>
        </is>
      </c>
      <c r="H149" t="inlineStr"/>
      <c r="I149"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50">
      <c r="A150" t="inlineStr">
        <is>
          <t>li-4343294080</t>
        </is>
      </c>
      <c r="B150" t="inlineStr">
        <is>
          <t>Software Engineer 2</t>
        </is>
      </c>
      <c r="C150" t="inlineStr">
        <is>
          <t>Microsoft</t>
        </is>
      </c>
      <c r="D150" t="inlineStr">
        <is>
          <t>linkedin</t>
        </is>
      </c>
      <c r="E150">
        <f>HYPERLINK("https://www.linkedin.com/jobs/view/4343294080", "https://www.linkedin.com/jobs/view/4343294080")</f>
        <v/>
      </c>
      <c r="F150" t="inlineStr"/>
      <c r="G150" t="inlineStr">
        <is>
          <t>Redmond, WA</t>
        </is>
      </c>
      <c r="H150" t="inlineStr"/>
      <c r="I150" t="inlineStr">
        <is>
          <t>**Overview**
 Data Privacy has never been more top of mind than it is today. Governments around the world are passing new privacy legislation at a fast pace, and companies are investing in many aspects of data compliance to meet these new regulations. There is a significant opportunity here to empower every company to deliver data privacy solutions that meet these regulations and that build customer trust. If you are looking for an opportunity to move the needle on data privacy, then the Microsoft Security Platform, Data Governance and Privacy (SPDGP) team is the right place for you. Within SPDGP, the Data Privacy Platform (DPP) team has been providing internal data privacy products for all Microsoft since 2018, operating these products at high scale and availability. We build reliable, highly scalable, highly performing, and distributed systems for scanning, cataloging, classification, and DSR processing. Our job is to provide privacy infrastructure, to produce meaningful insights about compliance, and to create understandable actions that can be taken to improve. We are leveraging this experience to create new data privacy products to benefit Microsoft and later all our customers. There is a steady stream of new requirements for both our internal and external partners that is creating exciting opportunities to work at high scale, impact, and visibility. Reasons to join our team: Autonomy in driving major feature areas. High visibility within the company. Significant business impact due to the mission\-critical nature of the service. Cutting\-edge technologies, including Spark, Kubernetes, and .NET 7\. A collaborative and supportive work culture. Responsibilities: We are looking a Softwar Enginer 2 with a track record of success, who deliver results, and who preferably have a background in large\-scale systems. Everyone on the team owns significant areas of the system, directly contributes to the vision, direction, and implementation of new features, and are key to the success of our products. You will collaborate on your designs across our partner engineering teams and work closely with our Product Managers to design, build, and maintain a growing set of features that will serve the needs of our customers. This presents an opportunity to leverage your expertise in building and operating high\-scale distributed services in the cloud. Collaboration with stakeholders, disciplines, and architects will be key to delivering an exceptional product to our partners and customers. Embrace this significant challenge and join us in creating a remarkable impact. Responsibilities include: building and shipping production grade software or services building and operating online services and fault\-tolerant distributed systems creating and shipping V1 products using modern development practices using agile methodologies or test\-driven development (TDD) work closely with partners/customers/PM team on requirements and estimates
**Responsibilities**
 Responsibilities include: building and shipping production grade software or services building and operating online services and fault\-tolerant distributed systems creating and shipping V1 products using modern development practices using agile methodologies or test\-driven development (TDD) work closely with partners/customers/PM team on requirements and estimates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4\+ years of experience with distributed systems delivering large\-scale, secure, and resilient cloud services
* Experience building and shipping production grade software or services.
* Experience building and operating online services and fault\-tolerant distributed systems.
* Experience creating and shipping V1 products using modern development practices.
* Experience using agile methodologies or test\-driven development (TDD).
* Great curiosity and willingness to question.
* High enthusiasm, integrity, ingenuity, results\-orientation, self\-motivation, and resourcefulness in a fast\-paced environment.
* Love the next problem, the next experiment, the next partner.
* Have a deep desire to work collaboratively, solve problems with groups, find win/win solutions and celebrate successes.
* Get excited by the challenge of hard technical problems.
* Solve problems by always leading with deep passion and empathy for customers.
* Experience with Azure resources is an advantage.
* Understanding of data structures, algorithms, and distributed systems.
**Microsoft will accept applications for the role until January 2nd 2026**
 \#MSFTSecurity \#ENGJOBS \#MSEC \#PRIVACY \#SPDG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1">
      <c r="A151" t="inlineStr">
        <is>
          <t>li-4343455036</t>
        </is>
      </c>
      <c r="B151" t="inlineStr">
        <is>
          <t>Software Engineer, Discovery (Feed)</t>
        </is>
      </c>
      <c r="C151" t="inlineStr">
        <is>
          <t>Whatnot</t>
        </is>
      </c>
      <c r="D151" t="inlineStr">
        <is>
          <t>linkedin</t>
        </is>
      </c>
      <c r="E151">
        <f>HYPERLINK("https://www.linkedin.com/jobs/view/4343455036", "https://www.linkedin.com/jobs/view/4343455036")</f>
        <v/>
      </c>
      <c r="F151" t="inlineStr"/>
      <c r="G151" t="inlineStr">
        <is>
          <t>Los Angeles, CA</t>
        </is>
      </c>
      <c r="H151" t="inlineStr"/>
      <c r="I151"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 are looking for intellectually curious, highly motivated individuals to be foundational members of our Discovery Feed \&amp; Personalization team. You will partner across the company to lead our Exploration efforts to help new sellers and small categories grow and thrive.
 We are looking for a backend engineer with a track record of shipping product features at scale. You should excel at making the right tradeoffs between building it fast and building it right. You should have experience leading and delivering on cross\-functional projects, supporting multiple other engineers.
**What You'll Do**
* Ship product features to deliver high\-quality Discovery experiences for users
* Build and maintain a scalable, stable, low latency feed experience
* Build the services and infrastructure to enable efficient exploration systems to help small sellers and new categories grow
* Lead a workstream of multiple other software engineers as the individual responsible for success
* Partner closely across the machine learning, platform, and product engineering teams to utilize models to solve discovery problems
* Contribute scalable solutions across various serving stacks at the feed, search, machine learning service, and Discovery application layers.
* Define and advance our technical approach to scalable recommendation systems.
**We offer flexibility to work from home or from one of our global office hubs, and we value in\-person time for planning, problem\-solving, and connection. Team members in this role must live within commuting distance of our New York City, San Francisco, Seattle or Los Angeles hub.**
****👋 You****
 Curious about who thrives at Whatnot? We’ve found that low ego, a growth mindset, and leaning into action and high impact goes a long way here.
 As our next Software Engineer you should have 5\+ years of experience, plus:
* Bachelor’s degree in Computer Science, Statistics, Mathematics, Software Engineering, a related technical field, or equivalent work experience.
* Industry experience with a track record of applying practical methods to solve real\-world problems on consumer scale data.
* Ability to work autonomously and lead initiatives across multiple product areas and communicate findings with leadership and product teams. You can mentor others and prioritize building inclusive, supportive teams.
* Experience in discovery\-related fields (e.g. Recommendations, Content Understanding, Search, etc.).
* Expert at designing and building scalable and maintainable backend systems.
* Firm grasp of visualization tools for monitoring and logging e.g. DataDog, Grafana
* Familiarity with cloud computing platforms and managed services such as AWS Sagemaker, Lambda, Kinesis, S3, EC2, EKS/ECS, Kafka, Flink/Spark.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on both food and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$195K \- $230K</t>
        </is>
      </c>
    </row>
    <row r="152">
      <c r="A152" t="inlineStr">
        <is>
          <t>li-4311761101</t>
        </is>
      </c>
      <c r="B152" t="inlineStr">
        <is>
          <t>Sr Full Stack Java Software Engineer</t>
        </is>
      </c>
      <c r="C152" t="inlineStr">
        <is>
          <t>Equip</t>
        </is>
      </c>
      <c r="D152" t="inlineStr">
        <is>
          <t>linkedin</t>
        </is>
      </c>
      <c r="E152">
        <f>HYPERLINK("https://www.linkedin.com/jobs/view/4311761101", "https://www.linkedin.com/jobs/view/4311761101")</f>
        <v/>
      </c>
      <c r="F152">
        <f>HYPERLINK("https://jobs.ashbyhq.com/equip/b7e67aac-63ef-46ac-9f28-bdffd015b461?utm_source=LinkedIn+Posting&amp;urlHash=gyNV", "https://jobs.ashbyhq.com/equip/b7e67aac-63ef-46ac-9f28-bdffd015b461?utm_source=LinkedIn+Posting&amp;urlHash=gyNV")</f>
        <v/>
      </c>
      <c r="G152" t="inlineStr"/>
      <c r="H152" t="inlineStr"/>
      <c r="I152" t="inlineStr">
        <is>
          <t>**About Equip**
 Equip is the leading virtual, evidence\-based eating disorder treatment program on a mission to ensure that everyone with an eating disorder can access treatment that works. Created by clinical experts in the field and people with lived experience, Equip builds upon evidence\-based treatments to empower individuals to reach lasting recovery. All Equip patients receive a dedicated care team, including a therapist, dietitian, physician, and peer and family mentor. The company operates in all 50 states and is partnered with most major health insurance plans. Learn more about our strong outcomes and treatment approach at www.equip.health.
 Founded in 2019, Equip has been a fully virtual company since its inception and is proud of the highly\-engaged, passionate, and diverse Equisters that have created Equip’s culture. Recognized by Time as one of the most influential companies of 2023, along with awards from Linkedin and Lattice, we are grateful to Equipsters for building a sustainable treatment program that has served thousands of patients and families.
**About The Role**
 Equip is looking for a full\-stack Senior Software Development Engineer (SDE). The Senior SDE will be responsible for building new health care web applications and supporting existing ones in the Cloud. This role will also be responsible for supporting releases, monitoring, triaging and fixing production issues, and timely execution of projects. As a Senior SDE, you should be able to design new features, communicate clearly, work across multiple facets of the project, and help mentor less experienced developers. This role will have a strong analytic capability coupled with a passion for creating elegant solutions and a deep appreciation of systems design.
**Responsibilities**
* Write clean, scalable software following industry best practices.
* Use leading\-edge software development best practices and modern tools and libraries.
* Strong knowledge and experience in designing for and implementing solutions in the cloud (AWS).
* Follow best practices, such as automated testing, thorough PR reviews, failing fast, etc.
* Develop documentation and proposals to explain existing and proposed architectures and designs.
* Assist in planning, estimating, and scheduling development work.
* Help plan technical execution by balancing feature delivery, tech debt reduction, and maintainable \&amp; performant design.
* Mentor and inspire junior and mid\-level engineers; lead by example.
* Become an expert in your domain area and be very familiar with the other domains.
* Perform other duties as assigned.
**Required Qualifications**
* 4 year degree in software engineering, computer science, or similar field; or equivalent work experience.
* 5\+ years of software development experience with at least one full cycle implementation.
* Experience with the below technology stack:
+ Java
+ JavaScript/React.
+ Relational database
+ AWS
* Ability to write clear, maintainable, extensible and testable code.
* Experience designing and implementing web or mobile applications with a microservice back end.
* Experience in building highly scalable and performant distributed systems with high availability.
* Designs, develops, and approves end\-to\-end functionality of a product line, platform, or infrastructure.
* Experience communicating and coordinating with the engineering and product teams.
* Experience working in and contributing to an Agile environment.
* Understanding of common web protocols such as ReST, OAuth, etc.
* Flexibility to work in Eastern/Central time zones.
**Benefits**
**Time Off:**
* Flex PTO policy (3\-5 wks/year recommended) \+ 11 paid company holidays.
**Medical Benefits**
* Competitive Medical, Dental, Vision, Life, and AD\&amp;D insurance.
* Equip pays for a significant percentage of benefits premiums for individuals and families.
* Maven, a company paid reproductive and family care benefit for all employees.
* Employee Assistance Program (EAP), a company paid resource for mental health, legal services, financial support, and more!
**Other Benefits**
**Work From Home Additional Perks:**
* $50/month stipend added directly to an employee’s paycheck to cover home internet expenses.
* One\-time work from home stipend of up to $500\.
**Physical Demands**
 Work is performed 100% from home with limited travel for team meetings. This is a stationary position that requires the ability to operate standard office equipment and keyboards as well as to talk or hear by telephone. Sit or stand as needed.
 At Equip, Diversity, Equity, Inclusion and Belonging (DEIB) are woven into everything we do. At the heart of Equip’s mission is a relentless dedication to making sure that everyone with an eating disorder has access to care that works regardless of race, gender, sexuality, ability, weight, socio\-economic status, and any marginalized identity. We also strive toward our providers and corporate team reflecting that same dedication both in bringing in
 *and* 
 retaining talented employees from all backgrounds and identities. We have an Equip DEIB council, Equip For All; also referred to as EFA.
 *EFA at Equip aims to be a space driven by mutual respect, and thoughtful, effective communication strategy \- enabling full participation of members who identify as marginalized or under\-represented and allies, amplifying diverse voices, creating opportunities for advocacy and contributing to the advancement of diversity, equity, inclusion, and belonging at Equip.*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weight, and/or any other legally protected classification protected by federal, state, or local law.
 Our dedication to equitable access, which is core to our mission, extends to how we build our "village." In line with our commitment to Diversity, Equity, Inclusion, and Belonging (DEIB), we are dedicated to an accessible hiring process where all candidates feel a true sense of belonging. If you require a reasonable accommodation to complete your application, interview, or perform the essential functions of a role, we invite you to reach out to our People team at accommodations@equip.health.</t>
        </is>
      </c>
    </row>
    <row r="153">
      <c r="A153" t="inlineStr">
        <is>
          <t>li-4196125611</t>
        </is>
      </c>
      <c r="B153" t="inlineStr">
        <is>
          <t>Senior Software Engineer, Public Sector</t>
        </is>
      </c>
      <c r="C153" t="inlineStr">
        <is>
          <t>Scale AI</t>
        </is>
      </c>
      <c r="D153" t="inlineStr">
        <is>
          <t>linkedin</t>
        </is>
      </c>
      <c r="E153">
        <f>HYPERLINK("https://www.linkedin.com/jobs/view/4196125611", "https://www.linkedin.com/jobs/view/4196125611")</f>
        <v/>
      </c>
      <c r="F153" t="inlineStr"/>
      <c r="G153" t="inlineStr">
        <is>
          <t>Washington, DC</t>
        </is>
      </c>
      <c r="H153" t="inlineStr"/>
      <c r="I153" t="inlineStr">
        <is>
          <t>Scale AI is seeking highly skilled and motivated Software Engineers to join our dynamic Federal Engineering team. As a part of this team, you will play a critical role in delivering high\-impact AI\-powered mission solutions for government customers. Our scalable and high\-performance platform forms the foundation for these solutions, and your expertise will be instrumental in designing and implementing systems that can handle billions of data points with exceptional performance.
**You will:**
* Design and implement scalable backend systems for Federal customers, leveraging Scale's modern and cloud\-native AI infrastructure
* Collaborate with cross\-functional teams to define and execute the vision for backend solutions, ensuring they meet the unique needs of government agencies operating in secure environments
* Develop distributed systems, data\-intensive applications, and machine learning infrastructure to enable real impact for mission owners
* Build robust and reliable backend systems that can serve as standalone products, empowering customers to accelerate their own AI ambitions
* Participate actively in customer engagements, working closely with stakeholders to understand requirements and deliver innovative solutions
* Contribute to the platform roadmap and product strategy for Scale AI's Federal business, playing a key role in shaping the future direction of our offerings
* This role will require an active TS/SCI security clearance or the ability to obtain a security clearance.
**Ideally you'd have:**
* Full Stack Development: Proficiency in both front\-end and back\-end development, including experience with modern web development frameworks, programming languages, and databases
* Cloud\-Native Technologies: Familiarity with cloud platforms (e.g., AWS, Azure, GCP) and experience in developing and deploying applications in a cloud\-native environment. Understanding of containerization (e.g., Docker) and container orchestration (e.g., Kubernetes) is a plus
* Data Engineering: Knowledge of ETL (Extract, Transform, Load) processes and experience in building data pipelines to integrate and process diverse data sources. Understanding of data modeling, data warehousing, and data governance principles
* Machine Learning Infrastructure: Familiarity with machine learning frameworks (e.g., TensorFlow, PyTorch) and experience in designing and implementing machine learning infrastructure. Understanding of model serving, monitoring, and deployment strategies is beneficial
* Problem Solving: Strong analytical and problem\-solving skills to understand complex challenges and devise effective solutions. Ability to think critically, identify root causes, and propose innovative approaches to overcome technical obstacles
* Collaboration and Communication: Excellent interpersonal and communication skills to effectively collaborate with cross\-functional teams, stakeholders, and customers. Ability to clearly articulate technical concepts to non\-technical audiences and foster a collaborative work environment
* Adaptability and Learning Agility: Willingness to embrace new technologies, learn new skills, and adapt to evolving project requirements. Ability to quickly grasp and apply new concepts and stay up\-to\-date with emerging trends in software engineering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$216,000—$310,000 USD
 The base salary range for this full\-time position in the locations of Hawaii, Washington DC, Texas, Colorado is:
 $194,000—$279,000 USD
 The base salary range for this full\-time position in the location of St. Louis is:
 $162,000—$233,000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54">
      <c r="A154" t="inlineStr">
        <is>
          <t>li-4364438918</t>
        </is>
      </c>
      <c r="B154" t="inlineStr">
        <is>
          <t>Senior, Software Engineer</t>
        </is>
      </c>
      <c r="C154" t="inlineStr">
        <is>
          <t>Sam's Club</t>
        </is>
      </c>
      <c r="D154" t="inlineStr">
        <is>
          <t>linkedin</t>
        </is>
      </c>
      <c r="E154">
        <f>HYPERLINK("https://www.linkedin.com/jobs/view/4364438918", "https://www.linkedin.com/jobs/view/4364438918")</f>
        <v/>
      </c>
      <c r="F154">
        <f>HYPERLINK("https://click.appcast.io/t/vBYaLd23q3NGMvIlRUM_SE6KHiK-tnPOikgoHwplWviCX4jMUcMsTO7C5bJcyquH?source=LinkedIn&amp;urlHash=z7DR", "https://click.appcast.io/t/vBYaLd23q3NGMvIlRUM_SE6KHiK-tnPOikgoHwplWviCX4jMUcMsTO7C5bJcyquH?source=LinkedIn&amp;urlHash=z7DR")</f>
        <v/>
      </c>
      <c r="G154" t="inlineStr">
        <is>
          <t>Sunnyvale, CA</t>
        </is>
      </c>
      <c r="H154" t="inlineStr"/>
      <c r="I154" t="inlineStr">
        <is>
          <t>Position Summary...As a Senior, Software Engineer on the Sam's Membership team, your role will involve transforming requirements into practical solutions through coding, fostering collaboration across diverse teams, and offering strategic insights to drive innovation, mentoring and leading small teams of 2\-3 engineers.
 What you'll do...What you'll do:
* Leads and collaborates on Engineering projects; identifies short\- and long\-term solutions and timeline; reviews and implements proposed solutions; implements new architectural patterns; performs design and code reviews.
* Troubleshoots business and production issues; reviews and analyzes information; engages support teams; formulates action plan; performs root cause analysis; completes online documentation.
* Leads discovery phase of medium to large projects; partners with various teams; obtains cross\-function approvals; drives proof\-of\-concept; implements prototypes.
* Develops Innovation strategies, processes, and best practices; leads internal technical teams; partners with cross\-functional teams; communicates with decision\-makers; resolves technology differences.
* Leads and participates in complex projects; reviews project requirements; translates requirements into technical solutions; writes and develops code; conducts unit testing; collaborates with teams; troubleshoots issues; ensures on\-time delivery.
* Supports business objectives; collaborates with business partners; identifies and addresses opportunities; leads cross\-functional partnership.
* Utilizes industry research to improve technology environment; analyzes industry best practices; benchmarks industry against internal processes; defines software development standards.
* Drives execution of business plans and projects; identifies customer and operational needs; develops and communicates plans and priorities; removes barriers; measures progress and adjusts performance.
* Ensures business needs are being met; evaluates effectiveness of current plans and initiatives; solicits and applies suggestions for improving efficiency; participates in community outreach events.
 What you'll bring:
* 5\+ years of extensive software development experience building distributed systems and Micro\-Services.
* Expert level knowledge and understanding of Java Technologies, SQL/NOSQL Databases, Container Technologies.
* Ability to build products with focus on automation.
* A disciplined approach to development, code review, testing, documentation, and code structure in a team environment.
* A constant desire to improve, learn more and take things to the next level and a passion for adopting the latest features in Kubernetes, Java, and Spring Boot.
* Effectively translating requirements into project parameters while working with agility.
* Helping cross\-functional teams to solve for business problems and develop solutions that enable us to redefine a “best\-in\-class” customer experience.
* Encouraging the project teams that you oversee to work collaboratively and to aim for insight\-driven outcomes.
**About Walmart General/Not Function Specific**
 Sam Walton opened the first Sam's Club in 1983 to meet a growing need among customers who wanted to buy merchandise in bulk. Since then, Sam's Club has grown rapidly, opening more than 600 clubs in the U.S. and 100 clubs internationally. By offering affordable, wholesale merchandise to members, Sam's Club helps make saving simple for families and small business owners. Sam's Club employs about 110,000 associates in the U.S. The average club is 134,000 square feet and offers bulk groceries and general merchandise. Most clubs also have specialty services, such as a pharmacy, an optical department, a photo center, or a tire and battery center.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**Benefits**
 For information about benefits and eligibility, see One.Walmart.
 The annual salary range for this position is $117,000\.00 \- $234,000\.00 Additional compensation includes annual or quarterly performance bonuses. Additional compensation for certain positions may also include Regional Pay Zone (RPZ) (based on location).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5">
      <c r="A155" t="inlineStr">
        <is>
          <t>li-4329385765</t>
        </is>
      </c>
      <c r="B155" t="inlineStr">
        <is>
          <t>Software Engineer – Satellite Modeling and Tasking</t>
        </is>
      </c>
      <c r="C155" t="inlineStr">
        <is>
          <t>Array Labs</t>
        </is>
      </c>
      <c r="D155" t="inlineStr">
        <is>
          <t>linkedin</t>
        </is>
      </c>
      <c r="E155">
        <f>HYPERLINK("https://www.linkedin.com/jobs/view/4329385765", "https://www.linkedin.com/jobs/view/4329385765")</f>
        <v/>
      </c>
      <c r="F155" t="inlineStr"/>
      <c r="G155" t="inlineStr">
        <is>
          <t>Palo Alto, CA</t>
        </is>
      </c>
      <c r="H155" t="inlineStr"/>
      <c r="I155" t="inlineStr">
        <is>
          <t>**Array Labs builds advanced radar systems to help humanity understand and respond to changes across the physical world. 
 We’re launching a coordinated fleet of radar satellites to create a high\-resolution 3D map of the Earth – updated in real time – enabling faster, smarter decision\-making for government and commercial organizations supporting disaster response, infrastructure resilience, and mission\-critical geopolitical intelligence.
 We design and build our satellites end\-to\-end, producing the world’s most advanced earth observation satellites. Our fleet will deliver unprecedented levels of accuracy, coverage, and responsiveness to power critical insights precisely where they’re needed most.
**Responsibilities:** 
* Responsible for building and implementing automation solutions for spacecraft and ground station for operating swarms of coordinated imaging satellites
* Implement controllers developed by GNC engineers to plan and execute satellite maneuvers, including orbit corrections and station\-keeping, to optimize satellite positions and performance.
* Develop and maintain mission planning software that integrates mission design, operational concepts, and flight hardware requirements
* Design and implement systems to manage asynchronous data streams, integrating real\-time information to generate and upload new decisions and schedules
* Design architecture concepts considering spacecraft coordination, payload and system budget capabilities, data collection requirements, autonomy, and mission operations
* Implement automation and algorithms for precise orbit determination of Array Labs and GNSS satellites
* Evolve and implement models to characterize vehicles and satellite systems propulsion, power, precision, navigation, timing, and tracking requirements
* Optimize schedules to maximize imagery opportunities based on imaging priorities and system capabilities
**Basic Qualifications:** 
* Bachelor’s degree in engineering, computer science or a related field, with 3\+ years of experience
* At least two of the preferred skill and experiences listed
* Experience developing autonomous systems and integrating them into larger operational frameworks
* Understanding of how to create, configure, and manage Docker containers
* Experience with continuous integration systems and automated test execution pipelines (Gitlab preferred)
* Strong programming skills in languages such as Python, C\+\+, or Rust
* Experience with cloud platforms (AWS, GCP, Azure) and containerization technologies (e.g., Docker, Kubernetes)
* Familiarity with database systems and CRUD operations in database management, preferably PostgreSQL and TimescaleDB
* Familiarity with RESTful API design and implementation
* Experience with physics\-based software packages and/or model\-based digital engineering tools
**Preferred Skills and Experience:** 
* Knowledge of precision orbit determination methods
* Familiarity with FreeFlyer, STK GMAT, and/or custom\-developed equivalent
* Familiarity with satellite dynamics, including orbit determination, attitude control systems, and station\-keeping maneuvers
* Experience with flight software and embedded systems
* Experience setting up automated hardware in the loop (HIL) test benches
* Familiarity with satellite mission operations and/or Ground Station as a Service providers
* Experience with geospatial, remote sensing, 3D data, and/or digital signal processing techniques (e.g. SAR and optical satellite imagery, LiDAR point clouds)
**ITAR Requirements:**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**Equal Opportunity Employer** 
* Array Labs is an Equal Opportunity Employer. Employment decisions are made on the basis of merit, competence, and job qualifications and will not be influenced in any manner by gender, color, race, ethnicity, national origin, sexual orientation, religion, age, gender identity, veteran status, disability status, marital status, mental or physical disability or any other legally protected status
**Interview Process
 We will conduct three interviews via Zoom; the typical process takes around 2\-4 weeks to complete from start to finish.
**Hiring and Compensation Strategy
 Our hiring and compensation strategy is simple:
 1\) find uncommonly good people
 2\) pay them uncommonly well
 You can anticipate competitive pay, with high flexibility between salary and equity\-based compensation.
**Why you should join Array Labs
 Array Labs is launching a constellation of satellites to create the first high\-resolution, real\-time, three\-dimensional model of Earth. Our next\-generation satellite technology will offer image quality 60x greater than traditional techniques, profoundly expanding humanity’s ability to understand and respond to events on a global scale.
 In forging an affordable, accessible, accurate representation of Earth, our work has the potential to transform the face of dozens of fields, including autonomy, telecommunications, disaster relief, gaming, climate science, defense and construction.********</t>
        </is>
      </c>
    </row>
    <row r="156">
      <c r="A156" t="inlineStr">
        <is>
          <t>li-4382611045</t>
        </is>
      </c>
      <c r="B156" t="inlineStr">
        <is>
          <t>Software Engineer, AI</t>
        </is>
      </c>
      <c r="C156" t="inlineStr">
        <is>
          <t>Wiraa</t>
        </is>
      </c>
      <c r="D156" t="inlineStr">
        <is>
          <t>linkedin</t>
        </is>
      </c>
      <c r="E156">
        <f>HYPERLINK("https://www.linkedin.com/jobs/view/4382611045", "https://www.linkedin.com/jobs/view/4382611045")</f>
        <v/>
      </c>
      <c r="F156">
        <f>HYPERLINK("https://www.wiraa.com/job-description/usC6EAFE34A383157FEC0EDE87996B9933?source=Linkedin&amp;urlHash=lSN-", "https://www.wiraa.com/job-description/usC6EAFE34A383157FEC0EDE87996B9933?source=Linkedin&amp;urlHash=lSN-")</f>
        <v/>
      </c>
      <c r="G156" t="inlineStr"/>
      <c r="H156" t="inlineStr"/>
      <c r="I156" t="inlineStr">
        <is>
          <t>**About The Company**
 Gusto is a leading provider of cloud\-based payroll, benefits, and HR management solutions dedicated to empowering small businesses across the United States. With a mission to grow the small business economy, Gusto simplifies complex administrative processes such as payroll, health insurance, 401(k) plans, and HR compliance, enabling entrepreneurs to focus on their craft and serve their customers effectively. Headquartered with teams in Denver, San Francisco, and New York, Gusto proudly supports over 400,000 small businesses, fostering a diverse and inclusive workplace that reflects and celebrates its customer base. The company's innovative approach combines technology, compassion, and expertise to create a seamless experience for small business owners and their employees.
**About The Role**
 We are seeking a highly skilled Staff Software Engineer to join the Ai Tooling Team within the Developer Productivity division at Gusto. In this pivotal role, you will be responsible for architecting and scaling the Ai platform that fundamentally enhances how Gusto develops software. Operating at the intersection of platform engineering and applied artificial intelligence, you will lead efforts to embed intelligent automation into the development lifecycle, creating tools that empower engineers to work more efficiently and effectively. Your work will involve designing and implementing internal AI workflows, automating complex tasks such as code reviews and refactoring, stabilizing local development environments, and optimizing CI/CD pipelines. By harnessing Large Language Models and cutting\-edge AI technologies, you will help eliminate developer friction, accelerate engineering velocity, and foster a culture of innovation within the organization.
 The Ai Developer Tools team views AI as a transformative leap in software craftsmanship. Our goal is to equip every engineer at Gusto with "superpower" tools that understand our codebase and handle repetitive toil, allowing our developers to concentrate on creative problem\-solving within a safe and well\-guarded environment. As a key member of this team, you will collaborate closely with cross\-functional partners, evangelize best practices, and stay at the forefront of emerging AI research and frameworks to ensure our tooling remains world\-class.
**Qualifications**
* 8\+ years of professional software development experience, demonstrating a strong understanding of system architecture and production\-grade code delivery.
* Deep familiarity with AI\-native development, including prompting, fine\-tuning, and retrieval\-augmented generation (RAG) systems.
* Proficiency with Rails, Ruby, and developer tooling tailored for large engineering teams.
* Strong architectural thinking and the ability to translate complex AI concepts into practical, scalable solutions.
* Experience working closely with cross\-functional teams, understanding their pain points, and delivering impactful tools.
* Excellent communication skills, capable of explaining technical AI concepts to diverse audiences.
* Curiosity and enthusiasm for exploring emerging AI technologies, frameworks, and research to inform tooling and best practices.
* Ability to operate as both a collaborator and a strategic thinker, balancing immediate needs with long\-term vision.
**Responsibilities**
* Design and develop internal AI workflows and platforms that seamlessly integrate Large Language Models into the developer experience, including automated pull request reviews and autonomous agents.
* Collaborate with engineering teams across the organization to identify pain points and develop AI\-powered solutions that improve developer productivity and reduce toil.
* Partner with infrastructure and platform teams to ensure AI tools are scalable, secure, and maintainable in production environments.
* Stay current with advancements in AI research, frameworks, and best practices, and incorporate these insights into internal tooling and workflows.
* Identify bottlenecks within the development lifecycle and leverage AI to streamline processes from environment setup to automated testing and deployment.
* Monitor and maintain the health of developer tools, diagnosing and resolving issues related to performance, networking, and integration.
* Advocate for AI\-driven innovation within the engineering organization, evangelizing new approaches and fostering a culture of experimentation.
**Benefits**
* Competitive salary package, with targeted compensation between $190,000 to $250,000 annually depending on location and experience.
* Stock options/equity grants to align your success with the company's growth.
* Comprehensive health insurance plans covering medical, dental, and vision.
* Generous paid time off and holiday policies to support work\-life balance.
* Flexible remote work arrangements and supportive work environment.
* Professional development opportunities, including access to cutting\-edge AI research and training.
* A collaborative and inclusive workplace culture that values innovation and diversity.
 Equal Opportunity
 Gusto is committed to creating a diverse environment and is proud to be an equal opportunity employer. We do not discriminate based on race, religion, color, national origin, gender, sexual orientation, age, disability, or any other protected status. We believe that a diverse team fosters innovation and better solutions, and we welcome applicants from all backgrounds to join us in our mission to grow the small business economy.</t>
        </is>
      </c>
    </row>
    <row r="157">
      <c r="A157" t="inlineStr">
        <is>
          <t>li-4372945684</t>
        </is>
      </c>
      <c r="B157" t="inlineStr">
        <is>
          <t>Senior Full Stack Software Engineer</t>
        </is>
      </c>
      <c r="C157" t="inlineStr">
        <is>
          <t>SoFi</t>
        </is>
      </c>
      <c r="D157" t="inlineStr">
        <is>
          <t>linkedin</t>
        </is>
      </c>
      <c r="E157">
        <f>HYPERLINK("https://www.linkedin.com/jobs/view/4372945684", "https://www.linkedin.com/jobs/view/4372945684")</f>
        <v/>
      </c>
      <c r="F157" t="inlineStr"/>
      <c r="G157" t="inlineStr">
        <is>
          <t>San Francisco, CA</t>
        </is>
      </c>
      <c r="H157" t="inlineStr"/>
      <c r="I15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Software Engineer you’ll play a critical, hands\-on role in building, deploying, and optimizing scalable, enterprise\-class, production\-grade, full\-stack custom applications. The ideal candidate has 5\+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for advanced AI workloads).
* Manage deployment pipelines and infrastructure as code using ArgoCD, GitLab CI/CD, and AWS best practices.
* Collaborate with the AI engineers on the team to implement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5\+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58">
      <c r="A158" t="inlineStr">
        <is>
          <t>li-4372948578</t>
        </is>
      </c>
      <c r="B158" t="inlineStr">
        <is>
          <t>Senior Full Stack Software Engineer</t>
        </is>
      </c>
      <c r="C158" t="inlineStr">
        <is>
          <t>SoFi</t>
        </is>
      </c>
      <c r="D158" t="inlineStr">
        <is>
          <t>linkedin</t>
        </is>
      </c>
      <c r="E158">
        <f>HYPERLINK("https://www.linkedin.com/jobs/view/4372948578", "https://www.linkedin.com/jobs/view/4372948578")</f>
        <v/>
      </c>
      <c r="F158" t="inlineStr"/>
      <c r="G158" t="inlineStr">
        <is>
          <t>Seattle, WA</t>
        </is>
      </c>
      <c r="H158" t="inlineStr"/>
      <c r="I15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Software Engineer you’ll play a critical, hands\-on role in building, deploying, and optimizing scalable, enterprise\-class, production\-grade, full\-stack custom applications. The ideal candidate has 5\+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for advanced AI workloads).
* Manage deployment pipelines and infrastructure as code using ArgoCD, GitLab CI/CD, and AWS best practices.
* Collaborate with the AI engineers on the team to implement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5\+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59">
      <c r="A159" t="inlineStr">
        <is>
          <t>li-4382390852</t>
        </is>
      </c>
      <c r="B159" t="inlineStr">
        <is>
          <t>Software Engineer (Java, API)</t>
        </is>
      </c>
      <c r="C159" t="inlineStr">
        <is>
          <t>Wiraa</t>
        </is>
      </c>
      <c r="D159" t="inlineStr">
        <is>
          <t>linkedin</t>
        </is>
      </c>
      <c r="E159">
        <f>HYPERLINK("https://www.linkedin.com/jobs/view/4382390852", "https://www.linkedin.com/jobs/view/4382390852")</f>
        <v/>
      </c>
      <c r="F159" t="inlineStr"/>
      <c r="G159" t="inlineStr"/>
      <c r="H159" t="inlineStr"/>
      <c r="I159" t="inlineStr">
        <is>
          <t>**About The Company**
 Circle is a forward\-thinking financial technology company dedicated to creating an inclusive and transparent financial future. With a focus on visibility and stability, Circle operates in some of the world's most robust jurisdictions, striving to deliver innovative blockchain and payment solutions. The organization values high integrity, a future\-forward approach, stakeholder engagement, mindfulness, and a relentless pursuit of excellence. Circle fosters a flexible work environment that encourages new ideas, collaboration, and shared ownership among its employees. As the company continues to grow, it remains committed to building scalable, secure, and reliable systems that empower users and developers worldwide.
**About The Role**
 The Staff Software Engineer at Circle plays a critical role in extending the company's in\-house blockchain systems infrastructure to support the tokenization of assets globally. This position involves analyzing requirements, enhancing existing systems, and developing scalable microservices responsible for secure APIs that facilitate value transfer across various blockchain protocols and traditional banking systems. The engineer will collaborate closely with Product and Engineering teams to design, test, and refine Circle's features, ensuring they meet high standards of quality and security. Responsibilities include troubleshooting system issues, building developer\-friendly APIs, and integrating platform services with leading banks and financial technologies. The ideal candidate will bring a strong technical background, leadership experience, and a passion for innovative financial solutions to contribute to Circle's mission of transforming the financial landscape.
**Qualifications**
* Minimum of 7 years professional experience in software development using object\-oriented languages such as Go or Java
* Bachelor’s degree in Computer Science or a closely related field (or foreign equivalent)
* Proven technical leadership experience managing teams of more than 4 members in architecture and system design
* Expertise in API design, payments processing, or blockchain technology
* Deep understanding of scalable software architecture, deployment, and maintenance
* Experience with Web3, blockchain, and smart contract business logic
* Strong knowledge of RESTful API design principles
* Hands\-on experience with cloud services such as AWS, Google Cloud, or Microsoft Azure
* Familiarity with container orchestration systems like Kubernetes, EKS, or ECS
* Proficiency with SQL databases and schema design
* Commitment to coding standards, high test coverage, and continuous delivery practices
* Excellent communication skills, capable of collaborating with remote teams and effectively presenting ideas
* Self\-motivated with a curious mindset, capable of working independently in a fast\-paced environment
**Responsibilities**
* Design, develop, and extend Circle’s blockchain infrastructure and microservices to support asset tokenization and value transfer
* Analyze system requirements, identify issues, and implement improvements to enhance system performance and security
* Build and maintain scalable, reliable APIs that facilitate secure interactions across blockchain and banking protocols
* Collaborate with cross\-functional teams to design, test, and document system features, procedures, and quality standards
* Troubleshoot and resolve system malfunctions to ensure continuous operation and reliability
* Develop developer\-friendly APIs and SDKs to simplify integration with complex payment and blockchain systems
* Integrate platform services with leading banks and financial technology providers to expand Circle’s ecosystem
* Consult with management to align system principles with organizational goals and compliance standards
* Build infrastructure components involving data sources, messaging systems, and APIs to deliver exceptional payment experiences
* Participate in code reviews, testing, and deployment processes to uphold high standards of quality and maintainability
* Stay updated with industry trends and incorporate best practices into system design and development
**Benefits**
* Competitive base pay ranging from $172,500 to $227,500, commensurate with experience and qualifications
* Comprehensive health, dental, and vision insurance plans
* Flexible work environment promoting work\-life balance and remote work options
* Opportunities for professional growth and development within a pioneering organization
* Inclusive and diverse workplace culture that values innovation and collaboration
* Participation in company\-sponsored events, training, and wellness programs
* Retirement savings plans and other financial benefits
 Equal Opportunity
 Circle is an equal opportunity employer. We do not discriminate based on race, religion, color, national origin, gender, sexual orientation, age, marital status, veteran status, disability, or any other protected status as required by applicable law. We are committed to fostering an inclusive environment where all employees can thrive. Additionally, Circle participates in the E\-Verify Program in certain locations, as mandated by law. We respect your privacy and will handle all requests with confidentiality and care.</t>
        </is>
      </c>
    </row>
    <row r="160">
      <c r="A160" t="inlineStr">
        <is>
          <t>li-4343268486</t>
        </is>
      </c>
      <c r="B160" t="inlineStr">
        <is>
          <t>Senior Software Engineer</t>
        </is>
      </c>
      <c r="C160" t="inlineStr">
        <is>
          <t>Integral Ad Science</t>
        </is>
      </c>
      <c r="D160" t="inlineStr">
        <is>
          <t>linkedin</t>
        </is>
      </c>
      <c r="E160">
        <f>HYPERLINK("https://www.linkedin.com/jobs/view/4343268486", "https://www.linkedin.com/jobs/view/4343268486")</f>
        <v/>
      </c>
      <c r="F160">
        <f>HYPERLINK("https://integralads.wd1.myworkdayjobs.com/en-US/IAScareers/job/US\u002d\u002d-New-York-NY/Senior-Software-Engineer_R-100970?source=LinkedIn&amp;urlHash=l-xP", "https://integralads.wd1.myworkdayjobs.com/en-US/IAScareers/job/US\u002d\u002d-New-York-NY/Senior-Software-Engineer_R-100970?source=LinkedIn&amp;urlHash=l-xP")</f>
        <v/>
      </c>
      <c r="G160" t="inlineStr">
        <is>
          <t>New York, NY</t>
        </is>
      </c>
      <c r="H160" t="inlineStr"/>
      <c r="I160" t="inlineStr">
        <is>
          <t>**Job Description**
 As a
 **Senior Software Engineer** 
 , you will make a solid contribution in software design, development, writing test cases, QA, documentation, fixing software defects. You will be working with cutting edge cloud technologies, building robust, scalable, high performance software solutions which help our customers to launch campaigns, activate tags, ads verification and optimizations.
 The ideal candidate will have strong expertise in
 **Java, (backend), Spring Boot,** 
 JPA, relational database, big data warehouse, AWS services, enjoys working in a collaborative and agile environment, and brings innovative solutions to complex problems with a desire to improve the status quo.
**What You’ll Do**
* Design, build and integrate Java micro services which talks to React front end and MySQL database.
* Hands\-on development, code reviews, testing, deployment, and documentation.
* Fix software bugs and respond to incident escalated to our team
* Collaborate with other engineers in the team to deliver product features on time, elevate the team's coding standard, and promote best practices through thorough code and design reviews and improved processes
* Partner with the Product team and other stakeholders across the company to understand product requirements, gather business and technical requirements from broadcaster clients, and research and develop solutions, including API development
* Automate cloud infrastructure, services, and observability
* Develop CI/CD pipelines and testing automation
**Who You Are And What You Have**
* Bachelor's or Master's degree in Computer Science, Computer Engineering, or a related STEM field.
* 9\+ years of experience in backend development.
* Proficiency in Java, Spring, Spring Boot and JPA.
* Extensive experience with relational DB, e.g., MySQL or PostgreSQL.
* Advanced understanding of SQL, data model design, dimensional modeling, database performance troubleshooting and improvement.
* Have a sense of security, both authentication and authorization when design and build API
* Good understanding of RESTful API and gRPC design and implementation.
* Familiarity with cloud platforms (e.g., AWS).
+ Experienced in building and deploying scalable backend systems on AWS using services like EC2, RDS, S3, SQS, and EKS.
+ Familiar with monitoring and log analysis using Grafana for observability and performance tuning.
* Good knowledge of git, Jenkins and CI/CD
* Excellent problem\-solving skills and attention to detail.
* Strong verbal and written communication skills and the ability to work effectively in a team environment.
**What Puts You Over The Top**
* Prior tech lead experience
* Experience with system design and architecture
* Superior problem solving, and the capability to explain a complex problem clearly to non technical people
* Knowledge with Databricks
* Experience in AdTech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New York, NY
**Primary Location Base Pay Range:**
 $108,500\.00 \- $186,000\.00 Annual
**Additional Locations:**
 US \- Chicago, IL
**Additional Locations Pay Range:**
 103,600\.00 \- 177,600\.00 USD Annual
**About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is>
      </c>
    </row>
    <row r="161">
      <c r="A161" t="inlineStr">
        <is>
          <t>li-4343474503</t>
        </is>
      </c>
      <c r="B161" t="inlineStr">
        <is>
          <t>Senior Software Engineer, Full Stack</t>
        </is>
      </c>
      <c r="C161" t="inlineStr">
        <is>
          <t>SentiLink</t>
        </is>
      </c>
      <c r="D161" t="inlineStr">
        <is>
          <t>linkedin</t>
        </is>
      </c>
      <c r="E161">
        <f>HYPERLINK("https://www.linkedin.com/jobs/view/4343474503", "https://www.linkedin.com/jobs/view/4343474503")</f>
        <v/>
      </c>
      <c r="F161" t="inlineStr"/>
      <c r="G161" t="inlineStr">
        <is>
          <t>New York, NY</t>
        </is>
      </c>
      <c r="H161" t="inlineStr"/>
      <c r="I161"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Senior Software Engineer, Full Stack you will be responsible for the development and maintenance of our web application and platform that is used for Fraud analysis. You will be working closely with Product \&amp; Design, Solutions Engineering, Data Science, Infrastructure and the Data Platform teams to build new products and enhance our existing suite of products.
 This is a remote, US\-based role.
**Technologies**
 React, Golang, Python, PostgreSQL (RDS), Docker, AWS technologies (Lambda, Cognito and other standard technologies)
**Responsibilities**
* Code, test, debug, document, and ship and maintain software applications using established coding standards and methodologies
* Designing and building out API’s that will be consumed by the UI to surface application data.
* Partner with product management to drive agile delivery of both existing and new products based on project requirements, UX design, and industry best practices
* Ensure new software meets quality standards by writing unit and end\-to\-end automated tests
* Work with product, data, and other stakeholders to analyze usage and product metrics to inform key strategic decisions
* Troubleshoot, debug, resolve product issues as they arise
* Work cross functionally to resolve complex partner problems
* Ensure platform and services meet SLA requirements; on call rotation for production issues, along with the rest of engineering
**Requirements**
* 6\+ years of software development experience building enterprise or consumer facing products
* Experience with building API based products using python, golang or similar technologies
* Experience with modern front\-end JavaScript frameworks such as React or Angular
* Experience with RDBMS (e.g. postgres) and ability to write efficient queries with optimal structures is a big plus
* Experience with Docker and AWS technologies is a plus
* Excellent analytical and problem solving skills, interpersonal skills and a sense of humor (enjoy the journey)
* Experience working in a scrum / Agile development environment
* Familiarity working in Financial Services is a big plus
* Candidates must be legally authorized to work in the United States and must live in the United States
**Compensation**
* $180,000/year \- $220,000/year \+ equity \+ benefits
 Note: This salary range may be inclusive of several career levels, and the actual base salary within that range will be determined by several components including but not limited to the individual's experience, skills, and qualifications.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162">
      <c r="A162" t="inlineStr">
        <is>
          <t>li-4382385461</t>
        </is>
      </c>
      <c r="B162" t="inlineStr">
        <is>
          <t>Software Engineer II</t>
        </is>
      </c>
      <c r="C162" t="inlineStr">
        <is>
          <t>Microsoft</t>
        </is>
      </c>
      <c r="D162" t="inlineStr">
        <is>
          <t>linkedin</t>
        </is>
      </c>
      <c r="E162">
        <f>HYPERLINK("https://www.linkedin.com/jobs/view/4382385461", "https://www.linkedin.com/jobs/view/4382385461")</f>
        <v/>
      </c>
      <c r="F162">
        <f>HYPERLINK("https://apply.careers.microsoft.com/careers/job/1970393556752108?utm_source=linkedin&amp;domain=microsoft.com&amp;src=LinkedIn&amp;urlHash=Clk5", "https://apply.careers.microsoft.com/careers/job/1970393556752108?utm_source=linkedin&amp;domain=microsoft.com&amp;src=LinkedIn&amp;urlHash=Clk5")</f>
        <v/>
      </c>
      <c r="G162" t="inlineStr">
        <is>
          <t>Redmond, WA</t>
        </is>
      </c>
      <c r="H162" t="inlineStr"/>
      <c r="I162" t="inlineStr">
        <is>
          <t>**Overview**
 Dynamics 365 is Microsoft’s suite of enterprise software that powers many of the largest businesses in the world. The Customer Experience Applications Team delivers Dynamics 365 Contact Center, an AI\-first solution that lets our customers run intelligent and highly scalable contact centers. We are building the next generation of our applications running on Azure that pull together Dynamics 365, Office 365 and a number of other Microsoft cloud services to deliver high value, complete, and predictive application scenarios across all devices and form factors.
 D365 Contact Center is a robust application that extends the power of Customer Relationship Management (CRM) like Dynamics 365 Customer Service to enable organizations to instantly connect and engage with their customers via channels like Live Chat, Voice, and SMS.
 As a
 **Software Engineer II** 
 in the Microsoft Dynamics Customer Experience Applications team, you will contribute to the design and implementation of intelligent solutions within Dynamics 365 by applying both software engineering and AI skills. You’ll work closely with senior engineers, business stakeholders, and partners to help build scalable, production\-ready systems that leverage AI to address real\-world business challenges.
 This role is expected to demonstrate strong software engineering fundamentals—including coding, testing, and deployment—while integrating and optimizing AI models and frameworks. The position contributes to delivering reliable, impactful, and innovative solutions, with mentorship and guidance from more senior team members.
 We innovate quickly and collaborate closely with our partners and customers in a very agile environment. If the opportunity to collaborate with a diverse engineering team, on enabling end\-to\-end business scenarios using cutting\-edge AI first technologies and to solve problems for large scale 24x7 business SaaS applications excite you, we would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II with research focus on the Microsoft Dynamics Customer Experience Applications team, this role applies both software engineering and AI expertise to build intelligent, scalable solutions that power Dynamics 365 services used globally. Collaboration with crossfunctional teams supports the delivery of highimpact features aligned with enterprise standards and cloudscale requirements. Responsibilities include:
* Developing highly usable, scalable application capabilities, integrating AI models and enhancing existing features to meet evolving customer needs.
* Building and debuging production\-grade code in distributed systems
* Translating business requirements into AI solutions, collaborating with data scientists, product managers, and engineering teams to ensure alignment and impact.
* Optimizing AI model performance and reliability in production environments, including retraining, evaluation, and continuous monitoring.
* Owning deployment, quality and operation of AI systems, including automated testing, CI/CD pipelines, deployment, and monitoring with strong MLOps and DevOps practices.
* Troubleshooting live site issues as part of both product development and live site support rotations, ensuring rapid resolution and learning.
* Ensuring high reliability and performance of applications and services through intelligent monitoring, alerting, and proactive failover strategies.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customers success, zero trust security and compliance.
* Experience with GenAI, LLMs, or agentic systems.
 \#BICJOBS
 \#CXAjobs
 \#CESjobs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3">
      <c r="A163" t="inlineStr">
        <is>
          <t>li-4332720460</t>
        </is>
      </c>
      <c r="B163" t="inlineStr">
        <is>
          <t>Senior Software Engineer, GenAI</t>
        </is>
      </c>
      <c r="C163" t="inlineStr">
        <is>
          <t>Scale AI</t>
        </is>
      </c>
      <c r="D163" t="inlineStr">
        <is>
          <t>linkedin</t>
        </is>
      </c>
      <c r="E163">
        <f>HYPERLINK("https://www.linkedin.com/jobs/view/4332720460", "https://www.linkedin.com/jobs/view/4332720460")</f>
        <v/>
      </c>
      <c r="F163">
        <f>HYPERLINK("https://job-boards.greenhouse.io/scaleai/jobs/4591298005?gh_src=acad35425us&amp;urlHash=71pd", "https://job-boards.greenhouse.io/scaleai/jobs/4591298005?gh_src=acad35425us&amp;urlHash=71pd")</f>
        <v/>
      </c>
      <c r="G163" t="inlineStr"/>
      <c r="H163" t="inlineStr"/>
      <c r="I163" t="inlineStr">
        <is>
          <t>**About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**About Data Engine**
 Our Generative AI Data Engine powers the world’s most advanced LLMs and generative models through world\-class RLHF (Reinforcement Learning with Human Feedback), human data generation, model evaluation, safety, and alignment. The data we are producing is some of the most important work for how humanity will interact with AI.
**Our Approach**
 As part of the interview process, you’ll be considered for opportunities across several teams within the GenAI Engineering organization, based on your interests, expertise, and business needs. Potential team placements include Allocation, Growth, Frontier Data, Trust \&amp; Safety, Pay, Operator, or Tasking Experience. Together, these teams power Scale’s AI data operations \- from building high\-impact datasets that push the boundaries of LLM capabilities, to optimizing contributor onboarding and incentives, to safeguarding data integrity through advanced trust, safety, and security measures. They work at the intersection of ML, operations, and analytics to ensure we deliver the highest\-quality data at scale.
**Responsibilities:**
* Design, build, and maintain robust, scalable systems across the full stack, including front\-end, back\-end, and infrastructure layers
* Implement high\-impact features using modern technologies such as TypeScript, React, Node.js, MongoDB, Elasticsearch, and Temporal
* Collaborate closely with internal operators (your users are your neighbors) to identify bottlenecks and ship fast, pragmatic solutions
* Own core systems critical to our contributor platform, with direct impact on Scale’s GenAI data pipeline and business outcomes
* Architect and scale infrastructure capable of handling millions of tasks per week with high reliability and low latency
* Partner cross\-functionally with ML teams, Forward Deployed Engineers, and Product to ensure data quality and operational excellence
* Contribute to a strong engineering culture while setting best practices for teammates through mentorship, code reviews, and process improvements
**Requirements:**
* 5\+ years of software engineering experience, ideally in high\-growth, product\-focused environments
* Proven track record of shipping production systems at scale
* Drive reliability and performance across critical infrastructure systems, ensuring our platforms scale predictably and operate with high availability.
* Strong technical depth in one or more areas: front\-end frameworks, distributed systems, data infrastructure, or developer tooling
* Experience working across the stack, ideally with React, TypeScript, Node.js, Python, MongoDB, Elasticsearch, and/or Temporal
* Strong product sense and ability to translate ambiguous problems into technical solutions
* Comfortable working in a fast\-paced, high\-ownership environment with a bias toward execution
* Excited to join a dynamic hybrid team based in San Francisco or New York City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64">
      <c r="A164" t="inlineStr">
        <is>
          <t>li-4382380479</t>
        </is>
      </c>
      <c r="B164" t="inlineStr">
        <is>
          <t>Backend Engineer</t>
        </is>
      </c>
      <c r="C164" t="inlineStr">
        <is>
          <t>Get Offers</t>
        </is>
      </c>
      <c r="D164" t="inlineStr">
        <is>
          <t>linkedin</t>
        </is>
      </c>
      <c r="E164">
        <f>HYPERLINK("https://www.linkedin.com/jobs/view/4382380479", "https://www.linkedin.com/jobs/view/4382380479")</f>
        <v/>
      </c>
      <c r="F164" t="inlineStr"/>
      <c r="G164" t="inlineStr"/>
      <c r="H164" t="inlineStr"/>
      <c r="I164" t="inlineStr">
        <is>
          <t>* **Title:** 
 Backend Engineer
* **Engagement:** 
 Hourly contract (independent contractor)
* **Location:** 
 Remote
* **RATE:** 
 USD 70\-150/Hour
**Overview** 
 We are expanding our Engineering Talent Network on behalf of one of our clients and are seeking experienced Backend Engineers interested in flexible, high\-impact opportunities.
 This is an ongoing opportunity to be matched with companies actively hiring for Backend Engineering roles across a range of industries and technical environments. Engagement types may include full\-time, part\-time, or project\-based work depending on client needs and your availability.
**What You’ll Gain** 
* Access to companies actively hiring Backend Engineers
* Flexible work arrangements aligned with your availability
* Competitive compensation based on experience and scope
* AI\-driven opportunity matching that connects you with relevant roles
**What We’re Looking For** 
* Professional experience in backend development
* Strong background in API development and microservices architecture
* Experience with database design, architecture, and performance optimization
* Familiarity with distributed systems and scalable backend infrastructure
* Strong communication skills and ability to collaborate effectively in remote teams
* Ability to work independently in a fully remote environment
**What to Expect** 
 This is an open and ongoing opportunity. After completing the initial AI\-based interview process, you will become eligible for relevant role matches within the network.
 Applications are reviewed on a rolling basis, and opportunities are surfaced based on alignment with current hiring demand.
**Contract and Payment Terms** 
* Engagement as an independent contractor
* Fully remote with flexible scheduling
* Projects may be extended, shortened, or concluded based on business needs and performance
* No access to confidential or proprietary information from any employer, client, or institution is required
* Weekly payments via Stripe or Wise based on approved services rendered
* At this time, we are unable to support H1\-B or STEM OPT candidates
**Equal Opportunity** 
 We are committed to equal employment opportunity and consider all qualified applicants without regard to legally protected characteristics. Reasonable accommodations are available upon request.
**APPLY NOW !**</t>
        </is>
      </c>
    </row>
    <row r="165">
      <c r="A165" t="inlineStr">
        <is>
          <t>li-4382396159</t>
        </is>
      </c>
      <c r="B165" t="inlineStr">
        <is>
          <t>Full-Stack Software Engineer</t>
        </is>
      </c>
      <c r="C165" t="inlineStr">
        <is>
          <t>Robert Half</t>
        </is>
      </c>
      <c r="D165" t="inlineStr">
        <is>
          <t>linkedin</t>
        </is>
      </c>
      <c r="E165">
        <f>HYPERLINK("https://www.linkedin.com/jobs/view/4382396159", "https://www.linkedin.com/jobs/view/4382396159")</f>
        <v/>
      </c>
      <c r="F165" t="inlineStr"/>
      <c r="G165" t="inlineStr">
        <is>
          <t>Mahwah, NJ</t>
        </is>
      </c>
      <c r="H165" t="inlineStr"/>
      <c r="I165" t="inlineStr">
        <is>
          <t>**Job Title:** 
 Full\-Stack Software Developer
**Location:** 
 Bergen County, New Jersey (Hybrid or Onsite Options Available)
 We are seeking a skilled
 **Full\-Stack Software Developer** 
 to help build and maintain high\-performance web applications across both backend systems and user\-facing interfaces. The ideal candidate will have a strong technical foundation, a proactive mindset, and a willingness to take ownership of projects from concept through deployment.
 Responsibilities
* Design, develop, and maintain full\-stack web applications using
 **ASP.NET, .NET Core, C\#, SQL, and Entity Framework**
* Develop and maintain
 **RESTful APIs** 
 and backend services that support internal and external applications
* Build and enhance responsive front\-end interfaces using
 **Angular and NGRX**
* Integrate front\-end components with backend APIs and services to deliver seamless user experiences
* Collaborate with cross\-functional teams to define requirements, system architecture, and technical solutions
* Write clean, maintainable, and well\-documented code across both front\-end and back\-end components
* Participate in
 **code reviews** 
 and help improve development standards and best practices
* Troubleshoot and resolve issues across the full application stack, including database, API, and UI layers
* Contribute to
 **Agile development processes** 
 , including sprint planning, standups, and retrospectives
 Qualifications
* **5\+ years of professional software development experience** 
 , with strong hands\-on experience in full\-stack or backend development
* Strong proficiency in
 **ASP.NET, .NET Core, C\#, SQL, and Entity Framework**
* Experience building and consuming
 **RESTful APIs**
* Experience developing front\-end applications using
 **Angular and NGRX**
* Familiarity with
 **Git** 
 and modern version control workflows
* Solid understanding of
 **web application architecture and full\-stack development principles**
* Strong problem\-solving skills and attention to detail
* Self\-motivated with a proactive, solution\-oriented mindset
* Strong communication and collaboration skills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166">
      <c r="A166" t="inlineStr">
        <is>
          <t>li-4364436927</t>
        </is>
      </c>
      <c r="B166" t="inlineStr">
        <is>
          <t>Senior Software Engineer</t>
        </is>
      </c>
      <c r="C166" t="inlineStr">
        <is>
          <t>Cohere Health</t>
        </is>
      </c>
      <c r="D166" t="inlineStr">
        <is>
          <t>linkedin</t>
        </is>
      </c>
      <c r="E166">
        <f>HYPERLINK("https://www.linkedin.com/jobs/view/4364436927", "https://www.linkedin.com/jobs/view/4364436927")</f>
        <v/>
      </c>
      <c r="F166" t="inlineStr"/>
      <c r="G166" t="inlineStr"/>
      <c r="H166" t="inlineStr"/>
      <c r="I166" t="inlineStr">
        <is>
          <t>**Opportunity Overview**
 We are seeking a Senior Software Engineer to join our Engineering team. In this role, you will build and enhance mission\-critical healthcare technology that powers clinical letter generation, notification systems, and queue management for health insurance plans covering over 15 million people. You'll partner closely with product, design, and clinical teams to deliver end\-to\-end features on a modern full\-stack platform. This is an opportunity to make a direct impact on healthcare outcomes while working with modern technologies in a fast\-paced, collaborative environment.
**What You’ll Do**
* Design, develop, test, and deploy end\-to\-end features and platform enhancements across our cloud infrastructure and web applications
* Own the full software development lifecycle from technical design through production deployment and monitoring
* Collaborate with cross\-functional teams in product, design, and clinical operations to deliver high\-quality user experiences for healthcare practitioners
* Support all layers of our platform, from database design to backend services (Java, Python, Groovy) to frontend applications (React, TypeScript)
* Lead technical design discussions, bringing data\-driven analysis and expertise to inform architectural decisions
* Continuously evaluate and implement new technologies and services to maximize development efficiency and platform capabilities
* Champion quality and testing best practices by writing comprehensive test coverage and maintaining high code standards
* Mentor and support junior engineers on your team, fostering a culture of learning and technical excellence
**What You’ll Need**
* 6\+ years of experience in software development lifecycle
* Bachelor's degree in computer science, software engineering, or equivalent practical experience
* Strong backend development experience using Java, Python, or Groovy
* Demonstrated experience building web applications with React and JavaScript
* Proficiency with modern software development practices including version control (Git), unit testing, and CI/CD pipelines
* Strong collaboration skills and ability to work effectively with product and design teams
* Proven ability to own product development end\-to\-end with excellent design and development standards
* Thrives in fast\-paced startup environments and enjoys working on collaborative agile teams
**Pay \&amp; Perks**
 💻 Fully remote opportunity with about 5% travel
 🩺 Medical, dental, vision, life, disability insurance, and Employee Assistance Program
 📈 401K retirement plan with company match; flexible spending and health savings account
 🏝️ Up to 184 hours (23 days) of PTO per year \+ company holidays
 👶 Up to 14 weeks of paid parental leave
 🐶 Pet insurance
 The salary range for this position is $130,000 to $145,000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\#BI\-Remote</t>
        </is>
      </c>
    </row>
    <row r="167">
      <c r="A167" t="inlineStr">
        <is>
          <t>li-4381041597</t>
        </is>
      </c>
      <c r="B167" t="inlineStr">
        <is>
          <t>Sr. Software Developer - Apps/C# .NET</t>
        </is>
      </c>
      <c r="C167" t="inlineStr">
        <is>
          <t>NPAworldwide</t>
        </is>
      </c>
      <c r="D167" t="inlineStr">
        <is>
          <t>linkedin</t>
        </is>
      </c>
      <c r="E167">
        <f>HYPERLINK("https://www.linkedin.com/jobs/view/4381041597", "https://www.linkedin.com/jobs/view/4381041597")</f>
        <v/>
      </c>
      <c r="F167" t="inlineStr"/>
      <c r="G167" t="inlineStr">
        <is>
          <t>Redlands, CA</t>
        </is>
      </c>
      <c r="H167" t="inlineStr"/>
      <c r="I167" t="inlineStr">
        <is>
          <t>**Job Description**
 Bring your passion for creating awesome apps and join us in developing leading\-edge cross\-platform mapping and GIS solutions that run on the latest mobile devices.
 This is a great opportunity to design and develop the next\-generation of app building technology.
**Responsibilities**
 Design and develop focused native apps that meet the requirements of a broad range of users
 Design responsive and intuitive user interfaces for mobile, desktop, and web systems
 Design and develop cross platform app building technology
 Work as part of an Agile team building feature\-rich modernized applications using C\# .NET
 Develop excellent software for use in field mapping, data collection, sensor networks, street navigation, and much more
 Collaborate with other programmers and developers throughout the development process
 Define user requirements; design and develop applications and APIs for devices and web\-based services
 Ensure that ArcGIS software meets real\-world usage scenarios
 Solve and articulate complex problems with application design, development, and user experiences
**Requirements**
 5\+ years of commercial software development experience
 Fluent in and passionate about .NET C\#
 Xamarin / Xamarin Forms / MAUI / C\# development experience
 Experience of Telerik UI for .NET desirable
 Experience with building and consuming JSON, XAML/XML, and Web Services
 A flare for user experience and interface design
 Cross\-platform app development
 Understanding of algorithms and design patterns
 Experience with GitHub, Jenkins, Microsoft App Center
 Ability to work closely with the team to build quality software in a constantly evolving environment
 Effective time management and organizational skills
 Excellent written and verbal communication skills
 Bachelors degree in computer science, engineering, mathematics, GIS, or related field
**Recommended Qualifications**
 Masters degree in computer science, engineering, mathematics, GIS, or related field
 Experience with mobile application development (iOS, Android)
**Qualifications**
 Recommended Qualifications
 Masters degree in computer science, engineering, mathematics, GIS, or related field
 Experience with mobile application development (iOS, Android)
**Why Is This a Great Opportunity**
 Bring your passion for creating awesome apps and join us in developing leading\-edge cross\-platform mapping and GIS solutions that run on the latest mobile devices. This is a great opportunity to design and develop the next\-generation of app building technology.
**Salary Type** 
 : Annual Salary
**Salary Min** 
 : $ 140000
**Salary Max** 
 : $ 190000
**Currency Type** 
 : USD</t>
        </is>
      </c>
    </row>
    <row r="168">
      <c r="A168" t="inlineStr">
        <is>
          <t>li-4365659737</t>
        </is>
      </c>
      <c r="B168" t="inlineStr">
        <is>
          <t>Senior Software Engineer</t>
        </is>
      </c>
      <c r="C168" t="inlineStr">
        <is>
          <t>Microsoft</t>
        </is>
      </c>
      <c r="D168" t="inlineStr">
        <is>
          <t>linkedin</t>
        </is>
      </c>
      <c r="E168">
        <f>HYPERLINK("https://www.linkedin.com/jobs/view/4365659737", "https://www.linkedin.com/jobs/view/4365659737")</f>
        <v/>
      </c>
      <c r="F168" t="inlineStr"/>
      <c r="G168" t="inlineStr"/>
      <c r="H168" t="inlineStr"/>
      <c r="I168" t="inlineStr">
        <is>
          <t>**Overview**
 In Azure Specialized we are collaboratively working to bring the next generation of workloads to our Public Cloud platform. We work together across Microsoft to enable end to end new scenarios for Azure customers. Our team imagines and builds differentiating customer features and fundamental building blocks at the heart of the Azure platform working collaboratively with many industry partners.
 As a Senior Software Engineer, you will be critical in designing and delivering the next generations of AI training, AI inferencing, virtual desktop, video and gaming infrastructure for Azure. You will be challenged across a wide spectrum of hardware architectures, network types and processor types. You will help define and deliver an end\-to\-end vertical view, with continuous focus on customer value, quality, performance and automation. We are looking for someone who is passionate about quality, wants the customer to succeed and get things done. You will join a phenomenal team of hardworking engineers with deep experience with replication systems, highly available systems, large scale algorithms, dynamic and high\-performance solutions at massive scale. This position involves deep technical work, focusing on defining, deploying and sustaining hardware and software Azure infrastructure for AI and other GPU\-based workloads. The work for this position focuses on hardware/software interaction, coding and playing with next\-gen hardware, end\-to\-end systems engineering anywhere in the infrastructure \- from fiber networking, switches, GPU differentiation, rack design, cluster design and more. This position offers a unique opportunity to have a huge impact on customers and the world. It is an exciting time for the team as we are working on expanding the capacity and range of supported scenarios to support the next 100X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Your mission will be to help ensure Azure platform is consistent on performance, can scale on\-demand, and engineered to withstand the unparalleled computing demand from the customer workloads. You will help building a cross\-platform environment, enabling our customers to access all of the data they need to succeed training their next gen modules.
* Willing to dive deeply into any level or layer of a problem.
* Willing to learn emerging technologies, from hardware to software. Evaluate and make recommendations that advance Azure infrastructure for AI and other GPU\-based workloads.
* Leads by example within the team by producing extensible and maintainable code. Optimizes, debugs, refactors, and reuses code to improve performance and maintainability, effectiveness, and return on investment (ROI). Applies metrics to drive the quality and stability of code, as well as appropriate coding patterns and best practices.
* Maintains communication with customers, and key partners across the Microsoft ecosystem of engineers. Ensures alignment with partners' expectations. Considers partner teams across organizations and their end goals for products to drive and achieve desirable user experiences and fitting dynamic needs of partners/customers through product development.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 / product / service for simple and complex problems when appropriate.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9">
      <c r="A169" t="inlineStr">
        <is>
          <t>li-4361889052</t>
        </is>
      </c>
      <c r="B169" t="inlineStr">
        <is>
          <t>Software Engineer</t>
        </is>
      </c>
      <c r="C169" t="inlineStr">
        <is>
          <t>Applied Materials</t>
        </is>
      </c>
      <c r="D169" t="inlineStr">
        <is>
          <t>linkedin</t>
        </is>
      </c>
      <c r="E169">
        <f>HYPERLINK("https://www.linkedin.com/jobs/view/4361889052", "https://www.linkedin.com/jobs/view/4361889052")</f>
        <v/>
      </c>
      <c r="F169" t="inlineStr"/>
      <c r="G169" t="inlineStr">
        <is>
          <t>Santa Clara, CA</t>
        </is>
      </c>
      <c r="H169" t="inlineStr"/>
      <c r="I169"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$176,000\.00 \- $242,000\.00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As a Software Engineer at Applied Materials, you’ll dive deep into ground\-breaking technologies—like machine learning and AI—to craft novel software solutions that solve our customers’ high\-value problems. Our Software Engineers are responsible for designing, prototyping, developing, and debugging software solutions for semiconductor equipment components and devices to ensure quality and functionality. You'll develop software documentation and test procedures, troubleshoot software problems, and communicate with internal customers to understand project requirements. As part of our team, you'll contribute your expertise in intricate systems, deciphering code, and anticipating software behaviors to ensure Applied remains the leader in the semiconductor and display sectors.
**Role Responsibilities:**
* Design and develop code for large scale complex software solutions for semiconductor equipment components and device with limited supervision
* Lead and execute complex software projects
* Define software specifications and test plan for test benches and the lab tools
* Communicate with internal and external customers for requirement analysis, project schedule and software troubleshooting
* Troubleshoot a wide range of complex, difficult software problems; perform tests on code and enhancements
**Minimum Qualifications:**
* Bachelor's degree in Computer Science, Electrical Engineering, Mathematics, Physics, or a related field.
* 7–10 years of related experience
* Extensive experience with controlling instrument/equipment requiring high precision and high repeatability
**Preferred Qualifications:**
* PhD degree in a related field
* Proficient in Modern C\+\+, Python, C\#/Java/Rust, machine learning, web service architecture, signal processing, computer vision, robotics, user interface design, mathematical modelling, numerical methods for physical simulation, GPU programming
* Extensive experience with development on embedded system and PyTorch
* Experience with FPGA is preferred
* Leadership skills to lead moderate\-sized projects as needed
**Additional Information**
**Time Type:**
 Full time
**Employee Type:**
 Assignee / Regular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170">
      <c r="A170" t="inlineStr">
        <is>
          <t>li-4291518307</t>
        </is>
      </c>
      <c r="B170" t="inlineStr">
        <is>
          <t>Principal/Senior Principal Software Engineer, Solutions</t>
        </is>
      </c>
      <c r="C170" t="inlineStr">
        <is>
          <t>Genentech</t>
        </is>
      </c>
      <c r="D170" t="inlineStr">
        <is>
          <t>linkedin</t>
        </is>
      </c>
      <c r="E170">
        <f>HYPERLINK("https://www.linkedin.com/jobs/view/4291518307", "https://www.linkedin.com/jobs/view/4291518307")</f>
        <v/>
      </c>
      <c r="F170">
        <f>HYPERLINK("https://careers.gene.com/us/en/job/GENEUS202508121544EXTERNALENUS/Principal-Senior-Principal-Software-Engineer-Solutions?utm_source=linkedin&amp;utm_medium=phenom-feeds&amp;urlHash=dVWe", "https://careers.gene.com/us/en/job/GENEUS202508121544EXTERNALENUS/Principal-Senior-Principal-Software-Engineer-Solutions?utm_source=linkedin&amp;utm_medium=phenom-feeds&amp;urlHash=dVWe")</f>
        <v/>
      </c>
      <c r="G170" t="inlineStr">
        <is>
          <t>South San Francisco, CA</t>
        </is>
      </c>
      <c r="H170" t="inlineStr"/>
      <c r="I170"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organizations at Genentech (gRED) and Pharma (pRED) have demonstrated how these technologies accelerate R\&amp;D, leveraging data and novel computational models to drive impact. Seamless data sharing and access to models across gRED and pRED are essential to maximising these opportunities. The Computational Sciences Center of Excellence (CS CoE) is a strategic, unified group whose goal is to harness the transformative power of data and Artificial Intelligence (AI) to assist our scientists in both pRED and gRED to deliver more innovative and life\-changing medicines for patients worldwide.
 Within the CS CoE organisation, the Data and Digital Catalyst (DDC) organization leads the modernization of our computational and data ecosystems by integrating digital technologies across Research and Early Development to empower stakeholders, advance data\-driven science and accelerate decision\-making.
 The Solutions team within the DDC Organization develops modernized and interconnected computational and data ecosystems. The Data Ecosystem is foundational to building solutions that accelerate the work done by our Computational and Bench Scientists and enable ML/AI tool creation and adoption. Our team specializes in building Data Pipelines and Applications for data acquisition, collection, storage, transformation, linkage and sharing.
 As a Software Engineer in the Solutions Engineering capability, you will work closely with colleagues such as Data Engineers, Product Leaders, and Tech/ML Ops as well as directly with our key partners including Computational Scientists and Research Scientists. You'll build robust and scalable systems that unlock the potential of our diverse scientific data, accelerating the discovery and development of life\-changing treatments for patients. As part of this role, you’ll contribute to building a modern, scalable and robust ecosystem of applications, agents and other tools to capture, move and prepare the scientific data for analysis.
 You are passionate about building scalable, reliable, and reusable capabilities for our shared platform. As a software engineer with strong experience in backend and/or frontend development, you design and implement components with scalability and reliability at their core. You bring hands\-on expertise in cloud technologies and follow engineering best practices—including code reviews, unit testing, and adherence to coding standards—while boosting productivity through AI\-powered development tools and environments.
 Ideally, you are a full\-stack software engineer or data engineer with domain knowledge in biology, chemistry, drug discovery, translational medicine, or a related scientific discipline. You thrive on leveraging platform components to build common solutions, and you excel at engaging with scientific stakeholders to understand their challenges and translate them into effective technology solutions in close collaboration with Product and Engineering teams.
**The Opportunity:**
* Proven track record of leading and delivering complex, user\-friendly projects and tools in a fast\-paced environment
* Strategic/Tactical Technical leadership for the ongoing initiatives and by identifying new opportunities with an eye for consolidation, deprecation and building common solutions
* Responsible for technical excellence and ensuring our solutions and capabilities are innovative, best\-in\-class and integrated by delivering data flows and pipelines within and across DDC and key domains like Research Biology, Drug Discovery, Translational Medicine and Development and more
* Learn, deeply understand and improve our Data Workflows, Application Architecture and Data Ecosystem by leveraging standard patterns like layered architecture, microservices, event\-driven, multi\-tenancy, etc.
* Responsible for ensuring our technical choices are innovative, best\-in\-class and are inter\-operable and consistent across DDC and domains like Research Biology, Drug Discovery, Translational Medicine and Development and more
* Understand and influence technical decisions around data workflows and application development while working collaboratively with our key partners
* Integrate diverse sets of data together to power AI/ML and Natural Language Search, as well as enable our downstream teams working on Workflows, Visualization and Analytics
* Facilitate the implementation of AI models that take advantage of advances in machine learning and artificial intelligence
**Who You Are:**
* Bachelor’s or Master’s degree in Computer Science or similar technical field, or equivalent experience and 7\+ years of experience in software engineering (Principal Software Engineer); 12\+ years of experience (Sr. Principal Software Engineer)
* Deep experience and technical understanding of modern web application development, platforms and data engineering approaches, including data flow within the cloud and cutting\-edge data storage solutions
* Deep experience in full stack development is required. You have strong skills building Front Ends using JavaScript, React or similar Libraries as well as Backends using high level languages like Python or Java
* Extensive experience working with Databases, Data Analytics (SQL/NoSQL, ETL, ELT) and APIs (REST, GraphQL) is preferred
* Extensive experience working on cloud\-native architectures in public clouds (ideally AWS) is preferred
* Experience with building Designs for Data Applications which are highly reliable, scalable, performant, secure and robust and ideally on a public cloud platform
* Adopts and champions an Open Source, Cloud First, API First and AI First approach to problem\-solving by identifying key trends, leveraging cutting\-edge technologies and influencing their adoption to deliver innovative solutions
* Ability to think strategically and optimize for the long term while acting with a sense of urgency
* Provide technical mentorship and leadership to junior developers, fostering professional growth and taking accountability for upholding high coding standards
* Outstanding communication skills, capable of articulating technical concepts clearly to diverse audiences, including executives and globally distributed technical teams, ensuring effective collaboration and understanding
* Experience reducing Tech Debt and consolidating and deprecating legacy solutions
* Experience in integrating AI into applications and development practices is a plus
 Onsite presence, on our South San Francisco campus, is expected for at least 3 days a week.
 Relocation benefits are available for this job posting.
 The expected salary range for this position based on the primary location of California is $162,600 \- $302,000 (Principal Software Engineer) and $189,200 \- $351,400 (Senior Principal Software Engineer) .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71">
      <c r="A171" t="inlineStr">
        <is>
          <t>li-4382395120</t>
        </is>
      </c>
      <c r="B171" t="inlineStr">
        <is>
          <t>Software Engineer</t>
        </is>
      </c>
      <c r="C171" t="inlineStr">
        <is>
          <t>Robert Half</t>
        </is>
      </c>
      <c r="D171" t="inlineStr">
        <is>
          <t>linkedin</t>
        </is>
      </c>
      <c r="E171">
        <f>HYPERLINK("https://www.linkedin.com/jobs/view/4382395120", "https://www.linkedin.com/jobs/view/4382395120")</f>
        <v/>
      </c>
      <c r="F171" t="inlineStr"/>
      <c r="G171" t="inlineStr">
        <is>
          <t>San Antonio, TX</t>
        </is>
      </c>
      <c r="H171" t="inlineStr"/>
      <c r="I171" t="inlineStr">
        <is>
          <t>We are looking for a skilled Software Engineer to join our team in San Antonio, Texas. In this role, you will specialize in developing and maintaining software solutions for advanced testing equipment, including dynamometer facilities and emissions measurement systems. This position offers the opportunity to collaborate with customers and suppliers on technical challenges while contributing to innovative engineering projects.
 Responsibilities:
 • Design and maintain LabView\-based software to control dynamometer facilities and related testing equipment.
 • Conduct engineering analysis to support the development of new test equipment, including systems involving fluid dynamics and heat transfer.
 • Provide technical assistance with emissions measurement tools such as emissions benches and dilution tunnels.
 • Engage with customers and suppliers to address technical inquiries and ensure project requirements are met.
 • Manage multiple projects simultaneously, ensuring high\-quality deliverables within established timelines.
 • Maintain attention to detail in programming and analysis tasks to ensure accuracy and reliability.
 • Collaborate with cross\-functional teams to enhance operational efficiency and meet testing compliance standards.
 • A minimum of five years of relevant experience in software development or engineering.
 • Bachelor’s degree in Mechanical Engineering or a related field.
 • Proficiency in LabView programming is essential.
 • Familiarity with dynamometer test facility operations is preferred.
 • Understanding of emission certification procedures and equipment requirements, particularly Federal 1065 testing standards, is a plus.
 • Ability to manage multiple projects concurrently with strong organizational skills.
 • Excellent communication skills, both written and verbal.
 • Experience with programming languages and frameworks such as C\#, .NET, ASP.NET, JavaScript, and React.js.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172">
      <c r="A172" t="inlineStr">
        <is>
          <t>li-4382385115</t>
        </is>
      </c>
      <c r="B172" t="inlineStr">
        <is>
          <t>Software Engineer (Python, C++)</t>
        </is>
      </c>
      <c r="C172" t="inlineStr">
        <is>
          <t>Wiraa</t>
        </is>
      </c>
      <c r="D172" t="inlineStr">
        <is>
          <t>linkedin</t>
        </is>
      </c>
      <c r="E172">
        <f>HYPERLINK("https://www.linkedin.com/jobs/view/4382385115", "https://www.linkedin.com/jobs/view/4382385115")</f>
        <v/>
      </c>
      <c r="F172" t="inlineStr"/>
      <c r="G172" t="inlineStr"/>
      <c r="H172" t="inlineStr"/>
      <c r="I172" t="inlineStr">
        <is>
          <t>**About The Company**
 TSC’s Product Solutions (PS) division is a leading provider of advanced technology solutions specializing in radar, electronic warfare (EW), and unmanned systems. As an employee\-owned organization, TSC fosters a culture of innovation, collaboration, and shared success. Our commitment to delivering cutting\-edge systems is driven by a talented team of engineers and technical experts dedicated to advancing defense and aerospace capabilities. With multiple locations including Aurora, CO; Arlington, VA; Huntsville, AL; Bedminster, NJ, and options for remote work, TSC offers a flexible and dynamic work environment. We prioritize employee growth, innovation, and a collective approach to solving complex technical challenges, ensuring our solutions meet the highest standards of quality and performance.
**About The Role**
 We are seeking an experienced Embedded Software Engineer to join our Product Solutions division. This role is pivotal in developing next\-generation embedded software solutions for radar, electronic warfare, and unmanned systems. The ideal candidate will contribute to the architecture, design, and implementation of high\-performance, real\-time embedded software systems. You will work closely with cross\-functional teams across all phases of development, from initial analysis and prototyping to deployment and system evaluation. Your expertise will support the development of modular, scalable, and secure software that enhances our product capabilities. This position offers the opportunity to work in a collaborative environment that values innovation, technical excellence, and employee ownership. We welcome applicants from Aurora, CO; Arlington, VA; Huntsville, AL; Bedminster, NJ, or those interested in remote work arrangements.
**Qualifications**
* Bachelor of Science (BS) in Computer Science, Computer Engineering, or a related technical field
* 8\+ years of professional experience in high\-performance embedded software development
* Proficiency in C/C\+\+ programming for embedded systems
* Deep knowledge of concurrency, memory management, and performance optimization
* Experience with Linux\-based embedded system development, including kernel interactions and network communication
* Solid understanding of IP networking fundamentals (TCP/UDP, sockets, routing, firewalls)
* Expertise in debugging embedded applications using tools like GDB, Valgrind, and hardware debugging probes
* Proficiency with build management tools such as CMake and dependency management tools like Conan
* Experience with version control systems, particularly Git, including advanced workflows
* Ability to obtain and maintain a DoD Secret Clearance
* U.S. Citizenship is required
**Responsibilities**
* Actively contribute to architectural decisions and execute technical design and implementation of modular, high\-performance embedded software
* Develop, optimize, and integrate real\-time C/C\+\+ software for core embedded functions such as signal processing, data management, and secure communication
* Participate in all phases of system development, including analysis, prototyping, deployment, and evaluation
* Perform hands\-on hardware testing and debugging in laboratory environments using advanced tools and test equipment
* Conduct detailed data analysis from simulation, laboratory, and field testing to validate performance against expected results
* Implement and execute software testing procedures to support iterative releases and customer deliverables
* Collaborate with cross\-disciplinary teams to ensure system integration and functional performance
* Maintain and improve build systems, dependency management, and version control workflows
* Ensure compliance with security and quality standards, including documentation and reporting
**Benefits**
* Employee Stock Ownership Plan (ESOP) fostering shared success and long\-term investment in the company
* 401(k) Retirement Plan with company matching
* Flexible work schedules to promote work\-life balance
* Tuition reimbursement for continued education and professional development
* Comprehensive health benefits through co\-sponsored health plans
* Paid leave including vacation, sick leave, and holidays
 Equal Opportunity
 TSC is an Equal Opportunity Employer. We are committed to creating an inclusive environment for all employees and applicants. All qualified applicants will receive consideration for employment without regard to race, color, religion, sex, sexual orientation, gender identity, national origin, disability, veteran status, or any other protected characteristic. We adhere to all applicable laws and regulations ensuring fair and equitable treatment in our hiring processes and workplace practices. We encourage candidates from diverse backgrounds to apply and join our team in advancing innovative defense solutions.</t>
        </is>
      </c>
    </row>
    <row r="173">
      <c r="A173" t="inlineStr">
        <is>
          <t>li-4371770769</t>
        </is>
      </c>
      <c r="B173" t="inlineStr">
        <is>
          <t>Software Engineer III - Embedded</t>
        </is>
      </c>
      <c r="C173" t="inlineStr">
        <is>
          <t>EVONA</t>
        </is>
      </c>
      <c r="D173" t="inlineStr">
        <is>
          <t>linkedin</t>
        </is>
      </c>
      <c r="E173">
        <f>HYPERLINK("https://www.linkedin.com/jobs/view/4371770769", "https://www.linkedin.com/jobs/view/4371770769")</f>
        <v/>
      </c>
      <c r="F173" t="inlineStr"/>
      <c r="G173" t="inlineStr">
        <is>
          <t>Sacramento, CA</t>
        </is>
      </c>
      <c r="H173" t="inlineStr"/>
      <c r="I173" t="inlineStr">
        <is>
          <t>Software Engineer III – Embedded Systems
 A leading U.S.\-based defense and national security engineering organization is seeking a
 **Software Engineer III – Embedded Systems** 
 to support the development of advanced airborne ISR and propulsion\-related technologies.
**The Role**
 You will contribute to the architecture, development, integration, and testing of embedded software systems supporting airborne intelligence, surveillance, and reconnaissance platforms.
 Working alongside senior engineers and customers, you will help define software requirements, prototype alternate architectures, and deliver robust solutions in demanding operational environments.
**Key Responsibilities**
* Define and implement embedded software requirements and system designs
* Develop, integrate, and test embedded applications within RTOS environments
* Evaluate and incorporate emerging software technologies, including open\-source tools where appropriate
* Support architectural prototyping and alternative design approaches
* Prepare and present technical materials at internal and customer reviews
* Participate in peer reviews, customer meetings, and problem\-solving sessions
* Make informed technical decisions that influence software product direction
* Contribute to Agile development processes and collaborative engineering efforts
**Required Qualifications**
* Bachelor’s degree in Engineering or Computer Science
* 4 to 7 years of experience in embedded software development
* Strong experience with C/C\+\+, Python, MATLAB, Linux, and Git
* Understanding of object\-oriented design, concurrent programming, digital signal processing, and distributed systems
* Experience working in RTOS environments
* Familiarity with Agile methodologies and tools such as JIRA
* Knowledge of secure programming and encryption principles
* Strong communication skills and ability to operate in collaborative team environments
* Willingness to travel up to 25 percent
* U.S. Citizenship required with the ability to obtain and maintain a U.S. Security Clearance
**Preferred Qualifications**
* Current DoD Top Secret SCI clearance
* Master’s degree in Computer Science or Engineerin</t>
        </is>
      </c>
    </row>
    <row r="174">
      <c r="A174" t="inlineStr">
        <is>
          <t>li-4329916995</t>
        </is>
      </c>
      <c r="B174" t="inlineStr">
        <is>
          <t>Senior Software Engineer</t>
        </is>
      </c>
      <c r="C174" t="inlineStr">
        <is>
          <t>Pariveda</t>
        </is>
      </c>
      <c r="D174" t="inlineStr">
        <is>
          <t>linkedin</t>
        </is>
      </c>
      <c r="E174">
        <f>HYPERLINK("https://www.linkedin.com/jobs/view/4329916995", "https://www.linkedin.com/jobs/view/4329916995")</f>
        <v/>
      </c>
      <c r="F174">
        <f>HYPERLINK("https://jobs.ashbyhq.com/pariveda/882e5923-7f23-4970-8748-752b6be3bd9a/application?utm_source=LinkedInPaid&amp;urlHash=pQag", "https://jobs.ashbyhq.com/pariveda/882e5923-7f23-4970-8748-752b6be3bd9a/application?utm_source=LinkedInPaid&amp;urlHash=pQag")</f>
        <v/>
      </c>
      <c r="G174" t="inlineStr">
        <is>
          <t>El Segundo, CA</t>
        </is>
      </c>
      <c r="H174" t="inlineStr"/>
      <c r="I174" t="inlineStr">
        <is>
          <t>Pariveda is a North American\-based, employee\-owned professional services firm. We provide strategy and technology services across industries. As a mission\-driven organization and Certified B Corp, we enable our clients to imagine and do more, whether it’s making next quarter’s goals or navigating the future. From ideas to impact, we help clients get better at what they do to improve people and profits. Learn more about our mission and culture as well as our recruitment process and interview prep.
 If you are looking for a place where you’ll be challenged to learn, grow, and truly make an impact, we invite you to explore opportunities with our team in Los Angeles. We are looking for lead software developers to design, develop, and deliver enterprise\-level applications. You will have an opportunity to expand your knowledge of full software development life cycle, gain direct client exposure, and grow junior team members.
 Pariveda is not your average professional services firm. Our focus on people is the key to our success and our mission is to grow you towards your highest potential. We don’t measure one’s worth by the hours they log but rather by their individual growth. We live and celebrate our values by supporting and caring for the whole person, operating transparently, and being curious and unafraid to ask questions. To learn more about our culture and what you can expect at Pariveda, review our Findamentals – the behaviors that show who we are.
**You Can Expect To**
 As a lead software engineer, you will build custom solutions using a variety of technologies. You will work in small, collaborative teams, while partnering with clients to solve real business challenges in an agile, people\-first way.
* Grow your career with the support and guidance of a dedicated mentor and a clearly defined, individualized career path. You will be eligible for promotion every 12 months
* Lead small Pariveda teams and help teammates develop their skills and careers
* Diagnose and solve complex problems for Fortune\-500 clients in a variety of industries
* Execute projects from start to finish and get exposure to all roles throughout the SDLC (manage projects, estimate, gather requirements, architect, develop, test, and deliver)
* Explore different technologies and develop in cloud technologies like AWS, Azure, and Google Cloud. Build modern applications, data driven solutions, IoT, Machine Learning, AI, DevOps, and more with languages including: Python, .NET, Java, JavaScript, and SQL, Web technologies like React, Redux, Angular, Vue, and Mobile technologies including iOS and Android.
* Utilize AI strategically to enhance client solutions, incorporating AI tools to streamline development, uncover insights, and accelerate delivery while clearly communicating the value, limitations, and ethical use of AI to clients and stakeholders.
* Present findings, solutions, and demos to audiences including senior executives and stakeholders
* Work within a hybrid model
* Actively engage in our culture of continuous learning, personal and professional development, and lead community service and social gathering events
* Work with smart, humble, and supportive people
**We Look For**
* 3\+ years of hands\-on software development experience
* Experience with technical leadership such as coaching others and/or leading pieces of projects (estimating/assigning tasks, putting together timelines, requirements gathering, design, etc.)
* Client facing or consulting experience highly preferred
* Skilled problem solvers with the desire and proven ability to create and implement innovative solutions
* Adaptable attitude, able to balance multiple responsibilities, and adjust to varied environments
* Ability to explain and present concepts to technical and non\-technical audiences
* Bachelor’s Degree in MIS, Computer Science, Math, Engineering, or comparable experience
* Legally authorized to work for any company in the United States without sponsorship
**Pariveda Benefits**
* Transparent and Equitable Salary. The salary range for this position is $112,800 \- 124,000 annually. Actual salaries may vary based on factors including but not limited to location, experience, and performance.
* Comprehensive medical, dental, and vision insurance for you and your family
* Employer Health Savings Account (HSA) contribution
* 2% 401(k), vested immediately
* Company ownership through Employee Stock Ownership Plan (ESOP)
* Plenty of Paid Time Off – 4 weeks of vacation time, 10 holidays, 1 floating holiday
* Paid sabbatical after 5 years of service for Principals and above
* Paid parental leave \&amp; breast milk shipping costs reimbursed for work travel
* Employee Assistance Program (EAP), health concierge, and financial wellness tool
* Company paid cell phone plan and device stipend
* Life insurance
* Short\-Term and Long\-Term Disability
 Pariveda Solutions aspires that our employee diversity is representative of the markets in which we serve. Employment decisions are based solely on merit and business needs and not on race, color, religion, sex, sexual orientation, gender, gender identity, gender expression, pregnancy, marital status, national origin, citizenship status (if authorized to work in the country where the job is located), uniform service member, military or veteran status, ancestry, age (over 40\), physical or mental disability including HIV or AIDS, medical condition, genetic information, political affiliation, or any other category protected by applicable federal, provincial, or local law.
 Our commitment to a welcoming, inclusive environment means we embrace applicants from all backgrounds. If you feel you may need an accommodation at any stage of our interview process due to a disability, please contact the Human Resources team at careandsupport@parivedasolutions.com or \+1 844\-325\-2729, select option 3 and then option 1 Human Resources.
 Compensation Range: $112\.8K \- $124K</t>
        </is>
      </c>
    </row>
    <row r="175">
      <c r="A175" t="inlineStr">
        <is>
          <t>li-4312355545</t>
        </is>
      </c>
      <c r="B175" t="inlineStr">
        <is>
          <t>Software Engineer, Robotics</t>
        </is>
      </c>
      <c r="C175" t="inlineStr">
        <is>
          <t>Anduril Industries</t>
        </is>
      </c>
      <c r="D175" t="inlineStr">
        <is>
          <t>linkedin</t>
        </is>
      </c>
      <c r="E175">
        <f>HYPERLINK("https://www.linkedin.com/jobs/view/4312355545", "https://www.linkedin.com/jobs/view/4312355545")</f>
        <v/>
      </c>
      <c r="F175">
        <f>HYPERLINK("https://boards.greenhouse.io/andurilindustries/jobs/4932360007?gh_jid=4932360007&amp;source=LinkedIn&amp;urlHash=8lAE", "https://boards.greenhouse.io/andurilindustries/jobs/4932360007?gh_jid=4932360007&amp;source=LinkedIn&amp;urlHash=8lAE")</f>
        <v/>
      </c>
      <c r="G175" t="inlineStr">
        <is>
          <t>Irvine, CA</t>
        </is>
      </c>
      <c r="H175" t="inlineStr"/>
      <c r="I17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Defense team builds robots that find other robots and knock them out of the sky. At a time when air superiority can no longer be taken for granted, the Air Defense Team provides mission critical capabilities to warfighters. From detection to tracking, identification, deterrence, and defeat, our family of networked sensors and effectors enables our customers to rapidly close the kill chain against a broad range of Unmanned Aerial System (UAS) threats. Working across product, engineering, sales, logistics, operations, and mission success, the Air Defense team develops, tests, deploys, and sustains the Anduril Air Defense Family of Systems (FoS) in challenging operational environments worldwide.
**About The Role**
 We're looking for a Staff Software Engineer specializing in Robotics to join our growing team in Irvine, CA. As a Software Engineer on the Air Defense team, you will solve a wide variety of problems involving autonomy, systems integration, robotics, networking, and more, while making pragmatic engineering tradeoffs along the way. Your efforts will ensure that Anduril products seamlessly work together to achieve a variety of critical outcomes. Above all, Software Engineers on Air Defense are driven by a “Whatever It Takes” mindset—executing in an
 *expedient* 
 ,
 *scalable* 
 , and
 *pragmatic* 
 way while keeping the mission top\-of\-mind and making sound engineering decisions to deliver successful outcomes correctly, on\-time, and with high quality.
**What You'll Do**
* Write and maintain core libraries and services that perform critical functions for collaborative teams of robots \- for example, frame transformations, targeting and guidance, etc.
* Own feature development and rollout of large, complex features for our products. This includes systems analysis, sensor selection and integration, perception architecture and implementation, motion planning, health management, behavior analysis, simulation and test infrastructure, and interfaces with lower\- and higher\-level systems.
* Implement scalable sub\-systems including sensor processing, perception, tracking, motion planning, health management, anomaly detection, simulation, testing fixtures, and vehicle interfaces
* Work closely with Anduril and 3rd party robotic platform hardware teams, as well as operational subject matter experts to align on requirements during product development and iterate towards a final design.
**Required Qualifications**
* Strong engineering background from industry or school, ideally in areas/fields such as Robotics, Computer Science, Software Engineering, Mechatronics, Electrical Engineering, Mathematics, or Physics.
* 3\+ years of C\+\+ or Rust experience in a Linux development environment
* Proven understanding of data structures, algorithms, concurrency, and code optimization
* Experience troubleshooting and analyzing remotely deployed software systems
* Eligible to obtain and maintain an active U.S. Top Secret SCI security clearance
**Preferred Qualifications**
* MS, ideally in areas/fields such as Robotics, Computer Science, Software Engineering
* Experience programming for embedded and physical devices
* Experience in one or more of the following: motion planning, perception, localization, mapping, controls, and related system performance metrics.
* Understanding of systems software (kernel, device drivers, system calls) and optimizing for limited resources
 US Salary Range
 $166,000—$282,000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**Protecting Yourself from Recruitment Scams**
 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
 To Ensure Your Safety And Help You Navigate Your Job Search With Confidence, Please Keep The Following Critical Points In Mind
* No Financial Requests: Anduril will never solicit payment or demand personal financial details (such as banking information, credit card numbers, or social security numbers) at any stage of our hiring process. Our legitimate recruitment is entirely free for candidates.
* Please always verify communications:
+ Direct from Anduril: Our recruiters will only email you from an @anduril.com address.
+ Via Agency Partner: If contacted by a recruiting agency for an Anduril role, their email will clearly identify their agency. If you suspect any suspicious activity, please verify the agency's authenticity by reaching out to contact@anduril.com.
*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
 To view Anduril's candidate data privacy policy, please visit https://anduril.com/applicant\-privacy\-notice/.</t>
        </is>
      </c>
    </row>
    <row r="176">
      <c r="A176" t="inlineStr">
        <is>
          <t>li-4372944710</t>
        </is>
      </c>
      <c r="B176" t="inlineStr">
        <is>
          <t>Senior Full Stack Software Engineer</t>
        </is>
      </c>
      <c r="C176" t="inlineStr">
        <is>
          <t>SoFi</t>
        </is>
      </c>
      <c r="D176" t="inlineStr">
        <is>
          <t>linkedin</t>
        </is>
      </c>
      <c r="E176">
        <f>HYPERLINK("https://www.linkedin.com/jobs/view/4372944710", "https://www.linkedin.com/jobs/view/4372944710")</f>
        <v/>
      </c>
      <c r="F176" t="inlineStr"/>
      <c r="G176" t="inlineStr">
        <is>
          <t>Frisco, TX</t>
        </is>
      </c>
      <c r="H176" t="inlineStr"/>
      <c r="I17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Software Engineer you’ll play a critical, hands\-on role in building, deploying, and optimizing scalable, enterprise\-class, production\-grade, full\-stack custom applications. The ideal candidate has 5\+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for advanced AI workloads).
* Manage deployment pipelines and infrastructure as code using ArgoCD, GitLab CI/CD, and AWS best practices.
* Collaborate with the AI engineers on the team to implement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5\+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77">
      <c r="A177" t="inlineStr">
        <is>
          <t>li-4364187093</t>
        </is>
      </c>
      <c r="B177" t="inlineStr">
        <is>
          <t>Senior Software Engineer, AI/ML GenAI, Google Play</t>
        </is>
      </c>
      <c r="C177" t="inlineStr">
        <is>
          <t>Google</t>
        </is>
      </c>
      <c r="D177" t="inlineStr">
        <is>
          <t>linkedin</t>
        </is>
      </c>
      <c r="E177">
        <f>HYPERLINK("https://www.linkedin.com/jobs/view/4364187093", "https://www.linkedin.com/jobs/view/4364187093")</f>
        <v/>
      </c>
      <c r="F177" t="inlineStr"/>
      <c r="G177" t="inlineStr">
        <is>
          <t>Mountain View, CA</t>
        </is>
      </c>
      <c r="H177" t="inlineStr"/>
      <c r="I177" t="inlineStr">
        <is>
          <t>**Minimum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state of the art GenAI techniques (e.g., LLMs, Multi\-Modal, Large Vision Models) or with GenAI\-related concepts (language modeling, computer vision).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8">
      <c r="A178" t="inlineStr">
        <is>
          <t>li-4372758129</t>
        </is>
      </c>
      <c r="B178" t="inlineStr">
        <is>
          <t>Software Engineer, SaaS Protection</t>
        </is>
      </c>
      <c r="C178" t="inlineStr">
        <is>
          <t>Rubrik</t>
        </is>
      </c>
      <c r="D178" t="inlineStr">
        <is>
          <t>linkedin</t>
        </is>
      </c>
      <c r="E178">
        <f>HYPERLINK("https://www.linkedin.com/jobs/view/4372758129", "https://www.linkedin.com/jobs/view/4372758129")</f>
        <v/>
      </c>
      <c r="F178" t="inlineStr"/>
      <c r="G178" t="inlineStr">
        <is>
          <t>Palo Alto, CA</t>
        </is>
      </c>
      <c r="H178" t="inlineStr"/>
      <c r="I178" t="inlineStr">
        <is>
          <t>**About Team \&amp; About Role**
 The team you are joining focuses on SaaS application protection, such as Salesforce, Office 365, etc. As the industry moves more towards SaaS applications in the cloud, data protection (backup and recovery) for these SaaS applications becomes a critical need for our customers.
 You’ll work on problems at scale such as how to efficiently provide data protection for millions of users’ emails or documents. You’ll be part of the team that drives the next generation of SaaS protection and drives the company’s next growth engine.
**What You’ll Do**
* Design, build, and maintain Rubrik’s cloud data protection services
* Problem solve
* Collaborate with partner teams such as Product Management, UI, UX, documentation and support teams
**Experience You’ll Need**
* 0\-2 years of experience in developing large\-scale distributed systems
* Exceptional understanding of distributed systems
* Sound understanding of cloud architecture and internals for AWS, Azure, or GCP
* Proven experience in data structures, algorithms, software design, and systems analysis
* A degree in Computer Science or equivalent
**Preferred Qualifications**
* Experience in Golang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$126,500—$189,700 USD
 Join Us in Securing the World's Data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row>
    <row r="179">
      <c r="A179" t="inlineStr">
        <is>
          <t>li-4372783158</t>
        </is>
      </c>
      <c r="B179" t="inlineStr">
        <is>
          <t>Sr. Software Engineer</t>
        </is>
      </c>
      <c r="C179" t="inlineStr">
        <is>
          <t>Blackhawk Network</t>
        </is>
      </c>
      <c r="D179" t="inlineStr">
        <is>
          <t>linkedin</t>
        </is>
      </c>
      <c r="E179">
        <f>HYPERLINK("https://www.linkedin.com/jobs/view/4372783158", "https://www.linkedin.com/jobs/view/4372783158")</f>
        <v/>
      </c>
      <c r="F179" t="inlineStr"/>
      <c r="G179" t="inlineStr">
        <is>
          <t>Coppell, TX</t>
        </is>
      </c>
      <c r="H179" t="inlineStr"/>
      <c r="I179"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This position is "Hybrid' and requires 2 days per week in our
 **Coppell, TX** 
 office.
**Overview**
 We are seeking a highly motivated and experienced Senior Software Engineer to join our Platform Engineering team. This role is ideal for someone passionate about building scalable observability platforms, integrating real\-time metrics pipelines, and working with time\-series databases to drive system reliability and performance insights.
 As a key contributor, you will design and implement core observability infrastructure, collaborate across engineering teams, and help shape the future of our metrics and monitoring ecosystem. We’re looking for someone with a strong sense of ownership, a hunger to solve complex problems, and the ability to work both independently and collaboratively.
**Responsibilities**
* Architect, build, and maintain observability platforms using Python, Time\-Series Databases, Events, Logs, etc.
* Design and implement real\-time metrics pipelines and time\-series data processing systems.
* Develop scalable APIs and services to expose observability data to internal teams.
* Integrate observability tooling into CI/CD pipelines and service deployment workflows.
* Collaborate with SRE, DevOps, and application teams to embed observability best practices across the SDLC.
* Define and implement SLIs/SLOs, alerting strategies, and performance dashboards.
* Troubleshoot complex distributed systems and contribute to reducing MTTD and MTTR.
* Stay current with emerging observability technologies and advocate for their adoption.
**Qualifications**
**Qualifications:**
* 7\+ years of experience in software engineering, platform engineering, or SRE roles.
* Deep expertise in observability tools and practices (e.g., New Relic, Splunk, Grafana, OpenTelemetry, Splunk, Coralogix).
* Strong programming skills in Python.
* Experience with real\-time systems, metrics collection, and time\-series databases (e.g., InfluxDB, AWS Timestream).
* Proficiency with AWS services, especially CloudWatch, Lambda, and related infrastructure.
* Familiarity with infrastructure as code (Terraform, CloudFormation) and container orchestration (Kubernetes).
* Solid understanding of distributed systems, microservices, and event\-driven architectures.
* Excellent communication skills and a collaborative mindset.
**Why Join Us?**
* Work on mission\-critical systems that power global\-scale platforms.
* Collaborate with a passionate and high\-performing team.
* Influence the direction of observability and metrics strategy across the company.
* Enjoy flexibility with remote or hybrid work options.
 If you're a builder at heart with a passion for observability and a drive to make systems more reliable and transparent, we’d love to hear from you.
 We seek candidates who not only demonstrate curiosity and adaptability in emerging technologies but have also successfully implemented and utilized AI tools to enhance their work, improve processes, or deliver measurable results. Our teams embrace continuous learning and the thoughtful integration of AI to create meaningful impact – for our employees and the future of work.
**Benefits**
 Pay is based on several factors including but not limited to education, work experience, certifications, etc. In addition to your salary, Blackhawk Network offers benefits including 401k with employer match, medical, dental, vision, 12 paid holidays throughout the year 2026, sick pay accrual according to state law,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 .</t>
        </is>
      </c>
    </row>
    <row r="180">
      <c r="A180" t="inlineStr">
        <is>
          <t>li-4323656088</t>
        </is>
      </c>
      <c r="B180" t="inlineStr">
        <is>
          <t>Senior Embedded Software Engineer - Charging</t>
        </is>
      </c>
      <c r="C180" t="inlineStr">
        <is>
          <t>Lucid Motors</t>
        </is>
      </c>
      <c r="D180" t="inlineStr">
        <is>
          <t>linkedin</t>
        </is>
      </c>
      <c r="E180">
        <f>HYPERLINK("https://www.linkedin.com/jobs/view/4323656088", "https://www.linkedin.com/jobs/view/4323656088")</f>
        <v/>
      </c>
      <c r="F180" t="inlineStr"/>
      <c r="G180" t="inlineStr">
        <is>
          <t>Newark, CA</t>
        </is>
      </c>
      <c r="H180" t="inlineStr"/>
      <c r="I180"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**Senior Embedded Software Engineer \- Charging**
 We are seeking a highly skilled
 *Senior Embedded Software Engineer \- Charging* 
 with strong proficiency in
 **Embedded C** 
 , micro\-controller programming, and real\-time automotive development. The ideal candidate has experience with
 **multicore and ARM\-based MCUs** 
 , board bring\-up, AUTOSAR configuration, diagnostics development, and automotive communication interfaces such as
 **CAN, LIN, and Ethernet** 
 . Experience in power electronics or EV charging systems is a strong plus.
**Key Responsibilities**
* Design, develop, and optimize embedded C software for automotive control systems.
* Program and debug multicore and ARM\-based micro\-controllers for real\-time applications.
* Bring up new hardware boards, validate MCU peripherals, and develop low\-level drivers.
* Develop internal test software, diagnostic routines, and automation scripts.
* Configure AUTOSAR Basic Software (BSW) modules using Vector or EB tools.
* Develop vehicle diagnostics including DIDs, DTCs, UDS routines, and diagnostic communication flows.
* Collaborate with hardware, controls, and systems teams for seamless integration and issue resolution.
* Support system\-level debugging, bench testing, and on\-vehicle bring\-up.
* Manage requirements, traceability, and documentation using Jama, Jira, and Confluence.
**Required Qualifications**
* Bachelor's degree in Electrical Engineering, Computer Engineering or similar technical field is required. Master's degree or higher education is preferred.
* 4 years or more experience in embedded software engineering for automotive control systems, power electronics \&amp;/or EV charging systems.
* Strong proficiency in Embedded C and real\-time embedded software development.
* Hands\-on experience with multicore micro\-controller and ARM\-based MCU programming.
* Proficiency with T32 (Trace32\) or equivalent low\-level debugging tools.
* Strong understanding of vehicle system architecture and ECU\-to\-ECU interactions in electric vehicles.
* Experience configuring AUTOSAR BSWs using Vector or EB tools.
* Experience developing diagnostics (DIDs, DTCs, UDS routines).
* Proficiency with automotive communication protocols and tools, including:
 o
 **CAN, LIN, Ethernet, SPI**
* Familiar with micro\-controller peripheral:
 o
 **CAN, LIN, SPI, Ethernet**
* ADC, DAC, PWM.
* Flash, Crosscore, MPU etc.
* Use automotive tools such as Vector CANape, CANalyzer/Catalyzer, LIN/CAN/Ethernet sniffing tools for development and validation.
* Experience in board bring\-up, low\-level driver development, and hardware–software debugging.
* Ability to develop Python automation scripts for testing and validation.
* Experience with Jama and Jira/Confluence.
* Knowledge of high\-voltage safety and automotive product safety concepts.
* Strong organizational skills and attention to detail.
**Preferred Qualifications**
* Experience with MATLAB/Simulink model\-based development and auto\-code generation.
* Knowledge of power electronics (AC/DC, DC/DC converters).
* Experience with EV charging standards (J1772, ISO 15118\).
* Familiarity with power conversion controls or V2X/V2H/V2G systems.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Base Pay Range (Annual)
 $158,400—$217,800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181">
      <c r="A181" t="inlineStr">
        <is>
          <t>li-4372947153</t>
        </is>
      </c>
      <c r="B181" t="inlineStr">
        <is>
          <t>Senior Fullstack Engineer, Patient Experience</t>
        </is>
      </c>
      <c r="C181" t="inlineStr">
        <is>
          <t>Midi Health</t>
        </is>
      </c>
      <c r="D181" t="inlineStr">
        <is>
          <t>linkedin</t>
        </is>
      </c>
      <c r="E181">
        <f>HYPERLINK("https://www.linkedin.com/jobs/view/4372947153", "https://www.linkedin.com/jobs/view/4372947153")</f>
        <v/>
      </c>
      <c r="F181" t="inlineStr"/>
      <c r="G181" t="inlineStr">
        <is>
          <t>San Francisco, CA</t>
        </is>
      </c>
      <c r="H181" t="inlineStr"/>
      <c r="I181" t="inlineStr">
        <is>
          <t>**Senior Full\-stack Engineer**
**Location:** 
 Hybrid\- Palo Alto Office Tuesday/Thursday
**The difference you will make**
 We're looking for a senior fullstack engineer to join our growing team as we rapidly scale towards our mission of revolutionizing healthcare. You will focus on our Patient Experience vertical, building products and apps that cover the full patient lifecycle, from discovery to booking to ongoing care management and engagement. You will also drive large projects through all developmental stages \- early brainstorming and requirements refining, architectural design, execution, testing, rollout and iteration.
 If you are a highly motivated, pragmatic engineer looking for a dynamic role in a mission driven company, this role is for you!
**What you** 
**will do**
* Work collaboratively with other engineers, PM’s, designers and stakeholders to enhance existing products and bring new products to life
* Craft exceptional, thoughtful, scalable and flexible products and code, balancing for speed of execution and scalability
* Actively contribute to and influence engineering processes, culture, practices, and systems
* Analyze complex technical problems and architect elegant and effective solutions
* Review code and collaborate with teammates on technical decisions
**About You**
* You have 6\+ years of experience building scalable engineering solutions across the stack, ideally in a consumer\-facing startup environment.
* You possess expert\-level production experience in Django/DRF and React/Next.js.
* You excel at working with non\-engineering stakeholders (Design, Product, Executive Leadership, Marketing) to align technical decisions with business value.
* You take a proactive ownership mindset toward the entire development lifecycle, from early brainstorming to long\-term iteration
* You are a believer in automated testing, continuous integration, and high code quality.
* You have interest and experience in coaching/mentoring junior engineers.
* You take a collaborative approach to building software with both engineering and non\-engineering team members.
* You help create a respectful, low\-ego team environment, approaching discussions with curiosity and humility.
**Interview Process:**
* Recruiter Screen (30 min)
* Hiring Manager Screen (45 min)
* Live Technical Assessment (90 min)
* On\-Site Interview and lunch (150 min)
 At this time, Midi Health is
 **not able to sponsor or take over sponsorship of any employment visa** 
 (including H\-1B, TN, or other work authorization). Applicants must be authorized to work in the U.S. without current or future visa sponsorship.
 While you are waiting for us to review your resume, here is some fun content to check out.
 Midi 2024 in Review
 Women Leaders Invest in Midi
 Patient Testimonials
 At Midi Health, we are committed to pay transparency and equity. The estimated salary range for this role is
 **$170,000\-$220,000** 
 per year, based on factors such as experience and skills. In addition to base salary, employees are eligible for a wide range of benefits and equity in the company,
 We believe in fair and competitive compensation practices that align with our values of equity and inclusion. If you have any questions about how we determine pay, we’re happy to discuss further in the hiring process.
 Please note that all official communication from Midi Health will come from an
 **@joinmidi.com** 
 email address. We will
 **never** 
 ask for payment of any kind during the application or hiring process. If you receive any suspicious communication claiming to be from Midi Health, please report it immediately by emailing us at
 **careers@joinmidi.com** 
 .
 Midi Health is an Equal Opportunity Employer. All qualified applicants will receive consideration for employment without regard to race, color, religion, sex, sexual orientation, gender identity, national origin, disability, or protected veteran status.
 Please find our CCPA Privacy Notice for California Candidates here.</t>
        </is>
      </c>
    </row>
    <row r="182">
      <c r="A182" t="inlineStr">
        <is>
          <t>li-4365592033</t>
        </is>
      </c>
      <c r="B182" t="inlineStr">
        <is>
          <t>Senior Software Engineer, AI/ML, Google Cloud Compute</t>
        </is>
      </c>
      <c r="C182" t="inlineStr">
        <is>
          <t>Google</t>
        </is>
      </c>
      <c r="D182" t="inlineStr">
        <is>
          <t>linkedin</t>
        </is>
      </c>
      <c r="E182">
        <f>HYPERLINK("https://www.linkedin.com/jobs/view/4365592033", "https://www.linkedin.com/jobs/view/4365592033")</f>
        <v/>
      </c>
      <c r="F182" t="inlineStr"/>
      <c r="G182" t="inlineStr">
        <is>
          <t>Sunnyvale, CA</t>
        </is>
      </c>
      <c r="H182" t="inlineStr"/>
      <c r="I182" t="inlineStr">
        <is>
          <t>**Minimum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3">
      <c r="A183" t="inlineStr">
        <is>
          <t>li-4372963774</t>
        </is>
      </c>
      <c r="B183" t="inlineStr">
        <is>
          <t>Senior Software Engineer - Chicago</t>
        </is>
      </c>
      <c r="C183" t="inlineStr">
        <is>
          <t>Tempus AI</t>
        </is>
      </c>
      <c r="D183" t="inlineStr">
        <is>
          <t>linkedin</t>
        </is>
      </c>
      <c r="E183">
        <f>HYPERLINK("https://www.linkedin.com/jobs/view/4372963774", "https://www.linkedin.com/jobs/view/4372963774")</f>
        <v/>
      </c>
      <c r="F183">
        <f>HYPERLINK("https://tempus.wd5.myworkdayjobs.com/Tempus_Careers/job/Chicago/Senior-Software-Engineer\u002d\u002d-Chicago_JR202600134-1?source=LinkedIn&amp;urlHash=O289", "https://tempus.wd5.myworkdayjobs.com/Tempus_Careers/job/Chicago/Senior-Software-Engineer\u002d\u002d-Chicago_JR202600134-1?source=LinkedIn&amp;urlHash=O289")</f>
        <v/>
      </c>
      <c r="G183" t="inlineStr">
        <is>
          <t>Chicago, IL</t>
        </is>
      </c>
      <c r="H183" t="inlineStr"/>
      <c r="I183"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****Technical Requirements****
* 5\+ years of advanced TypeScript/JavaScript development with deep understanding of language features and optimization techniques
* Extensive experience architecting and leading development with Node.js and NestJS frameworks
* Expert\-level React development with demonstrated ability to design and implement complex component systems
* Advanced PostgreSQL skills including query optimization, indexing strategies, and performance tuning
* Proven expertise implementing sophisticated Redis caching solutions for high\-throughput systems
* Demonstrated success designing and implementing distributed microservice architectures
* Significant experience orchestrating infrastructure and applications on GCP, including CI/CD pipelines
* Mastery of enterprise\-level design patterns and their practical application in large\-scale, mission\-critical systems
****What Makes You a Great Fit****
* 7\+ years of software development experience with a track record of technical leadership
* Ability to make high\-impact architectural decisions that balance business needs with technical considerations
* Experience mentoring engineering teams and establishing technical best practices
* History of successfully delivering complex projects in fast\-paced environments
* Strong communication skills with experience presenting technical solutions to diverse stakeholders
* Proven ability to drive cross\-team technical initiatives and resolve complex engineering challenges
****Bonus Points****
* Experience with containerization orchestration (Docker, Kubernetes)
* Background in biotech, genomics, or precision medicine
* Success leading system migrations between cloud platforms (e.g., AWS to GCP)
**Join us in building software solutions that are revolutionizing healthcare and improving patient outcomes worldwide.**
 CHI: $110,000\-$160,000
 This role is Hybrid in Chicago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184">
      <c r="A184" t="inlineStr">
        <is>
          <t>li-4334599631</t>
        </is>
      </c>
      <c r="B184" t="inlineStr">
        <is>
          <t>Mobile Software Engineer</t>
        </is>
      </c>
      <c r="C184" t="inlineStr">
        <is>
          <t>DataAnnotation</t>
        </is>
      </c>
      <c r="D184" t="inlineStr">
        <is>
          <t>linkedin</t>
        </is>
      </c>
      <c r="E184">
        <f>HYPERLINK("https://www.linkedin.com/jobs/view/4334599631", "https://www.linkedin.com/jobs/view/4334599631")</f>
        <v/>
      </c>
      <c r="F184" t="inlineStr"/>
      <c r="G184" t="inlineStr">
        <is>
          <t>Washington, United States</t>
        </is>
      </c>
      <c r="H184" t="inlineStr"/>
      <c r="I184"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85">
      <c r="A185" t="inlineStr">
        <is>
          <t>li-4343158725</t>
        </is>
      </c>
      <c r="B185" t="inlineStr">
        <is>
          <t>Staff Full Stack Engineer</t>
        </is>
      </c>
      <c r="C185" t="inlineStr">
        <is>
          <t>SoFi</t>
        </is>
      </c>
      <c r="D185" t="inlineStr">
        <is>
          <t>linkedin</t>
        </is>
      </c>
      <c r="E185">
        <f>HYPERLINK("https://www.linkedin.com/jobs/view/4343158725", "https://www.linkedin.com/jobs/view/4343158725")</f>
        <v/>
      </c>
      <c r="F185">
        <f>HYPERLINK("https://boards.greenhouse.io/sofi/jobs/7559888003?gh_src=7ed8869b3us&amp;source=LinkedIn&amp;urlHash=cJha", "https://boards.greenhouse.io/sofi/jobs/7559888003?gh_src=7ed8869b3us&amp;source=LinkedIn&amp;urlHash=cJha")</f>
        <v/>
      </c>
      <c r="G185" t="inlineStr">
        <is>
          <t>New York, NY</t>
        </is>
      </c>
      <c r="H185" t="inlineStr"/>
      <c r="I18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Staff Full Stack Engineer you’ll play a critical, hands\-on role in building, deploying, and optimizing scalable, enterprise\-class, production\-grade, full\-stack custom applications. The ideal candidate has 8\+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or equivalent for advanced AI workloads).
* Manage deployment pipelines and infrastructure as code using ArgoCD, GitLab CI/CD, and AWS best practices.
* Collaborate with the AI engineers on the team to implement production grade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8\+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86">
      <c r="A186" t="inlineStr">
        <is>
          <t>li-4245484977</t>
        </is>
      </c>
      <c r="B186" t="inlineStr">
        <is>
          <t>Sr. Embedded Software Engineer</t>
        </is>
      </c>
      <c r="C186" t="inlineStr">
        <is>
          <t>Panasonic Avionics Corporation</t>
        </is>
      </c>
      <c r="D186" t="inlineStr">
        <is>
          <t>linkedin</t>
        </is>
      </c>
      <c r="E186">
        <f>HYPERLINK("https://www.linkedin.com/jobs/view/4245484977", "https://www.linkedin.com/jobs/view/4245484977")</f>
        <v/>
      </c>
      <c r="F186">
        <f>HYPERLINK("http://careers.na.panasonic.com/jobs/44014?lang=en-us&amp;iis=Job+Board&amp;iisn=Linkedin&amp;urlHash=o-R_", "http://careers.na.panasonic.com/jobs/44014?lang=en-us&amp;iis=Job+Board&amp;iisn=Linkedin&amp;urlHash=o-R_")</f>
        <v/>
      </c>
      <c r="G186" t="inlineStr">
        <is>
          <t>Irvine, CA</t>
        </is>
      </c>
      <c r="H186" t="inlineStr"/>
      <c r="I186"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Avionics Way**
 The Avionics Way captures the essence of what makes our employees special, and by extension, our organization. It’s comprised of 5 core identifiers \- Pioneers, Problem Solvers, Accountable, Collaborative, and Customer Focused \- that together form a robust, working framework for our continued success. Beyond a philosophy, the Avionics Way is our guide to daily practices. It provides a clear, actionable model to help employees, at all levels, realize their ambitions through outsized contributions to their teams and the company. This model clearly defines expectations for performance at all levels of the organization, as well as establishes specific actions and modes of working that reinforce our philosophy on the path to achieving our goals.
**Responsibilities**
**Job Summary:**
 Responsible for taking a leading role in researching, developing, and maintaining real\-time embedded software including complex development. Linux OS/Kernel configuration for various hardware architectures as well as verifying hardware through software. High\-level architecture development in C/C\+\+, hardware device drivers, networked client\-server applications, multiple database driven applications, and network security methodologies. Has specific technical project or product responsibility. Provides mentorship, leadership and/or technical guidance to engineers on a project
**Major Responsibilities**
* Translates designs into software by analyzing functional specifications and interpreting complex system design specifications and provides systems engineering support on large\- scale systems, major system elements, and/or interfacing systems, requiring extensive investigation and clarification.
* Develops functional block diagrams and data/logic flow charts. Develops strategic and implementation plans for large\-scale information systems.
* Codes, integrates, tests, debugs, and refines the software to produce the required product.
* Designs complex software tools and subsystems to support software development, test, and reuse, and manages their implementation.
* Enhances software to reduce operating time or improve efficiency.
* Develops system architecture and design including software, hardware, communications and interface requirements.
* Reviews, evaluates, and analyzes design interfaces. Prepares, reviews, and evaluates interface documentation, specifications, test plans and procedures.
* Conducts analysis to define, analyze and allocate requirements. Prepares program\-level and user\-level documentation.
* Supports system test programs and analyzes system testing.
* Supports strategic system migration
* Performs analysis to define, analyze and allocate requirements and conducts analysis of system requirements and components and performs system audits to ensure all intended system functionality, operations and performance requirements are achieved.
* Documents designs in engineering documents including functional block diagrams and data/logic flow charts.
* Provides systems engineering support on systems, major system elements, and/or interfacing systems.
* Leads and directs the work of others.
* Highly proficient in project planning to ensure timely completion of complex, independent tasks or one or more complex projects. Must know, plan for an integrate internal and external dependencies across multi\-functions
* Proven ability to develop technical approach or design, resource, allocation or time schedule on projects
* Demonstrated high level of experience providing identifiable technical contributions to the success of a specific product/project
* Utilizes specialized knowledge in order to provide recommendations and make decisions in matter of significance to the product and company
* Works on complex issues where analysis of situations or date requires an in\-depth evaluation of variable factors
* Expert with commonly used concepts, practices, and procedures within the Electronic Engineering field
* Interacts with senior internal and external personnel.
* Internal and external contacts often pertain to company plans and objectives.
* Demonstrated engineering communication expertise including concise written and verbal skills.
**Knowledge / Skill Requirements**
* Expert level of C\+\+ programming experience in Linux environment including TCP/IP network programming
* Familiarity with network security methodologies is a plus
* Experience working on distributed applications using Go/Python
* Experience developing, deploying and maintaining applications on AWS infrastructure
* Prior experience with multimedia application development including streaming audio/video servers and clients highly desirable
* Demonstrated ability to manage multiple priorities and make efficient use of given resources such as system lab time and down\-stream process owners and tasks.
* Ability to resolve complex problems quickly efficiently.
* IFE development involves many system level issues including real time, performance and reliability requiring understanding of distributed processors in an embedded system environment. Many problems multi\-dimensional requiring non\-traditional solutions to fit within the constraints of an embedded system providing highest value to the customer and end user to bring entertainment in an aircraft.
* A wide degree of creativity and latitude is expected
* Demonstrated ability to lead multi\-function teams to achieve positive results for complex projects
* Performs as mentor, leader, technical expert and a source of information
* Determines methods and procedures on new assignments and provide guidance to other technical positions
**Qualifications**
**Education / Experience Requirements:**
* Bachelor of Science Degree in Computer Sciences, Computer Engineering or Software Engineering, or equivalent experience.
* Advanced degree is preferred.
* 15\+ years' of embedded software development experience and 3\+ years of Linux application development experience.
* IFE system development experience is a plus.
**Other Requirements**
* Ability to travel to domestic or international locations as required, up to 10% of the time.
 The salary range of
 **$138,000 \- $231,000** 
 is just one component of Panasonic’s total package. The final offer amount may vary based on factors including but not limited to individual’s knowledge, skills, experience, and location. In addition, this role may be eligible for discretionary bonuses and incentives.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REQ\-151758</t>
        </is>
      </c>
    </row>
    <row r="187">
      <c r="A187" t="inlineStr">
        <is>
          <t>li-4256064995</t>
        </is>
      </c>
      <c r="B187" t="inlineStr">
        <is>
          <t>Software Engineer / Ruby on Rails/ Back-end (San Francisco)</t>
        </is>
      </c>
      <c r="C187" t="inlineStr">
        <is>
          <t>Levelpath</t>
        </is>
      </c>
      <c r="D187" t="inlineStr">
        <is>
          <t>linkedin</t>
        </is>
      </c>
      <c r="E187">
        <f>HYPERLINK("https://www.linkedin.com/jobs/view/4256064995", "https://www.linkedin.com/jobs/view/4256064995")</f>
        <v/>
      </c>
      <c r="F187" t="inlineStr"/>
      <c r="G187" t="inlineStr">
        <is>
          <t>San Francisco, CA</t>
        </is>
      </c>
      <c r="H187" t="inlineStr"/>
      <c r="I187" t="inlineStr">
        <is>
          <t>**About Levelpath**
 Founded in 2022 and backed by some of the top venture capital firms in the Silicon Valley, Levelpath is on a mission to revolutionize the modern procurement software industry and make it
 *delightful.* 
 No matter the business size or needs, our platform simplifies the procurement process for everyone in the organization, making enterprises faster, safer, and more transparent.
 We’re applying AI across the platform to empower users and enhance productivity, streamline workflows, and unlock unprecedented procurement possibilities.
 At Levelpath, we believe growth happens outside your comfort zone and that we live up to our full potential when we’re challenged. This is an environment where everyone is driven to solve problems that haven’t been solved.
**Engineering At Levelpath**
 We believe growth happens outside your comfort zone and that we live up to our full potential when we’re challenged. This is an environment of high accountability and execution where everyone is an owner, driven to solve hard problems that haven’t been solved.
 We’re applying AI across the platform to empower users and enhance productivity, streamline workflows, and unlock unprecedented procurement possibilities.
 We are looking for passionate backend developers to help us build our customer\-facing applications. To be successful in this role you must have several years of experience with Ruby and Ruby On Rails, have experience with service\-oriented architectures, GraphQL, REST, and have experience working with front\-end teams (we use React/TS).
 This position is in\-person, located in downtown San Francisco. In this role you will have the opportunity to be a leader within a team in an agile environment with short decision paths. We’re building a generational company in which you will be a key founding member.
**What You Will Do**
* Within your first couple of months you will lead development on a large part of the platform with a strong sense of ownership and user obsession
* Apply your back\-end and distributed systems experience to help scale our Rails\-based platform and drive continuous improvement in code quality, tools and processes
* Work collaboratively in San Francisco and with our global team.
* Identify customer challenges, develop innovative solutions, and continuously prototype, refine, demo, and deliver every day.
**What You Bring To The Table**
* 3\+ years using Ruby On Rails
* PostgreSQL, MySQL Knowledge
* Excellent communication skills both verbal and written
* Appreciation for a collaborative, test\-driven environment
* Able to write well\-structured and maintainable code
* Experience with Docker is a plus
**Bonus Points**
* High\-growth SaaS experience, including scalability challenges
* Familiarity with building AI tools and leveraging AI to build faster
* Knowledge in frontend systems/frameworks like React/TS and similar is a plus
**What We Offer**
* Top salary and equity
* A dynamic, agile culture with streamlined decision\-making processes
* Learn from the best: High caliber team with a wealth of knowledge
* Ability to have strong customer context and autonomy
* 401K, Medical, Dental and Vision insurance
*Levelpath is committed to equal treatment and opportunity in all aspects of recruitment, selection, and employment. We work hard to evaluate all employees and job applicants consistently, without regard to race, color, religion, gender, national origin, age, disability, pregnancy, gender expression or identity, sexual orientation, citizenship, or any other legally protected class. We’re working to build a more inclusive economy where our customers have equal access to opportunity, and we strive to live by these same values in our workplace.*</t>
        </is>
      </c>
    </row>
    <row r="188">
      <c r="A188" t="inlineStr">
        <is>
          <t>li-4381351840</t>
        </is>
      </c>
      <c r="B188" t="inlineStr">
        <is>
          <t>Software Engineer</t>
        </is>
      </c>
      <c r="C188" t="inlineStr">
        <is>
          <t>Haystack</t>
        </is>
      </c>
      <c r="D188" t="inlineStr">
        <is>
          <t>linkedin</t>
        </is>
      </c>
      <c r="E188">
        <f>HYPERLINK("https://www.linkedin.com/jobs/view/4381351840", "https://www.linkedin.com/jobs/view/4381351840")</f>
        <v/>
      </c>
      <c r="F188" t="inlineStr"/>
      <c r="G188" t="inlineStr">
        <is>
          <t>Washington, DC</t>
        </is>
      </c>
      <c r="H188" t="inlineStr"/>
      <c r="I188" t="inlineStr">
        <is>
          <t>**Full Stack Developer \| Ashburn, VA \| Hybrid \| $107,900 \- $195,050** 
 We're working with a premier global leader in mission\-critical national security technology on this exciting opportunity. Join a high\-stakes team modernizing the digital infrastructure that secures U.S. borders, utilizing a cutting\-edge SecDevOps stack to build real\-time, scalable systems for the Department of Homeland Security.
**The Role** 
 • Architect and deliver highly available, cloud\-ready applications using JAVA and React to support the Passenger Systems Program Directorate (PSPD).
 • Work within a fast\-paced Agile Scrum environment to migrate legacy systems to modern Microservices and RESTful API architectures.
 • Harness SecDevOps principles to deploy containerized applications, specifically utilizing Konvoy and Kubernetes\-based environments.
 • Lead the full software development life cycle (SDLC), from initial scope and performance benchmarking to hands\-on coding and automated testing with Selenium.
 • Drive the implementation of modern authorization protocols like JWT and manage state\-heavy front\-ends with Redux and Axios.
**What You'll Need** 
 • Minimum of 4\-10 years of professional software engineering experience with a deep proficiency in JAVA and JavaScript (ES6\+).
 • 3\+ years of experience building cloud\-native applications and deploying to AWS or Google Cloud Platform (GCP).
 • Mastery of modern front\-end frameworks, specifically React or Angular, including DOM manipulation and the JavaScript object model.
 • Hands\-on experience with containerization technologies and build tools like Webpack, Babel, NPM, and Node.js.
 • U.S. Citizenship and the ability to obtain a CBP Background Investigation (BI); experience with DHS/CBP environments is a major plus.
**What's On Offer** 
 • Competitive salary range up to $195k with a performance\-driven culture that outpaces the status quo.
 • Robust benefits suite including comprehensive Health \&amp; Wellness programs and secure retirement plans.
 • Hybrid flexibility (2 days/week in Ashburn) combined with a mission\-critical impact that protects millions of travelers.
 • Opportunity to work with a technology disruptor handling $16B\+ in annual mission\-critical innovation.
**Apply via Haystack today!**</t>
        </is>
      </c>
    </row>
    <row r="189">
      <c r="A189" t="inlineStr">
        <is>
          <t>li-4381366692</t>
        </is>
      </c>
      <c r="B189" t="inlineStr">
        <is>
          <t>Senior Software Developer</t>
        </is>
      </c>
      <c r="C189" t="inlineStr">
        <is>
          <t>Scadea Software Solutions</t>
        </is>
      </c>
      <c r="D189" t="inlineStr">
        <is>
          <t>linkedin</t>
        </is>
      </c>
      <c r="E189">
        <f>HYPERLINK("https://www.linkedin.com/jobs/view/4381366692", "https://www.linkedin.com/jobs/view/4381366692")</f>
        <v/>
      </c>
      <c r="F189" t="inlineStr"/>
      <c r="G189" t="inlineStr">
        <is>
          <t>Princeton, NJ</t>
        </is>
      </c>
      <c r="H189" t="inlineStr"/>
      <c r="I189" t="inlineStr">
        <is>
          <t>(Scadea Software Solutions Inc has an opening in Princeton, NJ) Senior Software Developer: Oversee and provide guidance in designing and developing scalable applications. Coordinate the creation of interactive user interfaces through the implementation of front\-end technologies like HTML, CSS, JavaScript, XML, and JSON. Oversee the use of RDBMS and NoSQL databases such as Oracle, SQL Server, and PostgreSQL. Perform final review and issue final approval of the development of REST APIs and Microservices to ensure seamless system integration and communication. Responsible for the management of build and release processes using tools like Maven, ANT, and Gradle. Coordinate version management and team collaboration while utilizing source control tools such as Git and SVN. Perform final review and issue final approval of the deployment of applications on web servers like Apache Tomcat and WebLogic. Coordinate the enhancement of application deployment and management using containerization and orchestration tools like Docker and Kubernetes. Apply independent, technical and procedural knowledge to identify and resolve issues through debugging, log analysis, and problem\-solving. Oversee the development of business opportunities in nearby areas outside the current clientele and oversee business development and organizational building initiatives. Utilize Java, J2EE, Spring, Hibernate, Java 8, and Agile/Scrum frameworks. Will work in various unanticipated locations throughout the U.S. Requires Bachelor’s in Computer Science, Information Technology, Engineering, or related and 3 years experience. 3 years must include experience with enterprise application development involving Java. 2 years must include experience in developing scalable backend services using Spring Boot and maintaining RESTful APIs to integrate third\-party services. Health/Dental insurance; Long\-term/short\-term disability; Vacation/earned leave pay. $130,603 per year. Send resume and refer to job title to careers@scadea.com.</t>
        </is>
      </c>
    </row>
    <row r="190">
      <c r="A190" t="inlineStr">
        <is>
          <t>li-4372993831</t>
        </is>
      </c>
      <c r="B190" t="inlineStr">
        <is>
          <t>Senior Full Stack Engineer - Teleport Connect</t>
        </is>
      </c>
      <c r="C190" t="inlineStr">
        <is>
          <t>Teleport</t>
        </is>
      </c>
      <c r="D190" t="inlineStr">
        <is>
          <t>linkedin</t>
        </is>
      </c>
      <c r="E190">
        <f>HYPERLINK("https://www.linkedin.com/jobs/view/4372993831", "https://www.linkedin.com/jobs/view/4372993831")</f>
        <v/>
      </c>
      <c r="F190">
        <f>HYPERLINK("https://jobs.ashbyhq.com/goteleport/900deafc-cd79-42b4-bb10-30497b6f5500/application?utm_source=YAjAJLZ8WE&amp;urlHash=vODn", "https://jobs.ashbyhq.com/goteleport/900deafc-cd79-42b4-bb10-30497b6f5500/application?utm_source=YAjAJLZ8WE&amp;urlHash=vODn")</f>
        <v/>
      </c>
      <c r="G190" t="inlineStr"/>
      <c r="H190" t="inlineStr"/>
      <c r="I190" t="inlineStr">
        <is>
          <t>**We help companies stay secure while moving fast.**
 Built by engineers for engineers, The Teleport Access Platform delivers on\-demand, least privileged access to infrastructure based on cryptographic identity and zero trust, with built\-in identity security and policy governance, making the happy path for engineers the secure path.
 Teleport is trusted by the world’s fastest\-moving companies, including Elastic, Snowflake, Doordash, and NASDAQ. We recently raised US$110M at a US$1\.1B valuation.
**Our Vision**
 Today's computing environments have too much complexity, too many network boundaries, and too little trust. Complexity slows engineers down and leads to human errors. Complex systems can’t be secure despite the red tape of bureaucracy. We make trusted computing simple. This gives engineers the freedom to move and build a better future.
**Why Teleport**
 At Teleport, we focus on empowering our people to accomplish their goals by working alongside highly talented people to make the most of their careers. You have the freedom, autonomy and trust to do what you’re great at and have a significant impact on the future prospects of the company.
 Whether that’s taking a feature or project from ideation to deployment or working with some of the biggest, most interesting companies in the world and solving real challenges for them, we want you to help us build the future.
 We’re not a big company. You won’t get lost in a crowd. Instead, we move fast, with a team that wants to make an impact, that shares in our success, and gives you the freedom, power, and autonomy to become the very best at what you do.
****About Us****
 Teleport is the Infrastructure Identity Company, modernizing identity, access, and policy for infrastructure, improving engineering velocity and resiliency of critical infrastructure against human factors and/or compromise.
 We are a fast\-growing, well\-funded Y\-Combinator company. We value our craft, are strong supporters of work/life balance, and embrace a culture of humility, honesty, and transparency.
****About This Job****
 We are looking for product focused full stack engineers to work on Teleport itself.You will build the user interfaces and backend APIs to implement them for all parts of Teleport.You will work on the full product lifecycle from working with customers to understand their problems, writing RFDs for your proposed design, implementation, testing, and documentation.Teleport is an open source project and most of the code you will write will be open source and written in Go (or Rust), TypeScript, React.
**Projects you may work on**
* Teleport Connect, a desktop app providing quick access to Teleport resources
* Making Teleport more efficient by adding server\-side pagination and filtering capabilities
* Making Teleport easier to use by designing experiences that guide the user through the setup and onboarding process.
* Building user interfaces that support our passwordless vision.
****Requirements****
* Go experience
* TypeScript and React experience
* Strong understanding of web security
**Interview Process**
* You will join 30 minute intro call and we will walk you through the compensation, interview process and requirements.
* You join a Slack channel and submit a coding challenge in Go and TypeScript using GitHub.
****Benefits****
* Extensive health coverage
* Annual expense budget
* Rest \&amp; recovery policies that maximize leave and your ability to recharge
* Investment in your future with retirement savings plans
* Equity in a US $1\.1\-bn business
* Professional development opportunities
 Teleport is an equal opportunity employer and does not discriminate against any employee or applicant on the basis of age, color, disability, gender, national origin, race, religion, sexual orientation, veteran status, or any classifications protected by federal, state, or local law.
 Candidate Privacy Notice: For information about our collection and processing of job applicant personal data for this position, please see our Job Applicant Privacy Policy and Notice of Collection at https://goteleport.com/legal/apply/job\-applicant/
****The Benefits****
 While many companies flaunt their benefits and perks to convince you to join their company, we believe your career is more important than that. That’s why we focus on making your day\-to\-day the best it can be while empowering you to achieve your goals and aspirations.
 What does that mean?
* It means you’ll have the autonomy to make your own decisions and focus on what’s important to you and your role.
* It means having access to a senior team that supports you and wants to see you succeed.
* You’ll have a smart team you can learn from, collaborate with, and grow with.
* It means being able to make an impact and have a voice in the future of the feature, product or company direction. We don’t just leave you to focus on a niche. We allow you to spread your wings and take advantage of opportunities, challenging projects and exciting problems.
* It means removing the bureaucracy and red tape that stifles innovation while giving you access to all the information you need to build and take action more quickly.
* It means allowing you to have the career you’ve always wanted today, rather than having to “earn your stripes” and wait for the right moment. If you’re good enough, you’re good enough.
 But we don’t stop there.
 In Addition To The Career Opportunities At Teleport, We Offer a Whole Range Of Benefits That Help You To Maximize Your Future, Including:
* Extensive health coverage
* Annual expense budget
* Rest \&amp; recovery policies that maximize leave and your ability to recharge
* Investment in your future with retirement savings plans
* Equity in a US $1\.1\-bn business
* Professional development opportunities
**Do you have what it takes?**
 Get to use (and know) Teleport through our unique interview process
 At Teleport, we do things a bit differently. And when we say we only hire top talent, we actually mean it. Because of this, our interview process is different too \- and we’re proud of it. We let your work do the talking. We don’t go in for six rounds of interviews, live whiteboard or live\-coding. We don’t hire people that can talk a good game. We only want the best. And for that, we need to see what you can do, in your own time, in your own way. For real.
 But interviews are a two\-way street. Through the project, you’ll get a real taste of life at Teleport, including:
* We’re flexible \- you’ll have plenty of time to complete your project, if life gets in the way, that’s ok. We can \- work around you.
* We give you autonomy \- you’ll have the space and freedom to figure things out, make decisions, and problem\-solve.
* We’re collaborative \- Got questions?
* We have answers. You’ll have support from your team \- the one you’ll be working with day in day out if you’re successful in getting the role.
* We progress careers \- During the project, see how much you learn. That’s what working at Teleport is like. We like learning, on the job. All\-the\-time.
* We can move fast (if you can) \- two weeks sound like a long time? No problem? Early submissions are fine, and we’ll keep the process moving.
 Think you’ve got what it takes? We’d love to see it! Unconvinced? We can guarantee three things:
* It’ll challenge you.
* You'll learn a lot.
* If you love the process, you'll love working at Teleport.
 Teleport is an equal opportunity employer and does not discriminate against any employee or applicant on the basis of age, color, disability, gender, national origin, race, religion, sexual orientation, veteran status, or any classifications protected by federal, state, or local law.
 Candidate Privacy Notice: For information about our collection and processing of job applicant personal data for this position, please see our Job Applicant Privacy Policy and Notice of Collection at https://goteleport.com/legal/apply/job\-applicant/
 Compensation Range: $189,040 \- $278,000</t>
        </is>
      </c>
    </row>
    <row r="191">
      <c r="A191" t="inlineStr">
        <is>
          <t>li-4365553100</t>
        </is>
      </c>
      <c r="B191" t="inlineStr">
        <is>
          <t>Software Engineer, Android</t>
        </is>
      </c>
      <c r="C191" t="inlineStr">
        <is>
          <t>Otter.ai</t>
        </is>
      </c>
      <c r="D191" t="inlineStr">
        <is>
          <t>linkedin</t>
        </is>
      </c>
      <c r="E191">
        <f>HYPERLINK("https://www.linkedin.com/jobs/view/4365553100", "https://www.linkedin.com/jobs/view/4365553100")</f>
        <v/>
      </c>
      <c r="F191">
        <f>HYPERLINK("https://otter.ai/job-detail?gh_jid=7567754003&amp;gh_src=5tms1qyw3us&amp;urlHash=IBeG", "https://otter.ai/job-detail?gh_jid=7567754003&amp;gh_src=5tms1qyw3us&amp;urlHash=IBeG")</f>
        <v/>
      </c>
      <c r="G191" t="inlineStr">
        <is>
          <t>Mountain View, CA</t>
        </is>
      </c>
      <c r="H191" t="inlineStr"/>
      <c r="I191" t="inlineStr">
        <is>
          <t>**The Opportunity**
 We are looking for an exceptionally talented Android Software Engineer to contribute to the development of our widely\-used Android app. As the nature of work continues to evolve, so does the demand for mobile\-first solutions. To stay ahead of the curve, we are making significant investments in feature development that keeps pace with our web\-based product while also innovating on mobile\-specific functionality.The ideal candidate is a creative problem solver with a passion for innovation and a track record of delivering impactful solutions. If you’re excited about shaping the future of our Android app and seeing your ideas come to life in a dynamic, fast\-paced environment, we want to hear from you.
**Your Impact**
* Opportunity to bring your ideas to life and build exciting new features
* Work cross functionally with amazing PMs and Designers
* Collaborate with Engineers across a variety of domains (Server, Web, iOS)
* Take pride in building a reliable and performant application
* Contribute to and maintain an exceptionally high standard of code architecture
**We’re Looking For Someone Who**
* 2\+ years of professional experience developing Android apps with Kotlin
* Solid understanding of concurrency, networking, and memory management on Android devices
* Has a passion to build best\-in\-class user interfaces on mobile apps
* Exceptional ability to communicate effectively with colleagues on feature requirements and technical problems
* Bachelor’s degree in Computer Science, advanced degree preferred
**About Otter.ai**
 We are in the business of shaping the future of work. Our mission is to make conversations more valuable.
 With over 1B meetings transcribed, Otter.ai is the world’s leading tool for meeting transcription, summarization, and collaboration. Using artificial intelligence, Otter generates real\-time automated meeting notes, summaries, and other insights from in\-person and virtual meetings \- turning meetings into accessible, collaborative, and actionable data that can be shared across teams and organizations. The company is backed by early investors in Google, DeepMind, Zoom, and Tesla.
 Otter.ai is an equal opportunity employer. We proudly celebrate diversity and are committed to building an inclusive and accessible workplace. We provide reasonable accommodations for qualified applicants throughout the hiring process.
**Accessibility \&amp; Accommodations**
 Otter.ai is committed to providing reasonable accommodations for candidates with disabilities in our hiring process. If you need assistance or an accommodation during any stage of the recruitment process, please contact hr@otter.ai at least 3 business days before your interview.
* Otter.ai does not accept unsolicited resumes from 3rd party recruitment agencies without a written agreement in place for permanent placements. Any resume or other candidate information submitted outside of established candidate submission guidelines (including through our website or via email to any Otter.ai employee) and without a written agreement otherwise will be deemed to be our sole property, and no fee will be paid should we hire the candidate.
**Salary Range**
 Salary range: $155,000 to $185,000 USD per year.
 This salary range represents the low and high end of the estimated salary range for this position. The actual base salary offered for the role is dependent on several factors. Our base salary is just one component of a comprehensive total rewards package.</t>
        </is>
      </c>
    </row>
    <row r="192">
      <c r="A192" t="inlineStr">
        <is>
          <t>li-4280435089</t>
        </is>
      </c>
      <c r="B192" t="inlineStr">
        <is>
          <t>Senior Embedded Software Engineer</t>
        </is>
      </c>
      <c r="C192" t="inlineStr">
        <is>
          <t>Zipline</t>
        </is>
      </c>
      <c r="D192" t="inlineStr">
        <is>
          <t>linkedin</t>
        </is>
      </c>
      <c r="E192">
        <f>HYPERLINK("https://www.linkedin.com/jobs/view/4280435089", "https://www.linkedin.com/jobs/view/4280435089")</f>
        <v/>
      </c>
      <c r="F192">
        <f>HYPERLINK("https://www.flyzipline.com/careers/open-roles?gh_jid=6613419003&amp;urlHash=gTc-", "https://www.flyzipline.com/careers/open-roles?gh_jid=6613419003&amp;urlHash=gTc-")</f>
        <v/>
      </c>
      <c r="G192" t="inlineStr">
        <is>
          <t>South San Francisco, CA</t>
        </is>
      </c>
      <c r="H192" t="inlineStr"/>
      <c r="I192" t="inlineStr">
        <is>
          <t>**About Zipline**
 Do you want to change the world? Zipline is on a mission to transform the way goods move. Our aim is to solve the world’s most urgent and complex access challenges by building, manufacturing, and operating the first instant delivery and logistics system that serves all humans equally, wherever they are. From powering Rwanda’s national blood delivery network and Ghana’s COVID\-19 vaccine distribution, to providing on\-demand home delivery for Walmart and enabling healthcare providers to bring care directly to U.S. homes, we are transforming the way things move for businesses, governments, and consumers. The technology is complex but the idea is simple: a teleportation service that delivers what you need, when you need it, with zero emissions.
 Join Zipline and help us to make good on our promise to build an equitable and more resilient global supply chain for billions of people.
**About You And The Role**
 Are you eager to apply your technical skills to solve real\-world problems and drive meaningful change? Do you thrive in environments where you're given ownership, creative freedom, and complex challenges to tackle? If so, join our Field Systems Engineering team at Zipline—where your work directly impacts lives every day.
 Zipline’s long\-range drone platform began operations in Rwanda in 2016\. With a fixed\-wing design capable of flying over 200 km on a single charge, our drones enable fast, reliable delivery of critical medical supplies to remote communities. From helping new mothers in Rwanda to saving snake bite victims in Ghana, Zipline’s technology has already served millions across the African continent—delivering thousands of life\-saving products daily.
 The Field Systems Engineering (FSE) team operates at the intersection of Engineering and Operations. We ensure that the equipment we design is safe, robust, and reliable—because lives depend on it. As a Senior Embedded Software Engineer on the FSE team, you’ll play a crucial role in optimizing the performance and reliability of our long\-range drone systems.
 In this role, you’ll work closely with a range of cross\-functional engineers and flight operators to identify friction points in how our software supports daily operations for our Platform 1 vehicle that is supporting operations around the world. You’ll lead anomaly investigations, define data\-driven requirements, and drive execution of improvement projects to enhance system reliability, ease of maintenance, and overall usability. Whether you're implementing direct software improvements or coordinating efforts across multiple teams, your goal is to ensure the platform runs smoothly and efficiently. At times, you’ll step into a technical program management role—helping unblock other engineers, align priorities, and drive key projects forward. Success in this role requires an entrepreneurial mindset, strong technical foundation, excellent communication skills, and the ability to translate between the needs of operators in the field and the engineers building the system. If you thrive at the intersection of software and real\-world impact, and enjoy bringing clarity and progress to complex systems, you’ll feel right at home here.
**What You'll Do**
* Optimize and improve a complex, real\-world system used daily by operators—delivering timely solutions while ensuring all changes are thoroughly validated for safety and reliability.
* Travel to our international operations centers to understand how the system works in the real world.
* Become the go\-to expert on the existing flight software stack, along with its development, testing, and deployment tools.
* Support triage and risk assessment of emergent technical issues, balancing urgency with sound engineering judgment.
* Lead new projects to drive operations efficiency and increase system robustness.
* Drive data\-driven analysis of system behavior using tools like Databricks to diagnose issues, evaluate performance, and quantify the impact of improvements.
* Build and maintain strong working relationships across the organization—from operations and systems engineering to software leads and regulatory partners.
* Identify, document, and drive improvements to the software development and deployment lifecycle for the long\-range drone platform.
* Collaborate across teams—global operations, engineering, and leadership—to shape the strategic software roadmap for the platform.
* Design, coordinate, and execute high\-impact testing campaigns that validate new features, improvements, or fixes in real\-world conditions.
**What You'll Bring**
 Basic qualifications:
* 8\+ years of professional experience in embedded software development, integration \&amp; test, mechatronics/robotics engineering, or similar, for hardware products in a safety\-critical field, e.g. aerospace, robotics, medical devices, autonomous vehicles.
* Proficiency in one or more “strongly typed” language: Rust, C\+\+, C
* Familiarity with software development practices, including version control (e.g. Git), testing, and CI/CD pipelines.
* Ability to analyze field performance data, and develop data analysis tools in languages like Python, SQL, MATLAB
* You are willing to work some nights/weekends and travel, including to international sites as needed
* You are eligible to work in the US
 Preferred qualifications:
* Demonstrable history of assuming ownership of complex engineering problems, and driving them from inception to solution.
* Experience leading engineering projects with multi\-disciplinary teams to solve technical problems in a fast\-paced environment.
* Excellent written and verbal communication skills
* Demonstrated engineering intuition, ability to think critically, and be comfortable with ambiguity.
* Creative problem solver that can make design and development decisions with limited or imperfect data.
* Strong sense of accountability and integrity, and are not afraid to challenge the status quo.
* Self\-motivated with strong learning, multi\-tasking, organizational, and documentation skills.
**What Else You Need To Know**
 This role is an
 **in\-office** 
 opportunity based out of our South San Francisco HQ.
 The starting cash range for this role is $160,000\-200,000\. Please note that this is a target, starting cash range for a candidate who meets the minimum qualifications for this role. The final cash pay for this role will depend on a variety of factors, including a specific candidate's experience, qualifications, skills, working location, and projected impact. The total compensation package for this role may also include: equity compensation; discretionary annual or performance bonuses; sales incentives; benefits such as medical, dental and vision insurance; paid time off; and more.
 Zipline is an equal opportunity employer and prohibits discrimination and harassment of any type without regard to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characteristics protected by state, federal or local law or our other policies.
 We value diversity at Zipline and welcome applications from those who are traditionally underrepresented in tech. If you like the sound of this position but are not sure if you are the perfect fit, please apply!</t>
        </is>
      </c>
    </row>
    <row r="193">
      <c r="A193" t="inlineStr">
        <is>
          <t>li-4362029633</t>
        </is>
      </c>
      <c r="B193" t="inlineStr">
        <is>
          <t>Frontend Engineer</t>
        </is>
      </c>
      <c r="C193" t="inlineStr">
        <is>
          <t>BetterHelp</t>
        </is>
      </c>
      <c r="D193" t="inlineStr">
        <is>
          <t>linkedin</t>
        </is>
      </c>
      <c r="E193">
        <f>HYPERLINK("https://www.linkedin.com/jobs/view/4362029633", "https://www.linkedin.com/jobs/view/4362029633")</f>
        <v/>
      </c>
      <c r="F193" t="inlineStr"/>
      <c r="G193" t="inlineStr">
        <is>
          <t>Mountain View, CA</t>
        </is>
      </c>
      <c r="H193" t="inlineStr"/>
      <c r="I193"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the Front\-end Engineer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We're looking for a talented, motivated, smart individual with a passion for software engineering and a strong desire to learn, someone not afraid to write code to scratch an itch. We love technology and so should you.
**What technologies will you work with?**
 We Use a Combination Of Well Established And More Recent Technologies, Always Innovating, Always Experimenting. We’re Open To New Ideas And Novel Approaches! Our Current Tech Stack Is
* Frontend: React, Twig (php templates), Bootstrap, jQuery, HTML5, CSS3/SASS
* Backend: Docker, MySQL, PHP and Redis
**What will you do?**
* You will collaborate with the full stack engineers and build the frontend part of the feature.
* You will develop best practices and write clean, secure, readable, scalable code. OOP where appropriate.
* You will collaborate with other team members \- engineers, product, design teams, and others.
* You will integrate internal and external APIs with frontend code.
* You will use CSS and React to complete functionality of new products.
* You will always be thinking cross\-device and cross\-platform, mobile, tablet and desktop.
* You will ship often and fast. We keep an agile environment with continuous deployment.
* You will care and be involved in our product, mission, and success \- way beyond checking off development tasks.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3\+ years of experience in frontend web development solving challenging problems and implementing new features from scratch.
* Must be able to legally work in the US.
* Deep understanding of web development concepts and principles.
* Examples of web projects that feature frontend code (React is a bonus).
* At least one major demonstrable project with front\-end code, back\-end code and database.
* Ability to architect, develop and launch a web application from start to finish.
* Ability to learn quickly and pick up new skills independently.
* Get\-things\-done attitude with eagerness to build something great.
* Familiar with web security best practices.
* Familiar with mobile first design and practices
* Comfortable working outside the context of a framework. Frameworks can help you get some things done more quickly, but we find it helpful if candidates are comfortable working outside of a framework so they have a good understanding of what is going on behind the scenes first.
* Experience using git in a team environment.
**Bonus (Helpful, But Not Required)**
* Work or internship experience in startups
* Experience with web accessibility best practices
* Experience with Figma design system
* Experience with TypeScript
* Experience with full\-blown integrations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$110,000 \- $150,000\. In addition to the base salary, this position is eligible for a performance bonus and the extensive benefits listed here (subject to eligibility requirements): Teladoc Health Benefits 2026\.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194">
      <c r="A194" t="inlineStr">
        <is>
          <t>li-4364475807</t>
        </is>
      </c>
      <c r="B194" t="inlineStr">
        <is>
          <t>Senior Software Engineer - Automation</t>
        </is>
      </c>
      <c r="C194" t="inlineStr">
        <is>
          <t>2K Vegas</t>
        </is>
      </c>
      <c r="D194" t="inlineStr">
        <is>
          <t>linkedin</t>
        </is>
      </c>
      <c r="E194">
        <f>HYPERLINK("https://www.linkedin.com/jobs/view/4364475807", "https://www.linkedin.com/jobs/view/4364475807")</f>
        <v/>
      </c>
      <c r="F194" t="inlineStr"/>
      <c r="G194" t="inlineStr">
        <is>
          <t>Culver City, CA</t>
        </is>
      </c>
      <c r="H194" t="inlineStr"/>
      <c r="I194" t="inlineStr">
        <is>
          <t>**Who We Are**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HB Studios, and 2K SportsLab.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2K’s portfolio currently includes several AAA, sports and entertainment brands, including global powerhouse NBA®️ 2K, renowned BioShock®️, Borderlands®️, Mafia, Sid Meier’s Civilization®️ and XCOM®️ brands; popular WWE®️ 2K and WWE®️ SuperCard franchises, TopSpin 2K25, as well as the critically and commercially acclaimed PGA TOUR®️ 2K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As a
 **Senior Software Engineer – Automation** 
 within Shared Development Services’ Automation team, you will build and evolve automation components that support real\-world game development. Your work will improve game quality, increase developer efficiency, generate earlier feedback, and drive reliable testing across 2K’s game studios.
 This is a hands\-on engineering role with growing technical ownership. You will be expected to exercise sound judgment in design and implementation. You will contribute high\-quality code to shared automation systems and participate actively in reviews and technical discussions. Through collaboration and example, you will raise the reliability and usability of automation used by multiple game teams.
 This role is ideal for an engineer who enjoys solving production problems in game development. An excellent candidate values software craftsmanship, and is interested in applying emerging technologies—such as AI\-assisted development—to improve test coverage, feedback loops, and developer workflows.
**What You’ll Do**
* Maintain Build Stability \- Own the development and maintenance of automation scripts that verify new game features, ensuring test coverage scales with the project without slowing iteration.
* Studio Collaboration \- Partner closely with game teams to integrate unit, functional, and performance testing into daily development pipelines, providing timely and actionable feedback throughout production.
* CI/CD Solutions \- Investigate and resolve issues in high\-concurrency CI/CD environments, restoring build reliability and minimizing disruption to development workflows.
* Test Orchestration \- Automate the setup and coordination of test environments to reduce manual effort, shorten feedback loops, and improve overall testing efficiency.
* Applied AI Exploration \- Research and apply LLM\-based tooling where it provides clear value, improving automation workflows and day\-to\-day engineering effectiveness.
**What Will Make You A Great Fit**
* 4\+ years of professional experience in software engineering or automation\-focused roles.
* Proficiency in at least one modern compiled language (e.g., C\#, C\+\+, Go, Rust, Java, etc) and one scripting language (e.g., Python, Bash, etc).
* Familiarity with CI/CD pipeline tools (e.g., Jenkins, TeamCity, CircleCI, or Horde).
* Demonstrated experience writing and running various automated test types, such as integration, load, and end\-to\-end tests.
* A genuine curiosity and proactive interest in using LLM tooling to enhance daily productivity and engineering workflows.
**Beneficial Qualifications**
* Prior exposure to working within modern commercial game engines or large\-scale proprietary engines.
* Experience with Unreal Engine and the Unreal ecosystem (e.g., Horde, Gauntlet, UBA, etc.)
* Familiarity with cloud infrastructure providers (e.g., AWS) and their application in distributed build environments.
* Exposure to performance profiling tools and the automation of regression detection.
 The pay range for this position in California at the start of employment is expected to be between $108,900 to $161,160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As an equal opportunity employer, we are committed to ensuring that qualified individuals with disabilities are provided reasonable accommodation to participate in the job application or interview process, to perform their essential job functions, and to receive other benefits and privileges of employment. Please contact us if you need reasonable accommodation.
 Please note that 2K Games and its studios never uses instant messaging apps or personal email accounts to contact prospective employees or conduct interviews and when emailing, only use 2K.com accounts.</t>
        </is>
      </c>
    </row>
    <row r="195">
      <c r="A195" t="inlineStr">
        <is>
          <t>li-4326708866</t>
        </is>
      </c>
      <c r="B195" t="inlineStr">
        <is>
          <t>Principal Software Engineer - Data Infrastructure</t>
        </is>
      </c>
      <c r="C195" t="inlineStr">
        <is>
          <t>Array Labs</t>
        </is>
      </c>
      <c r="D195" t="inlineStr">
        <is>
          <t>linkedin</t>
        </is>
      </c>
      <c r="E195">
        <f>HYPERLINK("https://www.linkedin.com/jobs/view/4326708866", "https://www.linkedin.com/jobs/view/4326708866")</f>
        <v/>
      </c>
      <c r="F195" t="inlineStr"/>
      <c r="G195" t="inlineStr">
        <is>
          <t>Palo Alto, CA</t>
        </is>
      </c>
      <c r="H195" t="inlineStr"/>
      <c r="I195" t="inlineStr">
        <is>
          <t>**Array Labs builds advanced radar systems to help humanity understand and respond to changes across the physical world. 
 We’re launching a coordinated fleet of radar satellites to create a high\-resolution 3D map of the Earth – updated in real time – enabling faster, smarter decision\-making for government and commercial organizations supporting disaster response, infrastructure resilience, and mission\-critical geopolitical intelligence.
 We design and build our satellites end\-to\-end, producing the world’s most advanced earth observation satellites. Our fleet will deliver unprecedented levels of accuracy, coverage, and responsiveness to power critical insights precisely where they’re needed most.
 As
**Principal Software Engineer**
 for data infrastructure, you will play a crucial role in designing and implementing the systems that process, analyze, and serve our satellite constellation’s data to end\-users. You will have the opportunity to shape highly reliable backend infrastructure that handles petabytes of data annually. The position will work closely with frontend engineers, scientists, satellite systems engineers, and the product team.
 As part of our quickly growing engineering team, you will play a critical role in the design of the world’s most advanced radar satellite constellation—one that will significantly improve humanity’s ability to rapidly and comprehensively understand our changing planet.
**Responsibilities** 
* Design and implement scalable distributed systems for processing and analyzing massive datasets from our satellite constellation
* Develop and optimize database schemas and storage solutions for managing petabyte\-scale 3D geospatial data
* Architect and maintain high\-performance APIs and services for efficient geospatial data streaming, querying, and analysis
* Lead the design and implementation of mechanisms for handling data ingestion, processing, and delivery pipelines
* Implement robust monitoring, logging, and operational systems to ensure reliability and performance of backend services
* Work with cross\-functional teams to define technical requirements, architect solutions, and drive the backend roadmap in alignment with company goals
**Qualifications** 
* 6\+ years of backend software engineering experience, including 4\+ years building distributed systems and scalable APIs
* Strong proficiency in backend languages (e.g., Python, C\+\+, Java), experience with cloud platforms (AWS, GCP, Azure) and containerization technologies (e.g. Docker, Kubernetes)
* Deep understanding of distributed systems and cloud\-native development practices
* Experience with high\-performance computing and optimization of large\-scale data processing pipelines
* Excellent communicator, with the ability to make high\-quality technical decisions in a startup environment
**Preferred Skills and Experience** 
* Experience building geospatial databases, mapping technologies, and 3D visualizations, including relevant front\-end techniques
* Familiarity with geospatial, remote sensing, 3D data, and/or digital signal processing techniques (e.g. SAR and optical satellite imagery, OpenStreetMap, LiDAR point clouds)
**ITAR Requirements**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**Equal Opportunity Employer** 
* Array Labs is an Equal Opportunity Employer. Employment decisions are made on the basis of merit, competence, and job qualifications and will not be influenced in any manner by gender, color, race, ethnicity, national origin, sexual orientation, religion, age, gender identity, veteran status, disability status, marital status, mental or physical disability or any other legally protected status
**Interview Process
 We will conduct two virtual interviews followed by an onsite or virtual onsite. The typical process takes 2\-4 weeks from start to finish.
**Hiring and Compensation Strategy
 Our hiring and compensation strategy is simple:
 1\) find uncommonly good people
 2\) pay them uncommonly well
 You can anticipate competitive pay, with high flexibility between salary and equity\-based compensation.
**Why you should join Array Labs
 Array Labs is launching a constellation of satellites to create the first high\-resolution, real\-time, three\-dimensional model of Earth. Our next\-generation satellite technology will offer image quality 60x greater than traditional techniques, profoundly expanding humanity’s ability to understand and respond to events on a global scale.
 In forging an affordable, accessible, accurate representation of Earth, our work has the potential to transform the face of dozens of fields, including autonomy, telecommunications, disaster relief, gaming, climate science, defense and construction.********</t>
        </is>
      </c>
    </row>
    <row r="196">
      <c r="A196" t="inlineStr">
        <is>
          <t>li-4364476422</t>
        </is>
      </c>
      <c r="B196" t="inlineStr">
        <is>
          <t>Staff Software Engineer (Planning &amp; Controls)</t>
        </is>
      </c>
      <c r="C196" t="inlineStr">
        <is>
          <t>General Motors</t>
        </is>
      </c>
      <c r="D196" t="inlineStr">
        <is>
          <t>linkedin</t>
        </is>
      </c>
      <c r="E196">
        <f>HYPERLINK("https://www.linkedin.com/jobs/view/4364476422", "https://www.linkedin.com/jobs/view/4364476422")</f>
        <v/>
      </c>
      <c r="F196">
        <f>HYPERLINK("https://generalmotors.wd5.myworkdayjobs.com/Careers_GM/job/Mountain-View-California-United-States-of-America/Staff-Software-Engineer\u002d\u002dPlanning\u002d\u002d-Controls-_JR-202602489?source=LinkedIn&amp;urlHash=Z96u", "https://generalmotors.wd5.myworkdayjobs.com/Careers_GM/job/Mountain-View-California-United-States-of-America/Staff-Software-Engineer\u002d\u002dPlanning\u002d\u002d-Controls-_JR-202602489?source=LinkedIn&amp;urlHash=Z96u")</f>
        <v/>
      </c>
      <c r="G196" t="inlineStr">
        <is>
          <t>Mountain View, CA</t>
        </is>
      </c>
      <c r="H196" t="inlineStr"/>
      <c r="I196"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Technical Lead you will be a senior individual contributor in the Local Planner Controller team within Embodied AI. We formulate and solve optimization problems online, considering kinematic feasibility, collision avoidance and ride comfort. In this role, you will provide cross\-functional technical leadership for vehicle dynamics, estimation and controls systems used in GMs Super Cruise system.
 You will define the technical vision and multi\-quarter roadmap for vehicle dynamics and controls software, drive design quality from architecture through validation, and align multiple teams to ship reliable, scalable autonomy capabilities that meet company goals.
 What you’ll be doing:
* Shape the technical vision by owning multi\-quarter roadmap designs for vehicle dynamics and controls software.
* Architect and implement system designs and interface contracts with perception, prediction and planning systems, ensuring deliverables meet performance targets and safety constraints.
* Lead technical reviews and drive software engineering best practices across the team and the larger organization.
* Contribute to Active Safety, Driver Assistance, and Super Cruise.
* Guide other developers through system design and implementation focusing on safety, comfort, and compute efficiency.
* Establish verification and validation strategies for the vehicle dynamics and controls software, including simulation and on\-road testing validation gates.
* Partner with Safety, Systems Engineering, and Product to generate requirements for onboard systems.
* Lead root\-cause investigations for complex integration issues, using data\-driven techniques and principled experimentation, proactively creating test plans for new features and defining useful metrics for analyzing performance
* Mentor engineers across teams, raising the bar on technical judgment, design quality, and execution discipline without direct people management responsibilities.
* Improve and deliver reliable software through continuous integration, automated testing, and code reviews.
* Develop and oversee top\-tier software engineers within a dynamic, fast\-paced, and inclusive setting.
* Help define, build, and embody GM engineering culture and principles.
**Qualifications:**
* Ph.D., M.S. in controls, optimization, path planning, or related. B.S. with strong work experience in the field may be considered
* 5\+ years of experience in motion planning or related field
* Deep understanding of optimal controls and trajectory optimization algorithms
* Good grasp of classical and modern feedback control theory and techniques
* Solid understanding of vehicle dynamics
* A demonstrated track record of building high quality autonomous software systems
* Deep expertise in Planning and Controls system design
* Experience with C\+\+/Python in a large, distributed development environment
* Strong organizational and communication skills
* Passion for self\-driving technology and its potential impact on the world
**Bonus points!**
* A background in robotics, ROS, or the AV/ADAS industry
* Experience in numerical optimization algorithms
* Experience designing software applications for safety critical systems
* Experience building and managing engineering teams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$218,800\.00 to $335,300\.00\.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\#GM\-AV\-1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97">
      <c r="A197" t="inlineStr">
        <is>
          <t>li-4365149404</t>
        </is>
      </c>
      <c r="B197" t="inlineStr">
        <is>
          <t>Software Engineer IV</t>
        </is>
      </c>
      <c r="C197" t="inlineStr">
        <is>
          <t>Grainger</t>
        </is>
      </c>
      <c r="D197" t="inlineStr">
        <is>
          <t>linkedin</t>
        </is>
      </c>
      <c r="E197">
        <f>HYPERLINK("https://www.linkedin.com/jobs/view/4365149404", "https://www.linkedin.com/jobs/view/4365149404")</f>
        <v/>
      </c>
      <c r="F197" t="inlineStr"/>
      <c r="G197" t="inlineStr">
        <is>
          <t>Lake Forest, IL</t>
        </is>
      </c>
      <c r="H197" t="inlineStr"/>
      <c r="I197" t="inlineStr">
        <is>
          <t>**Work Location Type:** 
********Hybrid********
 Req Number 327083
**About Grainger**
 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
**Compensation**
 The anticipated base pay compensation range for this position is $134,100\.00 to $223,500\.00\.
 This position is not eligible for any form of sponsorship now or in the future. Individuals requiring sponsorship (e.g. OPT or H1B visa status) should not apply. Only individuals authorized to work in the United States now and for the foreseeable future will be considered for this position.
**Rewards And Benefits**
 With benefits starting on day one, our programs provide choice and flexibility to meet team members' individual needs, including:
* Medical, dental, vision, and life insurance plans with coverage starting on day one of employment and 6 free sessions each year with a licensed therapist to support your emotional wellbeing.
* 18 paid time off (PTO) days annually for full\-time employees (accrual prorated based on employment start date) and 6 company holidays per year.
* 6% company contribution to a 401(k) Retirement Savings Plan each pay period, no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For additional information and details regarding Grainger’s benefits, please click on the link below:
 https://experience100\.ehr.com/grainger/Home/Tools\-Resources/Key\-Resources/New\-Hire
 The pay range provided above is not a guarantee of compensation. The range reflects the potential base pay for this role at the time of this posting based on the job grade for this position. Individual base pay compensation will depend, in part, on factors such as geographic work location and relevant experience and skills. The anticipated compensation range described above is subject to change and the compensation ultimately paid may be higher or lower than the range described above. Grainger reserves the right to amend, modify, or terminate its compensation and benefit programs in its sole discretion at any time, consistent with applicable law.
**Position Details**
 As a Staff Software Engineer (SE IV) – Front End Focus, you will serve as the primary front\-end technical authority for a growing team building AI\-enabled, enterprise web applications at Grainger. You will define front\-end architecture, make long\-term technology decisions, and lead the design of scalable, high\-performance user experiences. While this is a full\-stack role, your primary responsibility is front\-end strategy, implementation, and enablement across the team. You will operate independently, driving proof\-of\-concepts, evaluating solutions, and establishing standards that others rely on.
*This role reports to the Product Engineering Manager and can be based in Lake Forest or Chicago, IL, on a hybrid basis.*
**You Will**
* Own front\-end architecture and technical direction for complex, enterprise\-scale web applications
* Act as the primary front\-end expert for the team, setting standards and enabling others in the absence of existing front\-end expertise
* Design and deliver scalable, high\-performance user interfaces with a strong focus on maintainability and long\-term platform health
* Independently explore, prototype, and validate front\-end solutions through proof\-of\-concepts and technical evaluations
* Make architectural decisions around state management, rendering strategies, performance optimization, and application structure
* Build and evolve reusable UI components, design systems, and front\-end foundations used across multiple applications
* Partner with backend engineers to define APIs, integration patterns, and end\-to\-end system behavior
* Collaborate closely with product and design UI/UX partners to translate ambiguous problems into robust technical solutions
* Drive improvements in front\-end CI/CD, testing strategies, and deployment practices
* Mentor and influence engineers across the team, raising front\-end and overall engineering maturity
**You Have**
* Bachelor's degree in computer science or a related degree, or relevant work experience.
* 5\+ years of experience building and owning production\-grade, large\-scale web applications.
* Deep expertise in front\-end architecture, performance optimization, and state management (Ex: React, browser performance tooling).
* Strong experience with modern rendering and routing strategies (Ex: Next.js, SSR/SSG, client/server components).
* Proven ability to independently evaluate technologies, run POCs, and make long\-term architectural decisions.
* Experience integrating front\-end applications with complex backend systems and APIs (Ex: REST, GraphQL, type\-safe APIs).
* Proficiency with front\-end build systems, CI/CD (Ex: Github Actions), testing (Ex: Selenium), and deployment workflows.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198">
      <c r="A198" t="inlineStr">
        <is>
          <t>li-4309585988</t>
        </is>
      </c>
      <c r="B198" t="inlineStr">
        <is>
          <t>AI/ML Software Engineer</t>
        </is>
      </c>
      <c r="C198" t="inlineStr">
        <is>
          <t>Toyon Research Corporation</t>
        </is>
      </c>
      <c r="D198" t="inlineStr">
        <is>
          <t>linkedin</t>
        </is>
      </c>
      <c r="E198">
        <f>HYPERLINK("https://www.linkedin.com/jobs/view/4309585988", "https://www.linkedin.com/jobs/view/4309585988")</f>
        <v/>
      </c>
      <c r="F198" t="inlineStr"/>
      <c r="G198" t="inlineStr">
        <is>
          <t>Goleta, CA</t>
        </is>
      </c>
      <c r="H198" t="inlineStr"/>
      <c r="I198" t="inlineStr">
        <is>
          <t>**Description**
**U.S. Citizenship Required.** 
 Ability to qualify for a US Department of Defense security clearance required.
 This position is in\-person.
 Toyon is seeking highly qualified AI/ML Software Engineer candidates to develop software in the Python or C\+\+ languages in support of Artificial Intelligence (AI) / Machine Learning (ML) applications. Our software engineers work closely with our researchers and customers to create state\-of\-the\-art solutions. Experience with Reinforcement Learning (RL), Large Language Models (LLMs), Computer Vision, other AI/ML techniques, or video or signal processing is a plus. Experience working in a collaborative environment with configuration management and version control tools is also desired. Candidates should possess strong math and physics knowledge to enable developing advanced AI/ML software to solve sensor data processing or control problems.
**Requirements**
 Candidates for the AI/ML Software Engineer position should have a strong background in engineering, computer science, physics, and/or mathematics. An advanced degree (M.S./Ph.D.) or a Bachelor’s degree and at least two years of industry experience are required.
 WE OFFER AN EXCEPTIONAL EMPLOYEE BENEFITS PACKAGE!
* Competitive Industry Pay
* 100% Employer\-Paid Medical Insurance Premium
* HSA with Employer Contributions
* Dental and Vision Coverage Options
* Paid Holidays
* Paid Vacation and Sick leave
* Company Funded 401(k) and Profit Sharing Plans
* Employee Stock Ownership Plan (ESOP)
* Life and Disability Insurance
* Paid Parental Leave
* Discretionary Bonus Eligibility
 The annual pay range for the AI/ML Software Engineer position is $110,000 to $190,000\.
*The posted pay range values provide the candidate with guidance on annual base compensation for the position, at a full time level of effort, exclusive of overtime, bonus, and benefits\-related compensation, over a range of qualifications that may fit hiring objectives. Toyon Research Corporation will consider the individual candidate’s education, work experience, applicable knowledge, skills and training, among other factors, when preparing an offer of employment.*
 Pay Transparency Nondiscrimination Provision
 Equal Opportunity Employer including Disability and Veterans
 Applicant Privacy Notice
 Learn more about our company in our latest video, We are Toyon.
 Ref \#2608\-C</t>
        </is>
      </c>
    </row>
    <row r="199">
      <c r="A199" t="inlineStr">
        <is>
          <t>li-4372259163</t>
        </is>
      </c>
      <c r="B199" t="inlineStr">
        <is>
          <t>Senior Software Engineer, Frontend Full Stack - Platform</t>
        </is>
      </c>
      <c r="C199" t="inlineStr">
        <is>
          <t>Rippling</t>
        </is>
      </c>
      <c r="D199" t="inlineStr">
        <is>
          <t>linkedin</t>
        </is>
      </c>
      <c r="E199">
        <f>HYPERLINK("https://www.linkedin.com/jobs/view/4372259163", "https://www.linkedin.com/jobs/view/4372259163")</f>
        <v/>
      </c>
      <c r="F199">
        <f>HYPERLINK("https://ats.rippling.com/rippling/jobs/db6db757-b9fb-4ecd-a90c-6117c7cb9745?jobSite=LinkedIn&amp;urlHash=EW3s", "https://ats.rippling.com/rippling/jobs/db6db757-b9fb-4ecd-a90c-6117c7cb9745?jobSite=LinkedIn&amp;urlHash=EW3s")</f>
        <v/>
      </c>
      <c r="G199" t="inlineStr">
        <is>
          <t>Seattle, WA</t>
        </is>
      </c>
      <c r="H199" t="inlineStr"/>
      <c r="I19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Platform Team**
 The Platform Engineering team is the invisible engine that powers all of Rippling's integrated products—HR,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
****Our Scope:****
 Foundational Systems for 1,000\+ Engineers
 Operating as a critical scaled team, we own and operate a variety of mission\-critical systems that directly support close to 1,000 engineers building products and internal platforms across Rippling. We deliver the most foundational shared systems inside the Platform organization.
**What You Will Do**
* Build and innovate across the entire stack—from defining APIs and backend logic to developing polished, intuitive user\-facing features in the frontend.
* Collaborate closely with PMs and designers to translate complex product requirements and visual designs into responsive, high\-quality code.
* Take ownership of the frontend architecture and user experience, ensuring that the product is not only powerful but also delightful and highly performant.
* Make smart, autonomous technical decisions to accelerate feature delivery while maintaining code quality and scalability
**What You Will Need**
* 5\+ years of experience shipping high\-quality code, including significant time with React/TypeScript and a robust backend framework (like Python/Django).
* Deep understanding of modern frontend architecture, state management, and web performance optimization.
* Strong product intuition and care deeply about design, accessibility, and user experience (UX).
* Experience operating and scaling features across both the frontend and backend in a production environment.
* Strong communication skills with a variety of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200">
      <c r="A200" t="inlineStr">
        <is>
          <t>li-4364188676</t>
        </is>
      </c>
      <c r="B200" t="inlineStr">
        <is>
          <t>Principal Software Engineer (IoT Security - Cloud Infra and Backend)</t>
        </is>
      </c>
      <c r="C200" t="inlineStr">
        <is>
          <t>Palo Alto Networks</t>
        </is>
      </c>
      <c r="D200" t="inlineStr">
        <is>
          <t>linkedin</t>
        </is>
      </c>
      <c r="E200">
        <f>HYPERLINK("https://www.linkedin.com/jobs/view/4364188676", "https://www.linkedin.com/jobs/view/4364188676")</f>
        <v/>
      </c>
      <c r="F200">
        <f>HYPERLINK("https://paloaltonetworks.wd5.myworkdayjobs.com/panwexternalcareers/job/Santa-Clara-United-States-of-America/Principal-Software-Engineer\u002d\u002dIoT-Security\u002d\u002d-Backend-_JR-014610/apply&amp;urlHash=Jk3F", "https://paloaltonetworks.wd5.myworkdayjobs.com/panwexternalcareers/job/Santa-Clara-United-States-of-America/Principal-Software-Engineer\u002d\u002dIoT-Security\u002d\u002d-Backend-_JR-014610/apply&amp;urlHash=Jk3F")</f>
        <v/>
      </c>
      <c r="G200" t="inlineStr">
        <is>
          <t>Santa Clara, CA</t>
        </is>
      </c>
      <c r="H200" t="inlineStr"/>
      <c r="I200"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We're seeking innovators \- engineers who seek to design new products, designing state\-of\-the\-art products that do not exist today. These engineers love to code with a drive to build global products and bring new ideas to develop security disciplines to solve real\-world problems. We are looking for leaders who take ownership of their areas of focus and who are driven to pursue problems at every level. Collaboration is at the heart of our culture and we need engineers who can communicate at a high level and work well with multi\-functional teams towards achieving a common goal.
****Your Impact****
* Design and implement the highly scalable and easily managed services for IoT security products to exchange IoT intelligences and extend system functionality through integrations with third party systems like ServiceNow, SIEMs and Cisco/ISE etc.
* Design and implement the highly scalable and high performance services to support IoT devices’ operational technology support
* Design and implement IoT Security Web Service APIs using NodeJS and SQL/Nosql database technology to provide key metrics and analytics for IoT devices
* Design and implement algorithms for Device Security event connector and inspector management services to transfer customer network data into the cloud for storage and analytics at scale
* Design and implement data pipeline to support IoT security features like device Identification, alert publishing, and device status tracking
**Qualifications**
* Must have BS/MS in Computer Science/Engineering with 5\~10 years software development experience
* Must have 5\+ years of working experience with Amazon AWS, Google GCP or MS Azure
* Must have 5\+ years of experience building large\-scale distributed serving system
* Must have 5\~10 years of software development experience with NodeJS/JAVA/Python
* Must have experience with Linux and Shell scripting
* Must have good communication skills
* Must have great problem\-solving skills
* Prefer knowledge of MongoDB, Kafka/firehose, Redis, Spark/Spark Streaming/Spark SQL, Redshift, or other data warehousing solutions.
* Prefer knowledge of Network domain
* Prefer experiences in building real\-time analytics systems or machine learning systems
* Good to have experience in Single Sign On (SSO) integration, Graph Data Lakehouse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$147,000\.00 \- $237,500\.00/yr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01">
      <c r="A201" t="inlineStr">
        <is>
          <t>li-4321394983</t>
        </is>
      </c>
      <c r="B201" t="inlineStr">
        <is>
          <t>Embedded Software Engineer - Effectors</t>
        </is>
      </c>
      <c r="C201" t="inlineStr">
        <is>
          <t>CHAOS Industries</t>
        </is>
      </c>
      <c r="D201" t="inlineStr">
        <is>
          <t>linkedin</t>
        </is>
      </c>
      <c r="E201">
        <f>HYPERLINK("https://www.linkedin.com/jobs/view/4321394983", "https://www.linkedin.com/jobs/view/4321394983")</f>
        <v/>
      </c>
      <c r="F201">
        <f>HYPERLINK("https://job-boards.greenhouse.io/chaosindustries/jobs/5033626007?gh_src=be7dbdf57us&amp;urlHash=vKGy", "https://job-boards.greenhouse.io/chaosindustries/jobs/5033626007?gh_src=be7dbdf57us&amp;urlHash=vKGy")</f>
        <v/>
      </c>
      <c r="G201" t="inlineStr">
        <is>
          <t>Hawthorne, CA</t>
        </is>
      </c>
      <c r="H201" t="inlineStr"/>
      <c r="I201" t="inlineStr">
        <is>
          <t>CHAOS Industries is redefining modern defense with omniscient systems purpose\-built for today’s realities. Designed and built by top U.S. military veterans and Silicon Valley innovators, CHAOS Industries’ products are powered by Coherent Distributed Networks (CDN™), empowering warfighters, commercial air operators, and border protection teams to act faster, adapt rapidly, and stay ahead of evolving threats. In a world where technological threats move at unprecedented speed, CHAOS Industries delivers advanced sensing and detection solutions that give the ultimate advantage: time.
 CHAOS Industries was founded in 2022 and has raised $1B in total funding from leading investors including 8VC, Accel, and NEA. The company is headquartered in Los Angeles, with offices in Washington, D.C., San Francisco, and London. For more information, please visit www.chaosinc.com.
**Role Overview**
 CHAOS is seeking a highly\-skilled and motivated Senior Embedded Software Engineer to join our R\&amp;D team. This is a hands\-on senior role where you'll be responsible for the design and implementation of embedded software designs across our product families.
**Responsibilities**
* Design and implement high\-performance embedded software for software\-defined radio platforms
* Develop low\-level software and firmware interfaces for complex RF hardware
* Lead firmware/software integration efforts
* Support full system integration, testing, and validation through deployment
* Work full\-time on\-site in our office in Los Angeles (Hawthorne), California
**Minimum Requirements**
* Bachelor's degree or higher in Computer Science, Computer Engineering, or related field
* 10\+ years of professional embedded software development experience
* Strong experience with Linux embedded development and device drivers
* Proficiency in C/C\+\+ for embedded systems and real\-time programming
* Python experience for scripting, automation, and system integration tasks
* Experience with real\-time operating systems and bare\-metal programming
* Experience developing software for ARM\-based embedded platforms
* Experience developing embedded software for software\-defined radios and/or radio transceiver chips
* Experience with modern software development practices (Git, CI/CD, automated testing)
* Familiarity with Agile development methodologies
* Ability to work with minimal supervision and collaborate on small teams
* U.S. Person status is required as this position will require the ability to access U.S.\-only data system
**Preferred Requirements:**
* Current or previous DoD security clearance
* Experience with Analog Devices RF transceivers
* Experience with the Linux IIO framework
* Experience integrating with AMD/Xilinx FPGAs, Nvidia GPUs, and other heterogeneous computing architectures
* Experience implementing and optimizing low\-latency, high\-throughput signal processing algorithms
* FPGA development experience (VHDL/Verilog/SystemVerilog)
* Hardware\-in\-the\-loop testing and validation
* Experience with production\-level software development \&amp; deployment, including DevOps and CI/CD
* Experience with full lifecycle SW development of high\-TRL systems
* Experience with HW/SW I\&amp;T and V\&amp;V of high\-TRL systems
**Why CHAOS?**
* Health Benefits: Medical, dental, and vision benefits 100% paid for by the company
* Additional benefits: 401k (\+ 50% company match up to 6% of pay), FSA, HSA, life insurance, and more
* Our Perks: Free daily lunch, ‘No meeting Fridays’, unlimited PTO, casual dress code
* Compensation Components: Competitive base salaries, generous pre\-IPO stock option grants, relocation assistance, and (coming soon!) annual bonuses
* Team Growth: 200 employees and counting across 5 global offices
***Salary Range: $160,000 \- $240,000***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row r="202">
      <c r="A202" t="inlineStr">
        <is>
          <t>li-4330419890</t>
        </is>
      </c>
      <c r="B202" t="inlineStr">
        <is>
          <t>Senior Full Stack Software Engineer, Member Experience</t>
        </is>
      </c>
      <c r="C202" t="inlineStr">
        <is>
          <t>BetterHelp</t>
        </is>
      </c>
      <c r="D202" t="inlineStr">
        <is>
          <t>linkedin</t>
        </is>
      </c>
      <c r="E202">
        <f>HYPERLINK("https://www.linkedin.com/jobs/view/4330419890", "https://www.linkedin.com/jobs/view/4330419890")</f>
        <v/>
      </c>
      <c r="F202">
        <f>HYPERLINK("https://job-boards.greenhouse.io/betterhelpcom/jobs/4810135008?gh_src=ef3d79078us&amp;urlHash=XQ_3", "https://job-boards.greenhouse.io/betterhelpcom/jobs/4810135008?gh_src=ef3d79078us&amp;urlHash=XQ_3")</f>
        <v/>
      </c>
      <c r="G202" t="inlineStr">
        <is>
          <t>San Jose, CA</t>
        </is>
      </c>
      <c r="H202" t="inlineStr"/>
      <c r="I202"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Full Stack Software Engineer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We're looking for a talented, motivated, smart individual with a passion for software engineering, a strong desire to learn and an interest in providing mentorship to junior level developers. This position is ideal for a seasoned software engineer who has worked on multiple challenging projects, someone who is not afraid to write code to scratch an itch. We love technology and so should you.
**What technologies will you work with?**
 We Use a Combination Of Well Established And More Recent Technologies, Always Innovating, Always Experimenting. We’re Open To New Ideas And Novel Approaches! Our Current Tech Stack Is
* Backend: Linux, nginx, Laravel (PHP), MySQL, Redis
* Frontend: Twig (PHP templates), Bootstrap 3, jQuery, HTML5, CSS3/SASS, and Next.js / React
**What will you do?**
* You will develop end to end. You own your features and see them through to production and beyond.
* You will develop best practices and write clean, secure, readable, scalable code. OOP where appropriate.
* You will collaborate with other team members, including engineers and cross\-functional colleagues.
* You will integrate and build for external and internal API's.
* You will develop new products in PHP and alter existing PHP code to accommodate scale and integration with new technologies and APIs.
* You will write and optimize SQL queries and design schemas.
* You will create and code complex backend algorithms.
* You will profile and optimize new and legacy code.
* You will use CSS and Javascript to complete functionality of new products.
* You will always be thinking cross\-device and cross\-platform, mobile, tablet and desktop.
* You will ship often and fast. We keep an agile environment with continuous deployment.
* You will care and be involved in our product, mission, and success \- way beyond checking off development tasks.
* You will enjoy great teamwork and lots of fun.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Must be able to legally work in the US.
* Deep understanding of web development concepts and principles.
* Example of full\-stack projects.
* At least one major demonstrable project with front\-end code, back\-end code and database.
* Ability to design, develop and launch a web application from start to finish.
* Ability to learn quickly and pick up new skills independently.
* Get\-things\-done attitude with eagerness to build something great.
* 5\+ years of experience in web development (any stack), solving challenging problems and implementing new features from scratch.
* 3\+ years of experience in SQL. Designing relational DB schemas, complex queries, etc.
* Familiar with web \&amp; SQL security best practices.
* Comfortable working outside the context of a framework. Frameworks can help you get some things done more quickly, but we find it helpful if candidates are comfortable working outside of a framework so they have a good understanding of what is going on behind the scenes first.
* Experience using git in a team environment.
* Ability to work in the US, to travel to our San Jose, California offices up to three times per year and to an additional company offsite.
**Bonus (Helpful, But Not Required)**
* Work or internship experience in startups
* Experience with the LAMP/LEMP stack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$110,000 \- $185,000\.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203">
      <c r="A203" t="inlineStr">
        <is>
          <t>li-4355451203</t>
        </is>
      </c>
      <c r="B203" t="inlineStr">
        <is>
          <t>Senior Software Engineer I, Inference</t>
        </is>
      </c>
      <c r="C203" t="inlineStr">
        <is>
          <t>CoreWeave</t>
        </is>
      </c>
      <c r="D203" t="inlineStr">
        <is>
          <t>linkedin</t>
        </is>
      </c>
      <c r="E203">
        <f>HYPERLINK("https://www.linkedin.com/jobs/view/4355451203", "https://www.linkedin.com/jobs/view/4355451203")</f>
        <v/>
      </c>
      <c r="F203" t="inlineStr"/>
      <c r="G203" t="inlineStr">
        <is>
          <t>Bellevue, WA</t>
        </is>
      </c>
      <c r="H203" t="inlineStr"/>
      <c r="I20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Senior engineers are area owners who lead designs, raise engineering standards, and deliver measurable improvements to latency, throughput, and reliability across multiple services. You’ll partner with product, orchestration, and hardware teams to evolve our Kubernetes\-native inference platform and meet strict P99 SLAs at scale.
**About The Role**
* Lead design reviews and drive architecture within the team; decompose multi\-service work into clear milestones.
* Define and own SLIs/SLOs; ensure post\-incident actions land and reliability improves release\-over\-release.
* Implement advanced optimizations (e.g., micro\-batch schedulers, speculative decoding, KV\-cache reuse) and quantify impact.
* Strengthen incident posture: capacity planning, autoscaling policy, graceful degradation, rollback/traffic\-shift strategies.
* Mentor IC1/IC2 engineers; review cross\-team designs and elevate coding/testing standards.
* For IC4: own an area spanning multiple services and teams (e.g., request routing \&amp; adaptive scheduling, cost\-per\-token analytics, GPU resource isolation).
**Who You Are**
* IC3: \~3–5 years; IC4: \~5–8 years industry experience building distributed systems or cloud services.
* Strong coding in Python or Go (C\+\+ a plus) and deep familiarity with networked systems and performance.
* Hands\-on experience with Kubernetes at production scale, CI/CD, and observability stacks (Prometheus, Grafana, OpenTelemetry).
* Practical knowledge of inference internals: batching, caching, mixed precision (BF16/FP8\), streaming token delivery.
* Proven track record improving tail latency (P95/P99\) and service reliability through metrics\-driven work.
**Preferred**
* Contributions to inference frameworks (vLLM, Triton, TensorRT\-LLM, Ray Serve, TorchServe).
* Experience with CUDA kernels, NCCL/SHARP, RDMA/NUMA, or GPU interconnect topologies.
* Leading multi\-team initiatives or partnering with customers on mission\-critical launches.
**Wondering if you’re a good fit?** 
**We believe in investing in our people and value candidates who can bring their diverse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04">
      <c r="A204" t="inlineStr">
        <is>
          <t>li-4372785937</t>
        </is>
      </c>
      <c r="B204" t="inlineStr">
        <is>
          <t>Staff Software Engineer, AI</t>
        </is>
      </c>
      <c r="C204" t="inlineStr">
        <is>
          <t>Smarter Technologies</t>
        </is>
      </c>
      <c r="D204" t="inlineStr">
        <is>
          <t>linkedin</t>
        </is>
      </c>
      <c r="E204">
        <f>HYPERLINK("https://www.linkedin.com/jobs/view/4372785937", "https://www.linkedin.com/jobs/view/4372785937")</f>
        <v/>
      </c>
      <c r="F204" t="inlineStr"/>
      <c r="G204" t="inlineStr"/>
      <c r="H204" t="inlineStr"/>
      <c r="I204" t="inlineStr">
        <is>
          <t>Smarter Technologies is the automation and insight platform for healthcare efficiency. As a leading AI\-powered revenue cycle management (RCM) platform, we combine proprietary agentic agents, human\-in\-the\-loop AI agents, clinical ontology, and global financial and administrative services. Our comprehensive platform empowers healthcare organizations to automate the entirety of their administrative and financial workflows—driving operational optimization, reducing costs, and enabling better patient experiences.
**Staff Software Engineer, Applied AI**
**Role**
 We're looking for an Exceptional AI Engineer for our Applied AI/ML Engineering team.
 As a key member of our platform engineering team, you will play a pivotal role in developing and optimizing AI\-driven solutions that enhance our end\-to\-end platform, including our customer\-facing web application, backend infrastructure, and developer suite. Your work will empower a community of developers worldwide to build tailored AI solutions for unique customer use cases, enriching the ecosystem of automation modules.
* This role is fully remote within the US\*\*
**What You’ll Do**
* Stay at the forefront of AI advancements, continuously exploring new techniques, models, and tools. Your insights will help drive innovation and keep our platform at the cutting edge of technology.
* Work closely with core platform and automation engineers, as well as other stakeholders, to identify and address business needs through AI solutions. You will play a key role in bridging the gap between AI research and practical application.
* Utilize APIs, pre\-trained models, and other tools to implement AI\-driven features across our platform. You will focus on integrating these capabilities into production systems, enhancing the functionality and performance of our solutions.
* Fine\-tune and optimize existing solutions for specific product requirements, ensuring that AI integrations are efficient, scalable, and reliable.
**What You Bring**
* Bachelor’s or Master’s in Computer Science/Engineering, Data Science, or a related field.
* Over 5 years of experience in applied AI/ML, with a focus on implementing and integrating AI solutions using APIs and pre\-trained models.
* Proficiency in programming languages such as Python, TypeScript, or similar, with experience in utilizing AI/ML frameworks and tools such as LangChain, LlamaIndex, etc.
* Familiarity with cloud infrastructure (ideally AWS) and experience in deploying and scaling AI applications.
* Strong understanding of AI/ML concepts, but with a practical focus on application rather than research.
* Excellent written and verbal communication skills, with the ability to convey complex AI concepts to technical and non\-technical audiences.
**Nice To Haves**
* A practical approach to AI, with a focus on delivering tangible results and real\-world applications.
* The ability to navigate and implement cutting\-edge AI technologies and tools, including emerging areas like autonomous agents.
* An entrepreneurial mindset, eager to explore new possibilities and push the boundaries of what AI can achieve.
* A collaborative spirit, ready to work closely with cross\-functional teams and contribute to a shared vision.
* Strong problem\-solving skills and a proactive attitude towards learning and adapting to new challenges.
 California Salary Range
 $230,000 \- $280,000 USD</t>
        </is>
      </c>
    </row>
    <row r="205">
      <c r="A205" t="inlineStr">
        <is>
          <t>li-4365589148</t>
        </is>
      </c>
      <c r="B205" t="inlineStr">
        <is>
          <t>Staff Software Engineer, Infrastructure, Core</t>
        </is>
      </c>
      <c r="C205" t="inlineStr">
        <is>
          <t>Google</t>
        </is>
      </c>
      <c r="D205" t="inlineStr">
        <is>
          <t>linkedin</t>
        </is>
      </c>
      <c r="E205">
        <f>HYPERLINK("https://www.linkedin.com/jobs/view/4365589148", "https://www.linkedin.com/jobs/view/4365589148")</f>
        <v/>
      </c>
      <c r="F205" t="inlineStr"/>
      <c r="G205" t="inlineStr">
        <is>
          <t>Sunnyvale, CA</t>
        </is>
      </c>
      <c r="H205" t="inlineStr"/>
      <c r="I205" t="inlineStr">
        <is>
          <t>**Minimum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6">
      <c r="A206" t="inlineStr">
        <is>
          <t>li-4301562299</t>
        </is>
      </c>
      <c r="B206" t="inlineStr">
        <is>
          <t>Principle Software Engineer</t>
        </is>
      </c>
      <c r="C206" t="inlineStr">
        <is>
          <t>Yaskawa Motoman</t>
        </is>
      </c>
      <c r="D206" t="inlineStr">
        <is>
          <t>linkedin</t>
        </is>
      </c>
      <c r="E206">
        <f>HYPERLINK("https://www.linkedin.com/jobs/view/4301562299", "https://www.linkedin.com/jobs/view/4301562299")</f>
        <v/>
      </c>
      <c r="F206">
        <f>HYPERLINK("https://recruiting.ultipro.com/YAS1000YAAMI/JobBoard/79c5e373-83ab-4894-be19-ed78fff999d4/OpportunityDetail?opportunityId=5ae2067b-cd08-411d-8c2a-5d9e64146db9&amp;source=LinkedIn&amp;utm_source=LINKEDIN&amp;urlHash=hW5N", "https://recruiting.ultipro.com/YAS1000YAAMI/JobBoard/79c5e373-83ab-4894-be19-ed78fff999d4/OpportunityDetail?opportunityId=5ae2067b-cd08-411d-8c2a-5d9e64146db9&amp;source=LinkedIn&amp;utm_source=LINKEDIN&amp;urlHash=hW5N")</f>
        <v/>
      </c>
      <c r="G206" t="inlineStr">
        <is>
          <t>Irvine, CA</t>
        </is>
      </c>
      <c r="H206" t="inlineStr"/>
      <c r="I206" t="inlineStr">
        <is>
          <t>ESSENTIAL DUTIES AND RESPONSIBILITIES include the following. Other duties may be assigned.
* Design, develop, maintain, and execute unit and integration tests for software applications using C\# and REST APIs.
* Apply extensive knowledge of SQL database design and development.
* Develop software for automation hardware, including:
+ I/O implementations
+ Real\-time robotic applications
* Prepare comprehensive documentation such as design specifications, program flow diagrams, coding documentation, and end\-user guides.
* Communicate directly with customers to resolve technical issues and provide updates.
* Manage and contribute to multiple projects simultaneously.
* Adhere to ISO procedures and provide constructive feedback to improve processes.
* Interpret and apply relevant industry and clinical laboratory standards.
* Lead and facilitate design reviews with customers, suppliers, and internal departments to ensure robust designs and accurate documentation.
* Conduct validation and verification testing to ensure project success.
* Analyze test data to verify compliance with functional and performance requirements.
* Support debugging efforts and coordinate technical issue resolution both in\-house and at customer sites.
* Provide technical support and leadership across engineering, customer service, manufacturing, and customer teams.
* Communicate project status to stakeholders and team members.
* Assist in preparing and presenting engineering change documentation.
* May be responsible for delivering complete engineering solutions.
* Travel occasionally to customer sites (valid driver’s license and full auto insurance required).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Engineering or related field and a minimum of ten (10\) years’ related experience.
**OTHER SKILLS And ABILITIES**
 Good organizational skills, ability to solve problems, strong verbal and written communication skills. Must be able to multi\-task. Employee must be able to work with minimal supervision, conferring with supervisor on unusual matters. Has some latitude for unreviewed action or decision.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and managers, clients, customers, and the general public.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Work requires individual to devise own methods, to assist with methods used by others, to exercise ingenuity, to analyze situations, and apply judgment required to make decisions of an administrative nature.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and hear. The employee frequently is required to stand; sit; and use hands to finger, handle, or feel objects, tools, or controls. The employee is occasionally required to walk; reach with hands and arms; climb or balance; and stoop, kneel, crouch, or crawl. Would anticipate about four\-six hours a day/minimum at PC. The employee may occasionally lift and/or move up to 25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risk of electrical shock, UV exposure, fumes, spark and heat.
 The noise level in the work environment is usually moderate.
 Duties may require the occasional use of/contact with/exposure to various hazardous materials (such as, but not limited to grease, oils, lubricants, paint, thinner, parts cleaner, etc.). Employees should have basic awareness of hazardous materials cautions. Those directly using the materials must have specific knowledge of material in use.
**Compensation**
 The base salary range for this position is $145K \- $185K annually, plus benefits. Compensation will be determined based on skills, experience, and qualifications.</t>
        </is>
      </c>
    </row>
    <row r="207">
      <c r="A207" t="inlineStr">
        <is>
          <t>li-4337071855</t>
        </is>
      </c>
      <c r="B207" t="inlineStr">
        <is>
          <t>Software Engineer Security &amp; Automation II (Full Time) – United States</t>
        </is>
      </c>
      <c r="C207" t="inlineStr">
        <is>
          <t>Cisco</t>
        </is>
      </c>
      <c r="D207" t="inlineStr">
        <is>
          <t>linkedin</t>
        </is>
      </c>
      <c r="E207">
        <f>HYPERLINK("https://www.linkedin.com/jobs/view/4337071855", "https://www.linkedin.com/jobs/view/4337071855")</f>
        <v/>
      </c>
      <c r="F207" t="inlineStr"/>
      <c r="G207" t="inlineStr">
        <is>
          <t>Austin, TX</t>
        </is>
      </c>
      <c r="H207" t="inlineStr"/>
      <c r="I207"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members are building the future of Cisco’s AI\-driven platforms and data infrastructure, supporting innovation across the globe. You will join a collaborative environment focused on developing advanced data pipelines, secure cloud infrastructure, and automation solutions within business groups such as Security and Infra \&amp; Security (Compute, Cloud, Security teams). As part of this innovative team, you will contribute to the growth of cutting\-edge technologies in data, intelligent systems, and cybersecurity automation. Explore opportunities at the intersection of security engineering, automation, and AI—helping to transform how Cisco and its customers harness secure, intelligent automation.
**Your Impact**
 As a passionate software engineer, you will play a critical role in developing scalable, secure data pipelines, designing robust analytics platforms, and building automation infrastructure to support Cisco’s security and cloud initiatives. Your expertise in programming, data systems, and cybersecurity allows you to solve complex challenges with innovation and precision. By building and maintaining essential security tools and automation platforms, you enable Cisco’s business groups to leverage AI\-driven, secure, and automated insights for operational excellence and strategic growth. Your contributions ensure reliable, high\-quality, and secure infrastructure that supports Cisco’s leadership in intelligent, security\-first technology solutions.
**Minimum Qualifications**
* Completion within the past 3 years, or current enrollment with expected Completion within the past 3 years, or current enrollment with expected completion within 12 months, of a certification or degree program (e.g., Associates, Apprenticeship, Boot Camp, or Certification in a specialized program \+ 3 years of relevant experience, High School Diploma \+ 4 years of relevant experience, Bachelors \+ 2 years of relevant experience) or Masters \+ 0 years of relevant experience.
* Experience writing, debugging, and maintaining code in Python or other scripting languages (such as Bash), with a focus on automating tasks, workflows, or processes.
* Understanding of security protocols and principles (e.g., TLS/SSL, SSH, OAuth, SAML, IPsec) and familiarity with common cybersecurity tools.
* Exposure to DevOps and DevSecOps practices, including integrating security measures into CI/CD pipelines (e.g., Jenkins, GitHub Actions) and cloud environments.
* Familiarity with cloud security concepts and experience using automation tools within software development and deployment workflows.
**Preferred Qualifications**
* Understanding of artificial intelligence and machine learning concepts, algorithms, and basic implementation techniques.
* Familiarity with securing cloud environments, including knowledge of cloud security best practices and commonly used security tools.
* Experience or coursework related to securing containerized applications (e.g., Docker, Kubernetes), including vulnerability assessment and mitigation strategies.
* Hands\-on experience writing and executing automated tests for Python applications using the pytest framework.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08">
      <c r="A208" t="inlineStr">
        <is>
          <t>li-4364501275</t>
        </is>
      </c>
      <c r="B208" t="inlineStr">
        <is>
          <t>Senior Software Engineer - Domestic Wires</t>
        </is>
      </c>
      <c r="C208" t="inlineStr">
        <is>
          <t>Mercury</t>
        </is>
      </c>
      <c r="D208" t="inlineStr">
        <is>
          <t>linkedin</t>
        </is>
      </c>
      <c r="E208">
        <f>HYPERLINK("https://www.linkedin.com/jobs/view/4364501275", "https://www.linkedin.com/jobs/view/4364501275")</f>
        <v/>
      </c>
      <c r="F208">
        <f>HYPERLINK("https://job-boards.greenhouse.io/mercury/jobs/5803347004&amp;urlHash=6MLc", "https://job-boards.greenhouse.io/mercury/jobs/5803347004&amp;urlHash=6MLc")</f>
        <v/>
      </c>
      <c r="G208" t="inlineStr">
        <is>
          <t>Portland, OR</t>
        </is>
      </c>
      <c r="H208" t="inlineStr"/>
      <c r="I208" t="inlineStr">
        <is>
          <t>The electrical grid isn’t flashy — but it powers everything. Homes, hospitals, factories, and entire cities depend on infrastructure that is always on, carefully regulated, and engineered for resilience. When it works, no one notices. When it doesn’t, everything stops.
 Domestic Wires plays that role at Mercury. We own the engineering behind secure, compliant, and reliable domestic wire transfers — enabling businesses to move significant amounts of capital with precision and trust. The systems we build must balance speed with safety, scale with strict controls, and product flexibility with regulatory requirements.
 As a Senior Engineer, you’ll operate at the core of Mercury’s money movement platform. You’ll design and evolve high\-reliability systems, influence technical strategy, partner across product, risk, and banking\* teams, and mentor others as we scale. This is an opportunity to work on infrastructure where durability, clarity, and strong judgment matter as much as raw speed.
* Mercury is a fintech company, not an FDIC\-insured bank. Banking services provided through Choice Financial Group and Column N.A., Members FDIC.
**What You’ll Do**
* Lead Projects End\-to\-End: Drive technical projects from concept to production. Define solutions, analyze tradeoffs, make critical decisions, and deliver software that works today and is sustainable for tomorrow.
* Collaborate Across Functions: Partner with product, design, and business stakeholders to shape initiatives. Translate between technical and non\-technical audiences to ensure clarity, alignment, and buy\-in.
* Code Craftsmanship: Write clear, testable, and maintainable code. Establish patterns and best practices that your team can follow, ensuring long\-term scalability and reliability.
* Build for Quality \&amp; Sustainability: Design extensible systems, make balanced decisions on tech debt, plan careful rollouts, and own the quality of your work through post\-launch monitoring.
* Think Product, Not Just Code: Approach problems with a product mindset. You care as much about the business impact of what you build as the technical design.
* Mentor \&amp; Elevate: Coach engineers on your team by sharing patterns, practices, and critical thinking to raise the technical bar and foster a culture of sustainable engineering.
**What You Bring**
* Seven or more years of backend software engineering experience.
* Proven experience leading technical projects at scale, including planning, execution, and stakeholder management.
* Experience maintaining and improving legacy systems.
* Clear and persuasive communication skills — you can articulate tradeoffs and influence decisions across teams, communicating clearly with non\-technical stakeholders.
* A mindset that balances urgency with craftsmanship: shipping fast, without cutting corners on quality engineering.
* Creativity and adaptability — you think beyond the obvious and find solutions that move both product and business forward.
* A track record of mentoring engineers and helping teams grow.
 If this role interests you, we invite you to explore our public demo at demo.mercury.com.
 The total rewards package at Mercury includes base salary, equity,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$200,700 \- $250,900
* Canadian employees: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209">
      <c r="A209" t="inlineStr">
        <is>
          <t>li-4365592089</t>
        </is>
      </c>
      <c r="B209" t="inlineStr">
        <is>
          <t>Software Engineer, Systems Research, PhD, Early Career</t>
        </is>
      </c>
      <c r="C209" t="inlineStr">
        <is>
          <t>Google</t>
        </is>
      </c>
      <c r="D209" t="inlineStr">
        <is>
          <t>linkedin</t>
        </is>
      </c>
      <c r="E209">
        <f>HYPERLINK("https://www.linkedin.com/jobs/view/4365592089", "https://www.linkedin.com/jobs/view/4365592089")</f>
        <v/>
      </c>
      <c r="F209">
        <f>HYPERLINK("https://careers.google.com/jobs/results/76908711519363782-software-engineer/?src=Online/LinkedIn/linkedin_us&amp;utm_source=linkedin&amp;utm_medium=jobposting&amp;utm_campaign=contract&amp;urlHash=exO2", "https://careers.google.com/jobs/results/76908711519363782-software-engineer/?src=Online/LinkedIn/linkedin_us&amp;utm_source=linkedin&amp;utm_medium=jobposting&amp;utm_campaign=contract&amp;urlHash=exO2")</f>
        <v/>
      </c>
      <c r="G209" t="inlineStr">
        <is>
          <t>Sunnyvale, CA</t>
        </is>
      </c>
      <c r="H209" t="inlineStr"/>
      <c r="I20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
 **Minimum qualifications:**
* PhD degree in Computer Science, or a related technical field, or equivalent practical experience.
* Experience coding in one of the following programming languages including but not limited to: C, C\+\+, Java, JavaScript, Python, or Golang.
* Research experience in an area of computer systems design and implementation.
**Preferred qualifications:**
* PhD degree in Computer Science, Computer Engineering, Electrical Engineering, or a related field.
* Experience in Research areas such as storage systems, memory systems, distributed systems and networks, novel I/O systems, computer architecture and accelerators, databases and analytics, cloud computing, sustainability, privacy, or other emerging technologies.
* Experience in authoring/co\-authoring of papers in venues in the systems field (e.g., SOSP, OSDI, ISCA, ASPLOS, MICRO, ASPLOS, PLDI, SIGCOMM, NSDI, SIGMOD, etc.).
* Experience in systems for Machine Learning (ML).
* Experience designing and implementing an experimental system in a research or product development environment.
**About The Job**
 Researchers across Google are working to advance the state of the art in computing and build the next generation of intelligent systems for all Google products. To achieve this, we invest in foundational research and work on projects that utilize the latest computer science techniques developed by skilled software developers and research scientists. Whether we're shaping the future of sustainability, optimizing algorithms, or pioneering AI systems, our teams strive to continuously progress science, advance society, and improve the lives of billions of people.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Explore emerging technologies and systems as an individual contributor in the research and development team.
* Participate in team projects to carry out system design, analysis, and building of prototypes to demonstrate advantages and reveal challenges of these technologies for a broad range of applications in the data center and modern Cloud environments, including machine learning.
* Create strategies that will lead to innovative projects and follow\-on products for the future.
* Operate across research and engineering teams in order to influence products or integrate research results into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0">
      <c r="A210" t="inlineStr">
        <is>
          <t>li-4355336527</t>
        </is>
      </c>
      <c r="B210" t="inlineStr">
        <is>
          <t>Senior Software Engineer II- AI Workload Orchestration</t>
        </is>
      </c>
      <c r="C210" t="inlineStr">
        <is>
          <t>CoreWeave</t>
        </is>
      </c>
      <c r="D210" t="inlineStr">
        <is>
          <t>linkedin</t>
        </is>
      </c>
      <c r="E210">
        <f>HYPERLINK("https://www.linkedin.com/jobs/view/4355336527", "https://www.linkedin.com/jobs/view/4355336527")</f>
        <v/>
      </c>
      <c r="F210" t="inlineStr"/>
      <c r="G210" t="inlineStr">
        <is>
          <t>Bellevue, WA</t>
        </is>
      </c>
      <c r="H210" t="inlineStr"/>
      <c r="I210"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As a
 **Senior Software Engineer II (IC4\)** 
 on the
 **AI Workload Orchestration Platform** 
 team, you will help build and operate CoreWeave’s Kubernetes\-native platform for admitting, scheduling, and operating AI workloads at scale.
 This platform integrates multiple orchestration and scheduling frameworks such as
 **Kueue, Volcano, and Ray** 
 to support modern AI training and inference workflows. It complements
 **SUNK (Slurm on Kubernetes)** 
 by providing a Kubernetes\-first, cloud\-native orchestration layer with deep platform integration.
 You will own meaningful components of the platform, drive reliability and performance improvements, and help scale the system as customer demand and workload complexity continue to grow.
**About The Role**
* Design, build, and operate Kubernetes\-native services for AI workload orchestration and scheduling
* Own one or more platform components end\-to\-end, including design, implementation, testing, and on\-call support
* Improve scheduling latency, cluster utilization, and workload reliability through metrics\-driven engineering
* Contribute to architectural discussions across services and influence design decisions within the platform
* Work closely with adjacent teams (CKS, infrastructure, managed inference) to ensure clean interfaces and integrations
* Mentor junior engineers and raise the quality bar for code, design, and operations
**Who You Are**
* 5–8 years of professional software engineering experience in distributed systems, cloud infrastructure, or platform engineering
* Strong experience building production systems in Go (Python or C\+\+ a plus)
* Solid understanding of Kubernetes fundamentals, APIs, controllers, and operating services in production
* Experience working with scheduling, resource management, or quota\-based systems
* Proven ability to improve system reliability and performance using data and operational metrics
* Comfortable owning services in production and participating in on\-call rotations
**Preferred**
* Experience with Kubernetes\-native orchestration frameworks such as Kueue, Volcano, Ray, Kubeflow, or Argo Workflows
* Familiarity with GPU\-based workloads, ML training, or inference pipelines
* Knowledge of scheduling concepts such as quota enforcement, pre\-emption, and backfilling
* Experience with reliability practices including SLOs, alerting, and incident response
* Exposure to AI infrastructure, HPC, or large\-scale distributed compute environments
**Wondering if you’re a good fit?** 
**We believe in investing in our people and value candidates who can bring their diverse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11">
      <c r="A211" t="inlineStr">
        <is>
          <t>li-4321333907</t>
        </is>
      </c>
      <c r="B211" t="inlineStr">
        <is>
          <t>Systems Software Engineer - Game Engine Network (C++)</t>
        </is>
      </c>
      <c r="C211" t="inlineStr">
        <is>
          <t>Roblox</t>
        </is>
      </c>
      <c r="D211" t="inlineStr">
        <is>
          <t>linkedin</t>
        </is>
      </c>
      <c r="E211">
        <f>HYPERLINK("https://www.linkedin.com/jobs/view/4321333907", "https://www.linkedin.com/jobs/view/4321333907")</f>
        <v/>
      </c>
      <c r="F211" t="inlineStr"/>
      <c r="G211" t="inlineStr">
        <is>
          <t>San Mateo, CA</t>
        </is>
      </c>
      <c r="H211" t="inlineStr"/>
      <c r="I21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Networking Team** 
 pulls the players together by ensuring the communication of the game state to all. As a Principal Network Transport Engineer you will help the players experience the game as a nearly synchronous world. Just as the nerves in our bodies coordinate our actions, the network system coordinates all the computers involved into a smooth experience for the players. You will work in all areas of the game platform in your quest for real\-time communication of every part of Roblox.
**You Have**
* Worked on a powerful user\-space network stack, solving problems related to scale, performance, latency, and throughput in client/server environments.
* Worked on a very large multithreaded distributed system that connects millions of users worldwide.
* Worked on all the devices Roblox supports \- from desktop clients to mobile phone clients to console clients
* Worked on a game engine and understand how a game engine works
**You Are**
* A software engineer with 4\+ years of experience with Game networking coming from a Game Engine/Studio
* A deep understanding of Network Stack with a passion for working with open source
* Strong systems\-level C\+\+ programming experience and fascinated by the actual work the CPU does when you use smart pointers, templates, virtual functions, and blocks of memory, both structured and raw
* Experience with Linux networking and have a good understanding of common network protocols
* Keen to each millisecond of the network exchanges: You know where the time goes and how to reduce the waste
* Understanding of what happens on the operating systems level when certain code is completed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12">
      <c r="A212" t="inlineStr">
        <is>
          <t>li-4349755090</t>
        </is>
      </c>
      <c r="B212" t="inlineStr">
        <is>
          <t>Software Developer Coop</t>
        </is>
      </c>
      <c r="C212" t="inlineStr">
        <is>
          <t>Nokia</t>
        </is>
      </c>
      <c r="D212" t="inlineStr">
        <is>
          <t>linkedin</t>
        </is>
      </c>
      <c r="E212">
        <f>HYPERLINK("https://www.linkedin.com/jobs/view/4349755090", "https://www.linkedin.com/jobs/view/4349755090")</f>
        <v/>
      </c>
      <c r="F212">
        <f>HYPERLINK("https://fa-evmr-saasfaprod1.fa.ocs.oraclecloud.com/hcmUI/CandidateExperience/en/job/28479/?utm_medium=jobshare&amp;src=SNS-102&amp;urlHash=DayD", "https://fa-evmr-saasfaprod1.fa.ocs.oraclecloud.com/hcmUI/CandidateExperience/en/job/28479/?utm_medium=jobshare&amp;src=SNS-102&amp;urlHash=DayD")</f>
        <v/>
      </c>
      <c r="G212" t="inlineStr">
        <is>
          <t>New Providence, NJ</t>
        </is>
      </c>
      <c r="H212" t="inlineStr"/>
      <c r="I212" t="inlineStr">
        <is>
          <t>**Job Description**
**Number of Positions:** 
 2
**Duration** 
 : 4 months
**Date:** 
 May \-August, 2026
**Location:** 
 Hybrid in Murray Hill, New Jersey, USA
**EDUCATIONAL RECOMMENDATIONS:**
 Currently a candidate for a Master's, Bachelors' degree or Diploma in the area of computer science, computer engineering, computer systems engineering, or a related field with an accredited school in USA
**How You Will Contribute And What You Will Learn**
* Learn and understand optical network management system, optical transport network,
* Study and understand database modeling, database schema,
* Write design documentation and present ideas to peers,
* Develop GUI, subsystem, components in Java, React, Spring Framework, Hibernate, JDB,
* Write and execute unit test cases, Integrate multiple components with team members.
* Resolve the problems during development and testing.
* Use AI tools to develop system / subsystem
* Demo and present the progress to peers, management team.
**Key Skills And Experience**
* Enthusiasm to develop software system and a good contributor in a team
* Strong academic background
* Strong problem solving skill
* Core Java Programing skill
* Database design/program skill
* Knowledge and experience on system design, database, Java, React, SQL, Unix/Linux, IDE, working with AI tools
* Excellent Communication
* Master or PhD Student are preferred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for students in the US :
* Flexible and hybrid working schemes to balance study, work, and life
* Professional development events and networking opportunities
* Well\-being programs, including Personal Support Service 24/7 \- a confidential support channel open to all Nokia employees and their families in challenging situations
* Opportunities to join Nokia Employee Resource Groups (NERGs) and build connections across the organization
* Employee Growth Solutions, mentorship programs, and coaching support for your career development
* A learning environment that fosters both personal growth and professional development – for your role and beyond
**Disclaimer for US/Canada**
 Nokia maintains broad annual base salary ranges for its roles in order to account for variations in knowledge, skills, experience and market conditions, and with consideration to internal peer equity. Check the salary ranges in the job info section for this role.
**All North America job posts will post for a minimum of 3 calendar days and up to 180 days or until candidate/s identified.**</t>
        </is>
      </c>
    </row>
    <row r="213">
      <c r="A213" t="inlineStr">
        <is>
          <t>li-4312710750</t>
        </is>
      </c>
      <c r="B213" t="inlineStr">
        <is>
          <t>Member of Technical Staff, Custody (Frontend Engineer)</t>
        </is>
      </c>
      <c r="C213" t="inlineStr">
        <is>
          <t>Anchorage Digital</t>
        </is>
      </c>
      <c r="D213" t="inlineStr">
        <is>
          <t>linkedin</t>
        </is>
      </c>
      <c r="E213">
        <f>HYPERLINK("https://www.linkedin.com/jobs/view/4312710750", "https://www.linkedin.com/jobs/view/4312710750")</f>
        <v/>
      </c>
      <c r="F213" t="inlineStr"/>
      <c r="G213" t="inlineStr"/>
      <c r="H213" t="inlineStr"/>
      <c r="I213" t="inlineStr">
        <is>
          <t>**At Anchorage Digital, we are building the world’s most advanced digital asset platform for institutions to participate in crypto.**
 Anchorage Digital is a crypto platform that enables institutions to participate in digital assets through custody, staking, trading, governance, settlement, and the industry's leading security infrastructure. Home to Anchorage Digital Bank N.A., the first federally chartered crypto bank in the U.S., Anchorage Digital also serves institutions through Anchorage Digital Singapore, Porto by Anchorage Digital , and other offerings.
 The company is funded by leading institutions including Andreessen Horowitz, GIC, Goldman Sachs, KKR, and Visa, with its Series D valuation over $3 billion. Founded in 2017 in San Francisco, California, Anchorage Digital has offices in New York, New York; Porto, Portugal; Singapore; and Sioux Falls, South Dakota. Learn more at anchorage.com, on X @Anchorage, and on LinkedIn.
 You will be implementing professional, high quality UIs that are used by institutional investors around the world on a daily basis to trade, invest and exchange cryptocurrency assets. The crypto industry is one of the most exciting industries in tech today, and it is constantly changing! At Anchorage Digital, we are building foundational technology to help the crypto industry evolve in a safe, regulated and highly secure manner, which we believe is essential for maximizing the potential of this exciting industry.
 We think about growth and career development differently at Anchorage Digital. We define performance as acquiring, possessing, and practicing a relevant set of skills and competencies \- and the
 **ability to apply them effectively and consistently** 
 . We have created the Factors of Growth \&amp; Impact to help Anchorage Digital “Villagers” better measure impact and the rich and rewarding learning that happens while exploring, developing, and mastering the capabilities and contributions within and outside of the Front End Software Engineering role. You will be coached, mentored and guided to grow your capabilities in 4 major areas:
**Technical Skills:**
* Implement UI designs to create an intuitive user experience for managing cryptocurrency.
* Review other developer’s UI code to ensure consistency, reduce errors and share context across the front\-end engineering discipline.
* Ability to implement automated UI tests to validate your features work as expected.
* Work across the front\-end engineering discipline at Anchorage Digital to level up our UIs while building simple and reusable components.
**Complexity and Impact of Work:**
* Find the right balance between progress (i.e. shipping quickly) and perfection (i.e. measuring twice).
* Work on the front lines of the blockchain/crypto movement and SecOps innovation.
* Ship code that will impact the global economy.
**Organizational Knowledge:**
* Foster an efficient deterministic testing culture, with an emphasis on minimizing tech debt and bureaucracy.
* Review code across the entire front\-end discipline while actively participating in product development.
* Help scale the team.
**Communication and Influence**
* Work closely with Backend engineers propose/review GraphQL API changes.
* Collaborate with Product managers and designers to brainstorm and align on new design changes.
* Influence architecture/product roadmap \- have a seat at the table.
**You may be a fit for this role if you:**
* Have real world experience building web applications/UI from scratch and supporting them over a meaningful period of time.
* Have mastered at least one JavaScript framework (ex. React.Js, Angular.Js, Vue.Js, Ember, etc.)
* Genuinely care about code quality and test infrastructure.
* Prioritize end\-user experience and business value over “cool tech.”
* Have developed “computer science fundamentals”, i.e. concurrency, algorithms, and data structures (Formal CS degree NOT required).
* Self\-describe as some combination of the following: creative, humble, ambitious, detail\-oriented, hardworking, trustworthy, eager to learn, methodical, action\-oriented, and tenacious.
**Although not a requirement, bonus points if you:**
* Have production experience with web security.
* Have built a Chrome extension.
* Read blockchain protocol white papers for fun, and stay up to date with the proliferation of cryptoasset innovations.
* Have a background in the finance industry.
* Were emotionally moved by the soundtrack to Hamilton, which chronicles the founding of a new financial system. :)
**About Anchorage Digital: Who we are**
 The Anchorage Village, what we call our team, brings together the brightest minds from platform security, financial services, and distributed ledger technology to provide the building blocks that empower institutions to safely participate in the evolving digital asset ecosystem. As a diverse team of more than 600 members, we are united in one common goal: building the future of finance by providing the foundation upon which value moves safely in the new global economy.
 Anchorage Digital is committed to being a welcoming and inclusive workplace for everyone, and we are intentional about making sure people feel respected, supported, and connected at work—regardless of who you are or where you come from. We value and celebrate our differences and we believe being open about who we are allows us to do the best work of our lives.
 Anchorage Digital is an Equal Opportunity Employer. We are committed to equal employment opportunity regardless of race, color, ancestry, religion, sex, national origin, sexual orientation, age, citizenship, marital status, disability, gender identity or veteran status. Anchorage Digital considers qualified applicants regardless of criminal histories, consistent with other legal requirements. “Anchorage Digital” refers to services that are offered either through Anchorage Digital Bank National Association, an OCC\-chartered national trust bank, or Anchorage Lending CA, LLC a finance lender licensed by the California Department of Financial Protection and Innovation, License No. 60DBO\-11976, or Anchorage Digital Singapore Pte Ltd, a Singapore private limited company, all wholly\-owned subsidiaries of Anchor Labs, Inc., a Delaware corporation.
 Protecting your privacy rights is important to Anchorage Digital, and we work to maintain the trust and confidence of our clients when handling personal or financial information. Please see our privacy policy notices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4">
      <c r="A214" t="inlineStr">
        <is>
          <t>li-4365579510</t>
        </is>
      </c>
      <c r="B214" t="inlineStr">
        <is>
          <t>Software Engineer, PhD, Early Career, Embedded Systems and Firmware, 2026 Start</t>
        </is>
      </c>
      <c r="C214" t="inlineStr">
        <is>
          <t>Google</t>
        </is>
      </c>
      <c r="D214" t="inlineStr">
        <is>
          <t>linkedin</t>
        </is>
      </c>
      <c r="E214">
        <f>HYPERLINK("https://www.linkedin.com/jobs/view/4365579510", "https://www.linkedin.com/jobs/view/4365579510")</f>
        <v/>
      </c>
      <c r="F214" t="inlineStr"/>
      <c r="G214" t="inlineStr">
        <is>
          <t>Raleigh, NC</t>
        </is>
      </c>
      <c r="H214" t="inlineStr"/>
      <c r="I214"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Los Angeles, CA, USA; Mountain View, CA, USA; New York, NY, USA; Raleigh, NC, USA; Durham, NC, USA; Seattle, WA, USA** 
 .
 **Minimum qualifications:**
* PhD degree in Computer Science, or a related field, or equivalent practical experience.
* Experience in embedded systems/firmware design.
* Experience coding in C or C\+\+.
**Preferred qualifications:**
* Knowledge of one or more of the following: Microcontrollers, SoC, device drivers, hardware, power management, ARM processors, performance optimization, file systems, bootloading, firmware, x86 assembly, system BIOS, or hardware/software integration.
* Knowledge of Unix/Linux environments and kernel development.
* Ability to start full\-time role in 2026\.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PhD graduate, your research expertise is invaluable to us. Explore a variety of projects, collaborate with various teams, and contribute to products that are changing the world, across many product areas, including AI \&amp; Infrastructure , Cloud , and more!
 Our Engineering teams include thousands of PhDs who bring their deep knowledge and research experience to enhance our systems and products. As a Google PhD Software Engineer, you will work on critical projects, with many opportunities to learn and follow your interests. We expect our engineers to be creative and versatile, leading and identifying new problems to push the field and Google technology forward.
 Google is one of the world’s leading suppliers and consumers of ML and AI technology, with decades of experience in designing, deploying, and using ML software and custom ML hardware infrastructure at massive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team projects to carry out design, analysis, and development of advanced systems across the stack, particularly embedded systems.
* Develop code and review code developed by other developers, and provide feedback to ensure best practices (e.g., style guidelines, accuracy, testability, and efficiency).
* Write documents that set new technical directions. Contribute to existing documentation or educational content and adapt content based on product/program updates and user feedback.
* Study, diagnose and resolve complex technical issues by analyzing the sources of the issues and the impact on software,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5">
      <c r="A215" t="inlineStr">
        <is>
          <t>li-4343179715</t>
        </is>
      </c>
      <c r="B215" t="inlineStr">
        <is>
          <t>Staff Software Engineer, Platform Engineering</t>
        </is>
      </c>
      <c r="C215" t="inlineStr">
        <is>
          <t>Snap Inc.</t>
        </is>
      </c>
      <c r="D215" t="inlineStr">
        <is>
          <t>linkedin</t>
        </is>
      </c>
      <c r="E215">
        <f>HYPERLINK("https://www.linkedin.com/jobs/view/4343179715", "https://www.linkedin.com/jobs/view/4343179715")</f>
        <v/>
      </c>
      <c r="F215" t="inlineStr"/>
      <c r="G215" t="inlineStr">
        <is>
          <t>Bellevue, WA</t>
        </is>
      </c>
      <c r="H215" t="inlineStr"/>
      <c r="I21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Staff Software Engineer to support our Platform Engineering organization.
 The team builds and owns platform systems across Compute, Networking, and Metrics infrastructure, for all Snap backends. The team owns foundational infrastructure services spanning API Gateway, Service Mesh, Managed K8s infrastructure, Capacity Management, and Workload scheduling. These systems are widely adopted and power critical Snap verticals like Messaging, Story Posting, Media Delivery, Memories, Content Feed, Ads, ML Platform, Maps, Bitmoji, etc. at internet scale. This is a hands\-on role, requiring strong technical background, ability to actively contribute to team's technical direction, participate in design discussions, and guide the team through complex technical challenges.
 You can learn more about what we do from our blog post !
 What you’ll do:
* Design and develop systems across all three teams, in a fast\-paced, quick\-to\-market environment
* Set the strategy, build a roadmap, create measurable goals, and lead your team to deliver
* Collaborate with Product, Operation, Data Science and Engineering teams, and executive stakeholders
* Evaluate the technical tradeoffs of major decisions and be a strong technical mentor
* Hire, grow and retain high\-performing team members
 Knowledge, Skills \&amp; Abilities:
* Background with building high availability and mission critical systems
* Experience with leading an engineering team
* Ability leading and executing large, complex technical initiatives
 Minimum Qualifications:
* Bachelor's Degree in a relevant technical field such as computer science or equivalent years of practical work experience
* 8\+ years of post\-Bachelor’s software development experience; or a Master’s degree in a technical field \+ 7\+ year of post\-grad software development experience; or a PhD in a related technical field \+ 3\+ years of post\-grad software development experience
* Experience with distributed systems, and cloud infrastructure technologies
 Preferred Qualifications:
* Familiarity with the driving large scale initiatives from ideation to completion
* Track record of delivery in rapidly changing, highly collaborative, multi\-stakeholder environments
* Experience with large\-scale and multi\-cloud backend systems/services and networking services
* Experience with microservices architecture, and Kubernetes containerize applications
* Experience with Graphite or Prometheus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216">
      <c r="A216" t="inlineStr">
        <is>
          <t>li-4349772549</t>
        </is>
      </c>
      <c r="B216" t="inlineStr">
        <is>
          <t>Senior Software Engineer, Backend - GTPN Platform (Relocate to Singapore)</t>
        </is>
      </c>
      <c r="C216" t="inlineStr">
        <is>
          <t>Airwallex</t>
        </is>
      </c>
      <c r="D216" t="inlineStr">
        <is>
          <t>linkedin</t>
        </is>
      </c>
      <c r="E216">
        <f>HYPERLINK("https://www.linkedin.com/jobs/view/4349772549", "https://www.linkedin.com/jobs/view/4349772549")</f>
        <v/>
      </c>
      <c r="F216">
        <f>HYPERLINK("https://jobs.ashbyhq.com/airwallex/b25fabff-0118-4393-9b48-844ce4421d8e/application?utm_source=linkedin&amp;urlHash=wnwD", "https://jobs.ashbyhq.com/airwallex/b25fabff-0118-4393-9b48-844ce4421d8e/application?utm_source=linkedin&amp;urlHash=wnwD")</f>
        <v/>
      </c>
      <c r="G216" t="inlineStr">
        <is>
          <t>Austin, TX</t>
        </is>
      </c>
      <c r="H216" t="inlineStr"/>
      <c r="I216"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**The Opportunity**
 The Global Treasury and Payment Network (GTPN) team sits at the core of Airwallex’s payment infrastructure. As Airwallex’s very first product and still the largest revenue driver across the company, GTPN underpins many of our most critical customer experiences. We operate at the intersection of traditional and modern finance, expanding the reach of our global treasury and payment network, strengthening its capabilities and reliability, and delivering innovative payment products built on a robust financial foundation.
 GTPN is a truly global, cross\-site engineering organization, with talented engineers in existing and emerging hubs such as the US, Singapore, Hong Kong, and Shanghai. As we continue to scale worldwide, we’re looking for passionate Senior Software Engineers to join us. You’ll collaborate closely with product managers, designers, and engineers across regions to build and enhance products that not only meet but exceed our customers’ expectations.
**Locations:**
 Singapore or San Francisco
**Why Join Us**
* Be Part of Something Big: Join a team that's redefining the future of finance. Your work will have a direct impact on our mission to revolutionize financial services and help millions of businesses grow globally.
* Grow With Us: At Airwallex, we're committed to your professional development. You'll have opportunities to learn, grow, and shape your career path in a fast\-paced, innovative environment.
* Collaborate With the Best: Work with a team of talented and passionate individuals who are driven by the desire to create something extraordinary.
* Echo Work For Us!
**What You’ll Do**
* Lead with Inspiration \&amp; Purpose: You will oversee the strategy, architecture, development, and operation of Airwallex’s GTPN team to remain at the vanguard of developing cutting\-edge financial solutions.
* Collaborate and Create: Work alongside a team of talented engineers, product managers, and designers to bring our finance products from concept to launch. Your input will be crucial in shaping the future of finance.
* Understand and Empathize: Dive deep into our customers' needs and challenges. Your good product sense will enable you to design and implement solutions that truly resonate with our users.
* Measure and Optimize: Leverage data to drive decisions. Your keen data sense will help you measure the success of our products and identify opportunities for optimization and growth.
**Who You Are**
* A Highly Experienced and Inspirational Leader: You have successfully led a highly effective team that thrives in a dynamic and fast\-paced environment previously. Your outstanding leadership and motivational abilities will be invaluable in mentoring the team, fostering a culture of innovation, and promoting technical excellence within the organization.
* Experienced and Technically Proficient: You possess a wealth of experience in system architecturing and software development, with 10\+ years working in modern engineering practices focused on continuous innovation and high\-quality engineering.
* A Technical and Talent Bar Raiser: You set high standards and lead by example, elevating the capabilities of those around you.
* Empathetic and Insightful: Your deep empathy for customer needs drives your development process, allowing you to create intuitive and impactful products. This understanding is not just about meeting requirements, but enriching user experiences.
* Data\-Driven and Analytical: You view data as a narrative element of development, a critical tool that informs your decision\-making process. Your ability to interpret data enhances product performance and elevates user satisfaction, making you a pivotal member of our team.
* Collaborative and Knowledge\-Sharing: True collaboration is second nature to you. You thrive in team settings and are committed to sharing knowledge and ideas, which you see as vital to fostering innovation. Your role as a coach involves mentoring peers and promoting a learning culture within the team.
* Adaptable and Continuously Learning: In the fast\-paced world of fintech, you stand out for your agility and eagerness to adopt new skills and technologies. Challenges are opportunities for growth, and you are always prepared to expand your horizons.
* Proactive and Ownership\-Driven: You are self\-motivated and take initiative, demonstrating a strong sense of ownership in your projects. Your proactive approach ensures that you are always ahead of the curve, ready to take on responsibilities and lead projects to successful outcomes.
* Efficient and Prioritization\-Savvy: You excel at prioritizing tasks, which enables you to manage your workload effectively while maintaining high standards of quality. This skill ensures that critical project components receive the attention they need without sacrificing overall progress.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180K \- SGD 240K</t>
        </is>
      </c>
    </row>
    <row r="217">
      <c r="A217" t="inlineStr">
        <is>
          <t>li-4372017989</t>
        </is>
      </c>
      <c r="B217" t="inlineStr">
        <is>
          <t>Senior Software Engineer - React Native - Consumer</t>
        </is>
      </c>
      <c r="C217" t="inlineStr">
        <is>
          <t>Kraken</t>
        </is>
      </c>
      <c r="D217" t="inlineStr">
        <is>
          <t>linkedin</t>
        </is>
      </c>
      <c r="E217">
        <f>HYPERLINK("https://www.linkedin.com/jobs/view/4372017989", "https://www.linkedin.com/jobs/view/4372017989")</f>
        <v/>
      </c>
      <c r="F217">
        <f>HYPERLINK("https://jobs.ashbyhq.com/kraken.com/b9fcef88-587d-4299-a3b0-9f96c102554c/application?utm_source=LinkedIn&amp;urlHash=7BZ7", "https://jobs.ashbyhq.com/kraken.com/b9fcef88-587d-4299-a3b0-9f96c102554c/application?utm_source=LinkedIn&amp;urlHash=7BZ7")</f>
        <v/>
      </c>
      <c r="G217" t="inlineStr"/>
      <c r="H217" t="inlineStr"/>
      <c r="I217"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We are currently seeking an experienced Senior Software Engineer to join our growing Consumer team. The Consumer team at Kraken focuses on building applications that expose Kraken’s product offering to the mass market. Trying to onboard the next 100 million people to the benefits of crypto.
 This role primarily involves developing features and maintaining our “Consumer” mobile applications, which consists of a suite of applications aimed at offering the simplest way for our customers to interact with Kraken. We expect anyone applying for this role to have an extreme eye for detail, a passion for building genuinely world class user experiences, a “
 **ship fast but don’t ship shit** 
 ” attitude and be highly self driven.
**The opportunity**
* Design, develop, and maintain high\-quality mobile applications using React Native
* Set the standard for high\-quality code and lead complex software systems development
* Significantly influence technical decisions, contribute to technical strategy discussions, and shape product/domain decisions with an expert understanding of engineering best practices
* Mentor junior and senior engineers and provide constructive feedback
* Master multiple technologies and stay ahead of the curve with new tools and trends
* Design and implement scalable, maintainable, and fault\-tolerant systems, with a deep understanding of complex software development architecture and design patterns
* Lead and collaborate on complex initiatives, and drive feedback and growth across teams
* Drive process improvements and lead by example with advanced experience in multiple software development processes
**Skills You Should HODL**
* 6\+ years of experience in software development, with a focus on web and mobile applications
* Deep understanding of JavaScript/TypeScript and proficiency with React Native frameworks
* Strong experience of API design, security, and performance optimization
* Experience with Next.js and WebSockets
* Experience with frontend testing frameworks
* Familiarity with modern front\-end build pipelines and tooling
* Strong understanding of UI/UX best practices and principles
* Experience within a large technology organization or fast growing startup
* Hands\-on experience in consumer payments, crypto or fintech mobile applications
* Strong written and verbal communication skills in English
**Nice to haves**
* Familiarity with native mobile app development (iOS/Android)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$110\.4K \- $220\.8K</t>
        </is>
      </c>
    </row>
    <row r="218">
      <c r="A218" t="inlineStr">
        <is>
          <t>li-4290870835</t>
        </is>
      </c>
      <c r="B218" t="inlineStr">
        <is>
          <t>Software Engineer, FedRAMP Infrastructure</t>
        </is>
      </c>
      <c r="C218" t="inlineStr">
        <is>
          <t>Ramp</t>
        </is>
      </c>
      <c r="D218" t="inlineStr">
        <is>
          <t>linkedin</t>
        </is>
      </c>
      <c r="E218">
        <f>HYPERLINK("https://www.linkedin.com/jobs/view/4290870835", "https://www.linkedin.com/jobs/view/4290870835")</f>
        <v/>
      </c>
      <c r="F218">
        <f>HYPERLINK("https://jobs.ashbyhq.com/ramp/9912212c-2edd-4bdb-a18c-1087bcae0522?src=LinkedIn&amp;urlHash=pcpW", "https://jobs.ashbyhq.com/ramp/9912212c-2edd-4bdb-a18c-1087bcae0522?src=LinkedIn&amp;urlHash=pcpW")</f>
        <v/>
      </c>
      <c r="G218" t="inlineStr">
        <is>
          <t>Washington, DC</t>
        </is>
      </c>
      <c r="H218" t="inlineStr"/>
      <c r="I21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at its core, an engineering company, and is on a mission to build the best engineering team in the world. Our Infrastructure supports the foundations of our product and platform, owning areas like compute orchestration, databases, messaging, observability, and developer environments. We build the primitives and abstractions that let product teams move fast while ensuring security, scalability, and reliability.
 This role is a cross\-functional position within the Infrastructure organization, with a specific focus on enabling our government environments (FedRAMP, GovRAMP). You’ll act as both a technical owner and a multiplier: helping shape compliant infrastructure patterns, identifying risks across infra domains, and partnering closely with other infra engineers to ensure our architecture continues to meet strict operational and security requirements.
 You will be expected to take ownership of our government infrastructure and guide its evolution, while also contributing to high\-leverage infra projects across the org.
 Our ideal candidate combines deep cloud infrastructure experience with a strong sense of ownership, collaborative instincts, understands the nuances of operating in secure and regulated environments, and has a desire to mentor others and raise the bar across the team.
**What You’ll Do**
* Influence the evolution of Ramp’s infrastructure to support our government environments
* Work across infra domains to contribute to the next generation of Ramp's database, real\-time queue, or container orchestration infrastructure, and ensure proposed changes are viable within our secure environments
* Collaborate across our engineering organization to introduce and scale best practices with cloud\-native technologies like Cloudflare, Amazon ALB, Service Discovery, ECS/EKS, Celery, Kafka, Amazon Aurora PostgreSQL, Elasticache Redis, and S3
* Build abstractions within Terraform to simplify architecture and increase developer velocity and ownership
* Find solutions to Ramp's toughest scaling, performance, and low\-latency problems
* Participate in an on\-call rotation to address critical production events
* Mentor other engineers and contribute to a high\-performing, inclusive engineering culture
**What You Need**
* Minimum 6 years of experience shipping high\-quality architectures for critical systems preferred
* Production experience in AWS, GCP, or Azure
* An ability to think through customer requirements and come up with high\-impact ways to quickly solve their problems
* Expertise in a production deployment of Infrastructure\-as\-Code i.e. Terraform
* Proficiency in an object\-oriented programing language
**FedRAMP Requirements**
* Proven experience designing and operating cloud infrastructure (AWS) compliant with FedRAMP security standards.
* Expertise implementing secure Infrastructure\-as\-Code (Terraform) solutions aligned with FedRAMP controls and audits.
* Deep understanding of secure data handling, encryption, logging, and access controls required under FedRAMP guidelines.
* Strong experience building, scaling, and securing database infrastructure and container orchestration systems to meet FedRAMP compliance.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219">
      <c r="A219" t="inlineStr">
        <is>
          <t>li-4311796472</t>
        </is>
      </c>
      <c r="B219" t="inlineStr">
        <is>
          <t>Senior iOS Software Engineer</t>
        </is>
      </c>
      <c r="C219" t="inlineStr">
        <is>
          <t>Garmin</t>
        </is>
      </c>
      <c r="D219" t="inlineStr">
        <is>
          <t>linkedin</t>
        </is>
      </c>
      <c r="E219">
        <f>HYPERLINK("https://www.linkedin.com/jobs/view/4311796472", "https://www.linkedin.com/jobs/view/4311796472")</f>
        <v/>
      </c>
      <c r="F219">
        <f>HYPERLINK("https://careers.garmin.com/jobs/17291?lang=en-us&amp;iss=linkedin&amp;urlHash=M6D8", "https://careers.garmin.com/jobs/17291?lang=en-us&amp;iss=linkedin&amp;urlHash=M6D8")</f>
        <v/>
      </c>
      <c r="G219" t="inlineStr">
        <is>
          <t>Chandler, AZ</t>
        </is>
      </c>
      <c r="H219" t="inlineStr"/>
      <c r="I219" t="inlineStr">
        <is>
          <t>**Overview**
 We are seeking a full\-time
 **Senior iOS Software Engineer** 
 in our Chandler, AZ location. In this role, you will be responsible for providing technical leadership and project planning for software development for commercial aviation products, applications, or systems new to Garmin as an individual contributor.
**Essential Functions**
* Serves in a leadership capacity as an individual contributor for carrying out software development in Swift, Objective\-C, Swift UI and UIkit language or other selected languages for new products and/or applications
* May serve as a Lead Software Engineer for complex software development project designs and/or reviews architected modules and software systems supporting new technology or improving capability/performance of existing functionality
* Decomposes functional requirements into well\-defined tasks
* Researches fundamental problems and implements algorithm solutions that are appropriate
* Offers peer technical assessments in areas of expertise, new technologies and software designs
* Assists design engineering as needed with component datasheet review and schematic design review
* Participates in project leadership and/or program planning including providing technical input to product development plans and concept documents
* Makes substantial contributions toward determination of project goal/objective feasibility and applies good judgment in setting schedules/risk taking
* Mentors and provides guidance to less experienced Software Engineers (1 \&amp; 2\)
* Contributes to advanced technical research on new technologies
* Offers process improvement suggestions and authors new procedures as appropriate
* Provides reliable solutions to a wide range of difficult problems using sound problem solving techniques
* Supports working hours as part of a rotating schedule to provide on call support of Garmin’s 24/7 operations
**Basic Qualifications**
* Bachelor’s Degree in Computer Science, Electrical Engineering, Computer Engineering, Software Engineering, Aerospace Engineering, Math, Physics or related field AND a minimum of 5 years relevant experience OR an equivalent combination of education and experience
* Excellent academics (cumulative GPA greater than or equal to 3\.0 as a general rule)
* Demonstrated proficiency with designing well architectured software systems and modules that support new technology or improve capability/performance of existing functionality
* Demonstrated competence with researching fundamental problems and implementing appropriate algorithmic solutions
* Demonstrated ability to serve as a lead software engineer for a complex software project
* Ability to decompose functional requirements into well\-defined tasks while balancing quality, quantity, and complexity in work output
* Demonstrated capability to offer peer technical assessments in areas of expertise, new technologies and software designs
* Mastered proficiency in writing software in Swift, Objective\-C, Swift UI and UIkit language and relevant experience and/or training in data structures or object\-oriented design methodology
* Demonstrated strong and effective verbal, written, and interpersonal communication skills
* Must be positive, detail oriented, organized, team oriented and a driven problem solver, multi\-tasker, and self\-starter with the ability to prioritize and lead in a fast paced, deadline\-driven environment
**Desired Qualifications**
* Design architecture background
* Senior level iOS Software Development experience with leadership and mentoring skills
* Aviation industry experience or a pilot background is a plus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
 ,</t>
        </is>
      </c>
    </row>
    <row r="220">
      <c r="A220" t="inlineStr">
        <is>
          <t>li-4364760911</t>
        </is>
      </c>
      <c r="B220" t="inlineStr">
        <is>
          <t>Sr Staff IT Software Engineer - IT Go-To-Market &amp; Customer Experience</t>
        </is>
      </c>
      <c r="C220" t="inlineStr">
        <is>
          <t>Palo Alto Networks</t>
        </is>
      </c>
      <c r="D220" t="inlineStr">
        <is>
          <t>linkedin</t>
        </is>
      </c>
      <c r="E220">
        <f>HYPERLINK("https://www.linkedin.com/jobs/view/4364760911", "https://www.linkedin.com/jobs/view/4364760911")</f>
        <v/>
      </c>
      <c r="F220">
        <f>HYPERLINK("https://paloaltonetworks.wd5.myworkdayjobs.com/panwexternalcareers/job/Office\u002d\u002d-USA\u002d\u002d-CA\u002d\u002d-Headquarters/Sr-Staff-IT-Software-Engineer_JR-013161/apply&amp;urlHash=Bb_R", "https://paloaltonetworks.wd5.myworkdayjobs.com/panwexternalcareers/job/Office\u002d\u002d-USA\u002d\u002d-CA\u002d\u002d-Headquarters/Sr-Staff-IT-Software-Engineer_JR-013161/apply&amp;urlHash=Bb_R")</f>
        <v/>
      </c>
      <c r="G220" t="inlineStr">
        <is>
          <t>Santa Clara, CA</t>
        </is>
      </c>
      <c r="H220" t="inlineStr"/>
      <c r="I220"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Information Technology (IT) \- The Information Technology team at Palo Alto Networks provides the infrastructure, applications, and services that enable our global workforce to innovate and succeed. We are business partners and enablers, focused on creating seamless and secure technology experiences. From enterprise applications and cloud services to network infrastructure and user support, our team is dedicated to empowering every employee and driving the company's mission forward through technology.
****Job Summary****
 We are seeking a Sr. Staff Software Engineer for our IT Customer Experience Team to define the technical vision for our go\-to\-market platform. You will deliver custom\-built technology, including microservices and AI\-powered systems, engaging with multiple teams to shape architecture and elevate engineering practices. In this role, you will drive technical strategy, mentor engineers, and deliver high\-quality, scalable technology products in a fast\-paced environment, adapting to new business needs and emerging technologies.
****Key Responsibilities****
* Architect and evolve scalable, highly reliable business systems across multiple services and teams.
* Establish and enforce engineering standards and best practices within an agile development environment.
* Provide technical leadership for complex initiatives, including determining project requirements and developing work schedules.
* Balance technical debt, product stability, and new features against go\-to\-market timelines.
* Represent the engineering team in cross\-functional and leadership discussions with strong verbal and written communication.
* Mentor and challenge engineers at all levels to foster their professional growth and development.
* Drive the technical strategy for LLM\-powered systems, focusing on context caching, token optimization, and latency reduction.
* Establish evaluation and observability frameworks to measure AI quality and system reliability.
****Qualifications****
**Required Qualifications**
* 8 years of software development or equivalent experience with a Bachelor’s degree; or 6 years with a Master’s degree; or a PhD with 3 years experience.
* Proven experience with microservices architecture (API, Web, DB, Distributed Systems) and designing systems at scale.
* Hands\-on expertise in Java, including Spring Framework (Spring Boot, IOC, MVC, JPA) and Hibernate.
* Experience building and consuming web services, particularly RESTful APIs, with a strong understanding of API design patterns.
* Demonstrated experience building production applications using LLM APIs such as Google Vertex AI/Gemini, OpenAI, or Anthropic.
* Familiarity with vector embeddings, semantic search, and similarity\-based retrieval patterns.
* Proficiency with at least one relational (MySQL, PostgreSQL) or NoSQL (MongoDB, Firestore) database.
* Experience developing container\-based applications on a major cloud platform (GCP, AWS, Azure) using Kubernetes and Helm.
****Preferred Qualifications****
* Experience with Google Cloud Platform (GCP) and Google Cloud Spanner.
* Experience architecting conversational AI platforms, chatbots, or Text\-to\-SQL systems.
* Background in TypeScript/Node.js for AI agent development.
* Knowledge of multi\-turn dialogue management and conversation history patterns.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$145,000\.00 \- $235,500\.00/yr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221">
      <c r="A221" t="inlineStr">
        <is>
          <t>li-4347030804</t>
        </is>
      </c>
      <c r="B221" t="inlineStr">
        <is>
          <t>Staff Software Engineer</t>
        </is>
      </c>
      <c r="C221" t="inlineStr">
        <is>
          <t>Beckman Coulter Diagnostics</t>
        </is>
      </c>
      <c r="D221" t="inlineStr">
        <is>
          <t>linkedin</t>
        </is>
      </c>
      <c r="E221">
        <f>HYPERLINK("https://www.linkedin.com/jobs/view/4347030804", "https://www.linkedin.com/jobs/view/4347030804")</f>
        <v/>
      </c>
      <c r="F221">
        <f>HYPERLINK("https://danaher.wd1.myworkdayjobs.com/DanaherJobs/job/Chaska-Minnesota-United-States/Staff-Software-Engineer_R1299819/apply?source=APPLICANT_SOURCE_LINKEDIN_POSTING&amp;urlHash=Fn95", "https://danaher.wd1.myworkdayjobs.com/DanaherJobs/job/Chaska-Minnesota-United-States/Staff-Software-Engineer_R1299819/apply?source=APPLICANT_SOURCE_LINKEDIN_POSTING&amp;urlHash=Fn95")</f>
        <v/>
      </c>
      <c r="G221" t="inlineStr">
        <is>
          <t>Chaska, MN</t>
        </is>
      </c>
      <c r="H221" t="inlineStr"/>
      <c r="I221" t="inlineStr">
        <is>
          <t>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Staff Software Engineer is responsible for developing and demonstrating\\ communicating software solutions and architectures by studying information needs; conferring with users; studying systems flow, data usage, and work processes; investigating problem areas; following the software development lifecycle and Design Controls. He or She will develop quick prototypes to demonstrate the design concepts and product ideas to team, management, product management, Customers etc. Furthermore, the candidate will work independently as well as with SME’s, Architects, product managers etc.
 This position reports to the Senior Software Engineering Manager and is part of the Digital Platforms organization located in Chaska, Minnesota and will be an on\-site role
 *.*
**In This Role, You Will Have The Opportunity To**
* Design, Architect and Deliver software solutions
* Work in iterative product release environment, with focus on quality and delivery goals
* Collaboration with cross functional teams Product Management, Service, and Systems team to understand the needs and translate into actionable features.
* Understand complex system issues and drive root cause in a global environment
* Drive solutions with offshore teams and deploy it in the system, provide demos and drive to closure.
**The Essential Requirements Of The Job Include**
* Bachelor’s degree in computer science engineering or a related field with 9\+ years of relevant experience or or a master’s degree with 7\+ years of relevant experience.
* Extensive experience with iterative product delivery using agile \&amp; scrum practices and working with distributed scrum teams
* Hands\-on experience with domain driven design (developing and testing use case\\domain insolation of persistence, IPC and presentation).
* Hands on experience with .Net Core (.Net Std), C\#, SQL and No SQL DB
* Great Exposure to Continuous Integration, delivery and deployment, version Control (e.g. git).
**Travel, Motor Vehicle Record \&amp; Physical/Environment Requirements:** 
*if applicable for role*
* Ability to travel 5% to co\-located teams internationally (i.e Bangalore India)
**It would be a plus if you also possess previous experience in:**
* Cloud technologies: e.g. AWS and Azure cloud (\+)
* Experience working in Medical Device Engineering or Instrumentation \&amp; Control Engineering
* FDA regulated environmental experience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$135K \- $160K
 ***.***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222">
      <c r="A222" t="inlineStr">
        <is>
          <t>li-4365576532</t>
        </is>
      </c>
      <c r="B222" t="inlineStr">
        <is>
          <t>Staff Software Engineer, Infrastructure, Google Cloud Security and Privacy</t>
        </is>
      </c>
      <c r="C222" t="inlineStr">
        <is>
          <t>Google</t>
        </is>
      </c>
      <c r="D222" t="inlineStr">
        <is>
          <t>linkedin</t>
        </is>
      </c>
      <c r="E222">
        <f>HYPERLINK("https://www.linkedin.com/jobs/view/4365576532", "https://www.linkedin.com/jobs/view/4365576532")</f>
        <v/>
      </c>
      <c r="F222">
        <f>HYPERLINK("https://careers.google.com/jobs/results/108916003001246406-staff-software-engineer/?src=Online/LinkedIn/linkedin_us&amp;utm_source=linkedin&amp;utm_medium=jobposting&amp;utm_campaign=contract&amp;urlHash=ZSmP", "https://careers.google.com/jobs/results/108916003001246406-staff-software-engineer/?src=Online/LinkedIn/linkedin_us&amp;utm_source=linkedin&amp;utm_medium=jobposting&amp;utm_campaign=contract&amp;urlHash=ZSmP")</f>
        <v/>
      </c>
      <c r="G222" t="inlineStr">
        <is>
          <t>Seattle, WA</t>
        </is>
      </c>
      <c r="H222" t="inlineStr"/>
      <c r="I22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Kirkland, WA, USA; Seattle, WA, USA; Sunnyvale, CA, USA; San Francisco, CA, USA** 
 .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2026-03-07T17:28:01Z</dcterms:created>
  <dcterms:modified xsi:type="dcterms:W3CDTF">2026-03-07T17:28:02Z</dcterms:modified>
</cp:coreProperties>
</file>