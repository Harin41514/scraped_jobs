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in-666e92fc503ba7d9</t>
        </is>
      </c>
      <c r="B2" t="inlineStr">
        <is>
          <t>Software Engineer II</t>
        </is>
      </c>
      <c r="C2" t="inlineStr">
        <is>
          <t>Amazon.com</t>
        </is>
      </c>
      <c r="D2" t="inlineStr">
        <is>
          <t>indeed</t>
        </is>
      </c>
      <c r="E2" t="inlineStr"/>
      <c r="F2" t="inlineStr"/>
      <c r="G2" t="inlineStr">
        <is>
          <t>San Francisco, CA, US</t>
        </is>
      </c>
      <c r="H2" s="2" t="n">
        <v>45938</v>
      </c>
      <c r="I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in-95c92913875ee42f</t>
        </is>
      </c>
      <c r="B3" t="inlineStr">
        <is>
          <t>Software Engineer II</t>
        </is>
      </c>
      <c r="C3" t="inlineStr">
        <is>
          <t>Amazon.com</t>
        </is>
      </c>
      <c r="D3" t="inlineStr">
        <is>
          <t>indeed</t>
        </is>
      </c>
      <c r="E3" t="inlineStr"/>
      <c r="F3" t="inlineStr"/>
      <c r="G3" t="inlineStr">
        <is>
          <t>Irvine, CA, US</t>
        </is>
      </c>
      <c r="H3" s="2" t="n">
        <v>45938</v>
      </c>
      <c r="I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in-174b076b583329b9</t>
        </is>
      </c>
      <c r="B4" t="inlineStr">
        <is>
          <t>Software Engineer II</t>
        </is>
      </c>
      <c r="C4" t="inlineStr">
        <is>
          <t>Amazon.com</t>
        </is>
      </c>
      <c r="D4" t="inlineStr">
        <is>
          <t>indeed</t>
        </is>
      </c>
      <c r="E4" t="inlineStr"/>
      <c r="F4" t="inlineStr"/>
      <c r="G4" t="inlineStr">
        <is>
          <t>Irvine, CA, US</t>
        </is>
      </c>
      <c r="H4" s="2" t="n">
        <v>45938</v>
      </c>
      <c r="I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in-2cdadcaf4b9e3d67</t>
        </is>
      </c>
      <c r="B5" t="inlineStr">
        <is>
          <t>Senior Software Engineer, Twitch</t>
        </is>
      </c>
      <c r="C5" t="inlineStr">
        <is>
          <t>Amazon.com</t>
        </is>
      </c>
      <c r="D5" t="inlineStr">
        <is>
          <t>indeed</t>
        </is>
      </c>
      <c r="E5" t="inlineStr"/>
      <c r="F5" t="inlineStr"/>
      <c r="G5" t="inlineStr">
        <is>
          <t>San Francisco, CA, US</t>
        </is>
      </c>
      <c r="H5" s="2" t="n">
        <v>45995</v>
      </c>
      <c r="I5"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in-604487d92491444f</t>
        </is>
      </c>
      <c r="B6" t="inlineStr">
        <is>
          <t>Senior Software Engineer, Twitch</t>
        </is>
      </c>
      <c r="C6" t="inlineStr">
        <is>
          <t>Amazon.com</t>
        </is>
      </c>
      <c r="D6" t="inlineStr">
        <is>
          <t>indeed</t>
        </is>
      </c>
      <c r="E6" t="inlineStr"/>
      <c r="F6" t="inlineStr"/>
      <c r="G6" t="inlineStr">
        <is>
          <t>Seattle, WA, US</t>
        </is>
      </c>
      <c r="H6" s="2" t="n">
        <v>45995</v>
      </c>
      <c r="I6"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in-3b2447a8459cf76d</t>
        </is>
      </c>
      <c r="B7" t="inlineStr">
        <is>
          <t>Software Engineer II, ML Infra</t>
        </is>
      </c>
      <c r="C7" t="inlineStr">
        <is>
          <t>Amazon.com</t>
        </is>
      </c>
      <c r="D7" t="inlineStr">
        <is>
          <t>indeed</t>
        </is>
      </c>
      <c r="E7" t="inlineStr"/>
      <c r="F7" t="inlineStr"/>
      <c r="G7" t="inlineStr">
        <is>
          <t>San Francisco, CA, US</t>
        </is>
      </c>
      <c r="H7" s="2" t="n">
        <v>45947</v>
      </c>
      <c r="I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in-223978f505702153</t>
        </is>
      </c>
      <c r="B8" t="inlineStr">
        <is>
          <t>Software Engineer II, ML Infra</t>
        </is>
      </c>
      <c r="C8" t="inlineStr">
        <is>
          <t>Amazon.com</t>
        </is>
      </c>
      <c r="D8" t="inlineStr">
        <is>
          <t>indeed</t>
        </is>
      </c>
      <c r="E8" t="inlineStr"/>
      <c r="F8" t="inlineStr"/>
      <c r="G8" t="inlineStr">
        <is>
          <t>Irvine, CA, US</t>
        </is>
      </c>
      <c r="H8" s="2" t="n">
        <v>45947</v>
      </c>
      <c r="I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in-c2dee02c67e19525</t>
        </is>
      </c>
      <c r="B9" t="inlineStr">
        <is>
          <t>Sr. Software Engineer (ML), AGI Foundations</t>
        </is>
      </c>
      <c r="C9" t="inlineStr">
        <is>
          <t>Amazon.com</t>
        </is>
      </c>
      <c r="D9" t="inlineStr">
        <is>
          <t>indeed</t>
        </is>
      </c>
      <c r="E9" t="inlineStr"/>
      <c r="F9" t="inlineStr"/>
      <c r="G9" t="inlineStr">
        <is>
          <t>Sunnyvale, CA, US</t>
        </is>
      </c>
      <c r="H9" s="2" t="n">
        <v>45803</v>
      </c>
      <c r="I9"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in-83d781f76298cd1e</t>
        </is>
      </c>
      <c r="B10" t="inlineStr">
        <is>
          <t>Sr. Software Engineer (ML), AGI Foundations</t>
        </is>
      </c>
      <c r="C10" t="inlineStr">
        <is>
          <t>Amazon.com</t>
        </is>
      </c>
      <c r="D10" t="inlineStr">
        <is>
          <t>indeed</t>
        </is>
      </c>
      <c r="E10" t="inlineStr"/>
      <c r="F10" t="inlineStr"/>
      <c r="G10" t="inlineStr">
        <is>
          <t>Bellevue, WA, US</t>
        </is>
      </c>
      <c r="H10" s="2" t="n">
        <v>45803</v>
      </c>
      <c r="I10"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in-a9c2b0d978557378</t>
        </is>
      </c>
      <c r="B11" t="inlineStr">
        <is>
          <t>Software Engineer - Strategic Data Solutions</t>
        </is>
      </c>
      <c r="C11" t="inlineStr">
        <is>
          <t>Apple</t>
        </is>
      </c>
      <c r="D11" t="inlineStr">
        <is>
          <t>indeed</t>
        </is>
      </c>
      <c r="E11" t="inlineStr"/>
      <c r="F11" t="inlineStr"/>
      <c r="G11" t="inlineStr">
        <is>
          <t>Austin, TX, US</t>
        </is>
      </c>
      <c r="H11" s="2" t="n">
        <v>46032</v>
      </c>
      <c r="I11" t="inlineStr">
        <is>
          <t>Are you ready to apply your educational experience to real\-world problems? Are you passionate about applying your data skills in a real\-world tech environment?  
Imagine what you could do here. At Apple, new ideas have a way of becoming extraordinary products, services, and customer experiences very quickly. Bring passion and dedication to your job and there's no telling what you could accomplish. Join Apple, and help us leave the world better than we found it. Apple’s Strategic Data Solutions team is responsible for mitigating fraud, waste and abuse company\-wide while optimizing and empowering our customers and internal partners.  
The SDS software engineering team is building an environment to enable ground breaking data analysis over Petabytes of data. We work side\-by\-side with machine learning engineers and implement scalable, easy\-to\-use systems and tools. We are seeking a customer\- focused, passionate and driven Software Engineer with experience in building analytic tools and solutions.  
**Description**  
With the expansive data we have, our job is to build meaningful data relationships and engagement experiences for our internal customers. If you’re interested in being a part of a team that’s constantly learning and problem\-solving, we’d love to talk with you. As a Software Engineer on the SDS team, you will work closely with Machine Learning Engineers and other Software Engineers to lead the design and implementation of systems and tools to support the fraud prevention efforts of SDS.  
You will be:  
* Developing and implementing production software for preventing fraud
* Responsible for system architecture design
* Working with external infrastructure teams to drive the development of infrastructure needs
* Innovating by recognizing opportunities for automation and tools improvements
* Responsible for developing and implementing process improvements to bring efficiency and stability to fraud analytics
* Responsible for technical leadership for a team of data scientists
* Lead the team to increase the level of maturity and skill in analytical software development
* Responsible for release engineering
**Preferred Qualifications**  
Some experience with Docker, Kubernetes, or cloud platform deployment  
Experience with Relational databases and NoSQL databases  
Demonstrated understanding of the full software development lifecycle  
Excellent problem solving, critical thinking, and communication skills  
Solid grasp of computer science fundamentals including data structures and algorithms  
Solid ability to evaluate and apply new technologies in a short time  
Self\-motivated, proactive, and solution\-oriented  
**Minimum Qualifications**  
Mastery of one of Python, Java, Scala, C\+\+ or equivalent language  
3\+ years of experience in software engineering/data science  
Experience building data science or data analysis tools on Hadoop/cloud based systems  
BS or advanced degree in Computer Science, related field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
      <c r="A12" t="inlineStr">
        <is>
          <t>in-afcfc02322d374df</t>
        </is>
      </c>
      <c r="B12" t="inlineStr">
        <is>
          <t>Sr. Software Engineer (ML), AGI Customization</t>
        </is>
      </c>
      <c r="C12" t="inlineStr">
        <is>
          <t>Amazon.com</t>
        </is>
      </c>
      <c r="D12" t="inlineStr">
        <is>
          <t>indeed</t>
        </is>
      </c>
      <c r="E12" t="inlineStr"/>
      <c r="F12" t="inlineStr"/>
      <c r="G12" t="inlineStr">
        <is>
          <t>Sunnyvale, CA, US</t>
        </is>
      </c>
      <c r="H12" s="2" t="n">
        <v>45964</v>
      </c>
      <c r="I12"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in-8323fa3a22425857</t>
        </is>
      </c>
      <c r="B13" t="inlineStr">
        <is>
          <t>Sr. Software Engineer (ML), AGI Customization</t>
        </is>
      </c>
      <c r="C13" t="inlineStr">
        <is>
          <t>Amazon.com</t>
        </is>
      </c>
      <c r="D13" t="inlineStr">
        <is>
          <t>indeed</t>
        </is>
      </c>
      <c r="E13" t="inlineStr"/>
      <c r="F13" t="inlineStr"/>
      <c r="G13" t="inlineStr">
        <is>
          <t>Boston, MA, US</t>
        </is>
      </c>
      <c r="H13" s="2" t="n">
        <v>45964</v>
      </c>
      <c r="I13"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in-c06bcbf04fdd6240</t>
        </is>
      </c>
      <c r="B14" t="inlineStr">
        <is>
          <t>Software Engineer- AI/ML, AWS Neuron Distributed Training</t>
        </is>
      </c>
      <c r="C14" t="inlineStr">
        <is>
          <t>Amazon Web Services</t>
        </is>
      </c>
      <c r="D14" t="inlineStr">
        <is>
          <t>indeed</t>
        </is>
      </c>
      <c r="E14" t="inlineStr"/>
      <c r="F14" t="inlineStr"/>
      <c r="G14" t="inlineStr">
        <is>
          <t>Seattle, WA, US</t>
        </is>
      </c>
      <c r="H14" s="2" t="n">
        <v>45727</v>
      </c>
      <c r="I14"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in-43a26f755dfde943</t>
        </is>
      </c>
      <c r="B15" t="inlineStr">
        <is>
          <t>Software Engineer- AI/ML, AWS Neuron Distributed Training</t>
        </is>
      </c>
      <c r="C15" t="inlineStr">
        <is>
          <t>Amazon Web Services</t>
        </is>
      </c>
      <c r="D15" t="inlineStr">
        <is>
          <t>indeed</t>
        </is>
      </c>
      <c r="E15" t="inlineStr"/>
      <c r="F15" t="inlineStr"/>
      <c r="G15" t="inlineStr">
        <is>
          <t>Cupertino, CA, US</t>
        </is>
      </c>
      <c r="H15" s="2" t="n">
        <v>45727</v>
      </c>
      <c r="I15"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in-d086ae75babe22d7</t>
        </is>
      </c>
      <c r="B16" t="inlineStr">
        <is>
          <t>Sr. Software Engineer- AI/ML, AWS Neuron Distributed Training</t>
        </is>
      </c>
      <c r="C16" t="inlineStr">
        <is>
          <t>Amazon Web Services</t>
        </is>
      </c>
      <c r="D16" t="inlineStr">
        <is>
          <t>indeed</t>
        </is>
      </c>
      <c r="E16" t="inlineStr"/>
      <c r="F16" t="inlineStr"/>
      <c r="G16" t="inlineStr">
        <is>
          <t>Seattle, WA, US</t>
        </is>
      </c>
      <c r="H16" s="2" t="n">
        <v>45713</v>
      </c>
      <c r="I16"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in-b4e27418588f3004</t>
        </is>
      </c>
      <c r="B17" t="inlineStr">
        <is>
          <t>Sr. Software Engineer- AI/ML, AWS Neuron Distributed Training</t>
        </is>
      </c>
      <c r="C17" t="inlineStr">
        <is>
          <t>Amazon Web Services</t>
        </is>
      </c>
      <c r="D17" t="inlineStr">
        <is>
          <t>indeed</t>
        </is>
      </c>
      <c r="E17" t="inlineStr"/>
      <c r="F17" t="inlineStr"/>
      <c r="G17" t="inlineStr">
        <is>
          <t>Cupertino, CA, US</t>
        </is>
      </c>
      <c r="H17" s="2" t="n">
        <v>45713</v>
      </c>
      <c r="I17"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in-18f10fb034e97ab5</t>
        </is>
      </c>
      <c r="B18" t="inlineStr">
        <is>
          <t>Software Engineer</t>
        </is>
      </c>
      <c r="C18" t="inlineStr">
        <is>
          <t>Amazon.com</t>
        </is>
      </c>
      <c r="D18" t="inlineStr">
        <is>
          <t>indeed</t>
        </is>
      </c>
      <c r="E18" t="inlineStr"/>
      <c r="F18" t="inlineStr"/>
      <c r="G18" t="inlineStr">
        <is>
          <t>San Francisco, CA, US</t>
        </is>
      </c>
      <c r="H18" s="2" t="n">
        <v>46008</v>
      </c>
      <c r="I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in-c3b6362d262847df</t>
        </is>
      </c>
      <c r="B19" t="inlineStr">
        <is>
          <t>Software Engineer I</t>
        </is>
      </c>
      <c r="C19" t="inlineStr">
        <is>
          <t>Amazon.com</t>
        </is>
      </c>
      <c r="D19" t="inlineStr">
        <is>
          <t>indeed</t>
        </is>
      </c>
      <c r="E19" t="inlineStr"/>
      <c r="F19" t="inlineStr"/>
      <c r="G19" t="inlineStr">
        <is>
          <t>Seattle, WA, US</t>
        </is>
      </c>
      <c r="H19" s="2" t="n">
        <v>46006</v>
      </c>
      <c r="I1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in-a680f4a563739da7</t>
        </is>
      </c>
      <c r="B20" t="inlineStr">
        <is>
          <t>Software Engineer I</t>
        </is>
      </c>
      <c r="C20" t="inlineStr">
        <is>
          <t>Amazon.com</t>
        </is>
      </c>
      <c r="D20" t="inlineStr">
        <is>
          <t>indeed</t>
        </is>
      </c>
      <c r="E20" t="inlineStr"/>
      <c r="F20" t="inlineStr"/>
      <c r="G20" t="inlineStr">
        <is>
          <t>San Francisco, CA, US</t>
        </is>
      </c>
      <c r="H20" s="2" t="n">
        <v>46006</v>
      </c>
      <c r="I2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in-d8432fbab827c073</t>
        </is>
      </c>
      <c r="B21" t="inlineStr">
        <is>
          <t>Sr. Software Engineer, Manager</t>
        </is>
      </c>
      <c r="C21" t="inlineStr">
        <is>
          <t>Amazon.com</t>
        </is>
      </c>
      <c r="D21" t="inlineStr">
        <is>
          <t>indeed</t>
        </is>
      </c>
      <c r="E21" t="inlineStr"/>
      <c r="F21" t="inlineStr"/>
      <c r="G21" t="inlineStr">
        <is>
          <t>Seattle, WA, US</t>
        </is>
      </c>
      <c r="H21" s="2" t="n">
        <v>46006</v>
      </c>
      <c r="I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in-c791fb7eccc53ee1</t>
        </is>
      </c>
      <c r="B22" t="inlineStr">
        <is>
          <t>Sr. Software Engineer, Manager</t>
        </is>
      </c>
      <c r="C22" t="inlineStr">
        <is>
          <t>Amazon.com</t>
        </is>
      </c>
      <c r="D22" t="inlineStr">
        <is>
          <t>indeed</t>
        </is>
      </c>
      <c r="E22" t="inlineStr"/>
      <c r="F22" t="inlineStr"/>
      <c r="G22" t="inlineStr">
        <is>
          <t>Irvine, CA, US</t>
        </is>
      </c>
      <c r="H22" s="2" t="n">
        <v>46006</v>
      </c>
      <c r="I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in-8216c4a095a4f2d0</t>
        </is>
      </c>
      <c r="B23" t="inlineStr">
        <is>
          <t>Software Engineer I</t>
        </is>
      </c>
      <c r="C23" t="inlineStr">
        <is>
          <t>Amazon.com</t>
        </is>
      </c>
      <c r="D23" t="inlineStr">
        <is>
          <t>indeed</t>
        </is>
      </c>
      <c r="E23" t="inlineStr"/>
      <c r="F23" t="inlineStr"/>
      <c r="G23" t="inlineStr">
        <is>
          <t>Irvine, CA, US</t>
        </is>
      </c>
      <c r="H23" s="2" t="n">
        <v>46006</v>
      </c>
      <c r="I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in-9b274b641d0ca4b8</t>
        </is>
      </c>
      <c r="B24" t="inlineStr">
        <is>
          <t>Sr. Software Engineer, Manager</t>
        </is>
      </c>
      <c r="C24" t="inlineStr">
        <is>
          <t>Amazon.com</t>
        </is>
      </c>
      <c r="D24" t="inlineStr">
        <is>
          <t>indeed</t>
        </is>
      </c>
      <c r="E24" t="inlineStr"/>
      <c r="F24" t="inlineStr"/>
      <c r="G24" t="inlineStr">
        <is>
          <t>San Francisco, CA, US</t>
        </is>
      </c>
      <c r="H24" s="2" t="n">
        <v>46006</v>
      </c>
      <c r="I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in-a0fd4478a19da907</t>
        </is>
      </c>
      <c r="B25" t="inlineStr">
        <is>
          <t>Sr. Software Engineer, Manager</t>
        </is>
      </c>
      <c r="C25" t="inlineStr">
        <is>
          <t>Amazon.com</t>
        </is>
      </c>
      <c r="D25" t="inlineStr">
        <is>
          <t>indeed</t>
        </is>
      </c>
      <c r="E25" t="inlineStr"/>
      <c r="F25" t="inlineStr"/>
      <c r="G25" t="inlineStr">
        <is>
          <t>New York, NY, US</t>
        </is>
      </c>
      <c r="H25" s="2" t="n">
        <v>46006</v>
      </c>
      <c r="I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in-085632720ba3ff4d</t>
        </is>
      </c>
      <c r="B26" t="inlineStr">
        <is>
          <t>Sr. Software Engineer, Manager</t>
        </is>
      </c>
      <c r="C26" t="inlineStr">
        <is>
          <t>Amazon.com</t>
        </is>
      </c>
      <c r="D26" t="inlineStr">
        <is>
          <t>indeed</t>
        </is>
      </c>
      <c r="E26" t="inlineStr"/>
      <c r="F26" t="inlineStr"/>
      <c r="G26" t="inlineStr">
        <is>
          <t>Culver City, CA, US</t>
        </is>
      </c>
      <c r="H26" s="2" t="n">
        <v>46006</v>
      </c>
      <c r="I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in-f999e5d5b22e4d77</t>
        </is>
      </c>
      <c r="B27" t="inlineStr">
        <is>
          <t>Sr. Software Engineer - EC2 Windows OS Technologies team, EC2 Windows</t>
        </is>
      </c>
      <c r="C27" t="inlineStr">
        <is>
          <t>Amazon.com</t>
        </is>
      </c>
      <c r="D27" t="inlineStr">
        <is>
          <t>indeed</t>
        </is>
      </c>
      <c r="E27" t="inlineStr"/>
      <c r="F27" t="inlineStr"/>
      <c r="G27" t="inlineStr">
        <is>
          <t>Bellevue, WA, US</t>
        </is>
      </c>
      <c r="H27" s="2" t="n">
        <v>46006</v>
      </c>
      <c r="I27" t="inlineStr">
        <is>
          <t>**DESCRIPTION**
---------------
Do you want to help shape the future of compute for the Amazon Web Services cloud?  
The EC2 Instance Platform organization is responsible for tackling challenging problems faced by enterprise customers via cloud\-based solutions. The team uses next\-gen technologies to develop large\-scale platforms to help customers optimally run their business.
We are hiring Senior Software Development Engineers to make Amazon Elastic Compute Cloud (EC2\) the best place to run enterprise class workloads. As part of our team you will help build next generation services that simplifies how our customers and partners configure and manage high performance computing workloads on the cloud. You will closely work with various pre\-release Amazon technologies and build services that handle large scale, highly available distributed systems.
We are looking for Software Development Engineers who are passionate about working on next\-gen technologies, who bring deep technical knowledge, and who have experience with distributed systems to drive technical design and implement end\-end solutions. If you’re into operating systems, how software interfaces with hardware, file systems, or just working on challenging software problems where performance and code size still matter, come and join us. The ideal candidate for this position is a software engineer excited to work in a cloud scale environment who has a strong track record of developing and delivering Windows user\- or kernel\-mode drivers in a system level programming language such as C/C\+\+.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conferences. Amazon’s culture of inclusion is reinforced within our 14 Leadership Principles, which remind team members to seek diverse perspectives, learn and be curious, and earn trust.  
Key job responsibilities  
This team and the role would be a good fit for you if you feel excited about the following  
* innovate and come up with a vision to bring the best system software to enterprise customers
* improve the CI/CD process across multiple services/pipelines to increase development velocity
* work collaboratively with team and other teams on solution development of both user and kernel space applications
* work with Principal / Sr. Principals and Product management team to define solution technical roadmap
* analyze business requirements and provide solution design with estimated work effort
* create architecture design with resilience, scalability, and performance
* assure the highest quality bar relentlessly with software development best practices
* participate design and code review and provide insightful suggestions across products and/or teams
* mentor junior team members and develop the best
* participate in Agile development process and influence the process refinery
A day in the life  
As a software development engineer, your daily tasks may include the following  
* Participate regularly in stand\-ups and team meetings
* Review design docs, code changes from team peers
* Design, implement, and deploy the new software solution assigned to you or owned by team
* Improve existing automation processes
* Go through backlogs related with products you or team own
* Participate in oncall rotation
* Have fun and learn new AWS services and Windows technologies.
About the team  
The EC2 Windows OST (OS Technologies) team owns the fundamental OS level software and services which enable the EC2 Windows offerings. We bring innovations to Windows OS so that Windows instances and enterprise workloads can perform best on AWS EC2 platforms. These innovations include but not limited to kernel drivers, user applications, and machine learning powered troubleshooting services. We also make efforts to provide fundamental support for other AWS teams to enable their services like Backup, High performance computing, Security and many others**BASIC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BS in CS/EE or related field with 10\+ years of experience
* MS/PhD in CS/EE or related field with 8\+ years of experience.
* Proficient in C/C\+\+
* Computer Science fundamentals in algorithms, data structures, system architecture, software engineering basics
* 5\+ years of experience in developing Windows user\-mode or kernel\-mode drivers
* Familiar with at least one Windows driver development model, such as MiniPort, NDIS, StorPort, WDM, WDF etc
* Deep understanding into OS level, familiar with either Windows or Linux kernels
* Prior experience with at least one full software development cycle from architect, design, code, review, verification, automation, debugging / system\-level troubleshooting, release / maintenance
* Good communication skills in both verbal and written forms
**PREFERRED QUALIFICATIONS**
----------------------------
* 5\+ years of full software development life cycle, including coding standards, code reviews, source control management, build processes, testing, and operations experience
* Bachelor's degree in computer science or equivalent
* Programming experience with other higher level languages, like PowerShell, Python, Rust, Golang etc
* Knowledge in storage stack, familiar with NVMe protocol, Windows file system, storage space, S2D.
* Knowledge about Virtualization technologies, Cloud\-computing concepts
* Knowledge about OS boot up sequences
* Knowledge about security concepts, like TLS, PKI, attestation, Signing, Encryption, Certificate, TPM, Secure Boot, TEE
* Knowledge about CPU technologies, like Intel SGX, Intel TDX, AMD SEV\-SNP, ARM CCA
* Experience with software performance, scale, or/and stress testing
* Knowledge or experience with software performance evaluation or benchmarking
* Comfortable in a fast\-paced, start\-up like environment
* Passion to work with mission critical services and deliver the best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in-2aa3e4ad29aaece1</t>
        </is>
      </c>
      <c r="B28" t="inlineStr">
        <is>
          <t>Sr. Software Engineer - EC2 Windows OS Technologies team, EC2 Windows</t>
        </is>
      </c>
      <c r="C28" t="inlineStr">
        <is>
          <t>Amazon.com</t>
        </is>
      </c>
      <c r="D28" t="inlineStr">
        <is>
          <t>indeed</t>
        </is>
      </c>
      <c r="E28" t="inlineStr"/>
      <c r="F28" t="inlineStr"/>
      <c r="G28" t="inlineStr">
        <is>
          <t>Santa Clara, CA, US</t>
        </is>
      </c>
      <c r="H28" s="2" t="n">
        <v>46006</v>
      </c>
      <c r="I28" t="inlineStr">
        <is>
          <t>**DESCRIPTION**
---------------
Do you want to help shape the future of compute for the Amazon Web Services cloud?  
The EC2 Instance Platform organization is responsible for tackling challenging problems faced by enterprise customers via cloud\-based solutions. The team uses next\-gen technologies to develop large\-scale platforms to help customers optimally run their business.
We are hiring Senior Software Development Engineers to make Amazon Elastic Compute Cloud (EC2\) the best place to run enterprise class workloads. As part of our team you will help build next generation services that simplifies how our customers and partners configure and manage high performance computing workloads on the cloud. You will closely work with various pre\-release Amazon technologies and build services that handle large scale, highly available distributed systems.
We are looking for Software Development Engineers who are passionate about working on next\-gen technologies, who bring deep technical knowledge, and who have experience with distributed systems to drive technical design and implement end\-end solutions. If you’re into operating systems, how software interfaces with hardware, file systems, or just working on challenging software problems where performance and code size still matter, come and join us. The ideal candidate for this position is a software engineer excited to work in a cloud scale environment who has a strong track record of developing and delivering Windows user\- or kernel\-mode drivers in a system level programming language such as C/C\+\+.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conferences. Amazon’s culture of inclusion is reinforced within our 14 Leadership Principles, which remind team members to seek diverse perspectives, learn and be curious, and earn trust.  
Key job responsibilities  
This team and the role would be a good fit for you if you feel excited about the following  
* innovate and come up with a vision to bring the best system software to enterprise customers
* improve the CI/CD process across multiple services/pipelines to increase development velocity
* work collaboratively with team and other teams on solution development of both user and kernel space applications
* work with Principal / Sr. Principals and Product management team to define solution technical roadmap
* analyze business requirements and provide solution design with estimated work effort
* create architecture design with resilience, scalability, and performance
* assure the highest quality bar relentlessly with software development best practices
* participate design and code review and provide insightful suggestions across products and/or teams
* mentor junior team members and develop the best
* participate in Agile development process and influence the process refinery
A day in the life  
As a software development engineer, your daily tasks may include the following  
* Participate regularly in stand\-ups and team meetings
* Review design docs, code changes from team peers
* Design, implement, and deploy the new software solution assigned to you or owned by team
* Improve existing automation processes
* Go through backlogs related with products you or team own
* Participate in oncall rotation
* Have fun and learn new AWS services and Windows technologies.
About the team  
The EC2 Windows OST (OS Technologies) team owns the fundamental OS level software and services which enable the EC2 Windows offerings. We bring innovations to Windows OS so that Windows instances and enterprise workloads can perform best on AWS EC2 platforms. These innovations include but not limited to kernel drivers, user applications, and machine learning powered troubleshooting services. We also make efforts to provide fundamental support for other AWS teams to enable their services like Backup, High performance computing, Security and many others**BASIC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BS in CS/EE or related field with 10\+ years of experience
* MS/PhD in CS/EE or related field with 8\+ years of experience.
* Proficient in C/C\+\+
* Computer Science fundamentals in algorithms, data structures, system architecture, software engineering basics
* 5\+ years of experience in developing Windows user\-mode or kernel\-mode drivers
* Familiar with at least one Windows driver development model, such as MiniPort, NDIS, StorPort, WDM, WDF etc
* Deep understanding into OS level, familiar with either Windows or Linux kernels
* Prior experience with at least one full software development cycle from architect, design, code, review, verification, automation, debugging / system\-level troubleshooting, release / maintenance
* Good communication skills in both verbal and written forms
**PREFERRED QUALIFICATIONS**
----------------------------
* 5\+ years of full software development life cycle, including coding standards, code reviews, source control management, build processes, testing, and operations experience
* Bachelor's degree in computer science or equivalent
* Programming experience with other higher level languages, like PowerShell, Python, Rust, Golang etc
* Knowledge in storage stack, familiar with NVMe protocol, Windows file system, storage space, S2D.
* Knowledge about Virtualization technologies, Cloud\-computing concepts
* Knowledge about OS boot up sequences
* Knowledge about security concepts, like TLS, PKI, attestation, Signing, Encryption, Certificate, TPM, Secure Boot, TEE
* Knowledge about CPU technologies, like Intel SGX, Intel TDX, AMD SEV\-SNP, ARM CCA
* Experience with software performance, scale, or/and stress testing
* Knowledge or experience with software performance evaluation or benchmarking
* Comfortable in a fast\-paced, start\-up like environment
* Passion to work with mission critical services and deliver the best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in-2bce3d534e3e8b24</t>
        </is>
      </c>
      <c r="B29" t="inlineStr">
        <is>
          <t>Software Engineer II, Android</t>
        </is>
      </c>
      <c r="C29" t="inlineStr">
        <is>
          <t>Amazon.com</t>
        </is>
      </c>
      <c r="D29" t="inlineStr">
        <is>
          <t>indeed</t>
        </is>
      </c>
      <c r="E29" t="inlineStr"/>
      <c r="F29" t="inlineStr"/>
      <c r="G29" t="inlineStr">
        <is>
          <t>San Francisco, CA, US</t>
        </is>
      </c>
      <c r="H29" s="2" t="n">
        <v>45995</v>
      </c>
      <c r="I2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in-1f840a4fca912e37</t>
        </is>
      </c>
      <c r="B30" t="inlineStr">
        <is>
          <t>Software Engineer II, Android</t>
        </is>
      </c>
      <c r="C30" t="inlineStr">
        <is>
          <t>Amazon.com</t>
        </is>
      </c>
      <c r="D30" t="inlineStr">
        <is>
          <t>indeed</t>
        </is>
      </c>
      <c r="E30" t="inlineStr"/>
      <c r="F30" t="inlineStr"/>
      <c r="G30" t="inlineStr">
        <is>
          <t>Irvine, CA, US</t>
        </is>
      </c>
      <c r="H30" s="2" t="n">
        <v>45995</v>
      </c>
      <c r="I3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in-366fbf24862cbdcb</t>
        </is>
      </c>
      <c r="B31" t="inlineStr">
        <is>
          <t>Software Engineer II, Twitch</t>
        </is>
      </c>
      <c r="C31" t="inlineStr">
        <is>
          <t>Amazon.com</t>
        </is>
      </c>
      <c r="D31" t="inlineStr">
        <is>
          <t>indeed</t>
        </is>
      </c>
      <c r="E31" t="inlineStr"/>
      <c r="F31" t="inlineStr"/>
      <c r="G31" t="inlineStr">
        <is>
          <t>San Francisco, CA, US</t>
        </is>
      </c>
      <c r="H31" s="2" t="n">
        <v>45995</v>
      </c>
      <c r="I31"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in-861b23f76b5c5e7d</t>
        </is>
      </c>
      <c r="B32" t="inlineStr">
        <is>
          <t>Software Engineer II, Twitch</t>
        </is>
      </c>
      <c r="C32" t="inlineStr">
        <is>
          <t>Amazon.com</t>
        </is>
      </c>
      <c r="D32" t="inlineStr">
        <is>
          <t>indeed</t>
        </is>
      </c>
      <c r="E32" t="inlineStr"/>
      <c r="F32" t="inlineStr"/>
      <c r="G32" t="inlineStr">
        <is>
          <t>Seattle, WA, US</t>
        </is>
      </c>
      <c r="H32" s="2" t="n">
        <v>45995</v>
      </c>
      <c r="I32"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in-fe51e92d6fd843b5</t>
        </is>
      </c>
      <c r="B33" t="inlineStr">
        <is>
          <t>Software Engineer II, Android</t>
        </is>
      </c>
      <c r="C33" t="inlineStr">
        <is>
          <t>Amazon.com</t>
        </is>
      </c>
      <c r="D33" t="inlineStr">
        <is>
          <t>indeed</t>
        </is>
      </c>
      <c r="E33" t="inlineStr"/>
      <c r="F33" t="inlineStr"/>
      <c r="G33" t="inlineStr">
        <is>
          <t>Seattle, WA, US</t>
        </is>
      </c>
      <c r="H33" s="2" t="n">
        <v>45995</v>
      </c>
      <c r="I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in-1f54e7116056b5f5</t>
        </is>
      </c>
      <c r="B34" t="inlineStr">
        <is>
          <t>Embedded Software Engineer, Merlin Manager</t>
        </is>
      </c>
      <c r="C34" t="inlineStr">
        <is>
          <t>Amazon.com</t>
        </is>
      </c>
      <c r="D34" t="inlineStr">
        <is>
          <t>indeed</t>
        </is>
      </c>
      <c r="E34" t="inlineStr"/>
      <c r="F34" t="inlineStr"/>
      <c r="G34" t="inlineStr">
        <is>
          <t>Sunnyvale, CA, US</t>
        </is>
      </c>
      <c r="H34" s="2" t="n">
        <v>45981</v>
      </c>
      <c r="I34"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in-c76727e269d53e22</t>
        </is>
      </c>
      <c r="B35" t="inlineStr">
        <is>
          <t>Embedded Software Engineer, Merlin Manager</t>
        </is>
      </c>
      <c r="C35" t="inlineStr">
        <is>
          <t>Amazon.com</t>
        </is>
      </c>
      <c r="D35" t="inlineStr">
        <is>
          <t>indeed</t>
        </is>
      </c>
      <c r="E35" t="inlineStr"/>
      <c r="F35" t="inlineStr"/>
      <c r="G35" t="inlineStr">
        <is>
          <t>Redmond, WA, US</t>
        </is>
      </c>
      <c r="H35" s="2" t="n">
        <v>45981</v>
      </c>
      <c r="I35"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in-70f2f4c4f75682ff</t>
        </is>
      </c>
      <c r="B36" t="inlineStr">
        <is>
          <t>Software Engineer I</t>
        </is>
      </c>
      <c r="C36" t="inlineStr">
        <is>
          <t>Amazon.com</t>
        </is>
      </c>
      <c r="D36" t="inlineStr">
        <is>
          <t>indeed</t>
        </is>
      </c>
      <c r="E36" t="inlineStr"/>
      <c r="F36" t="inlineStr"/>
      <c r="G36" t="inlineStr">
        <is>
          <t>Irvine, CA, US</t>
        </is>
      </c>
      <c r="H36" s="2" t="n">
        <v>45946</v>
      </c>
      <c r="I3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in-cdbe21bfa61e8f9f</t>
        </is>
      </c>
      <c r="B37" t="inlineStr">
        <is>
          <t>Software Engineer I</t>
        </is>
      </c>
      <c r="C37" t="inlineStr">
        <is>
          <t>Amazon.com</t>
        </is>
      </c>
      <c r="D37" t="inlineStr">
        <is>
          <t>indeed</t>
        </is>
      </c>
      <c r="E37" t="inlineStr"/>
      <c r="F37" t="inlineStr"/>
      <c r="G37" t="inlineStr">
        <is>
          <t>San Francisco, CA, US</t>
        </is>
      </c>
      <c r="H37" s="2" t="n">
        <v>45946</v>
      </c>
      <c r="I3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in-5a5d1189d2dbd902</t>
        </is>
      </c>
      <c r="B38" t="inlineStr">
        <is>
          <t>Software Engineer II</t>
        </is>
      </c>
      <c r="C38" t="inlineStr">
        <is>
          <t>Amazon.com</t>
        </is>
      </c>
      <c r="D38" t="inlineStr">
        <is>
          <t>indeed</t>
        </is>
      </c>
      <c r="E38" t="inlineStr"/>
      <c r="F38" t="inlineStr"/>
      <c r="G38" t="inlineStr">
        <is>
          <t>San Francisco, CA, US</t>
        </is>
      </c>
      <c r="H38" s="2" t="n">
        <v>45938</v>
      </c>
      <c r="I3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in-a3025ca808f727b0</t>
        </is>
      </c>
      <c r="B39" t="inlineStr">
        <is>
          <t>Software Engineer II</t>
        </is>
      </c>
      <c r="C39" t="inlineStr">
        <is>
          <t>Amazon.com</t>
        </is>
      </c>
      <c r="D39" t="inlineStr">
        <is>
          <t>indeed</t>
        </is>
      </c>
      <c r="E39" t="inlineStr"/>
      <c r="F39" t="inlineStr"/>
      <c r="G39" t="inlineStr">
        <is>
          <t>Culver City, CA, US</t>
        </is>
      </c>
      <c r="H39" s="2" t="n">
        <v>45938</v>
      </c>
      <c r="I3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in-c3e27640c5688c95</t>
        </is>
      </c>
      <c r="B40" t="inlineStr">
        <is>
          <t>Senior Software Engineer - Query Optimization, Aurora DSQL</t>
        </is>
      </c>
      <c r="C40" t="inlineStr">
        <is>
          <t>Amazon Web Services</t>
        </is>
      </c>
      <c r="D40" t="inlineStr">
        <is>
          <t>indeed</t>
        </is>
      </c>
      <c r="E40" t="inlineStr"/>
      <c r="F40" t="inlineStr"/>
      <c r="G40" t="inlineStr">
        <is>
          <t>East Palo Alto, CA, US</t>
        </is>
      </c>
      <c r="H40" s="2" t="n">
        <v>45931</v>
      </c>
      <c r="I40"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in-bfdccd1ce6276ddd</t>
        </is>
      </c>
      <c r="B41" t="inlineStr">
        <is>
          <t>Senior Software Engineer - Query Optimization, Aurora DSQL</t>
        </is>
      </c>
      <c r="C41" t="inlineStr">
        <is>
          <t>Amazon Web Services</t>
        </is>
      </c>
      <c r="D41" t="inlineStr">
        <is>
          <t>indeed</t>
        </is>
      </c>
      <c r="E41" t="inlineStr"/>
      <c r="F41" t="inlineStr"/>
      <c r="G41" t="inlineStr">
        <is>
          <t>Seattle, WA, US</t>
        </is>
      </c>
      <c r="H41" s="2" t="n">
        <v>45931</v>
      </c>
      <c r="I41"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in-418e32ab6b5f228d</t>
        </is>
      </c>
      <c r="B42" t="inlineStr">
        <is>
          <t>Software Engineer II</t>
        </is>
      </c>
      <c r="C42" t="inlineStr">
        <is>
          <t>Amazon.com</t>
        </is>
      </c>
      <c r="D42" t="inlineStr">
        <is>
          <t>indeed</t>
        </is>
      </c>
      <c r="E42" t="inlineStr"/>
      <c r="F42" t="inlineStr"/>
      <c r="G42" t="inlineStr">
        <is>
          <t>Irvine, CA, US</t>
        </is>
      </c>
      <c r="H42" s="2" t="n">
        <v>45921</v>
      </c>
      <c r="I4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in-b872977d7bd3f9ad</t>
        </is>
      </c>
      <c r="B43" t="inlineStr">
        <is>
          <t>Sr Software Engineer</t>
        </is>
      </c>
      <c r="C43" t="inlineStr">
        <is>
          <t>Amazon.com</t>
        </is>
      </c>
      <c r="D43" t="inlineStr">
        <is>
          <t>indeed</t>
        </is>
      </c>
      <c r="E43" t="inlineStr"/>
      <c r="F43" t="inlineStr"/>
      <c r="G43" t="inlineStr">
        <is>
          <t>San Francisco, CA, US</t>
        </is>
      </c>
      <c r="H43" s="2" t="n">
        <v>45921</v>
      </c>
      <c r="I4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in-604afcd4a3fddf48</t>
        </is>
      </c>
      <c r="B44" t="inlineStr">
        <is>
          <t>Sr Software Engineer</t>
        </is>
      </c>
      <c r="C44" t="inlineStr">
        <is>
          <t>Amazon.com</t>
        </is>
      </c>
      <c r="D44" t="inlineStr">
        <is>
          <t>indeed</t>
        </is>
      </c>
      <c r="E44" t="inlineStr"/>
      <c r="F44" t="inlineStr"/>
      <c r="G44" t="inlineStr">
        <is>
          <t>Irvine, CA, US</t>
        </is>
      </c>
      <c r="H44" s="2" t="n">
        <v>45921</v>
      </c>
      <c r="I4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in-d3d916286d4d3bff</t>
        </is>
      </c>
      <c r="B45" t="inlineStr">
        <is>
          <t>Software Engineer II</t>
        </is>
      </c>
      <c r="C45" t="inlineStr">
        <is>
          <t>Amazon.com</t>
        </is>
      </c>
      <c r="D45" t="inlineStr">
        <is>
          <t>indeed</t>
        </is>
      </c>
      <c r="E45" t="inlineStr"/>
      <c r="F45" t="inlineStr"/>
      <c r="G45" t="inlineStr">
        <is>
          <t>San Francisco, CA, US</t>
        </is>
      </c>
      <c r="H45" s="2" t="n">
        <v>45921</v>
      </c>
      <c r="I4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in-77ade1eb8b716f78</t>
        </is>
      </c>
      <c r="B46" t="inlineStr">
        <is>
          <t>Sr. Device Software Engineer, Amazon Leo Government</t>
        </is>
      </c>
      <c r="C46" t="inlineStr">
        <is>
          <t>Amazon.com</t>
        </is>
      </c>
      <c r="D46" t="inlineStr">
        <is>
          <t>indeed</t>
        </is>
      </c>
      <c r="E46" t="inlineStr"/>
      <c r="F46" t="inlineStr"/>
      <c r="G46" t="inlineStr">
        <is>
          <t>Redmond, WA, US</t>
        </is>
      </c>
      <c r="H46" s="2" t="n">
        <v>45911</v>
      </c>
      <c r="I46"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in-43259e056482d47c</t>
        </is>
      </c>
      <c r="B47" t="inlineStr">
        <is>
          <t>Sr. Device Software Engineer, Amazon Leo Government</t>
        </is>
      </c>
      <c r="C47" t="inlineStr">
        <is>
          <t>Amazon.com</t>
        </is>
      </c>
      <c r="D47" t="inlineStr">
        <is>
          <t>indeed</t>
        </is>
      </c>
      <c r="E47" t="inlineStr"/>
      <c r="F47" t="inlineStr"/>
      <c r="G47" t="inlineStr">
        <is>
          <t>Northridge, CA, US</t>
        </is>
      </c>
      <c r="H47" s="2" t="n">
        <v>45911</v>
      </c>
      <c r="I47"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in-9d788d68e36df069</t>
        </is>
      </c>
      <c r="B48" t="inlineStr">
        <is>
          <t>Sr. Device Software Engineer, Amazon Leo Government</t>
        </is>
      </c>
      <c r="C48" t="inlineStr">
        <is>
          <t>Amazon.com</t>
        </is>
      </c>
      <c r="D48" t="inlineStr">
        <is>
          <t>indeed</t>
        </is>
      </c>
      <c r="E48" t="inlineStr"/>
      <c r="F48" t="inlineStr"/>
      <c r="G48" t="inlineStr">
        <is>
          <t>El Segundo, CA, US</t>
        </is>
      </c>
      <c r="H48" s="2" t="n">
        <v>45911</v>
      </c>
      <c r="I48"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in-dda5de6b0d3eba00</t>
        </is>
      </c>
      <c r="B49" t="inlineStr">
        <is>
          <t>Sr. Device Software Engineer, Amazon Leo Government</t>
        </is>
      </c>
      <c r="C49" t="inlineStr">
        <is>
          <t>Amazon.com</t>
        </is>
      </c>
      <c r="D49" t="inlineStr">
        <is>
          <t>indeed</t>
        </is>
      </c>
      <c r="E49" t="inlineStr"/>
      <c r="F49" t="inlineStr"/>
      <c r="G49" t="inlineStr">
        <is>
          <t>Arlington, VA, US</t>
        </is>
      </c>
      <c r="H49" s="2" t="n">
        <v>45911</v>
      </c>
      <c r="I49"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in-570a892671b77a69</t>
        </is>
      </c>
      <c r="B50" t="inlineStr">
        <is>
          <t>Device Software Engineer, Amazon Leo Government</t>
        </is>
      </c>
      <c r="C50" t="inlineStr">
        <is>
          <t>Amazon.com</t>
        </is>
      </c>
      <c r="D50" t="inlineStr">
        <is>
          <t>indeed</t>
        </is>
      </c>
      <c r="E50" t="inlineStr"/>
      <c r="F50" t="inlineStr"/>
      <c r="G50" t="inlineStr">
        <is>
          <t>Northridge, CA, US</t>
        </is>
      </c>
      <c r="H50" s="2" t="n">
        <v>45910</v>
      </c>
      <c r="I50"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in-568cf8dd1030a72b</t>
        </is>
      </c>
      <c r="B51" t="inlineStr">
        <is>
          <t>Device Software Engineer, Amazon Leo Government</t>
        </is>
      </c>
      <c r="C51" t="inlineStr">
        <is>
          <t>Amazon.com</t>
        </is>
      </c>
      <c r="D51" t="inlineStr">
        <is>
          <t>indeed</t>
        </is>
      </c>
      <c r="E51" t="inlineStr"/>
      <c r="F51" t="inlineStr"/>
      <c r="G51" t="inlineStr">
        <is>
          <t>Arlington, VA, US</t>
        </is>
      </c>
      <c r="H51" s="2" t="n">
        <v>45910</v>
      </c>
      <c r="I51"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in-a6b192fbb430e300</t>
        </is>
      </c>
      <c r="B52" t="inlineStr">
        <is>
          <t>Device Software Engineer, Amazon Leo Government</t>
        </is>
      </c>
      <c r="C52" t="inlineStr">
        <is>
          <t>Amazon.com</t>
        </is>
      </c>
      <c r="D52" t="inlineStr">
        <is>
          <t>indeed</t>
        </is>
      </c>
      <c r="E52" t="inlineStr"/>
      <c r="F52" t="inlineStr"/>
      <c r="G52" t="inlineStr">
        <is>
          <t>El Segundo, CA, US</t>
        </is>
      </c>
      <c r="H52" s="2" t="n">
        <v>45910</v>
      </c>
      <c r="I52"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in-4da1f2188a480738</t>
        </is>
      </c>
      <c r="B53" t="inlineStr">
        <is>
          <t>Device Software Engineer, Amazon Leo Government</t>
        </is>
      </c>
      <c r="C53" t="inlineStr">
        <is>
          <t>Amazon.com</t>
        </is>
      </c>
      <c r="D53" t="inlineStr">
        <is>
          <t>indeed</t>
        </is>
      </c>
      <c r="E53" t="inlineStr"/>
      <c r="F53" t="inlineStr"/>
      <c r="G53" t="inlineStr">
        <is>
          <t>Redmond, WA, US</t>
        </is>
      </c>
      <c r="H53" s="2" t="n">
        <v>45910</v>
      </c>
      <c r="I53"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in-807e24f610c6c829</t>
        </is>
      </c>
      <c r="B54" t="inlineStr">
        <is>
          <t>Software Engineer I- Ad Demand</t>
        </is>
      </c>
      <c r="C54" t="inlineStr">
        <is>
          <t>Amazon.com</t>
        </is>
      </c>
      <c r="D54" t="inlineStr">
        <is>
          <t>indeed</t>
        </is>
      </c>
      <c r="E54" t="inlineStr"/>
      <c r="F54" t="inlineStr"/>
      <c r="G54" t="inlineStr">
        <is>
          <t>San Francisco, CA, US</t>
        </is>
      </c>
      <c r="H54" s="2" t="n">
        <v>45908</v>
      </c>
      <c r="I5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in-62bf84c263bfb106</t>
        </is>
      </c>
      <c r="B55" t="inlineStr">
        <is>
          <t>Software Engineer I- Ad Demand</t>
        </is>
      </c>
      <c r="C55" t="inlineStr">
        <is>
          <t>Amazon.com</t>
        </is>
      </c>
      <c r="D55" t="inlineStr">
        <is>
          <t>indeed</t>
        </is>
      </c>
      <c r="E55" t="inlineStr"/>
      <c r="F55" t="inlineStr"/>
      <c r="G55" t="inlineStr">
        <is>
          <t>New York, NY, US</t>
        </is>
      </c>
      <c r="H55" s="2" t="n">
        <v>45908</v>
      </c>
      <c r="I5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in-60af6a55ad9e7ff7</t>
        </is>
      </c>
      <c r="B56" t="inlineStr">
        <is>
          <t>Senior Software Engineer - Query Processing, Aurora DSQL</t>
        </is>
      </c>
      <c r="C56" t="inlineStr">
        <is>
          <t>Amazon Web Services</t>
        </is>
      </c>
      <c r="D56" t="inlineStr">
        <is>
          <t>indeed</t>
        </is>
      </c>
      <c r="E56" t="inlineStr"/>
      <c r="F56" t="inlineStr"/>
      <c r="G56" t="inlineStr">
        <is>
          <t>East Palo Alto, CA, US</t>
        </is>
      </c>
      <c r="H56" s="2" t="n">
        <v>45796</v>
      </c>
      <c r="I5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in-2d64821b768eddd5</t>
        </is>
      </c>
      <c r="B57" t="inlineStr">
        <is>
          <t>Senior Software Engineer - Query Processing, Aurora DSQL</t>
        </is>
      </c>
      <c r="C57" t="inlineStr">
        <is>
          <t>Amazon Web Services</t>
        </is>
      </c>
      <c r="D57" t="inlineStr">
        <is>
          <t>indeed</t>
        </is>
      </c>
      <c r="E57" t="inlineStr"/>
      <c r="F57" t="inlineStr"/>
      <c r="G57" t="inlineStr">
        <is>
          <t>Seattle, WA, US</t>
        </is>
      </c>
      <c r="H57" s="2" t="n">
        <v>45796</v>
      </c>
      <c r="I5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in-67dd2faf54e34ab1</t>
        </is>
      </c>
      <c r="B58" t="inlineStr">
        <is>
          <t>Embedded C++ Software Engineer, Machine Learning Acceleration</t>
        </is>
      </c>
      <c r="C58" t="inlineStr">
        <is>
          <t>Amazon Web Services</t>
        </is>
      </c>
      <c r="D58" t="inlineStr">
        <is>
          <t>indeed</t>
        </is>
      </c>
      <c r="E58" t="inlineStr"/>
      <c r="F58" t="inlineStr"/>
      <c r="G58" t="inlineStr">
        <is>
          <t>Cupertino, CA, US</t>
        </is>
      </c>
      <c r="H58" s="2" t="n">
        <v>45691</v>
      </c>
      <c r="I58"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in-c3ffa54548520964</t>
        </is>
      </c>
      <c r="B59" t="inlineStr">
        <is>
          <t>Embedded C++ Software Engineer, Machine Learning Acceleration</t>
        </is>
      </c>
      <c r="C59" t="inlineStr">
        <is>
          <t>Amazon Web Services</t>
        </is>
      </c>
      <c r="D59" t="inlineStr">
        <is>
          <t>indeed</t>
        </is>
      </c>
      <c r="E59" t="inlineStr"/>
      <c r="F59" t="inlineStr"/>
      <c r="G59" t="inlineStr">
        <is>
          <t>Austin, TX, US</t>
        </is>
      </c>
      <c r="H59" s="2" t="n">
        <v>45691</v>
      </c>
      <c r="I59"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in-a598bca4b5ec1db0</t>
        </is>
      </c>
      <c r="B60" t="inlineStr">
        <is>
          <t>Sr. Software Engineer</t>
        </is>
      </c>
      <c r="C60" t="inlineStr">
        <is>
          <t>Lynx</t>
        </is>
      </c>
      <c r="D60" t="inlineStr">
        <is>
          <t>indeed</t>
        </is>
      </c>
      <c r="E60">
        <f>HYPERLINK("https://www.indeed.com/viewjob?jk=a598bca4b5ec1db0", "https://www.indeed.com/viewjob?jk=a598bca4b5ec1db0")</f>
        <v/>
      </c>
      <c r="F60">
        <f>HYPERLINK("https://ats.rippling.com/lynx-software-technologies/jobs/a7497484-63e6-4f5d-9332-6295f75dc1a1?jobSite=Indeed", "https://ats.rippling.com/lynx-software-technologies/jobs/a7497484-63e6-4f5d-9332-6295f75dc1a1?jobSite=Indeed")</f>
        <v/>
      </c>
      <c r="G60" t="inlineStr">
        <is>
          <t>Huntsville, AL, US</t>
        </is>
      </c>
      <c r="H60" s="3" t="n">
        <v>46033</v>
      </c>
      <c r="I60" t="inlineStr">
        <is>
          <t>**Job Title:** Sr. Software Engineer
**Location**: Huntsville, AL
**Salary Range:** $125,000 to $155,000
 **Company Overview**
Founded in 2004 with locations in Atlanta, GA and Fort Worth, TX, Thompson Software Solutions LLC. team understands what is required to develop, integrate, test, and deploy software with a safety\-critical pedigree while meeting the challenges of modernization and digital transformation. As a defense\-focused software company of proven and dedicated employees, we take pride in our ability to react quickly and produce quality solutions to difficult technical challenges. We work with partners to find the right path to meet operational needs while future\-proofing systems with portability and sustainment considerations to ensure next\-generation success.
 **Description**
**Thompson Software Solutions** is seeking a **Senior SW Engineer who** is ready to work with a talented team to provide innovative solutions for tomorrow’s problems. This position requires a software engineer to use a wide application of technical principles, theories, and concepts in the software field to develop, integrate, and test software products. The successful candidate will be a member of a high\-performing multi\-site team and must be self\-motivated with a strong work ethic, time\-management, and interpersonal skills. In this role, you will work independently at times on projects, at other times will be in a collaborative team environment with other software engineers, as well as other program development and deployment teams.
 Selected applicants will be subjected to a government security investigation and must meet eligibility requirements for access to classified information and must maintain eligibility for continued access to classified information throughout their employment as required by the job.
 **Who we are:**
**Thompson Software Solutions LLC. is a subsidiary of Lynx.** Lynx delivers modular, open standards\-based software solutions that redefine the economics of developing, deploying, and maintaining high assurance, mission critical edge platforms. These secure edge computing solutions are designed to drive innovation and operational excellence in today’s most demanding environments. From advancing aerospace and defense capabilities to transforming commercial and industrial systems, Lynx collaborates across a wide range of industries, including automotive, medical, and critical
We’re a fast\-growing company driving innovation in autonomy, AI, and visualization technologies. If you're a self\-driven leader ready to shape the future of secure, high\-assurance systems, we want to hear from you
 **Basic Requirements**
* Bachelor's degree in STEM discipline
* 5\+ years of C/C\+\+
* Experience with Embedded Software development
* Experience with I\&amp;T integration and test.
* Experience with Full Software Development Cycle
* Experience with (FSW) Flight software engineering
* Proficient with Linux and Windows development environments
* Ability to professionally communicate project status and collaborate on technical solutions with clients and peers
* “Clearance eligibility required”
* Ability to work onsite 100%
* Ability to travel 25%
 **Preferred / Additional Skills**
* Proficient with Atlassian Tools (Confluence, JIRA, Bitbucket, etc.)
* Proficient in Python development
* Familiarity with Model\-Based System Engineering (MBSE) concepts and tools (Cameo, AADL)
* Experience with Digital Simulation Development and integration
* Experience with safety\-critical software development and practices (DO\-178C)
* Experience with Navigation, Guidance and Control Implementation
* Experience with Signal Processing Implementation
* Experience developing Embedded Flight Software
* Experience communicating and documenting complex technical designs
* Ability to work in a collaborative and team\-based environment
* Excellent written and verbal communication and presentation skills
 **Sound Exciting?** Get in touch today! We have very robust benefits including:
* Low\-cost Medical / Dental / Vision coverage options
* 401K with generous employer match
* Responsible Paid Time Off \+ 11 Paid Holidays
* Remote work opportunities based on role
* Employee Assistance Program (EAP)
* Career growth and professional development opportunities
 *All qualified applicants will receive consideration for employment without regard to race, color, religion, sex, sexual orientation, gender identity, national origin, disability, or veteran status.*</t>
        </is>
      </c>
    </row>
    <row r="61">
      <c r="A61" t="inlineStr">
        <is>
          <t>in-768d83593acc8110</t>
        </is>
      </c>
      <c r="B61" t="inlineStr">
        <is>
          <t>Principal Software Engineer</t>
        </is>
      </c>
      <c r="C61" t="inlineStr">
        <is>
          <t>Lynx</t>
        </is>
      </c>
      <c r="D61" t="inlineStr">
        <is>
          <t>indeed</t>
        </is>
      </c>
      <c r="E61">
        <f>HYPERLINK("https://www.indeed.com/viewjob?jk=768d83593acc8110", "https://www.indeed.com/viewjob?jk=768d83593acc8110")</f>
        <v/>
      </c>
      <c r="F61">
        <f>HYPERLINK("https://ats.rippling.com/lynx-software-technologies/jobs/6a5702a6-8494-4eab-bb32-8c3659e1adcd?jobSite=Indeed", "https://ats.rippling.com/lynx-software-technologies/jobs/6a5702a6-8494-4eab-bb32-8c3659e1adcd?jobSite=Indeed")</f>
        <v/>
      </c>
      <c r="G61" t="inlineStr">
        <is>
          <t>Huntsville, AL, US</t>
        </is>
      </c>
      <c r="H61" s="3" t="n">
        <v>46033</v>
      </c>
      <c r="I61" t="inlineStr">
        <is>
          <t>**Job Title: Principal Software Engineer**
**Location**: Huntsville, AL
**Salary Range:** $155,000 to $175,000
 **Company Overview**
Founded in 2004 with locations in Atlanta, GA and Fort Worth, TX, Thompson Software Solutions LLC. team understands what is required to develop, integrate, test, and deploy software with a safety\-critical pedigree while meeting the challenges of modernization and digital transformation. As a defense\-focused software company of proven and dedicated employees, we take pride in our ability to react quickly and produce quality solutions to difficult technical challenges. We work with partners to find the right path to meet operational needs while future\-proofing systems with portability and sustainment considerations to ensure next\-generation success.
 **Description**
**Thompson Software Solutions** is seeking a **Principal SW Engineer who** is ready to work with a talented team to provide innovative solutions for tomorrow’s problems. This position requires a software engineer to use a wide application of technical principles, theories, and concepts in the software field to develop, integrate, and test software products. The successful candidate will be a member of a high\-performing multi\-site team and must be self\-motivated with a strong work ethic, time\-management, and interpersonal skills. In this role, you will work independently at times on projects, at other times will be in a collaborative team environment with other software engineers, as well as other program development and deployment teams.
 Selected applicants will be subjected to a government security investigation and must meet eligibility requirements for access to classified information and must maintain eligibility for continued access to classified information throughout their employment as required by the job.
 **Who we are:**
**Thompson Software Solutions LLC. is a subsidiary of Lynx.** Lynx delivers modular, open standards\-based software solutions that redefine the economics of developing, deploying, and maintaining high assurance, mission critical edge platforms. These secure edge computing solutions are designed to drive innovation and operational excellence in today’s most demanding environments. From advancing aerospace and defense capabilities to transforming commercial and industrial systems, Lynx collaborates across a wide range of industries, including automotive, medical, and critical
We’re a fast\-growing company driving innovation in autonomy, AI, and visualization technologies. If you're a self\-driven leader ready to shape the future of secure, high\-assurance systems, we want to hear from you
 **Basic Requirements**
* Bachelor's degree in STEM discipline
* 8\+ years of C/C\+\+
* Experience with Embedded Software development
* Experience with I\&amp;T integration and test.
* Experience with Full Software Development Cycle
* Experience with (FSW) Flight software engineering
* Proficient with Linux and Windows development environments
* Ability to professionally communicate project status and collaborate on technical solutions with clients and peers
* “Clearance eligibility required”
* Ability to work onsite 100%
* Ability to travel 25%
 **Preferred / Additional Skills**
* Proficient with Atlassian Tools (Confluence, JIRA, Bitbucket, etc.)
* Proficient in Python development
* Familiarity with Model\-Based System Engineering (MBSE) concepts and tools (Cameo, AADL)
* Experience with Digital Simulation Development and integration
* Experience with safety\-critical software development and practices (DO\-178C)
* Experience with Navigation, Guidance and Control Implementation
* Experience with Signal Processing Implementation
* Experience developing Embedded Flight Software
* Experience communicating and documenting complex technical designs
* Ability to work in a collaborative and team\-based environment
* Excellent written and verbal communication and presentation skills
 **Sound Exciting?** Get in touch today! We have very robust benefits including:
* Low\-cost Medical / Dental / Vision coverage options
* 401K with generous employer match
* Responsible Paid Time Off \+ 11 Paid Holidays
* Remote work opportunities based on role
* Employee Assistance Program (EAP)
* Career growth and professional development opportunities
 *All qualified applicants will receive consideration for employment without regard to race, color, religion, sex, sexual orientation, gender identity, national origin, disability, or veteran status.*</t>
        </is>
      </c>
    </row>
    <row r="62">
      <c r="A62" t="inlineStr">
        <is>
          <t>in-404d5cf284ad007d</t>
        </is>
      </c>
      <c r="B62" t="inlineStr">
        <is>
          <t>Principal Software Engineer</t>
        </is>
      </c>
      <c r="C62" t="inlineStr">
        <is>
          <t>Lynx</t>
        </is>
      </c>
      <c r="D62" t="inlineStr">
        <is>
          <t>indeed</t>
        </is>
      </c>
      <c r="E62">
        <f>HYPERLINK("https://www.indeed.com/viewjob?jk=404d5cf284ad007d", "https://www.indeed.com/viewjob?jk=404d5cf284ad007d")</f>
        <v/>
      </c>
      <c r="F62">
        <f>HYPERLINK("https://ats.rippling.com/lynx-software-technologies/jobs/3d6d1776-d660-41e8-bd7a-5c082460af19?jobSite=Indeed", "https://ats.rippling.com/lynx-software-technologies/jobs/3d6d1776-d660-41e8-bd7a-5c082460af19?jobSite=Indeed")</f>
        <v/>
      </c>
      <c r="G62" t="inlineStr">
        <is>
          <t>Huntsville, AL, US</t>
        </is>
      </c>
      <c r="H62" s="3" t="n">
        <v>46033</v>
      </c>
      <c r="I62" t="inlineStr">
        <is>
          <t>**Job Title: Principal Software Engineer**
**Location**: Huntsville, AL
**Salary Range:** $155,000 to $175,000
 **Company Overview**
Founded in 2004 with locations in Atlanta, GA and Fort Worth, TX, Thompson Software Solutions LLC. team understands what is required to develop, integrate, test, and deploy software with a safety\-critical pedigree while meeting the challenges of modernization and digital transformation. As a defense\-focused software company of proven and dedicated employees, we take pride in our ability to react quickly and produce quality solutions to difficult technical challenges. We work with partners to find the right path to meet operational needs while future\-proofing systems with portability and sustainment considerations to ensure next\-generation success.
 **Description**
**Thompson Software Solutions** is seeking a **Principal SW Engineer who** is ready to work with a talented team to provide innovative solutions for tomorrow’s problems. This position requires a software engineer to use a wide application of technical principles, theories, and concepts in the software field to develop, integrate, and test software products. The successful candidate will be a member of a high\-performing multi\-site team and must be self\-motivated with a strong work ethic, time\-management, and interpersonal skills. In this role, you will work independently at times on projects, at other times will be in a collaborative team environment with other software engineers, as well as other program development and deployment teams.
 Selected applicants will be subjected to a government security investigation and must meet eligibility requirements for access to classified information and must maintain eligibility for continued access to classified information throughout their employment as required by the job.
 **Who we are:**
**Thompson Software Solutions LLC. is a subsidiary of Lynx.** Lynx delivers modular, open standards\-based software solutions that redefine the economics of developing, deploying, and maintaining high assurance, mission critical edge platforms. These secure edge computing solutions are designed to drive innovation and operational excellence in today’s most demanding environments. From advancing aerospace and defense capabilities to transforming commercial and industrial systems, Lynx collaborates across a wide range of industries, including automotive, medical, and critical
We’re a fast\-growing company driving innovation in autonomy, AI, and visualization technologies. If you're a self\-driven leader ready to shape the future of secure, high\-assurance systems, we want to hear from you
 **Basic Requirements**
* Bachelor's degree in STEM discipline
* 8\+ years of C/C\+\+
* Experience with Embedded Software development
* Experience with I\&amp;T integration and test.
* Experience with Full Software Development Cycle
* Experience with (FSW) Flight software engineering
* Proficient with Linux and Windows development environments
* Ability to professionally communicate project status and collaborate on technical solutions with clients and peers
* “Clearance eligibility required”
* Ability to work onsite 100%
* Ability to travel 25%
 **Preferred / Additional Skills**
* Proficient with Atlassian Tools (Confluence, JIRA, Bitbucket, etc.)
* Proficient in Python development
* Familiarity with Model\-Based System Engineering (MBSE) concepts and tools (Cameo, AADL)
* Experience with Digital Simulation Development and integration
* Experience with safety\-critical software development and practices (DO\-178C)
* Experience with Navigation, Guidance and Control Implementation
* Experience with Signal Processing Implementation
* Experience developing Embedded Flight Software
* Experience communicating and documenting complex technical designs
* Ability to work in a collaborative and team\-based environment
* Excellent written and verbal communication and presentation skills
 **Sound Exciting?** Get in touch today! We have very robust benefits including:
* Low\-cost Medical / Dental / Vision coverage options
* 401K with generous employer match
* Responsible Paid Time Off \+ 11 Paid Holidays
* Remote work opportunities based on role
* Employee Assistance Program (EAP)
* Career growth and professional development opportunities
 *All qualified applicants will receive consideration for employment without regard to race, color, religion, sex, sexual orientation, gender identity, national origin, disability, or veteran status.*</t>
        </is>
      </c>
    </row>
    <row r="63">
      <c r="A63" t="inlineStr">
        <is>
          <t>in-7920b56cf7840d1b</t>
        </is>
      </c>
      <c r="B63" t="inlineStr">
        <is>
          <t>Embedded Systems Software Engineer</t>
        </is>
      </c>
      <c r="C63" t="inlineStr">
        <is>
          <t>iTarget Golf</t>
        </is>
      </c>
      <c r="D63" t="inlineStr">
        <is>
          <t>indeed</t>
        </is>
      </c>
      <c r="E63">
        <f>HYPERLINK("https://www.indeed.com/viewjob?jk=7920b56cf7840d1b", "https://www.indeed.com/viewjob?jk=7920b56cf7840d1b")</f>
        <v/>
      </c>
      <c r="F63">
        <f>HYPERLINK("http://www.indeed.com/job/embedded-systems-software-engineer-7920b56cf7840d1b", "http://www.indeed.com/job/embedded-systems-software-engineer-7920b56cf7840d1b")</f>
        <v/>
      </c>
      <c r="G63" t="inlineStr">
        <is>
          <t>Oviedo, FL, US</t>
        </is>
      </c>
      <c r="H63" s="3" t="n">
        <v>46033</v>
      </c>
      <c r="I63" t="inlineStr">
        <is>
          <t>**Start:** **Immediate (within days)**  
**Initial Term:** **1\-week contract**  
**Continuation:** As\-needed, contract basis  
**Location:** Hybrid / Remote (coordination with physical hardware required)  
**Compensation:** Competitive, hourly or short\-term contract rate  
**Works alongside:** Kushal (Lead Hardware Engineer)
**Role Overview**
We are seeking an **Embedded Systems Engineer** who can **start immediately** to assist our lead engineer, Kushal, in driving a hardware product through **final integration, debugging, and readiness for deployment**.
This is a **contract\-for\-hire engagement** structured as an **intensive one\-week sprint** focused on execution. Following the initial week, continued involvement will be **on an as\-needed contract basis** depending on project requirements and performance.
This role is hands\-on and results\-driven. We are looking for someone who is comfortable jumping into an existing system, identifying issues quickly, and helping close them.
**Primary Objectives (Week One)**
* Rapidly onboard into the existing hardware and embedded system
* Assist with **firmware debugging and hardware bring\-up**
* Identify and resolve **hardware\-software integration issues**
* Support system stabilization and functional validation
* Work directly with Kushal to remove blockers and push the system toward completion
**Key Responsibilities**
* Embedded firmware support and debugging
* Hardware testing, validation, and troubleshooting
* Integration of embedded systems with:
* Sensors
* Actuators
* LEDs / displays
* Communication modules (wired and/or wireless)
* Diagnose and resolve real\-world hardware interaction issues
* Assist with short\-form documentation as needed for handoff or continuation
**Preferred Background / Skills**
* Experience with **embedded systems and real hardware**
* Strong debugging and problem\-solving skills
* Familiarity with microcontrollers and embedded firmware concepts
* Understanding of common communication protocols (I2C, SPI, UART, CAN, etc.)
* Ability to read schematics and understand hardware interfaces
* Comfortable working in a **fast\-paced, short\-duration engagement**
**Ideal Candidate Profile**
* Available **immediately**
* Comfortable with short\-term, high\-impact work
* Practical, execution\-focused (not academic)
* Able to contribute value within days, not weeks
**Engagement Structure**
* **One\-week contract (initial)**
* Continuation on an **as\-needed contract basis**
* No long onboarding cycle — this is a **get\-in\-and\-execute** role
Job Type: Contract
Pay: $3,500\.00 \- $7,000\.00 per week
Work Location: In person</t>
        </is>
      </c>
    </row>
    <row r="64">
      <c r="A64" t="inlineStr">
        <is>
          <t>in-a38b09e0b9bd512a</t>
        </is>
      </c>
      <c r="B64" t="inlineStr">
        <is>
          <t>Blockchain Software Engineer</t>
        </is>
      </c>
      <c r="C64" t="inlineStr">
        <is>
          <t>Craftner INC</t>
        </is>
      </c>
      <c r="D64" t="inlineStr">
        <is>
          <t>indeed</t>
        </is>
      </c>
      <c r="E64">
        <f>HYPERLINK("https://www.indeed.com/viewjob?jk=a38b09e0b9bd512a", "https://www.indeed.com/viewjob?jk=a38b09e0b9bd512a")</f>
        <v/>
      </c>
      <c r="F64">
        <f>HYPERLINK("https://careers.craftner.com/job-detail/eyJpdiI6IjNXNXFLbE5qTzBkdkVHMEhNZkZnUWc9PSIsInZhbHVlIjoiZHQ2RkNwcWhTc0F5Qk5aZjIzbTBCZz09IiwibWFjIjoiYjc1MjViOWQxMTg2MmM4MzFlYzZmODMwODdiNDQ5M2FhN2NkZjQwNGUxMzhiNThhNDAyMzhmNWUzZWE5ZDJmYSIsInRhZyI6IiJ9", "https://careers.craftner.com/job-detail/eyJpdiI6IjNXNXFLbE5qTzBkdkVHMEhNZkZnUWc9PSIsInZhbHVlIjoiZHQ2RkNwcWhTc0F5Qk5aZjIzbTBCZz09IiwibWFjIjoiYjc1MjViOWQxMTg2MmM4MzFlYzZmODMwODdiNDQ5M2FhN2NkZjQwNGUxMzhiNThhNDAyMzhmNWUzZWE5ZDJmYSIsInRhZyI6IiJ9")</f>
        <v/>
      </c>
      <c r="G64" t="inlineStr">
        <is>
          <t>Charlotte, NC, US</t>
        </is>
      </c>
      <c r="H64" s="3" t="n">
        <v>46032</v>
      </c>
      <c r="I64" t="inlineStr">
        <is>
          <t>###### **Charlotte, NC \| Contract To Hire**
#### **Preferred Skills**
Blockchain  
#### **Job Description**
**Duties and Responsibilities:**
* Design, develop and implement blockchain capabilities
* Design new methods for implementing blockchain technology for our clients
* Incorporate usage of digital tokens and smart contract
* Execute research and development activities for new blockchain deliverables
**Requirements:**
* Bachelor’s in Computer Science, Information Technology or similar field
* Minimum of 4 years of experience designing, implementing and supporting software solutions
* Front\-end: JavaScript, HTML/CSS, Angular / React
* Back\-end:, Golang, Java, Python
* Database: Oracle,MongoDB, MySQL, etc…
* Infrastructure: Docker, Kubernetes, Continuous Integration, etc…
* Cloud Platform: AWS, Azure, GCP
* RESTful APIs, Object\-Oriented
* Experienced using cryptography and hashing algorithms
* Possesses a thorough understanding of the differences between a Private and Public Blockchain
* Experienced in working with Tokens / Digital Certificates / Smart Contracts
* Experienced in developing Blockchain applications on Hyperledger, Ethereum, Corda, Ripple or other proprietary language and APIs
* Strong understanding of blockchain capabilities in logistics, networking, authentication, validation and cryptocurrency
* Work well in a Scrum team environment full of innovators
* Open minded with a success driven attitude
* Has a passion for innovation
**Desired Skills:**
* Blockchain developer certification
* Prior blockchain development and implementation experience
##### **For immediate consideration, please forward your Word resume to** **sheetal@craftner.com**</t>
        </is>
      </c>
    </row>
    <row r="65">
      <c r="A65" t="inlineStr">
        <is>
          <t>in-f07d4463ccc0d6ac</t>
        </is>
      </c>
      <c r="B65" t="inlineStr">
        <is>
          <t>Full Stack Engineer</t>
        </is>
      </c>
      <c r="C65" t="inlineStr">
        <is>
          <t>Healthleap</t>
        </is>
      </c>
      <c r="D65" t="inlineStr">
        <is>
          <t>indeed</t>
        </is>
      </c>
      <c r="E65">
        <f>HYPERLINK("https://www.indeed.com/viewjob?jk=f07d4463ccc0d6ac", "https://www.indeed.com/viewjob?jk=f07d4463ccc0d6ac")</f>
        <v/>
      </c>
      <c r="F65">
        <f>HYPERLINK("https://jobs.ashbyhq.com/healthleap/c68a437b-dd8a-4e14-9b4e-d6229951d0aa?utm_source=a32GBYWl1q", "https://jobs.ashbyhq.com/healthleap/c68a437b-dd8a-4e14-9b4e-d6229951d0aa?utm_source=a32GBYWl1q")</f>
        <v/>
      </c>
      <c r="G65" t="inlineStr">
        <is>
          <t>San Francisco, CA, US</t>
        </is>
      </c>
      <c r="H65" s="3" t="n">
        <v>46032</v>
      </c>
      <c r="I65" t="inlineStr">
        <is>
          <t>**About Healthleap**
====================
HealthLeap builds AI that helps clinicians prioritize patients, surfaces the right data, and gets patients the care they need earlier, so they can leave the hospital sooner.
We integrate with hospital electronic health record systems, screen 100% of patients daily, and risk\-rank them in real time. Clinicians at Cedars\-Sinai and Penn Medicine start every morning with HealthLeap — with Houston Methodist, Emory, and Intermountain Health deploying now.
**Real results:** 39% more diagnoses. 4 days earlier detection. $11M/year ROI for our first site at Cedars Sinai. 7× revenue growth in 7 months.
We started with malnutrition. We're expanding to every major condition to ensure no patient falls through the cracks. Sequoia and First Round are backing us to build the platform that screens every patient for everything and drives tangible outcomes.
**We're \~15 people. \&gt;$7M raised. SF\-based, hybrid\-friendly.** Early enough to shape the product. Late enough to know it works. Results that are changing lives.
**About the Role**
==================
**Build the product clinicians rely on every morning.**
HealthLeap's dashboard is the first thing dietitians open at Cedars\-Sinai and Penn Medicine. It shows them which patients need attention, surfaces the right clinical data, and helps them act fast. You'll build the interfaces that make this possible \- and the backend services that power them.
**Why you**
-----------
You've built systems that real users depend on. You know what it feels like when something you shipped actually matters. You're energized by hard problems \- messy data, complex permissions, systems that need to work every time. You've felt the chaos of a startup and you liked it.
**What you'll do**
------------------
* Own features end\-to\-end \- from UI to API to database
* Build complex feature flag systems for multi\-tenant hospital deployments
* Wrangle messy clinical data \- turning unstructured text into structured, usable information
* Work on the explainability problem: surfacing *why* a patient scored high, not just the score
* Help clinicians find in seconds what currently takes them hours buried in charts
* Ship directly to production at hospitals like Cedars\-Sinai, Penn Medicine, Houston Methodist
**What we're looking for**
--------------------------
* 4\+ years building production web applications
* Strong in React and TypeScript, comfortable building APIs
* Experience with complex data transformations and messy real\-world data
* Comfortable with relational databases, auth systems, and feature flags at scale
* You've shipped products, not just features
* You move fast and iterate based on what you learn
**Nice to have**
----------------
* Experience with LLMs or AI/ML pipelines
* Background in healthcare or clinical software
* Familiarity with Postgres, AWS, or containerized deployments
**This role is NOT for you if**
-------------------------------
* Startup unpredictability feels like chaos to you. We find it exciting.
* You need detailed specs before you start. We figure it out as we go.
* You've never owned something end\-to\-end. Here, you own outcomes, not tasks.
* You wait to be told what to do next. We need people who see what's needed and do it.
* You're looking for a 9\-5 with predictable hours. We care about deep work and deep rest (we have a minimum leave policy), but when a hospital go\-live is on the line, we show up \- even if that means a 60\+ hour week.
**Interview process**
---------------------
* **Intro call** \- Get to know each other
* **Technical** \- 1\-2 interviews on system design \+ coding
* **Onsite** \- Meet the team in SF
* **Decision** \- Same week as onsite
We respect your time. If there's a fit, you'll know fast.
**Compensation \&amp; Benefits**
----------------------------
* **Salary:** $175,000 \- $275,000 base
* **Equity:** Meaningful ownership in an early\-stage company
* **Healthcare:** 100% of premiums covered
* **PTO:** Unlimited, with a recommended minimum of 20 days
* **401(k):** 4% match
* **Equipment:** Laptop \+ budget for your home office
**Location**
------------
San Francisco, hybrid (Mon/Wed/Fri in office)
If you're passionate about applying frontier AI to real\-world impact, join us in building healthcare's future.
Compensation Range: $175K \- $275K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li-4359956252</t>
        </is>
      </c>
      <c r="B2" t="inlineStr">
        <is>
          <t>Software Engineer</t>
        </is>
      </c>
      <c r="C2" t="inlineStr">
        <is>
          <t>Hyra</t>
        </is>
      </c>
      <c r="D2" t="inlineStr">
        <is>
          <t>linkedin</t>
        </is>
      </c>
      <c r="E2" t="inlineStr"/>
      <c r="F2" t="inlineStr"/>
      <c r="G2" t="inlineStr"/>
      <c r="H2" t="inlineStr"/>
      <c r="I2" t="inlineStr">
        <is>
          <t>Software Engineer
 Location: Remote \| Salary: $150,000 \- $300,000 annual
 micro1 is hiring a AI/ML Engineer. This role focuses on architecting and deploying production\-grade machine learning systems within an innovative technical environment. The engineer will be responsible for the end\-to\-end delivery of advanced AI solutions using modern frameworks and cloud infrastructure.
 What you'll be doing
 • Architecting and deploying AI solutions for production environments
 • Developing machine learning systems utilizing Retrieval\-Augmented Generation
 • Implementing Large Language Models to solve technical challenges
 • Managing and optimizing AI infrastructure on AWS platforms
 • Collaborating with cross\-functional teams to deliver software products
 What we're looking for
 • Professional experience in AI and Machine Learning engineering
 • Advanced proficiency in Python programming for ML applications
 • Technical expertise in Retrieval\-Augmented Generation and LLMs
 • Hands\-on experience with AWS cloud services and infrastructure
 • Demonstrated ability to maintain production\-grade ML systems
 What micro1 offers
 • Competitive annual salary between $150,000 and $300,000
 • Opportunity to work on high\-impact AI and ML projects
 • Collaborative environment focused on technical innovation
 • Remote work arrangement providing professional flexibility
 Apply now to be considered for this opportunity.</t>
        </is>
      </c>
    </row>
    <row r="3">
      <c r="A3" t="inlineStr">
        <is>
          <t>li-4328327452</t>
        </is>
      </c>
      <c r="B3" t="inlineStr">
        <is>
          <t>Principal Software Engineer</t>
        </is>
      </c>
      <c r="C3" t="inlineStr">
        <is>
          <t>Microsoft</t>
        </is>
      </c>
      <c r="D3" t="inlineStr">
        <is>
          <t>linkedin</t>
        </is>
      </c>
      <c r="E3" t="inlineStr"/>
      <c r="F3" t="inlineStr"/>
      <c r="G3" t="inlineStr">
        <is>
          <t>Redmond, WA</t>
        </is>
      </c>
      <c r="H3" t="inlineStr"/>
      <c r="I3" t="inlineStr">
        <is>
          <t>**Overview**
 Microsoft is a company where passionate innovators come to collaborate, envision what can be and take their careers to levels they cannot achieve anywhere else. This is a world of more possibilities, more innovation, more openness in a cloud\-enabled world.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We are seeking a Full stack
 **Principal Software Engineer** 
 to join the App Agents team within Power Apps.
 This team will build Agents and services that enable near real\-time insights and agentic assistance across model\-driven apps. You’ll work on highly scalable systems that empower makers to build intelligent agents per app, transforming how users interact with data and automation.
 This is a strategic opportunity to shape the future of agentic AI in business applications, driving innovation and impact across Microsoft’s low\-code platform. Individually, this is where you get to transform yourself to an AI Engineer.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Architect and develop scalable microservices, agents and SDKs that power agentic experiences in business apps.
* Lead technical design and implementation of existing and new features.
* Collaborate with product managers, designers, data scientists and partner teams to deliver high\-impact solutions with high\-reliability.
* Drive innovation in low\-code and pro\-code extensibility, enabling makers to build custom agents with ease.
* Drive users from an autonomy scale of 1 to 10 and maximize end\-user productivity.
* Mentor and guide engineers, fostering a high\-performing and inclusive team culture.
* Ensure security, compliance, and performance across all service components.
* Continuously improve developer experience and platform capabilities through experimentation and feedback loops.
**Qualifications**
**Required Qualifications:**
* Bachelor's Degree in Computer Science or related technical field AND 6\+ years technical engineering experience with coding in languages including, but not limited to, C, C\+\+, C\#, Java, JavaScript, or Python
+ OR equivalent experience.
* Proven experience in designing and building scalable services.
* Knowledge of Agentic Architecture and integration in products.
* Solid technical leadership and cross\-team collaboration skills.
* Deep understanding of service fundamentals: reliability, scalability, maintainability, and performance.
* 10\+ years of software development experience with a track record of shipping enterprise\-grade solutions.
* Front\-end experience in React, Javascript, HTML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\#BICJOBS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
      <c r="A4" t="inlineStr">
        <is>
          <t>li-4345364384</t>
        </is>
      </c>
      <c r="B4" t="inlineStr">
        <is>
          <t>Founding Full-Stack Software Engineer (React / Node.js / NestJS / PostgreSQL)</t>
        </is>
      </c>
      <c r="C4" t="inlineStr">
        <is>
          <t>Carma</t>
        </is>
      </c>
      <c r="D4" t="inlineStr">
        <is>
          <t>linkedin</t>
        </is>
      </c>
      <c r="E4" t="inlineStr"/>
      <c r="F4" t="inlineStr"/>
      <c r="G4" t="inlineStr">
        <is>
          <t>San Francisco, CA</t>
        </is>
      </c>
      <c r="H4" t="inlineStr"/>
      <c r="I4" t="inlineStr">
        <is>
          <t>**NOTE: We run a highly\-efficient, high\-velocity interview process and expect candidates who can keep up. Strong candidates often go from first conversation to offer in 1\-2 days, not weeks or months.**
**This process is a signal. We respect candidates’ time, give fast, clear feedback, and expect decisiveness in return. If this pace excites you, you’ll thrive here.**
**Job Type:** 
 Full\-time
**Department:** 
 Engineering
**Location:** 
 San Francisco (In\-Person)
**Salary:** 
 $175K — $225K
**Equity:** 
 2\.00% — 3\.00%
**About Carma**
 Carma is building an AI\-native platform that transforms fleet operations from tedious, manual work into effortless, automated workflows.
 We’re the fastest\-growing company in fleet management software. Carma already powers some of the largest fleets in the U.S., including Fortune 500 clients, saving operations teams thousands of hours by eliminating busywork and keeping vehicles on the road.
 Backed by Soma Capital, Y Combinator, the founders of Superhuman, and top\-tier investors, we raised our $5\.5M seed and are sprinting toward a Series A in 2026\.
 We’re hiring the top 0\.1% of engineers who want real ownership and impact—starting Day 1, you’ll build and ship fast to production for enterprise clients. Fleet operations run in real time, so your work is immediately used in the field and gets real customer feedback in hours, not months.
**Our Values**
* Act with Urgency: We move swiftly from decision to action — prioritizing impact, cutting through complexity, and delivering results without delay.
* Lead with Grit: We tackle every challenge with persistence, ingenuity, and resilience — turning obstacles into opportunities for growth and excellence.
* Earn and Keep Trust: We build credibility through honesty, accountability, and transparency — doing what’s right even when no one’s watching.
**The Role**
 We’re hiring a Full\-Stack Engineer to own key product features end\-to\-end. You’ll work across React, NestJS, Postgres, Prisma ORM, and AWS to ship features that power AI\-driven workflows and core user experiences.
 You’ll get high\-level product direction, and be trusted to scope, design, and build the right solution — quickly and independently. This is a role for someone who knows how to unblock themselves, drill into ambiguity, and ship without waiting on perfect specs.
**What You’ll Do**
* Ship full\-stack product features across our core app and AI\-powered workflows
* Translate high\-level product goals into concrete backend \+ frontend implementations
* Make smart tradeoffs in speed, scope, and UX — without excessive handholding
* Work closely with product/business/operations teams across sprints to move fast and stay aligned
* Touch every part of the stack: React, NestJS, PostgreSQL, Prisma ORM, AWS
**Must\-Haves**
**About You \- What We’re Looking For**
* 2–4 years building full\-stack products in production environments
* Attended a reputable 4\-year university in with a strong CS program
* Strong across both frontend and backend
* Have a strong product\-oriented mindset
* Ability to take a problem statement and own the solution through to shipping
* Knows when to move fast, when to ask questions, and when to polish
* No ego, no drama — just high\-context execution and good judgment
* Comfortable with ambiguity and skilled at building structure in fast\-moving, chaotic environments
* Have excellent communication skills and responsiveness
* Have an eagerness to build solutions to challenging problems in a fast\-paced and autonomous environment, as candidates will take on a wide set of responsibilities
**Ideal Candidate Has**
* Have an interest in the automotive space
* Has strong personal projects that demonstrate that you have built and shipped products, for which there are current active users
* Current job or previous job is at a high\-growth startup or market\-leading tech company, where you have demonstrated fast\-track career progression in those roles
* Experience building complex, workflow\-driven B2B SaaS products (Vanta, Ramp, Gusto, etc.)
**Not a Fit If**
* You’re looking for a 9–5 with fixed hours
* You’re looking for remote or hybrid work
* You prioritize or think about work\-life balance often
* You’re uncomfortable in a fast\-paced, high\-pressure environment
* You need rigid structure or hand\-holding to be effective
* You lead with ego instead of curiosity, collaboration, and accountability
* You struggle to balance competing priorities across strategic and tactical work
**Why In\-Person in SF Matters**
* You’ll work shoulder\-to\-shoulder with a cracked sales and product team of former founders and industry experts in their 20s.
* Decisions happen live, not in backlogged async threads.
* A players work with A players. There’s a buzzing energy in the office. Hit the whiteboard with anyone here and you’ll understand why.
**Benefits**
* 100% premium medical, dental \&amp; vision coverage for you and your dependents
* Unlimited PTO \+ major federal holidays
* DoorDash stipend \+ all meals covered in\-office
* Gym membership covered
* Frequent team dinners, events, and off\-sites
* The opportunity to transform and take over a legacy, multi\-billion\-dollar industry</t>
        </is>
      </c>
    </row>
    <row r="5">
      <c r="A5" t="inlineStr">
        <is>
          <t>li-4304585642</t>
        </is>
      </c>
      <c r="B5" t="inlineStr">
        <is>
          <t>Senior Software Engineer</t>
        </is>
      </c>
      <c r="C5" t="inlineStr">
        <is>
          <t>Yext</t>
        </is>
      </c>
      <c r="D5" t="inlineStr">
        <is>
          <t>linkedin</t>
        </is>
      </c>
      <c r="E5" t="inlineStr"/>
      <c r="F5" t="inlineStr"/>
      <c r="G5" t="inlineStr">
        <is>
          <t>New York, United States</t>
        </is>
      </c>
      <c r="H5" t="inlineStr"/>
      <c r="I5" t="inlineStr">
        <is>
          <t>Yext (NYSE: YEXT) is the leading brand visibility platform, built for a world where discovery and engagement happen everywhere — across AI search, traditional search, social media, websites, and direct communications. Powered by over 2 billion trusted data points and a suite of integrated products, Yext provides brands the clarity, control, and confidence to perform across digital channels. From real\-time insights to AI\-driven recommendations and execution at scale, Yext turns a brand's digital presence into a competitive advantage, which is only possible through our team of innovators and enthusiastic collaborators. Join us and experience firsthand why we are consistently recognized as a ‘Best Place to Work’ globally by industry leaders such as Built In, Fortune, and Great Place To Work®!
 The Yext Engineering Team drives the technology behind our revolutionary product offering! We’re looking for
 **Senior Software Engineers** 
 to help us continue building out our product and services. Our team works in an agile environment running two\-week sprints that culminate with demos of features in progress. You will work alongside engineers from the top universities and tech companies in the world, hands\-on with the code from day one.
 What You’ll Do
* Participate in full life\-cycle software development
* Design, implement, and deploy highly scalable and reliable systems
* Build storage systems, libraries, and frameworks.
* Contribute ideas for new features and identify areas for improvement proactively
* Collaborate effectively across teams, including outside of engineering
* Write clean, tested, and well\-documented code
**What You Have**
* BA/BS in Computer Science, a related field, or a similar college level education
* 7\+ year of industry experience
* Strong foundation in data structures, algorithms and software design
* Fluency with Java, C\+\+, Python, or similar (we primarily code in Java)
* Openness to new technologies and creative solutions
* Comfortable working within a fast\-paced high growth startup environment
 Pay ranges at Yext are established based on an analysis of salaries for positions with a similar level of accountability and impact in the relevant labor market. Salary levels are expected to change to reflect an employee’s job performance (results and impact) over time. Salaries at the time of hire are typically offered in the lower to middle of the above\-referenced range in order to provide the opportunity to reflect performance\-based increases over time. In addition to base salaries, employees at Yext are typically eligible for a comprehensive package of benefits including medical, dental and vision benefits; life insurance; short term and long\-term disability; 401(k) retirement plan; and vacation and sick leave. Successful candidates may also be eligible for equity (stock) based compensation and/or variable pay programs based on performance relative to goals and targets.
 Annual Base Pay Range: $148,500 USD \- $303,500 USD
 Yext is an equal opportunity employer committed to building a results\-driven, engaging culture where every employee has the opportunity to contribute to the success of the Company, perform at the highest possible level, and grow their skills and capabilities. Yext welcomes employees and applicants of all backgrounds and demographics, and does not engage in discrimination on the basis of any protected characteristic recognized under applicable law. We also consider qualified applicants regardless of criminal histories, consistent with legal requirements. The Company believes a broad variety of life experiences across the Yext team is critical to its mission to help every business in the world be visible everywhere customers search. By seeking out fresh perspectives and fostering a positive interview experience and employee experience, Yext can remain at the forefront of innovation, and better serve its customers.
 It is Yext’s policy to provide reasonable accommodations to people with disabilities as required by applicable law. If you have a disability that requires an accommodation in completing this application, interviewing, or participating in the employee selection process, please complete this form.
**Security Alert**
 All legitimate Yext communications come from @yext.com email addresses. Messages from other domains (for example, @yext.team) are not authorized and are likely fraudulent. If you receive a message that seems suspicious, do not share personal information, click on links, or provide payment. Instead, please report the communication to security@yext.com.</t>
        </is>
      </c>
    </row>
    <row r="6">
      <c r="A6" t="inlineStr">
        <is>
          <t>li-4345730831</t>
        </is>
      </c>
      <c r="B6" t="inlineStr">
        <is>
          <t>Software Engineer (Back End) - Blueflame AI</t>
        </is>
      </c>
      <c r="C6" t="inlineStr">
        <is>
          <t>Datasite</t>
        </is>
      </c>
      <c r="D6" t="inlineStr">
        <is>
          <t>linkedin</t>
        </is>
      </c>
      <c r="E6" t="inlineStr"/>
      <c r="F6" t="inlineStr"/>
      <c r="G6" t="inlineStr"/>
      <c r="H6" t="inlineStr"/>
      <c r="I6" t="inlineStr">
        <is>
          <t>Datasite and its associated businesses are the global center for facilitating economic value creation for companies across the globe. From data rooms to AI deal sourcing
 and more. Here you’ll find the finest technological pioneers: Datasite, Blueflame AI, Firmex, Grata, and Sherpany. They all, collectively, define the future for business growth.
 Apply for one position or as many as you like. Talent doesn’t always just go in one direction or fit in a single box. We’re happy to see whatever your superpower is and find the best place for it to flourish.
 Get started now, we look forward to meeting you..
****Job Description:****
**Why Work with Us**
 At Blueflame AI for Datasite, you will be part of a dynamic team that is at the forefront of AI technology in the investment management and dealmaking industry. You will have the opportunity to work with cutting\-edge products and make a significant impact on our clients' success. Join us to be part of a company that values innovation, client satisfaction, and continuous improvement.
****Job Description****
 The
 **Software Engineer (Back End)** 
 position at Blueflame AI plays a critical role in producing high\-quality software solutions to support the Blueflame AI platform. This position requires close collaboration with our Client Success and Product teams and other members of our Engineering team to develop and implement superior software components, and ensure the reliability and performance of the platform. The ideal candidate will be organized, energetic, and comfortable working in a fast\-paced startup environment.
 This is a hybrid position in NYC with 3 days in office.
****Responsibilities****
* Development: Design and implement the server\-side logic and functionality for the Blueflame AI platform, ensuring efficient data processing and management
* Database Management: Create, maintain, and optimize databases, ensuring data integrity and security
* API Development and Integration: Develop and maintain APIs to enable communication between the server and client\-side applications, as well as with third\-party services
* Security Implementation: Implement security measures to protect data and applications from unauthorized access and vulnerabilities, including encryption and authentication protocols
* Collaboration with Front End Engineers: Work closely with front end software engineers to ensure seamless integration of server\-side logic with user interfaces
* Optimize Performance: Implement best practices for optimizing platform performance
* Troubleshoot: Identify and fix bugs in the code
* Documentation: Write and maintain documentation for code, processes, and best practices to facilitate knowledge sharing within the team
* Stay Updated with Trends: Keep abreast of the latest trends and technologies in back end development, including new frameworks, libraries, and tools
****What You Bring****
* Advanced knowledge of Python
* Experience building/working with RESTful APIs
* Experience with Mongo \&amp; Redis
* Interest in LLMs
* Familiarity of distributed systems and multi\-threading
* Ability to problem solve and work collaboratively
* Minimum 3\-7 years of industry and/or technical experience
* Bachelor’s or master’s degree in computer science or an equivalent engineering discipline
 The base salary range represents the estimated low and high end for this position based on a good faith assessment of the role and market data at the time of posting. Consistent with applicable law, each candidate’s compensation offer may vary and will be determined based on but not limited to, your geographic region, skills, qualifications, and experience along with the requirements of the position. This position may be eligible for bonuses, commissions, or overtime if applicable. Benefits include health insurance (medical, dental, vision), a retirement savings plan, paid time off, and other employee benefits. Specific details will be provided during the interview process. Datasite reserves the right to modify this pay range at any time.
 $118,800\.00 \- $207,200\.00
 Our company is committed to fostering a diverse and inclusive workforce where all individuals are respected and valued. We are an equal opportunity employer and make all employment decisions without regard to race, color, religion, sex, gender identity, sexual orientation, age, national origin, disability, protected veteran status, or any other protected characteristic. We encourage applications from candidates of all backgrounds and are dedicated to building teams that reflect the diversity of our communities.</t>
        </is>
      </c>
    </row>
    <row r="7">
      <c r="A7" t="inlineStr">
        <is>
          <t>li-4328491155</t>
        </is>
      </c>
      <c r="B7" t="inlineStr">
        <is>
          <t>Senior Software Engineer, Robotics</t>
        </is>
      </c>
      <c r="C7" t="inlineStr">
        <is>
          <t>Waymo</t>
        </is>
      </c>
      <c r="D7" t="inlineStr">
        <is>
          <t>linkedin</t>
        </is>
      </c>
      <c r="E7" t="inlineStr"/>
      <c r="F7" t="inlineStr"/>
      <c r="G7" t="inlineStr">
        <is>
          <t>Mountain View, CA</t>
        </is>
      </c>
      <c r="H7" t="inlineStr"/>
      <c r="I7"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Software Engineering builds the brains of Waymo's fully autonomous driving technology. Our software allows the Waymo Driver to perceive the world around it, make the right decision for every situation, and deliver people safely to their destinations. We think deeply and solve complex technical challenges in areas like robotics, perception, decision\-making and deep learning, while collaborating with hardware and systems engineers. If you’re a software engineer or researcher who’s curious and passionate about Level 4 autonomous driving, we'd like to meet you.
 The Sensor Foundations Team’s purpose is to provide cleaned\-up sensor data through highly optimized APIs to Perception models, to abstract sensor hardware differences where possible, and to provide low\-level Perception signals either through algorithms or machine learning. Projects on our team typically require a diverse skill set, including robotics, system integration, code optimization, and machine learning. We have a good understanding of the hardware (both sensors and compute) and the overall Perception system. For this role, we are looking for a strong Software Engineer with robotics and machine learning experience, who will help us to accelerate the transition of low\-level Perception tasks from algorithms to machine learning.
 This role follows a hybrid work schedule and reports to the Technical Lead Manager of the Sensor Foundations Team.
**You Will**
* Transition low\-level Perception tasks from algorithms to machine learning
* Work on system integration and optimization
* Evaluate task\-level and system\-level quality, developing new metrics as needed
**You Have**
* Bachelors in Computer Science, Software Engineering, Robotics, or similar technical field of study
* 5\+ years of industry experience
* Strong C/C\+\+ skills
* Proficiency with Python
* Experience with Computer Vision and Machine Learning
* Experience with System Integration
**We Prefer**
* Masters or PhD Degree in Computer Science, Robotics, Machine Learning, or a similar discipline
* Experience with sensor data processing (Lidar, camera, or radar)
* Experience in the AV industry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8">
      <c r="A8" t="inlineStr">
        <is>
          <t>li-4359769220</t>
        </is>
      </c>
      <c r="B8" t="inlineStr">
        <is>
          <t>Full Stack Engineer</t>
        </is>
      </c>
      <c r="C8" t="inlineStr">
        <is>
          <t>James Search Group</t>
        </is>
      </c>
      <c r="D8" t="inlineStr">
        <is>
          <t>linkedin</t>
        </is>
      </c>
      <c r="E8" t="inlineStr"/>
      <c r="F8" t="inlineStr"/>
      <c r="G8" t="inlineStr"/>
      <c r="H8" t="inlineStr"/>
      <c r="I8" t="inlineStr">
        <is>
          <t>**About the Company** 
 \- Our client is a globally recognized quantitative trading firm, known for its advanced technology\-driven approach to trading. They are committed to fostering a collaborative and innovative environment where talented engineers can thrive and make a real impact on the business.
**About the Role** 
 \- We're partnering with a leading Quantitative Finance Trading Firm, known for its innovative approach to trading and financial technology, to find a Full Stack Software Engineer. This is a fantastic opportunity for a passionate developer with expertise in C\+\+ or Java and Python to join a cutting\-edge team where your contributions will directly impact the firm's high\-performance trading systems and algorithms.
**Responsibilities** 
* Develop and optimize full\-stack applications that support complex quantitative trading strategies.
* Build and maintain robust, scalable systems, from front\-end user interfaces to back\-end infrastructure.
* Work closely with quants, traders, and data scientists to design and implement software solutions for algorithmic trading.
* Contribute to the continuous improvement of existing systems with a focus on speed, reliability, and performance.
* Collaborate in an agile environment, using modern development tools and techniques to solve real\-world financial problems.
**Qualifications** 
 \- Bachelors Degree
**Required Skills** 
* 1\-4\+ years experience with C\+\+ or Java with experience in Python for full\-stack development.
* Strong experience in building high\-performance, low\-latency systems (trading experience is a plus but not required).
* Familiarity with financial markets, trading systems, and quantitative strategies is beneficial but not mandatory.
* Excellent problem\-solving skills and the ability to think algorithmically.
* A keen eye for performance and the ability to optimize complex systems for speed and efficiency.
* Familiarity with cloud technologies and containerized environments (e.g., Docker, Kubernetes) is a plus.
* Ability to thrive in a fast\-paced, collaborative, and dynamic environment.
**Pay range and compensation package** 
 Competitive base salary
 Variable compensation / bonus
 Benefits and 401k
 Our client are an equal opportunity employer, dedicated to fostering a diverse and inclusive environment.
 To apply or learn more, please follow the instructions below and a member of the team will be in touch.</t>
        </is>
      </c>
    </row>
    <row r="9">
      <c r="A9" t="inlineStr">
        <is>
          <t>li-4328571202</t>
        </is>
      </c>
      <c r="B9" t="inlineStr">
        <is>
          <t>Senior Software Engineer, Robotics</t>
        </is>
      </c>
      <c r="C9" t="inlineStr">
        <is>
          <t>Waymo</t>
        </is>
      </c>
      <c r="D9" t="inlineStr">
        <is>
          <t>linkedin</t>
        </is>
      </c>
      <c r="E9" t="inlineStr"/>
      <c r="F9" t="inlineStr"/>
      <c r="G9" t="inlineStr">
        <is>
          <t>San Francisco, CA</t>
        </is>
      </c>
      <c r="H9" t="inlineStr"/>
      <c r="I9"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Software Engineering builds the brains of Waymo's fully autonomous driving technology. Our software allows the Waymo Driver to perceive the world around it, make the right decision for every situation, and deliver people safely to their destinations. We think deeply and solve complex technical challenges in areas like robotics, perception, decision\-making and deep learning, while collaborating with hardware and systems engineers. If you’re a software engineer or researcher who’s curious and passionate about Level 4 autonomous driving, we'd like to meet you.
 The Sensor Foundations Team’s purpose is to provide cleaned\-up sensor data through highly optimized APIs to Perception models, to abstract sensor hardware differences where possible, and to provide low\-level Perception signals either through algorithms or machine learning. Projects on our team typically require a diverse skill set, including robotics, system integration, code optimization, and machine learning. We have a good understanding of the hardware (both sensors and compute) and the overall Perception system. For this role, we are looking for a strong Software Engineer with robotics and machine learning experience, who will help us to accelerate the transition of low\-level Perception tasks from algorithms to machine learning.
 This role follows a hybrid work schedule and reports to the Technical Lead Manager of the Sensor Foundations Team.
**You Will**
* Transition low\-level Perception tasks from algorithms to machine learning
* Work on system integration and optimization
* Evaluate task\-level and system\-level quality, developing new metrics as needed
**You Have**
* Bachelors in Computer Science, Software Engineering, Robotics, or similar technical field of study
* 5\+ years of industry experience
* Strong C/C\+\+ skills
* Proficiency with Python
* Experience with Computer Vision and Machine Learning
* Experience with System Integration
**We Prefer**
* Masters or PhD Degree in Computer Science, Robotics, Machine Learning, or a similar discipline
* Experience with sensor data processing (Lidar, camera, or radar)
* Experience in the AV industry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0">
      <c r="A10" t="inlineStr">
        <is>
          <t>li-4337759978</t>
        </is>
      </c>
      <c r="B10" t="inlineStr">
        <is>
          <t>Senior, Software Engineer</t>
        </is>
      </c>
      <c r="C10" t="inlineStr">
        <is>
          <t>Walmart</t>
        </is>
      </c>
      <c r="D10" t="inlineStr">
        <is>
          <t>linkedin</t>
        </is>
      </c>
      <c r="E10" t="inlineStr"/>
      <c r="F10" t="inlineStr"/>
      <c r="G10" t="inlineStr">
        <is>
          <t>Sunnyvale, CA</t>
        </is>
      </c>
      <c r="H10" t="inlineStr"/>
      <c r="I10" t="inlineStr">
        <is>
          <t>Position Summary...
 What you'll do...We are seeking a talented and passionate Senior Software Engineer (Back End), you will be part of Catalog Engineering team and will be responsible for developing high performance and scalable Catalog Service that meet the needs of millions of Walmart customers. Design and develop integrations with next generation downstream application that is built largely on an event driven platform implemented via a micro\-service architecture. We are looking to bring more intellectually curious engineers who are passionate about technology in general. About the Team Join the innovative Walmart Catalog team, were creativity and technological innovation drive success. We specialize in enhancing Seller and supplier experiences in setting up their catalog and managing Catalog platform. Our tech stack includes Java for backend services, providing an exciting opportunity for growth and collaboration.
 Our Catalog Engineering team has built a highly scalable Catalog Service. You will work on NextGen upstream integration, catalog migration to a new platform, and develop highly scalable catalog micro services. You’ll independently handle high impact, critical software/systems monitoring issues, troubleshoot business and production issues. As a member of this fast\-moving and highly entrepreneurial team, you’ll be able to say that you work for the world’s largest retailer and contribute to innovation and development to best\-in\-class methodologies that impacted perception and drastically changed business as we know it.
 \*Immigration sponsorship support will NOT be available for this position\*
 What you'll do:
* Design \&amp; develop highly scalable services and solve complex software systems problems by leveraging state\-of\-the\-art technology and enhancing Walmart Catalog and Partner experience solutions
* Lead by example. Show your chops as an exceptional and experienced developer.
* Troubleshoot business and production issues by gathering information and engaging support teams to resolve issues
* Perform root cause analysis to prevent future occurrence of issues and ensure compliance with Walmart code of conduct
* Provide technical guidance and mentorship to junior team members to ensure compliance with Walmart code of conduct
* Work in an Agile environment, adhering to best practices and collaborating with teams to deliver results
* Stay up to date with the latest GenAI trends and technologies and contribute to the development of innovative solutions that improve the Seller and supplier experience on our Catalog platform.
* Participate in medium\- to large\-scale, complex, cross\-functional projects by reviewing project, product and business requirements; translating requirements into technical solutions; gathering requested information (for example, design documents, product requirement); designing robust and scalable architectures; writing and developing code; conducting unit testing; communicating status and issues to team members and stakeholders; collaborating with cross functional teams; troubleshooting open issues and bug\-fixes; enhancing design to prevent re\-occurrences of defects; ensuring on\-time delivery
 What you'll bring:
* Experience with Java and building Java\-based backend systems.
* Building and implementing microservices and applications using Spring Boot and reactive frameworks like Spring WebFlux and Project Reactor (Mono and Flux)
* Experience in internet\-scale distributed technologies (e.g. Solr, Kafka, Mem Cache, etc.)
* Deep understanding of Spark engine
* Strong understanding of J2EE components, multithreading, and networking.
* Extensive knowledge of offline storage, caching, and performance tuning.
* Experience with cloud\-based solutions and hands\-on experience with CICD development environments/tools, including Git, Maven, and Jenkins.
* Strong understanding of CS Fundamentals, Microservices, Data Structures, Algorithms, and Problem Solving.
* Familiarity with GenAI best practices, such as:
+ Using AI\-powered code analysis tools to improve code quality and maintainability.
+ Implementing AI\-driven testing frameworks to ensure robust testing and validation.
+ Leveraging AI\-based performance monitoring and optimization tools to improve system efficiency.
+ Designing AI\-enabled data pipelines to streamline data processing and analysis.
* Experience with NoSQL Databases like Cosmos DB, Cassandra and ability to design and implement scalable data models.
* Strong understanding of distributed systems, cloud\-native development, and microservices architecture.
* Experience with containerization using Docker and orchestration using Kubernetes.
* Strong understanding of DevOps practices, including continuous integration, continuous delivery, and continuous monitoring.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Living the Walmart Value: Focus on our Associates / Belonging \- Identifies, attracts, and retains top talent; builds a high\-performing team; embraces a culture of belonging Benefits and Perks: Beyond competitive pay, you can receive incentive awards for your performance. Other great benefits include a 401(k) match, stock purchase plan, paid maternity and parental leave, PTO, multiple health plans, flexible working hours, and more. We are reimagining the tech workplace by making a permanent transition to virtual work for most of our team. Of course, being together in person is an important part of our culture and shared success. Well collaborate in person at a regular cadence and with purpose. Equal Opportunity Employer: Walmart, Inc., is an Equal Opportunity Employer By Choice. We believe we are best equipped to help our associates, customers and the communities we serve live better when we really know them. That means understanding, respecting and valuing unique styles, experiences, identities, ideas and opinions while being inclusive of all people.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1375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1">
      <c r="A11" t="inlineStr">
        <is>
          <t>li-4216457561</t>
        </is>
      </c>
      <c r="B11" t="inlineStr">
        <is>
          <t>Software Engineer, Batch Data</t>
        </is>
      </c>
      <c r="C11" t="inlineStr">
        <is>
          <t>Tecton</t>
        </is>
      </c>
      <c r="D11" t="inlineStr">
        <is>
          <t>linkedin</t>
        </is>
      </c>
      <c r="E11" t="inlineStr"/>
      <c r="F11" t="inlineStr"/>
      <c r="G11" t="inlineStr"/>
      <c r="H11" t="inlineStr"/>
      <c r="I11" t="inlineStr">
        <is>
          <t>At Tecton, we solve the complex data problems in production machine learning. Tecton’s feature platform makes it simple to activate data for smarter models and predictions, abstracting away the complex engineering to speed up innovation.
 Tecton’s founders developed the first Feature Store when they created Uber’s Michelangelo ML platform, and we’re now bringing those same capabilities to every organization in the world.
 Tecton is funded by Sequoia Capital, Andreessen Horowitz, and Kleiner Perkins, along with strategic investments from Snowflake and Databricks. We have a fast\-growing team that’s distributed around the world, with offices in San Francisco and New York City. Our team has years of experience building and operating business\-critical machine learning systems at leading tech companies like Uber, Google, Meta, Airbnb, Lyft, and Twitter.
 We are building Rift (talk, blog post) \- a new fully managed compute environment that allows data scientists to construct powerful batch and streaming pipelines in Python. Our new environment leverages popular open\-source technologies such as Ray, Arrow, and DuckDB. We also have deep integrations with Spark platforms (Databricks, EMR, Dataproc) and data warehouses (e.g. Snowflake, BigQuery, RedShift), along with performant training data pipelines and a workload orchestration platform.
 As a senior engineer on the Batch Data team, you’ll play a critical role in architecting, designing, and scaling the core compute engines and storage architecture used by every Tecton customer. You'll contribute to the performance of our query optimizer, from parsing \&amp; optimization to plan selection. Think of this team as the “beating heart” of Tecton.
**Role**
 This role is a unique opportunity that combines customer\-obsessed product focus with platform and data engineering innovation and helps companies accelerate their path to real\-time AI. You will be working in one or more of the following areas to build the next generation of Tecton infrastructure:
* Distributed compute and resource management
* Query optimization and distributed execution
* Cross\-platform integrations with state\-of\-the\-art data platforms
**Responsibilities**
* Own and lead significant technical domains starting from the problem definition and technical requirements to implementation and maintenance
* Lead projects of strategic importance to Tecton spanning cross\-functional teams, including product management and other engineering teams
* Drive efforts to improve engineering practices, tooling, and processes along with mentorship for junior engineers
* Develop a deep understanding of the fundamental problems our customers face in building ML systems
* Be a generalist as needed. We’re a small, but growing engineering team, and each engineer needs to be versatile
**Qualifications**
* Experience working in large Python, Java, Kotlin, or Go codebases and running cloud\-native Spark systems (e.g. AWS EMR, Databricks, GCP Dataproc)
* Experience in performance tuning of Spark, Ray, Maestro, or Airflow jobs
* Knowledge of data formats such as Parquet, Avro, Arrow, Iceberg, or Delta Lake, and object storage (e.g. S3, GCS)
* Expertise with cloud\-scale query performance, query optimization, query planning, heuristic query execution techniques, and cost\-driven optimizations
* Experience with internals of distributed systems, SQL/NoSQL databases, data lakes, or data warehouses
* Strong communication skills and ability to write detailed technical specifications
* Excitement about coaching and mentorship of junior engineers
* BSc, MS, or PhD in Computer Science or related fields
* 8\+ years of experience in building product software systems
*The estimated US base salary range for this position is $* 
 176,000
 *\- $* 
 210,000
 *annually for employees based within California \&amp; New York. In addition to base salary, we offer competitive equity \&amp; comprehensive benefits such as medical, dental, vision, life, 401(K), flexible paid time off, 10 paid holidays each calendar year, sick time, leave of absence as per the FMLA and other relevant leave laws. Individual compensation packages are based on multiple factors such as location, level, role scope, and complexity, as well as additional job\-related factors such as skills, experience, and expertise.*
*Tecton is a remote\-friendly company that employs a hybrid working policy for employees based in the SF, NY, and Seattle areas. We believe that working in\-person helps us stay connected, collaborate faster, and promote a strong culture while still providing the flexibility of working from home. We expect SF \&amp; NY employees to be in the office at least two designated days per week, and those in the Seattle area at least two designated days per month.*
*Tecton values diversity and is an equal opportunity employer committed to creating an inclusive environment for all employees and applicants without regard to race, color, religion, national origin, gender, sexual orientation, age, marital status, veteran status, disability status, or other applicable legally protected characteristics. If you would like to request any accommodations from the application through to the interview, please contact us at recruitingteam@tecton.ai.*
*This employer participates in E\-Verify and will provide the federal government with your Form I\-9 information to confirm that you are authorized to work in the U.S.*</t>
        </is>
      </c>
    </row>
    <row r="12">
      <c r="A12" t="inlineStr">
        <is>
          <t>li-4359936778</t>
        </is>
      </c>
      <c r="B12" t="inlineStr">
        <is>
          <t>Software Engineer, Full Stack</t>
        </is>
      </c>
      <c r="C12" t="inlineStr">
        <is>
          <t>Rad AI</t>
        </is>
      </c>
      <c r="D12" t="inlineStr">
        <is>
          <t>linkedin</t>
        </is>
      </c>
      <c r="E12" t="inlineStr"/>
      <c r="F12" t="inlineStr"/>
      <c r="G12" t="inlineStr"/>
      <c r="H12" t="inlineStr"/>
      <c r="I12" t="inlineStr">
        <is>
          <t>**About Rad AI** 
 Rad AI is a pioneering healthcare technology company dedicated to transforming the future of medicine through artificial intelligence. Founded by a radiologist, our mission is to revolutionize radiology practices by providing AI\-driven solutions that enhance diagnostic accuracy, streamline workflows, and reduce clinician burnout. Our extensive proprietary radiology report dataset, one of the largest in the world, enables us to develop sophisticated AI models that have already contributed to the detection of hundreds of new cancer diagnoses and a significant reduction in error rates across tens of millions of radiology reports. With a strong commitment to innovation, Rad AI has secured over $140 million in funding, including a recent oversubscribed Series C round led by Transformation Capital, valuing the company at over half a billion dollars.
 Our technology is widely adopted across the United States, supporting more than one\-third of radiology groups and healthcare systems, and nearly 50% of all medical imaging in the country. Our partnerships with leading healthcare providers such as Cone Health, Jefferson Einstein Health, Geisinger, Guthrie Healthcare System, and Henry Ford Health exemplify our impact in improving patient outcomes. Recognized as one of the most promising healthcare AI companies by CB Insights and AuntMinnie, and ranked as the 19th fastest\-growing company in North America by Deloitte, Rad AI continues to lead innovation in AI\-powered healthcare solutions. Our recent inclusion in CNBC’s Disruptor 50 list underscores our momentum and commitment to making a meaningful difference in medical imaging and patient care.
**About The Role** 
 We are seeking a highly skilled Staff Software Engineer to join our platform team, focusing on building and maintaining our healthcare data platform. This role offers a unique opportunity to work at the intersection of advanced engineering and healthcare, shaping how medical data is processed and utilized across our products. You will be responsible for developing scalable, secure, and efficient backend systems that power mission\-critical applications such as our Reporting platform. The ideal candidate will have a strong background in backend development with expertise in Python and TypeScript, and experience working with web platforms that handle sensitive health data in compliance with HIPAA standards.
 In this role, you will collaborate closely with cross\-functional teams including Product Management, UX, Customer Success, and other stakeholders to develop new features, improve existing functionalities, and ensure the robustness and security of our systems. You will be instrumental in designing infrastructure that supports our rapid growth and enhances the overall quality, security, and performance of our healthcare solutions. This position emphasizes backend development but offers the chance to influence the entire technology stack, contributing to innovative solutions that impact millions of lives through improved healthcare delivery.
**Qualifications** 
* 8\+ years of industry experience in full\-stack engineering, with a focus on large\-scale, multi\-tenant environments
* Proficiency in Javascript / TypeScript, Python, and FastAPI or equivalent modern frameworks
* Deep understanding of relational databases (e.g., PostgreSQL), document\-based databases, and large\-scale data storage paradigms
* Strong knowledge of modern web architecture, security standards, and best practices
* Experience with HTML, CSS, responsive design, and web APIs such as WebSockets and IndexedDB
* Hands\-on experience with unit and integration testing
* Proficiency with version control systems, particularly Git
* Experience diagnosing and optimizing performance issues at scale
* Excellent collaboration skills and experience working within distributed teams
**Responsibilities** 
* Develop and maintain large\-scale web applications, including single\-page applications using React/TypeScript
* Build and enhance backend services using Python, FastAPI, and related technologies, including REST APIs and ML pipelines
* Create features that support our expanding customer base and improve user workflows
* Ensure code quality by adhering to security, style, and maintainability standards suitable for HIPAA\-compliant environments
* Collaborate with cross\-functional teams to gather requirements, iterate on features, and resolve defects
* Advocate for system improvements related to security, performance, and scalability
* Participate in code reviews, testing, and deployment processes to ensure high\-quality deliverables
**Benefits** 
* Comprehensive Medical, Dental, Vision \&amp; Life insurance coverage
* HSA (with employer contribution), FSA, and DCFSA options
* 401(k) retirement plan with company matching
* 11 paid company holidays annually
* Flexible work location with a remote\-first policy
* Flexible paid time off (PTO) policy
* Annual company\-wide offsite and periodic team offsites
* Annual equipment stipend to support remote work setup
 Equal Opportunity
 Rad AI is an equal opportunity employer. We celebrate diversity and are committed to creating an inclusive environment for all employees and applicants. We do not discriminate based on race, color, religion, national origin, gender, sexual orientation, age, marital status, veteran status, disability, or any other protected characteristic.</t>
        </is>
      </c>
    </row>
    <row r="13">
      <c r="A13" t="inlineStr">
        <is>
          <t>li-4337809795</t>
        </is>
      </c>
      <c r="B13" t="inlineStr">
        <is>
          <t>Senior, Software Engineer</t>
        </is>
      </c>
      <c r="C13" t="inlineStr">
        <is>
          <t>Walmart</t>
        </is>
      </c>
      <c r="D13" t="inlineStr">
        <is>
          <t>linkedin</t>
        </is>
      </c>
      <c r="E13" t="inlineStr"/>
      <c r="F13" t="inlineStr"/>
      <c r="G13" t="inlineStr">
        <is>
          <t>Sunnyvale, CA</t>
        </is>
      </c>
      <c r="H13" t="inlineStr"/>
      <c r="I13" t="inlineStr">
        <is>
          <t>Position Summary...
 What you'll do...
* Immigration Sponsorship support will NOT be available for this position\*\*\*\* We are seeking a talented and passionate Senior, Software Engineer (Back End),
 you will be part of Catalog Engineering team and will be responsible for developing high performance and scalable Catalog Service that meet the needs of millions of Walmart customers. Design and develop integrations with next generation downstream application that is built largely on an event driven platform
 implemented via a micro\-service architecture. We are looking to bring more
 intellectually curious engineers who are passionate about technology in general.
**About The Team**
 Join the innovative Walmart Catalog team, where creativity and technological
 innovation drive success. We specialize in enhancing Seller and supplier
 experiences in setting up their catalog and managing Catalog platform. Our tech
 stack includes Java for backend services, providing an exciting opportunity for
 growth and collaboration.
 Our Catalog Engineering team has built a highly scalable Catalog Service. You will work on NextGen upstream integration, catalog migration to a new platform, and develop highly scalable catalog micro services. You’ll independently handle high impact, critical software/systems monitoring issues, troubleshoot business and production issues. As a member of this fast\-moving and highly entrepreneurial team, you’ll be able to say that you work for the world’s largest retailer and contribute to innovation and development to best\-in\-class methodologies that impacted perception and drastically changed business as we know it.
 What you'll do:
 Design \&amp; develop highly scalable services and solve complex software
 systems problems by leveraging state\-of\-the\-art technology and enhance
 Walmart Catalog and Partner experience solutions
 Lead by example. Show your chops as an exceptional and experienced
 developer.
 Troubleshoot business and production issues by gathering information and
 engaging support teams to resolve issues. Perform root cause analysis to prevent future occurrence of issues and
 ensure compliance with Walmart code of conduct, Provide technical guidance and mentorship to junior team members to ensure
 compliance with Walmart code of conduct.
 Work in an Agile environment, adhering to best practices and collaborating
 with teams to deliver results. Stay up\-to\-date with the latest GenAI trends and technologies and contribute
 to the development of innovative solutions that improve the Seller and
 supplier experience on our Catalog platform.
 Participate in medium\- to large\-scale, complex, cross\-functional projects by
 reviewing project, product and business requirements; translating
 requirements into technical solutions; gathering requested information (for
 example, design documents, product requirement); designing robust and
 scalable architectures; writing and developing code; conducting unit testing;
 communicating status and issues to team members and stakeholders;
 collaborating with cross functional teams; troubleshooting open issues and
 bug\-fixes; enhancing design to prevent re\-occurrences of defects; ensuring
 on\-time delivery
 What you'll bring:
 Expert\-level knowledge of Java and experience building Java\-based
 backend systems.
 Building and implementing microservices and applications using Spring
 Boot and reactive frameworks like Spring WebFlux and Project
 Reactor (Mono and Flux)
 Experience in internet\-scale distributed technologies (e.g. Solr, Kafka,
 Mem Cache, etc.)
 Deep understanding of Spark engine
 Strong understanding of J2EE components, multithreading, and
 networking.
 Extensive knowledge of offline storage, caching, and performance tuning.
 Experience with cloud\-based solutions and hands\-on experience with CICD
 development environments/tools, including Git, Maven, and Jenkins.
 Strong understanding of CS Fundamentals, Microservices, Data Structures,
 Algorithms, and Problem Solving.
 Familiarity with GenAI best practices, such as:
 Using AI\-powered code analysis tools to improve code quality and
 maintainability.
 Implementing AI\-driven testing frameworks to ensure robust testing
 and validation.
 Leveraging AI\-based performance monitoring and optimization tools to
 improve system efficiency. Designing AI\-enabled data pipelines to streamline data processing and
 analysis.
* Experience with NoSQL Databases like Cosmos DB, Cassandra and
 ability to design and implement scalable data models.
* Strong understanding of distributed systems, cloud\-native development,
 and microservices architecture.
* Experience with containerization using Docker and orchestration using
 Kubernetes.
* Strong understanding of DevOps practices, including continuous integration, continuous delivery, and continuous monitoring.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1375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4">
      <c r="A14" t="inlineStr">
        <is>
          <t>li-4341977459</t>
        </is>
      </c>
      <c r="B14" t="inlineStr">
        <is>
          <t>Software Engineer III</t>
        </is>
      </c>
      <c r="C14" t="inlineStr">
        <is>
          <t>Walmart</t>
        </is>
      </c>
      <c r="D14" t="inlineStr">
        <is>
          <t>linkedin</t>
        </is>
      </c>
      <c r="E14" t="inlineStr"/>
      <c r="F14" t="inlineStr"/>
      <c r="G14" t="inlineStr">
        <is>
          <t>Sunnyvale, CA</t>
        </is>
      </c>
      <c r="H14" t="inlineStr"/>
      <c r="I14" t="inlineStr">
        <is>
          <t>Position Summary...
 What you'll do...Your Opportunity
 Collaborate with managers and architects to deliver robust, large\-scale, end\-to\-end features and applications. Your Responsibilities
 As a Software Engineer (Back End), you will be accountable for coding, prompting, debugging, and unit testing. You will develop high\-performance, scalable solutions that support millions of Walmart International customers across supply chain management and customer experience domains. We seek engineers who are intellectually curious, passionate about technology, and motivated to deepen their domain expertise. Your Qualifications
* Advanced expertise in Java and J2EE technologies
* Proficiency with JavaScript and ReactJS
* Experience designing and developing RESTful web services
* In\-depth understanding of design patterns
* Proven track record in API development
* Strong foundation in data structures and algorithms
* Hands\-on experience with both SQL and NoSQL databases
* Knowledge of distributed and scalable systems
* Familiarity with Windows, Linux, and Mac operating environments
* Strong collaborator focused on achieving results
* Required skills: Java, J2EE, Spring, Kafka, Cassandra, Solr
* Ability to rapidly adapt to and work with AI technologies
 Additional qualifications
* Experience in e\-commerce and retail is highly desirable
* Background in order or fulfillment management systems is a valuable asset
* Experience supporting and maintaining large\-scale production systems
* Familiarity with cloud\-based technologies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
 Primary Location...
 680 West California Avenue, Sunnyvale, CA 94086\-4834,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5">
      <c r="A15" t="inlineStr">
        <is>
          <t>li-4351864757</t>
        </is>
      </c>
      <c r="B15" t="inlineStr">
        <is>
          <t>Full Stack Engineer</t>
        </is>
      </c>
      <c r="C15" t="inlineStr">
        <is>
          <t>Inceed</t>
        </is>
      </c>
      <c r="D15" t="inlineStr">
        <is>
          <t>linkedin</t>
        </is>
      </c>
      <c r="E15" t="inlineStr"/>
      <c r="F15" t="inlineStr"/>
      <c r="G15" t="inlineStr">
        <is>
          <t>Houston, TX</t>
        </is>
      </c>
      <c r="H15" t="inlineStr"/>
      <c r="I15" t="inlineStr">
        <is>
          <t>**Position:**
  Full Stack Engineer
**Compensation:**
  $125,000 \- $150,000 annually, depending on experience
**Location:**
  Houston, Texas
 Inceed has partnered with a great company to help find a skilled 
 **Full Stack Engineer** 
  to join their team!
 Join a dynamic team where innovation meets real\-world business challenges. As a Full Stack Engineer, you'll develop cutting\-edge technology for customized ERP systems and modern eCommerce platforms. This is a fantastic opportunity to showcase your creativity in a fast\-paced Agile environment. Dive into exciting projects and make a tangible impact!
**Key Responsibilities \&amp; Duties:**
* Develop technology for customized ERP systems
* Create solutions for modern eCommerce platforms
* Manage multiple projects in an Agile environment
* Analyze requirements and write technical content
* Test software and report technical issues
* Contribute to company content standards
* Lead and collaborate with cross\-functional teams
**Required Qualifications \&amp; Experience:**
* B.A./B.S. degree or equivalent experience
* Senior level experience in React and Node development
* Proficiency in JavaScript frameworks like Angular and Vue
* Thorough understanding of API and .NET applications
* Experience with Azure DevOps and CI/CD tools
**Nice to Have Skills \&amp; Experience:**
* Knowledge of Progress 4GL programming
* Experience with Progress database administration
* Familiarity with UNIX scripting and Progress OpenEdge development
* Understanding of SDLC principles
* Proficient Progress coding skills
**Perks \&amp; Benefits:**
* This opportunity includes a comprehensive and competitive benefits package—details will be shared during later stages of the hiring process.
 If you are interested in learning more about the 
 **Full Stack Engineer** 
  opportunity, please submit your resume for consideration. Our client is unable to provide sponsorship at this time.
*We are Inceed, a staffing direct placement firm who believes in the possibility of something better. Our mission is simple: We’re here to help every person, whether client, candidate, or employee, find and secure what’s better for them.* 
*Inceed is an equal opportunity employer. Inceed prohibits discrimination and harassment of any type and affords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 
 \#IND
 \#MON</t>
        </is>
      </c>
    </row>
    <row r="16">
      <c r="A16" t="inlineStr">
        <is>
          <t>li-4315672441</t>
        </is>
      </c>
      <c r="B16" t="inlineStr">
        <is>
          <t>Software Engineer, Agent Infrastructure</t>
        </is>
      </c>
      <c r="C16" t="inlineStr">
        <is>
          <t>OpenAI</t>
        </is>
      </c>
      <c r="D16" t="inlineStr">
        <is>
          <t>linkedin</t>
        </is>
      </c>
      <c r="E16" t="inlineStr"/>
      <c r="F16" t="inlineStr"/>
      <c r="G16" t="inlineStr">
        <is>
          <t>San Francisco, CA</t>
        </is>
      </c>
      <c r="H16" t="inlineStr"/>
      <c r="I16" t="inlineStr">
        <is>
          <t>**About The Team**
 The Agent Infrastructure team at OpenAI is responsible for building systems that enable training and deployment of highly useful AI agents, both internally and for the world.
 We work hand\-in\-hand with researchers to design and scale the environment in which agentic models are trained – providing a workspace for AI models to execute code, debug issues, and develop software just as human SWEs do. Our training environment for agentic models operates at an extremely high scale and has the flexibility to emulate any environment in which an agent might work.
 At the same time, our team builds and maintains OpenAI’s core platform for the deployment and execution of agents in production. Our systems power products such as Codex, Operator, tool use in ChatGPT, and future agentic products.
 Some of the most challenging technical problems in scaling the capabilities and utility of agents and agentic models lie in the infrastructure layer – and our team is focused on building the research and production systems that enable OpenAI to train the most capable models in the world, and maximize the utility of our agentic products for users around the world.
**About The Role**
 As a Software Engineer on the Agent Infrastructure team, you will have the opportunity to work closely with both research and product at OpenAI \- building and scaling systems to train highly capable agentic models, and building the platform and integrations to launch new agents to hundreds of millions of users worldwide.
 Your work will consist of both building new capabilities \- standing up the infrastructure and integrations needed to train more complex agentic models \- and rapidly scaling these new capabilities to some of the largest compute clusters in the world. At the same time, you’ll be instrumental to the launch of agentic products at OpenAI \- building, maintaining, and scaling the production platform on which all agents run.
 We’re looking for people with deep experience building AI infrastructure and who are used to working closely with researchers to build high\-performance systems at massive scale for novel use cases.
 This role is based in San Francisco, CA or New York City, NY. We use a hybrid work model of 3 days in the office per week and offer relocation assistance to new employees.
**In This Role, You Will**
* Push massive compute clusters to their limits. You will be a core contributor to a novel container orchestration platform built in\-house by our team to scale far beyond what’s possible with systems like Kubernetes.
* Develop and maintain FastAPI and gRPC APIs that serve as the interface for our agentic infrastructure used both in training and production.
* Use Terraform to stand up and evolve complex infrastructure for both research and production.
* Collaborate with research teams to stand up and optimize systems for novel AI training runs and experimental applications.
**You Might Thrive In This Role If You**
* Have deep experience working on large\-scale machine learning infrastructure. You know how to reason about training at scale, identifying bottlenecks and engineering solutions to optimize system performance in training environments.
* Know how to build new things from 0\-1 quickly, and then scale them 1,000,000x.
* Have a keen eye for performance and optimization. You know how to squeeze the most performance out of complex, globally\-distributed systems.
* Know your way around cloud platforms and work with infrastructure\-as\-code tech like Terraform.
* Are driven by solving complex, ambiguous problems at the intersection of infrastructure scalability, virtualization efficiency, and agentic capabilities.
* Have deep technical expertise in virtualization and containerization technologies (e.g. Kata, Firecracker, gVisor, Sysbox) and are passionate about optimizing runtime performance.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$405K</t>
        </is>
      </c>
    </row>
    <row r="17">
      <c r="A17" t="inlineStr">
        <is>
          <t>li-4359926804</t>
        </is>
      </c>
      <c r="B17" t="inlineStr">
        <is>
          <t>Software Engineer, ML</t>
        </is>
      </c>
      <c r="C17" t="inlineStr">
        <is>
          <t>Waymo</t>
        </is>
      </c>
      <c r="D17" t="inlineStr">
        <is>
          <t>linkedin</t>
        </is>
      </c>
      <c r="E17" t="inlineStr"/>
      <c r="F17" t="inlineStr"/>
      <c r="G17" t="inlineStr"/>
      <c r="H17" t="inlineStr"/>
      <c r="I17" t="inlineStr">
        <is>
          <t>**About The Company**
 Waymo is a pioneering autonomous driving technology company dedicated to creating the world's most trusted driver. Originating from the Google Self\-Driving Car Project in 2009, Waymo has established itself as a leader in the development of self\-driving vehicle technology. Our core mission is to enhance mobility access while significantly reducing traffic\-related fatalities by deploying the Waymo Driver—the most experienced autonomous driver in the world. The Waymo Driver powers our fully autonomous ride\-hail service and is adaptable to various vehicle platforms and use cases. With over ten million rider\-only trips completed and more than 100 million miles driven on public roads across over 15 states, Waymo continues to push the boundaries of innovation in autonomous driving technology.
**About The Role**
 We are seeking a highly skilled Software Engineer to join our team in a hybrid capacity, reporting to a Technical Lead Manager. In this role, you will be instrumental in advancing Waymo’s autonomous driving capabilities by designing and implementing sophisticated algorithms that optimize pick\-up and drop\-off point selection, routing, and overall user experience. Your work will directly influence the safety, efficiency, and reliability of our autonomous ride\-hail service.
 You will collaborate with cross\-functional teams including TaaS, Onboard Router, and Pullover, to ensure seamless integration and deployment of new features. Your responsibilities will encompass developing simulation infrastructure, analyzing large datasets, and contributing to the entire software development lifecycle, from concept to deployment and monitoring. This position offers an exciting opportunity to work at the forefront of robotics, perception, decision\-making, and deep learning within the autonomous vehicle industry.
**Qualifications**
* Bachelor's degree in Computer Science, Engineering, or a related field, or equivalent practical experience
* 7\+ years of professional software engineering experience, including designing and building production\-grade systems
* Proven experience (3\+ years) in developing and deploying machine learning models in real\-world applications
* Strong proficiency in C\+\+ programming
* Experience working with large datasets, including data extraction, analysis, and feature engineering (e.g., SQL/Plx)
**Responsibilities**
* Design, implement, and evaluate new algorithms and models to enhance pick\-up/drop\-off points selection and routing quality, considering factors such as walking inconvenience, safety, traffic, and user preferences
* Develop and improve simulation and evaluation infrastructure to accurately measure the impact of algorithmic changes and accelerate development cycles
* Analyze extensive datasets from Waymo’s fleet to identify opportunities for improvement, develop new metrics, and inform product strategy
* Collaborate closely with cross\-functional teams, including TaaS, Onboard Router, and Pullover, to deliver a cohesive and optimal user experience
* Contribute to all phases of the software development lifecycle, from ideation and design through implementation, testing, deployment, and ongoing monitoring
**Benefits**
* Competitive salary range from $238,000 to $302,000 USD, commensurate with experience and location
* Participation in Waymo’s discretionary annual bonus program
* Equity incentive plan
* Comprehensive benefits package including health, dental, and vision insurance
* Paid time off and flexible work arrangements
* Opportunities for professional growth and development within a cutting\-edge technology environment
 Equal Opportunity
 Waymo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age, disability, or any other protected status.</t>
        </is>
      </c>
    </row>
    <row r="18">
      <c r="A18" t="inlineStr">
        <is>
          <t>li-4324927190</t>
        </is>
      </c>
      <c r="B18" t="inlineStr">
        <is>
          <t>Software Engineer, Payments</t>
        </is>
      </c>
      <c r="C18" t="inlineStr">
        <is>
          <t>Whatnot</t>
        </is>
      </c>
      <c r="D18" t="inlineStr">
        <is>
          <t>linkedin</t>
        </is>
      </c>
      <c r="E18" t="inlineStr"/>
      <c r="F18" t="inlineStr"/>
      <c r="G18" t="inlineStr">
        <is>
          <t>Seattle, WA</t>
        </is>
      </c>
      <c r="H18" t="inlineStr"/>
      <c r="I18"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The Payments \- Treasury team at Whatnot are globally responsible for how our business moves and records money and credit in all customer transactions; and how taxes, customs, returns, refunds and more just work, no matter where our customers are in the world. We are deeply connected with the foundations of our business and have unlocked tremendous growth within and across international territories, while creating exciting new ways for our users to interact and transact on the platform. You’ll collaborate closely with our partner team, Payments \- Experience, and with other teams and senior leaders across Whatnot.
 To keep the flywheel spinning, we’re looking to make a number of substantial improvements to critical infrastructure supporting payment scale \&amp; reliability, diversity of payment options, fraud mitigation, and improvements in transaction modelling and tax to further provide a seamless international marketplace.
 Each member of the team has a number of individual responsibilities and is trusted to advance an aspect of the domain as an expert in collaboration with the leadership team. Your ability to make good trade\-offs, exercise good judgment and communicate effectively is essential to us.
**We offer flexibility to work from home or our office hub, and we value in\-person time for planning, problem\-solving, and connection. Team members in this role must live within commuting distance of our New York, Seattle, Los Angeles or San Francisco hubs.**
**👋 You**
 Curious about who thrives at Whatnot? We’ve found that embodying a low ego, growth mindset, and high\-impact drive goes a long way here.
 As Our Next Senior Software Engineer, You Should Have 7\+ Years Of Software Development Experience Building Scalable Systems That Can Handle Millions Of Users, Plus
* Excellent product instincts. You first think about users and long term objectives when designing a technical solution.
* You have designed complex distributed systems that power products used by millions of users.
* You’re seasoned in defining the technical roadmap for team, identifying areas that need improvement and leading cross\-team solutions.
* You can identify, architect, and build the right systems or products to improve the business.
* You deeply understand and can explain the various trade offs made in decisions.
* You enable collaboration across multiple teams to deliver on cross\-team initiatives, while delegating ownership and uplifting those around you.
* You can mentor others, and prioritize building inclusive, supportive teams.
* You’re a project owner \- you have strong ownership instincts and can own projects from inception to production to maintenance.
* You’re known for shipping high quality products and features quickly and iteratively towards the ultimate goal.
* You’re an excellent problem solver and don’t need to be told exactly what to do.
* You’re open to doing frontend work when required.
* Have the ability to quickly become effective in new technologies.
* Have experience working with payment systems, infrastructure, and international commerce (nice to have).
* Have startup experience at a high\-growth company (nice to have).
* Knowledge of multiple programming languages (we primarily use Python, Elixir, JavaScript \- direct experience is nice to have for a well balanced candidate).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$170K \- $290K</t>
        </is>
      </c>
    </row>
    <row r="19">
      <c r="A19" t="inlineStr">
        <is>
          <t>li-4304807487</t>
        </is>
      </c>
      <c r="B19" t="inlineStr">
        <is>
          <t>Senior Software Engineer</t>
        </is>
      </c>
      <c r="C19" t="inlineStr">
        <is>
          <t>Twitch</t>
        </is>
      </c>
      <c r="D19" t="inlineStr">
        <is>
          <t>linkedin</t>
        </is>
      </c>
      <c r="E19" t="inlineStr"/>
      <c r="F19" t="inlineStr"/>
      <c r="G19" t="inlineStr">
        <is>
          <t>San Francisco, CA</t>
        </is>
      </c>
      <c r="H19" t="inlineStr"/>
      <c r="I19"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can work in San Francisco, CA or Irvine, CA.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**You Have:**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**Bonus Points**
* Familiarity with video delivery concepts and systems
* Familiarity with AWS’ Interactive Video Service
* Familiarity with Twitch, gaming, and/or streaming on Twitch
**Perks**
* Medical, Dental, Vision \&amp; Disability Insurance
* 401(k)
* Maternity \&amp; Parental Leave
* Flexible PTO
* Amazon Employee Discount
*Pursuant to the San Francisco Fair Chance Ordinance, we will consider for employment qualified applicants with arrest and conviction records.*
*Pursuant to the Los Angeles Fair Chance Ordinance, we will consider for employment qualified applicants with arrest and conviction records.*
 Job ID: TW8940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Applicants should apply via our internal or external career site.*
 US Pay Per Year
 $151,300—$261,500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20">
      <c r="A20" t="inlineStr">
        <is>
          <t>li-4359769078</t>
        </is>
      </c>
      <c r="B20" t="inlineStr">
        <is>
          <t>Senior Full Stack Engineer</t>
        </is>
      </c>
      <c r="C20" t="inlineStr">
        <is>
          <t>Paper</t>
        </is>
      </c>
      <c r="D20" t="inlineStr">
        <is>
          <t>linkedin</t>
        </is>
      </c>
      <c r="E20" t="inlineStr"/>
      <c r="F20" t="inlineStr"/>
      <c r="G20" t="inlineStr"/>
      <c r="H20" t="inlineStr"/>
      <c r="I20" t="inlineStr">
        <is>
          <t>Paper is reimagining how schools support students so that every learner can reach their full potential. Our vision is a world where every student receives timely, personalized, and relevant academic support. We offer a suite of scalable solutions including 24/7 tutoring, writing feedback, math practice, college and career support, and AI\-powered instructional tools that provide personalized support to all students, including multilingual learners. Our GROW high\-impact tutoring program accelerates learning through targeted small\-group instruction, delivers measurable gains in student achievement, and eases teacher workloads. Trusted by 500\+ school districts across 40\+ states and backed by leading investors including IVP, Sapphire Ventures, Framework Capital, and Reach Capital, we’re pursuing a bold goal: to drive the best academic outcomes for as many students as possible.
 Recent articles:
* GROW by Paper Drives 201% Increase in Grade\-Level Proficiency in Just 12 Weeks
* GROW by Paper Earns Stanford’s NSSA Tutoring Program Design Badge, Signaling Excellence in Research\-Aligned Design
* Paper Appoints Marisa Burkhart as CRO
**Job Description**
 Reporting to the Senior Engineering Manager, the Senior Full Stack Engineer will take a lead role in developing fullstack applications and guiding technical execution across projects. You will collaborate closely with product managers, UI/UX designers, and both front\-end and back\-end developers to deliver secure, accessible, high\-performance features on time. Given the fast\-paced, cross\-functional environment, strong leadership, teamwork, and communication skills are essential for success in this role.
**Responsibilities:**
* Design, develop, and maintain both frontend and backend components of web applications, ensuring seamless integration and performance.
* Build and maintain responsive, accessible user interfaces using modern JavaScript frameworks like Vue or React.
* Convert UI/UX designs and wireframes into clean, reusable, and maintainable code.
* Optimize front\-end performance and implement robust testing (unit, integration, end\-to\-end) with tools like Vitest, Jest, or Cypress
* Collaborate with product managers, designers, and other stakeholders to define project requirements and deliver scalable solutions.
* Troubleshoot and resolve complex technical problems across the stack (application, database, integrations, infrastructure).
* Contribute to architectural discussions and decisions, evaluating and recommending new technologies as appropriate.
* Mentor and coach junior developers, fostering technical growth and shared ownership.
* Drive technical architecture and design decisions to build scalable and reliable software systems.
* Implement best practices for software development, including code reviews, automated testing, and documentation to maintain high code quality.
* Participate in on\-call rotations to handle incident responses and troubleshoot issues promptly.
**Qualifications:**
* 5\+ years work experience with Vue, PHP and the Laravel framework.
* Experience with writing and scaling REST APIs returning JSON.
* Deep understanding of Object Oriented Programming, Microservice and API architecture.
* Familiarity with IaC, containerization (Docker), modern DevOps practices, and automated testing.
* Strong knowledge of MySQL/PostgreSQL \- writing and reviewing complex queries and performance tuning.
* Deep understanding of Test Driven Development methodologies \- writing unit, integration and end\-to\-end tests.
* Python experience is a plus.
***The annual salary range for this position is $136,000\-$161,500 USD or $124,000\-147,000 CAD, plus equity. Please note that the final offer amount is determined by multiple factors, including geographic location as well as candidate experience, and may vary from the amounts listed
 above.***
****What is it like to work at Paper? You will:****
* Be joining a remote\-first company with a collaborative, mission\-driven culture working together to write the next chapter of Paper!
* Have opportunities to connect in person throughout the year, even while working remotely day\-to\-day.
* Be part of an exciting new era of growth, with fresh leadership, a bold product vision, and a redefined charter.
* Thrive in a fast\-moving, build\-from\-scratch environment where agility and critical thinking guide decisions, collaboration is built on trust and healthy challenge, and every team member takes ownership to deliver real customer impact and grow every day.
**Additional Benefits:**
* Comprehensive \&amp; competitive compensation, health benefits, retirement plan, stock options, and more.
* In addition to vacation days, we provide Paperites with sick days and 4 extra weeks off \- including statutory holidays, Paper Days throughout the year, and a full Paper Week from Dec 25 to Jan 1\.
* A $500 stipend to set\-up your workspace and $100 monthly stipends to support with on\-going workspace needs.
* We support growing families with generous paid parental leave.
* Unlimited access to tutoring and educational support for children of Paper employees.
 You’ll be joining a team of mission\-driven builders who care deeply about equity in education, and who thrive in a culture of ownership, velocity, and continuous learning. If you’re energized by challenges, inspired by impact, and ready to help lead a high\-growth business through its next phase, we’d love to meet you.
*We believe diverse teams build better products and we are committed to creating an inclusive environment for all employees. Paper does not discriminate on the basis of race, color, religion, gender, gender orientation, gender expression, sexual orientation, age, national origin, disability, marital status, or military status.*
**Requisition ID**
 R\-100310</t>
        </is>
      </c>
    </row>
    <row r="21">
      <c r="A21" t="inlineStr">
        <is>
          <t>li-4324917536</t>
        </is>
      </c>
      <c r="B21" t="inlineStr">
        <is>
          <t>Software Engineer, Notifications Platform</t>
        </is>
      </c>
      <c r="C21" t="inlineStr">
        <is>
          <t>Whatnot</t>
        </is>
      </c>
      <c r="D21" t="inlineStr">
        <is>
          <t>linkedin</t>
        </is>
      </c>
      <c r="E21" t="inlineStr"/>
      <c r="F21" t="inlineStr"/>
      <c r="G21" t="inlineStr">
        <is>
          <t>New York, NY</t>
        </is>
      </c>
      <c r="H21" t="inlineStr"/>
      <c r="I21"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At Whatnot, the Notifications Platform team is responsible for delivering all the notifications sent to Whatnot users. Our platform enables teams at Whatnot to send relevant messages to both buyers and sellers while driving an overall communications experience focused on quality, utility and business impact. We are a product platform team within the discovery organization. As the software engineer, you will
* Be responsible for architecting, building and scaling core platform components of notifications delivery, audience targeting as well as improve developer experience and platform observability
* Effectively collaborate with PM and other ICs on the team to lead platform projects
* Mentor/uplevel other junior engineers on the team
**We offer flexibility to work from home or from one of our global office hubs, and we value in\-person time for planning, problem\-solving, and connection. Team members in this role must live within commuting distance of our Los Angeles, New York, San Francisco or Seattle hub.**
****👋 You****
 Curious about who thrives at Whatnot? We’ve found that low ego and a growth mindset, while leaning into action, details, and impact goes a long way here.
**As Our Next Platform Engineer You Have**
* 3\-5 years of software engineering experience.
* Bachelor’s degree in Computer Science, a related field, or equivalent work experience.
* Experience building platforms and large scale systems.
* You are known for the high quality of your engineering designs.
* You’re an excellent problem solver and operate independently.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$170K \- $230K</t>
        </is>
      </c>
    </row>
    <row r="22">
      <c r="A22" t="inlineStr">
        <is>
          <t>li-4339803614</t>
        </is>
      </c>
      <c r="B22" t="inlineStr">
        <is>
          <t>Software Engineer</t>
        </is>
      </c>
      <c r="C22" t="inlineStr">
        <is>
          <t>SS&amp;C Technologies</t>
        </is>
      </c>
      <c r="D22" t="inlineStr">
        <is>
          <t>linkedin</t>
        </is>
      </c>
      <c r="E22" t="inlineStr"/>
      <c r="F22" t="inlineStr"/>
      <c r="G22" t="inlineStr">
        <is>
          <t>New York, NY</t>
        </is>
      </c>
      <c r="H22" t="inlineStr"/>
      <c r="I22"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**Software Engineer**
**Location(s)** 
 : New York City, NY \- Hybrid
**Get To Know the Team**
 Tight\-knit group of experienced developers. Most have been with the company for 5\+ years, some approaching 20\+ years.
**Why You Will Love It Here!**
* Flexibility: Hybrid Work Model \&amp; a Business Casual Dress Code, including jeans
* Your Future: 401 (k) Matching Program, Professional Development Reimbursement
* Work/Life Balance: Flexible Personal/Vacation Time Off, Sick Leave, Paid Holidays
* Your Wellbeing: Medical, Dental, Vision, Employee Assistance Program, Parental Leave
* Wide Ranging Perspectives: Committed to Celebrating the Variety of Backgrounds, Talents, and Experiences of Our Employees
* Training: Hands\-On, Team\-Customized, including SS\&amp;C University
* Extra Perks: Discounts on fitness clubs, travel, and more!
**What You Will Get To Do**
* UI design and development
* Enhance existing pages and create new pages
* Drive architecture and build UI components
* Optimize UI features and processes
* Learn new technologies and tools
* Code reviews
* Collaborate with Business Analysts, QA, UX/UI design team, and Dev team
**What You Will Bring**
* Bachelor’s degree in Computer Science, Engineering, or related field.
* Knowledge and experience with UI design/development
* Expertise in Vue3 and Typescript
* Strong CSS coding
* Ability to adapt quickly
* Debugging and troubleshooting issues
 Thank you for your interest in SS\&amp;C! To further explore this opportunity, please apply through our careers page on the corporate website at https://www.ssctech.com/careers/join\-ssc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row>
    <row r="23">
      <c r="A23" t="inlineStr">
        <is>
          <t>li-4351044910</t>
        </is>
      </c>
      <c r="B23" t="inlineStr">
        <is>
          <t>Java Software Engineer</t>
        </is>
      </c>
      <c r="C23" t="inlineStr">
        <is>
          <t>BeaconFire Inc.</t>
        </is>
      </c>
      <c r="D23" t="inlineStr">
        <is>
          <t>linkedin</t>
        </is>
      </c>
      <c r="E23" t="inlineStr"/>
      <c r="F23" t="inlineStr"/>
      <c r="G23" t="inlineStr">
        <is>
          <t>Texas, United States</t>
        </is>
      </c>
      <c r="H23" t="inlineStr"/>
      <c r="I23"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24">
      <c r="A24" t="inlineStr">
        <is>
          <t>li-4339891543</t>
        </is>
      </c>
      <c r="B24" t="inlineStr">
        <is>
          <t>Senior Backend Engineer</t>
        </is>
      </c>
      <c r="C24" t="inlineStr">
        <is>
          <t>Commure</t>
        </is>
      </c>
      <c r="D24" t="inlineStr">
        <is>
          <t>linkedin</t>
        </is>
      </c>
      <c r="E24" t="inlineStr"/>
      <c r="F24" t="inlineStr"/>
      <c r="G24" t="inlineStr">
        <is>
          <t>San Francisco, CA</t>
        </is>
      </c>
      <c r="H24" t="inlineStr"/>
      <c r="I24" t="inlineStr">
        <is>
          <t>At Commure, our mission is to simplify healthcare. We have bold ambitions to reimagine the healthcare experience, setting a new standard for how care is delivered and experienced across the industry. Our growing suite of AI solutions spans ambient AI clinical documentation, provider copilots, autonomous coding, revenue cycle management and more — all designed for providers \&amp; administrators to focus on what matters most: providing care.
 Healthcare is a $4\.5 trillion industry with more than $500 billion spent annually on administrative costs, and Commure is at the heart of transforming it. We power over 500,000 clinicians across hundreds of care sites nationwide – more than $10 billion flows through our systems and we support over 100 million patient interactions. With new product launches on the horizon, expansion into additional care segments, and a bold vision to tackle healthcare's most pressing challenges, our ambition is to move from upstart innovator to the industry standard over the next few years.
 Commure was recently named to Fortune’s Future 50 list for 2025 and is backed by world\-class investors including General Catalyst, Sequoia, Y Combinator, Lux, Human Capital, 8VC, Greenoaks Capital, Elad Gil, and more. Commure has achieved over 300% year\-over\-year growth for the past two years and this is only the beginning. Healthcare's moment for AI\-powered transformation is here, and we're building the technology to power it. Come join us in shaping the future of healthcare.
**About The Role**
 At Commure, our engineering team is at the forefront of revolutionizing healthcare technology by building and scaling the systems powering our suite of healthcare products. We are looking for a talented
 **Senior** 
**Backend** 
**Engineer** 
 to help us craft user\-friendly, responsive, and secure interfaces that operate reliably at scale and enhance the healthcare experience for both providers and patients. If you are a builder and love working on important, exciting problems in healthcare and love shipping quickly, come join us!
**What You’ll Do**
* Design and influence decisions that affect our backend architecture for scalable, AI\-powered healthcare solutions
* Be a part of a tremendously fast\-paced team that celebrates large ambition and making decisions quickly
* Work across the entire technology stack, including but not limited to Python, Go, FastAPI, Flask, and other frameworks
* Lead technical planning and execution for new features, balancing technical feasibility, usability, and business impact
* Establish and enforce best practices for code quality, testing, and deployment
* Mentor junior engineers, guiding backend engineering, design patterns, and coding standards
* Collaborate with product managers, designers, and clinical experts to translate requirements into intuitive and efficient UI solutions
* Work directly with customers to solve their issues daily
**What You Have**
* Bachelor’s or Master’s degree in Computer Science, Engineering, or a related field, or equivalent extensive experience
* 4\+ years of professional experience in software development industry experience
* Strong Backend Programming Skills (We use Python and Go)
* General Understanding of Containers and Cloud (Docker, Kubernetes)
* Track record of strong execution and ability to drive work from ideation to successful implementation
* Strong debugging and problem\-solving skills and a history of demonstrated resourcefulness
* Strong communication skills and the ability to interface with both technical and non\-technical stakeholders
* Experience in environments where you have to ship quickly. We move fast and deploy daily.
* Excitement to work in a high\-impact field with a builder attitude!
* Attention to detail around user experience and customer needs
* Growth mindset and a motivation to grow
 Commure is committed to creating and fostering a diverse team. We are open to all backgrounds and levels of experience, and believe that great people can always find a place. We are committed to providing reasonable accommodations to all applicants throughout the application process.
 Please be aware that all official communication from us will come exclusively from email addresses ending in
 **@** 
**getathelas.com** 
 ,
 **@** 
**commure.com** 
 or
 **@** 
**augmedix.com** 
 . Any emails from other domains are not affiliated with our organization.
 Employees will act in accordance with the organization’s information security policies, to include but not limited to protecting assets from unauthorized access, disclosure, modification, destruction or interference nor execute particular security processes or activities. Employees will report to the information security office any confirmed or potential events or other risks to the organization. Employees will be required to attest to these requirements upon hire and on an annual basis.
 Compensation Range: $140K \- $230K</t>
        </is>
      </c>
    </row>
    <row r="25">
      <c r="A25" t="inlineStr">
        <is>
          <t>li-4334782647</t>
        </is>
      </c>
      <c r="B25" t="inlineStr">
        <is>
          <t>Senior System Software Engineer – Autonomous Vehicles</t>
        </is>
      </c>
      <c r="C25" t="inlineStr">
        <is>
          <t>NVIDIA</t>
        </is>
      </c>
      <c r="D25" t="inlineStr">
        <is>
          <t>linkedin</t>
        </is>
      </c>
      <c r="E25" t="inlineStr"/>
      <c r="F25" t="inlineStr"/>
      <c r="G25" t="inlineStr">
        <is>
          <t>Santa Clara, CA</t>
        </is>
      </c>
      <c r="H25" t="inlineStr"/>
      <c r="I25" t="inlineStr">
        <is>
          <t>The Autonomous Vehicles Platform team is now looking for a Senior System Software Engineer. Our team builds the NVIDIA DriveWorks SDK with the goal to provide a scalable software stack and framework to build autonomous vehicles. We are seeking software engineers with interests in designing, developing and maintaining many aspects of the core technology around sensor drivers and interfaces, data streaming, data recording and playback, and vehicle interface abstraction.
**What You Will Be Doing**
* Create and optimize software architecture and frameworks for real\-world performance while matching or exceeding customer requirements.
* Working with vendors developing innovative sensors for vehicles.
* Developing sensor drivers, plug\-ins, and processing functions around sensor data.
* Create highly efficient sensor data recording, playback and visualization tools.
* Performing in\-vehicle tests, collecting data and analyzing integrity.
* Working with our car teams and control teams to develop interfaces to the vehicles to enable self\-driving.
* Supporting data collection campaigns for our autonomous vehicle program.
* Developing unit tests, documentation for features, evaluating quality and proposing corrective actions.
* Creating highly efficient product code in C\+\+, making use of high algorithmic parallelism offered by GPGPU programming (CUDA), and following quality and safety standards such as defined by MISRA.
**What We Need To See**
* BS/MS in Computer Engineering, Computer Science or related field (or equivalent experience).
* Excellent C and C\+\+ programming skills.
* 8\+ years of proven experience developing and debugging multithreaded/distributed applications like multimedia systems, game engines, etc.
* Strong knowledge of programming and debugging techniques, especially for parallel and distributed architectures.
* Background on Linux, Android, and/or other real\-time operating systems.
* Experience with sensors such as cameras, LiDAR, radar, ultrasonics, IMU, GPS
* Experience with vehicle control interfaces.
* Thrive on writing low latency, highly performant code.
* Great communication and analytical skills.
**Ways To Stand Out From The Crowd**
* Understanding of embedded architectures.
* Experience with data\-parallel and/or GPGPU programming, CUDA, and OpenCL.
* Software development for modern OpenGL (Core Profile) and Linux.
* Experience with version control systems GIT and build system CMake.
 With highly competitive salaries and a comprehensive benefits package, NVIDIA is widely considered to be one of the technology world's most desirable employers. We have some of the most forward\-thinking and hardworking people in the world working for us and, due to outstanding growth, our special engineering teams are growing fast. If you're a creative and autonomous engineer with a genuine passion for technology, we want to hear from you!
 Your base salary will be determined based on your location, experience, and the pay of employees in similar positions. The base salary range is 184,000 USD \- 287,500 USD.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JR2007508</t>
        </is>
      </c>
    </row>
    <row r="26">
      <c r="A26" t="inlineStr">
        <is>
          <t>li-4328198003</t>
        </is>
      </c>
      <c r="B26" t="inlineStr">
        <is>
          <t>Software Engineer II</t>
        </is>
      </c>
      <c r="C26" t="inlineStr">
        <is>
          <t>Microsoft</t>
        </is>
      </c>
      <c r="D26" t="inlineStr">
        <is>
          <t>linkedin</t>
        </is>
      </c>
      <c r="E26" t="inlineStr"/>
      <c r="F26" t="inlineStr"/>
      <c r="G26" t="inlineStr">
        <is>
          <t>Redmond, WA</t>
        </is>
      </c>
      <c r="H26" t="inlineStr"/>
      <c r="I26" t="inlineStr">
        <is>
          <t>**Overview**
 OneDrive and SharePoint are rapidly growing services at the center of Microsoft's cloud, interacting with almost every part of Microsoft. You will be a part of a team that is fundamentally changing the way that millions of people use their devices and interact with the most important content for their home, work, and school. We are looking for smart, agile, and curious engineers who love creating and building things that delight and protect our customers. You will be working with a team of amazing engineers, PMs, and designers, and work closely with other teams across Microsoft to deliver large scale, distributed architectures, and features to meet OneDrive and SharePoint's core service needs.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work in large\-scale distributed systems that are critical for customers around the world. \- You will design and deliver services that manage internet\-scale data stores, enable best\-in\-the\-world file and site browsing and editing performance, or add innovative features to how people manage and interact with their data and telemetry. \- Given the scope of OneDrive and SharePoint, we have positions that range from the very front end of how a customer interacts with our services, through core system logic, to mega\-scale storage, to background infrastructure to support our services and the engineers that build and maintain them. \- Everything you do will be supported by a world\-class engineering team. \- As an Software Engineer II in our team, you will contribute to and help shape the vibrant, inclusive engineering culture of OneDrive \&amp; SharePoint. \- You will be expected to do deep, data\-driven, collaborative design for additions and changes to our products. \- You will write clean, efficient code and comprehensive tests. \- You will build excellent coverage with metrics and telemetry to ensure we understand exactly what is happening with our services at all times. \- And you will deliver features that will support and serve hundreds of millions of customers around the world.
**Qualifications**
 Required Qualifications:
* Bachelor's Degree in Computer Science or related technical field AND 2\+ years technical engineering experience with coding in languages including, but not limited to, C, C\+\+, C\#, Java, JavaScript, or Python \- OR equivalent experience.
* Experience collaborating with peers and partner teams to meet joint engineering goals
* Solid coding, debugging, algorithm design, and problem\-solving skills.
* Experience with cloud\-scale services and server/service management features.
* Able to learn new systems quickly and adapt new methodologies to our services.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2\+ years technical engineering experience with coding in languages including, but not limited to, C, C\+\+, C\#, Java, JavaScript, or Python \-OR\- Bachelor's Degree in Computer Science or related technical field AND 4\+ years technical engineering experience with coding in languages including, but not limited to, C, C\+\+, C\#, Java, JavaScript, or Python OR equivalent experience.
* Experience with building cloud\-scale infrastructure components.
* Awareness, passion, and experience related to cloud scale distributed design and patterns.
* Familiarity with secure software design concepts.
* Proven track record of delivering projects that include multiple components.
* Ability and eagerness to work across and partner with multiple engineering teams to achieve business goals.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\#ODSPEng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7">
      <c r="A27" t="inlineStr">
        <is>
          <t>li-4315344977</t>
        </is>
      </c>
      <c r="B27" t="inlineStr">
        <is>
          <t>Senior Backend Engineer (Digital Payments)</t>
        </is>
      </c>
      <c r="C27" t="inlineStr">
        <is>
          <t>Uphold</t>
        </is>
      </c>
      <c r="D27" t="inlineStr">
        <is>
          <t>linkedin</t>
        </is>
      </c>
      <c r="E27" t="inlineStr"/>
      <c r="F27" t="inlineStr"/>
      <c r="G27" t="inlineStr">
        <is>
          <t>New York, NY</t>
        </is>
      </c>
      <c r="H27" t="inlineStr"/>
      <c r="I27" t="inlineStr">
        <is>
          <t>**About Uphold**
 Uphold is a financial technology company that believes on\-chain services are the future of finance. It provides modern infrastructure for on\-chain payments, banking, and investments. Offering Consumer Services, Business Services, and Institutional Trading, Uphold makes pioneering financial services easy and trusted for millions of customers in more than 140 countries.
 Uphold strips away the complexity and lack of transparency to open up Web3 finance for everyone.
 To learn more about Uphold, please visit https://uphold.com.
 The Opportunity
 We're looking for an experienced Senior Backend Engineer to join our Digital Payments team and help shape the future of our financial platform. In this role, you'll take technical ownership of core backend services that connect Uphold with global bank networks (ACH, SEPA, FPS), card networks (Visa, MasterCard), modern payment methods (Apple Pay, Google Pay) and alternative payment methods.
 As a senior engineer, you'll drive the design of scalable, reliable, and secure systems, mentor junior engineers, and collaborate cross\-functionally with Product, DevOps, Compliance, and other engineering teams to bring impactful features to life.
 This is a high\-impact opportunity for a seasoned backend developer to play a pivotal role in building robust systems that move millions of dollars daily and redefine how users interact with their money.
 What you'll be doing
* Lead the design, development, and maintenance of backend services and APIs that power Uphold's global payment infrastructure.
* Architect scalable and resilient services with a strong emphasis on security, observability, and fault tolerance.
* Deeply understand the business domain and proactively identify technical solutions to drive product strategy.
* Contribute to the evolution of the team's software engineering practices and development lifecycle.
* Guide the integration with external payment networks, banking partners, and service providers.
* Own the full software development lifecycle (SDLC) from ideation to deployment and monitoring.
* Actively mentor and support junior and mid\-level engineers through code reviews, pair programming, and architectural discussions.
* Participate in on\-call rotations to support production systems as needed.
* Collaborate closely with stakeholders to define technical requirements and translate them into reliable solutions.
 Structured Immersion Period
 Prior to assuming full responsibilities as Senior Backend Engineer, you will undertake a structured immersion period. During this time, you’ll be expected to contribute directly as an individual contributor—writing code, performing reviews, and engaging hands\-on with our systems. This phase ensures you gain deep familiarity with Uphold’s architecture, practices, and culture, enabling a smooth transition into leadership with both technical credibility and organizational alignment.
 What we're looking for
* Bachelor's or Master's Degree in Computer Science, Engineering, or equivalent practical experience.
* 8\+ years of experience in backend development with a strong track record of delivering production\-grade systems.
* Deep expertise in JavaScript/TypeScript, with proficiency in modern backend frameworks.
* Strong knowledge of RESTful APIs, RPC protocols, and microservices architecture.
* Experience with event\-driven systems and message brokers like Kafka, RabbitMQ, Pulsar, or NSQ.
* Advanced understanding of PostgreSQL or other relational databases and Redis.
* Familiarity with cloud\-native technologies, Docker, Kubernetes, and AWS\-based deployment environments.
* Commitment to security best practices, particularly for handling sensitive financial data.
* Proven experience optimizing systems for performance, scalability, and observability.
* Excellent communication skills and the ability to drive consensus in a cross\-functional setting.
* Passion for mentorship and fostering a collaborative engineering culture.
 Nice to haves
* Experience in the Fintech or payments industry.
* Knowledge of Temporal.io or similar orchestration frameworks for distributed workflows.
* Familiarity with financial protocols, ISO 20022, or payment gateway integration.
* Contributions to open source or internal developer tooling.
* Experience implementing CI/CD pipelines in production environments.
* Familiarity with SOC2, PCI\-DSS, or other compliance requirements in regulated environments.
 Bonus if you have
* Experience in developing APIs for other products you’ve worked on.
* Developing software interacting with message queues (e.g. Kafka, NSQ, Pulsar or RabbitMQ).
* Experience in integrating APIs from other services providers.
* Proven record of having worked with performance budgets.
* Fluency in cryptocurrencies or other digital assets as they are core to our business.
* Community talks, certifications, and/or blog posts on your interests and research.
* Open source project contributions of any kind, such as tools developed to solve specific problems you’ve had or fixing issues on existing projects.
 What we have to offer you
* An amazing work environment in a company that continues to grow, driven by extraordinary and passionate people that keep up innovating and challenging more each day.
* An international team, in a cutting edge field, working on the most fascinating projects.
* Growth and career opportunities, and the chance to be proactive and creative.
* A flexible and enthusiastic work environment that offers you snacks, a lot of coffee and other great benefits.
* Open and transparent culture \- we get together on a weekly basis to share updates, strategic plans, and engage with each other informally over food and drinks.
* Interesting events that keep you connected with the team and celebrate our success.Innovation and Impact: Contribute to pioneering projects in a dynamic and challenging environment.
* Strong Company Culture: Thrive in a supportive, collegiate environment with values of integrity, teamwork, accountability, and excellence.
* Global Collaboration: Participate in regular updates, strategy sessions, and networking opportunities across the group.
* Development Opportunities: Access training and mentorship programs.
 Salary: $225K\+ DOE, \+ Bonus \+ Benefits
 Be part of a great company that is revolutionizing financial services. Apply now!
 EEOC Employer
 We're proud to be an Equal Opportunity Employer and we celebrate our employees' differences, including race, color, religion, gender identity, national origin, age, military service eligibility, veteran status, sexual orientation, marital status, disability, and any other protected classes. Difference makes us stronger and better \- together.</t>
        </is>
      </c>
    </row>
    <row r="28">
      <c r="A28" t="inlineStr">
        <is>
          <t>li-4359946643</t>
        </is>
      </c>
      <c r="B28" t="inlineStr">
        <is>
          <t>Backend Software Engineer</t>
        </is>
      </c>
      <c r="C28" t="inlineStr">
        <is>
          <t>Wiraa</t>
        </is>
      </c>
      <c r="D28" t="inlineStr">
        <is>
          <t>linkedin</t>
        </is>
      </c>
      <c r="E28" t="inlineStr"/>
      <c r="F28" t="inlineStr"/>
      <c r="G28" t="inlineStr"/>
      <c r="H28" t="inlineStr"/>
      <c r="I28" t="inlineStr">
        <is>
          <t>**About The Company**
 Affirm is a leading financial technology company dedicated to reinventing credit by making it more honest, transparent, and accessible. Our mission is to provide consumers with flexible, buy now, pay later solutions that come without hidden fees or compounding interest, fostering trust and empowerment in financial transactions. With a strong focus on innovation and customer\-centricity, Affirm has established itself as a pioneer in the FinTech space, supporting millions of users nationwide. Our culture emphasizes inclusivity, transparency, and continuous improvement, enabling us to attract top talent committed to transforming the future of credit.
**About The Role**
 The Staff Software Engineer, Backend (Code to Environments), plays a critical role in shaping and executing the technical strategy for our Developer Productivity team. This team is responsible for streamlining the entire software development lifecycle, including ephemeral environments, CI/CD pipelines, test automation frameworks, dependency management, and release engineering. As a key leader within the team, you will collaborate across product development, engineering, design, and analytics to ensure the delivery of scalable, reliable, and high\-quality infrastructure solutions. Your expertise will influence the architecture of large\-scale distributed systems, supporting over 900 engineers in a hypergrowth environment. This role offers an exciting opportunity to impact the company's engineering efficiency and overall product quality at scale.
**Qualifications**
* 8\+ years of experience designing, developing, and deploying backend or infrastructure systems at scale.
* Proficiency in programming languages such as Python or Kotlin.
* Strong track record supporting highly available distributed systems using cloud providers like AWS, GCP, or Azure.
* Experience with containerization technologies and orchestration tools such as Kubernetes.
* Hands\-on experience building scalable infrastructure components, including CI/CD pipelines (Jenkins, Buildkite, GitHub Actions), configuration management, and automation.
* Demonstrated ability to deliver major features or deprecate existing functionality through well\-planned technical execution.
* Excellent communication skills, capable of collaborating effectively with global, remote teams.
* Experience managing developer environments, including ephemeral environments (preferred).
* Degree in Computer Science, Engineering, or a related field, or equivalent practical experience.
**Responsibilities**
* Define and execute the technical strategy for your team, aligning with business goals and long\-term vision.
* Collaborate with cross\-functional teams—including product management, design, and analytics—to ensure technical solutions meet business needs and are sustainable.
* Act as a technical leader by advocating for best practices, conducting high\-quality code reviews, and establishing design standards.
* Support the development and maintenance of scalable, reliable infrastructure components that enable rapid software deployment.
* Own and improve operational processes, including monitoring, incident response, triage, and on\-call procedures.
* Lead efforts to build, optimize, and maintain developer environments, including ephemeral environments and automation pipelines.
* Mentor and develop engineering talent through feedback, guidance, and knowledge sharing activities such as tech talks and pair programming.
* Ensure the team’s operational health by implementing policies, testing protocols, and alerting systems to support "keep the lights on" activities.
**Benefits**
* Comprehensive health care coverage, with Affirm covering all premiums for you and your dependents.
* Flexible Spending Wallets providing stipends for technology, food, lifestyle needs, and family expenses.
* Generous vacation and holiday policies to support work\-life balance.
* Employee Stock Purchase Plan (ESPP) allowing employees to purchase Affirm shares at a discount.
* Remote\-first work environment, enabling you to work from almost anywhere within the United States.
* Additional wellness stipends, professional development opportunities, and inclusive workplace policies.
 Equal Opportunity
 Affirm is committed to fostering an inclusive environment and is proud to be an equal opportunity employer. We celebrate diversity and are dedicated to providing equitable employment opportunities regardless of race, ethnicity, gender, sexual orientation, age, disability, or any other protected characteristic. We also provide reasonable accommodations throughout the hiring process to ensure all candidates have an equal opportunity to succeed. Our goal is to create a workplace where everyone feels valued, respected, and empowered to contribute their best.</t>
        </is>
      </c>
    </row>
    <row r="29">
      <c r="A29" t="inlineStr">
        <is>
          <t>li-4328356297</t>
        </is>
      </c>
      <c r="B29" t="inlineStr">
        <is>
          <t>Software Engineer II</t>
        </is>
      </c>
      <c r="C29" t="inlineStr">
        <is>
          <t>Microsoft</t>
        </is>
      </c>
      <c r="D29" t="inlineStr">
        <is>
          <t>linkedin</t>
        </is>
      </c>
      <c r="E29" t="inlineStr"/>
      <c r="F29" t="inlineStr"/>
      <c r="G29" t="inlineStr">
        <is>
          <t>Redmond, WA</t>
        </is>
      </c>
      <c r="H29" t="inlineStr"/>
      <c r="I29" t="inlineStr">
        <is>
          <t>**Overview**
 Health Futures is a Research and Incubation team working at the intersection of computer science, signal processing, machine learning, and biomedicine. We are a global and diverse team of engineers, scientists, and medical doctors who are working on next\-generation Artificial Intelligence (AI) tools and methods for health and life sciences. We offer a unique and vibrant environment that features innovative academic research, enterprise software development, and real\-world delivery, with close feedback loops and rapid iterations among all three, much like a lean startup. Our mission is to empower every person on the planet to live a healthier future.
 We are looking for a Software Engineer II to help advance Microsoft’s mission to transform health and life sciences through technology. In this role, you’ll design and build secure, scalable software solutions that enable groundbreaking research and real\-world healthcare applications. Your work will directly influence how data, AI, and cloud services improve patient outcomes and accelerate scientific discovery.
 As part of Health Futures, you’ll gain hands\-on experience with cutting\-edge technologies in cloud computing, AI/ML, and biomedical data engineering while collaborating with world\-class researchers and engineers.
 At Microsoft, our mission—to empower every person and every organization on the planet to achieve more—guides how we partner with customers to deliver trusted, impactful solutions. With a growth mindset culture, we innovate responsibly and measure success by shared progress—people, teams, and customers. Join us to do meaningful work that changes the world and helps shape what’s next for everyone.
**Responsibilities**
* Design and develop core cloud services and components for health and life sciences solutions, including first\-party services and open\-source tools.
* Take end\-to\-end ownership of the software development lifecycle: coding, testing, deployment, release, and ongoing support for internal tools and services.
* Collaborate with interdisciplinary teams (researchers, engineers, and domain experts) to build and integrate AI capabilities into health\-focused applications.
* Implement secure coding practices and ensure compliance with Microsoft security and privacy standards throughout the development lifecycle.
* Stay current with emerging technologies and apply innovative approaches to solve complex problems in healthcare and life sciences.
**Qualifications**
 Required Qualifications
* Bachelor’s Degree in Computer Science or related technical field AND 2\+ years technical engineering experience using languages such as C\+\+, C\#, Java, JavaScript, or Python
+ OR equivalent experience.
**Preferred Qualifications**
* Experience with machine learning, AI frameworks, or data\-intensive applications.
* Experience with cloud platforms (Azure, AWS, or GCP) and building end\-to\-end systems using CI/CD pipelines, automated build/test/deploy workflows, and cloud\-based AI/ML.
* Experience with UX Development in modern frameworks.
* Familiarity with security and compliance standards for enterprise software.
* Demonstrated ability to communicate effectively and solve problems in a collaborative, research\-driven environment.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0">
      <c r="A30" t="inlineStr">
        <is>
          <t>li-4328287714</t>
        </is>
      </c>
      <c r="B30" t="inlineStr">
        <is>
          <t>Software Engineer II</t>
        </is>
      </c>
      <c r="C30" t="inlineStr">
        <is>
          <t>Microsoft</t>
        </is>
      </c>
      <c r="D30" t="inlineStr">
        <is>
          <t>linkedin</t>
        </is>
      </c>
      <c r="E30" t="inlineStr"/>
      <c r="F30" t="inlineStr"/>
      <c r="G30" t="inlineStr">
        <is>
          <t>Mountain View, CA</t>
        </is>
      </c>
      <c r="H30" t="inlineStr"/>
      <c r="I30" t="inlineStr">
        <is>
          <t>**Overview**
 Microsoft is on a mission to build platforms and products that create and complete magical experiences across Microsoft, to empower every person and organization to achieve more by:
* Creating iconic end\-to\-end products across hardware, software, and services that people love and use every day
* Leading and inspiring the industry through innovation and technology, enabling our ecosystem of partners to thrive
* Growing our business and the business of Microsoft
 The
 ***Windows Silicon \&amp; Systems Integration team***
**(WSSI)\-** 
 is on a journey to create new experiences on the Windows platform. A fundamental part of our strategy is having desirable and powerful devices that enable the experiences people want. Creating these new experiences and devices involves close partnership between hardware engineers, software engineers, designers, manufacturing along with the various industry partners that closely collaborate to create industry defining firsts.
 We are seeking a
 ***Software Engineer II***
 who will work on creating software drivers and services that light up new AI experiences on next\-gen hardware products. These AI experiences will shape how computers and other devices perceive the user and the user’s environment, and many will be centered around audio, camera, and sensors scenarios. On this team, you will work closely with several research and product teams to bring compelling new experiences to market. In addition to developing kernel and user\-mode drivers, you will have the unique opportunity to work across teams to analyze and fix performance bottlenecks throughout the AI stack.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Contributes to technical discussions on the architecture of Graphics and AI user\-mode and kernel\-mode drivers.
* Leads by example within the team by producing extensible, maintainable, and efficient code.
* Reviews other team members’ code to ensure it meets the team’s and Microsoft’s quality standards.
* Analyzes and fixes performance bottlenecks using available tools.
* Builds a realistic work schedule for their areas of ownership and provides regular status updates to leadership and dependent teams.
* Embody our Culture and Values
**Qualifications**
**Required Qualifications:**
* Bachelor's degree in computer science, or related technical discipline AND 2\+ years technical engineering experience with coding in languages including, but not limited to, C, C\+\+, C\#, or Python,
+ OR equivalent experience.
**Preferred Qualifications**
- Bachelor's degree in computer science, or related technical discipline AND 4\+ years technical engineering experience with coding in languages including, but not limited to, C, C\+\+, C\#, or Python,
* OR equivalent experience.
* Experience developing drivers for Windows, Linux, RTOS or similar systems.
* Software architecture and design experience.
* System level power and performance analysis and OS fundamentals.
* Familiarity with ML and graphics APIs such as DirectML, DirectX, Vulkan, or OpenGL.
* Use of performance analysis tools such as ARM Development Studio and Snapdragon Profiler.
* Ability to quickly ramp\-up on complex and unfamiliar codebase, and work across multiple teams to drive code quality and performance.
 \#W\+DJOBS
 \#Graphics
 \#Compute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1">
      <c r="A31" t="inlineStr">
        <is>
          <t>li-4360684308</t>
        </is>
      </c>
      <c r="B31" t="inlineStr">
        <is>
          <t>Software Engineer (Python, Js)</t>
        </is>
      </c>
      <c r="C31" t="inlineStr">
        <is>
          <t>Wiraa</t>
        </is>
      </c>
      <c r="D31" t="inlineStr">
        <is>
          <t>linkedin</t>
        </is>
      </c>
      <c r="E31" t="inlineStr"/>
      <c r="F31" t="inlineStr"/>
      <c r="G31" t="inlineStr"/>
      <c r="H31" t="inlineStr"/>
      <c r="I31" t="inlineStr">
        <is>
          <t>**About The Company**
 Mapbox is a leading technology company dedicated to revolutionizing the way people experience maps and navigation. Our Maps team oversees services that process and deliver high\-quality map data, styles, rendering, and interactivity to a diverse range of customers. As a multidisciplinary group, we develop mobile SDKs for Android and iOS, create immersive 3D mapping experiences, and build robust API services leveraging AWS technologies.
 Our ownership of base map data ensures a solid foundation for all our deliverables, enabling us to provide industry\-leading solutions. We are committed to innovation and excellence, working closely with automotive partners such as BMW, Toyota, and GM to enhance in\-vehicle navigation and infotainment systems. Our products, including MapGPT and Mapbox for EV, are designed to deliver fast, reliable, and visually stunning mapping experiences across various platforms and vehicle types.
**About The Role**
 We are seeking a highly experienced Principal Software Development Engineer to lead our Navigation organization’s technical strategy and execution. In this strategic role, you will influence the future of our product portfolio, including Logistics API, Directions API, EV Routing, Routing, Guidance, and Telemetry. You will play a pivotal role in shaping the AI strategy for the entire company, providing technical guidance on leveraging AI to improve development efficiency across all Maps teams. Your responsibilities will include designing and building large\-scale, secure, and frictionless product experiences from the ground up.
 This role offers an exceptional opportunity to lead a global team of approximately 80 engineers, foster innovation, and influence how data and technology are used to enhance customer experiences. You will collaborate across teams to align complex technical requirements, evaluate design trade\-offs, and drive product development that supports Mapbox’s growth into new markets.
**Qualifications**
* 15\+ years of engineering experience with a proven track record of technical leadership
* Extensive coding experience in languages such as C/C\+\+, Python, JavaScript, and TypeScript
* Deep understanding of data structures, algorithms, design patterns, memory management, multithreading, and performance optimization
* Proficiency with cloud database services including AWS RDS, Google Cloud Spanner, and Azure SQL
* Experience deploying and managing databases in cloud environments
* Strong operational excellence mindset with a focus on quality and continuous improvement
* Ability to lead with empathy across globally distributed teams
* Exceptional communication skills, both written and verbal, capable of articulating complex ideas clearly
* Data\-informed decision\-making approach with the ability to measure and analyze key metrics
* Experience bringing products to market, including coordinating deadlines, setting pricing, and developing marketing strategies
* High standards for work quality and engineering practices
**Responsibilities**
* Develop and guide the long\-term technical roadmap for the Navigation organization, ensuring alignment with business objectives and innovation goals
* Lead and mentor a global team of approximately 80 engineers in the design, development, and implementation of critical engineering components
* Shape the vision for exceptional customer experiences through innovative mapping and navigation solutions
* Collaborate across product, engineering, design, and executive teams to identify and align on complex technical requirements
* Evaluate, prototype, and implement new technologies and frameworks to support company expansion into new markets
* Engage directly with customers to understand their needs, gather feedback, and relay insights to the development teams
* Drive a culture of operational excellence, quality, and continuous improvement within the engineering teams
* Influence AI strategy and provide technical guidance on leveraging AI to enhance product development and customer experience
* Ensure scalable, secure, and high\-performance system architecture design and implementation
**Benefits**
* Competitive annual base salary ranging from $269,450 to $364,550, with adjustments based on location, experience, and role scope
* Comprehensive health care plans, including medical, dental, and vision coverage
* Flexible work arrangements supporting work\-life balance
* Generous parental leave policies and family support programs
* Opportunities for professional growth and development through ongoing learning initiatives
* Inclusive and diverse work environment that values different perspectives
* Participation in innovative projects shaping the future of mapping and navigation technology
* Employee wellness programs and support resources
 Equal Opportunity
 Mapbox is an equal opportunity employer committed to fostering an inclusive environment for all employees. We celebrate diversity and are dedicated to providing equal employment opportunities regardless of race, ethnicity, gender, sexual orientation, age, disability, or any other protected status. We believe that diverse teams drive innovation and success, and we strive to create a workplace where everyone feels valued, respected, and empowered to contribute their best.</t>
        </is>
      </c>
    </row>
    <row r="32">
      <c r="A32" t="inlineStr">
        <is>
          <t>li-4340103422</t>
        </is>
      </c>
      <c r="B32" t="inlineStr">
        <is>
          <t>Senior Software Engineer</t>
        </is>
      </c>
      <c r="C32" t="inlineStr">
        <is>
          <t>SS&amp;C Technologies</t>
        </is>
      </c>
      <c r="D32" t="inlineStr">
        <is>
          <t>linkedin</t>
        </is>
      </c>
      <c r="E32" t="inlineStr"/>
      <c r="F32" t="inlineStr"/>
      <c r="G32" t="inlineStr">
        <is>
          <t>New York, NY</t>
        </is>
      </c>
      <c r="H32" t="inlineStr"/>
      <c r="I32"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**Senior Software Engineer**
**Location(s)** 
 : New York City, NY \- Hybrid
**Get To Know the Team**
 Tight\-knit group of experienced developers. Most have been with the company for 5\+ years, some approaching 20\+ years.
**Why You Will Love It Here!**
* Flexibility: Hybrid Work Model \&amp; a Business Casual Dress Code, including jeans
* Your Future: 401 (k) Matching Program, Professional Development Reimbursement
* Work/Life Balance: Flexible Personal/Vacation Time Off, Sick Leave, Paid Holidays
* Your Wellbeing: Medical, Dental, Vision, Employee Assistance Program, Parental Leave
* Wide Ranging Perspectives: Committed to Celebrating the Variety of Backgrounds, Talents, and Experiences of Our Employees
* Training: Hands\-On, Team\-Customized, including SS\&amp;C University
* Extra Perks: Discounts on fitness clubs, travel, and more!
**What You Will Get To Do**
* Full stack software development
* Enhance existing pages and create new pages
* Drive architecture and build components across all application tiers
* Develop and optimize SQL stored procedures, functions, views, triggers
* Learn new technologies and tools
* Code reviews
* Collaborate with Business Analysts, QA, UX/UI design team, and Dev team
**What You Will Bring**
* Bachelor’s degree in Computer Science, Engineering, or related field.
* Knowledge and experience with UI design/development
* Expertise in Vue3 and Typescript
* Strong CSS coding
* Strong core development in C\# and/or C\+\+
* Experience developing complex SQL stored procedures
* Ability to adapt quickly
* Debug and troubleshoot code/data issues
 Thank you for your interest in SS\&amp;C! To further explore this opportunity, please apply through our careers page on the corporate website at https://www.ssctech.com/careers/join\-ssc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row>
    <row r="33">
      <c r="A33" t="inlineStr">
        <is>
          <t>li-4339881655</t>
        </is>
      </c>
      <c r="B33" t="inlineStr">
        <is>
          <t>Senior Backend Engineer</t>
        </is>
      </c>
      <c r="C33" t="inlineStr">
        <is>
          <t>Commure</t>
        </is>
      </c>
      <c r="D33" t="inlineStr">
        <is>
          <t>linkedin</t>
        </is>
      </c>
      <c r="E33" t="inlineStr"/>
      <c r="F33" t="inlineStr"/>
      <c r="G33" t="inlineStr">
        <is>
          <t>Los Angeles, CA</t>
        </is>
      </c>
      <c r="H33" t="inlineStr"/>
      <c r="I33" t="inlineStr">
        <is>
          <t>At Commure, our mission is to simplify healthcare. We have bold ambitions to reimagine the healthcare experience, setting a new standard for how care is delivered and experienced across the industry. Our growing suite of AI solutions spans ambient AI clinical documentation, provider copilots, autonomous coding, revenue cycle management and more — all designed for providers \&amp; administrators to focus on what matters most: providing care.
 Healthcare is a $4\.5 trillion industry with more than $500 billion spent annually on administrative costs, and Commure is at the heart of transforming it. We power over 500,000 clinicians across hundreds of care sites nationwide – more than $10 billion flows through our systems and we support over 100 million patient interactions. With new product launches on the horizon, expansion into additional care segments, and a bold vision to tackle healthcare's most pressing challenges, our ambition is to move from upstart innovator to the industry standard over the next few years.
 Commure was recently named to Fortune’s Future 50 list for 2025 and is backed by world\-class investors including General Catalyst, Sequoia, Y Combinator, Lux, Human Capital, 8VC, Greenoaks Capital, Elad Gil, and more. Commure has achieved over 300% year\-over\-year growth for the past two years and this is only the beginning. Healthcare's moment for AI\-powered transformation is here, and we're building the technology to power it. Come join us in shaping the future of healthcare.
**About The Role**
 At Commure, our engineering team is at the forefront of revolutionizing healthcare technology by building and scaling the systems powering our suite of healthcare products. We are looking for a talented
 **Senior** 
**Backend** 
**Engineer** 
 to help us craft user\-friendly, responsive, and secure interfaces that operate reliably at scale and enhance the healthcare experience for both providers and patients. If you are a builder and love working on important, exciting problems in healthcare and love shipping quickly, come join us!
**What You’ll Do**
* Design and influence decisions that affect our backend architecture for scalable, AI\-powered healthcare solutions
* Be a part of a tremendously fast\-paced team that celebrates large ambition and making decisions quickly
* Work across the entire technology stack, including but not limited to Python, Go, FastAPI, Flask, and other frameworks
* Lead technical planning and execution for new features, balancing technical feasibility, usability, and business impact
* Establish and enforce best practices for code quality, testing, and deployment
* Mentor junior engineers, guiding backend engineering, design patterns, and coding standards
* Collaborate with product managers, designers, and clinical experts to translate requirements into intuitive and efficient UI solutions
* Work directly with customers to solve their issues daily
**What You Have**
* Bachelor’s or Master’s degree in Computer Science, Engineering, or a related field, or equivalent extensive experience
* 4\+ years of professional experience in software development industry experience
* Strong Backend Programming Skills (We use Python and Go)
* General Understanding of Containers and Cloud (Docker, Kubernetes)
* Track record of strong execution and ability to drive work from ideation to successful implementation
* Strong debugging and problem\-solving skills and a history of demonstrated resourcefulness
* Strong communication skills and the ability to interface with both technical and non\-technical stakeholders
* Experience in environments where you have to ship quickly. We move fast and deploy daily.
* Excitement to work in a high\-impact field with a builder attitude!
* Attention to detail around user experience and customer needs
* Growth mindset and a motivation to grow
 Commure is committed to creating and fostering a diverse team. We are open to all backgrounds and levels of experience, and believe that great people can always find a place. We are committed to providing reasonable accommodations to all applicants throughout the application process.
 Please be aware that all official communication from us will come exclusively from email addresses ending in
 **@** 
**getathelas.com** 
 ,
 **@** 
**commure.com** 
 or
 **@** 
**augmedix.com** 
 . Any emails from other domains are not affiliated with our organization.
 Employees will act in accordance with the organization’s information security policies, to include but not limited to protecting assets from unauthorized access, disclosure, modification, destruction or interference nor execute particular security processes or activities. Employees will report to the information security office any confirmed or potential events or other risks to the organization. Employees will be required to attest to these requirements upon hire and on an annual basis.
 Compensation Range: $140K \- $230K</t>
        </is>
      </c>
    </row>
    <row r="34">
      <c r="A34" t="inlineStr">
        <is>
          <t>li-4328198004</t>
        </is>
      </c>
      <c r="B34" t="inlineStr">
        <is>
          <t>Senior Software Engineer</t>
        </is>
      </c>
      <c r="C34" t="inlineStr">
        <is>
          <t>Microsoft</t>
        </is>
      </c>
      <c r="D34" t="inlineStr">
        <is>
          <t>linkedin</t>
        </is>
      </c>
      <c r="E34" t="inlineStr"/>
      <c r="F34" t="inlineStr"/>
      <c r="G34" t="inlineStr">
        <is>
          <t>Redmond, WA</t>
        </is>
      </c>
      <c r="H34" t="inlineStr"/>
      <c r="I34" t="inlineStr">
        <is>
          <t>**Overview**
 If you're passionate about building cutting‑edge solutions that empower teamwork and communication, we want to hear from you! Microsoft Teams is the central hub for collaboration, connecting people, content, and tools to enhance productivity and engagement. It plays a pivotal role in Microsoft’s vision for modern work and education, revolutionizing how people communicate and collaborate globally.
 The
 **Enterprise Voice team** 
 powers the calling experiences that enable businesses and consumers to connect seamlessly across the world. Our mission is to deliver secure, reliable, and scalable voice solutions that support critical communication scenarios and unlock the next generation of calling and collaboration through AI and cloud innovation.
**In This Role, You Will**
* Design and build core calling capabilities that scale globally.
* Collaborate across disciplines to deliver high‑quality, resilient solutions for real‑time communication.
* Contribute to technical decision‑making and help set priorities for development tasks.
* Drive improvements in reliability, scalability, and performance for global calling systems.
* Mentor and guide team members, fostering knowledge sharing and growth.
* Partner with product and engineering teams to innovate and shape the future of calling and collaboration.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deliver complex features for large\-scale, real\-time communication systems, ensuring security, compliance, and enterprise readiness.
* Lead architecture discussions and create design documents that define technical direction; identify dependencies and drive release planning across teams.
* Write high\-quality, maintainable code and implement robust testing, telemetry, and observability practices to ensure reliability and performance at scale.
* Act as a Designated Responsible Individual (DRI) for live\-site health and incident response, proactively monitoring and restoring service when issues arise.
* Mentor and guide engineers, fostering technical growth and sharing best practices; lead by example in engineering excellence and inclusive culture.
* Collaborate with stakeholders (PM, Design, partner teams) to align on priorities, simplify complex issues, and influence technical decisions that impact product strategy.
* Stay ahead of emerging technologies and patterns to improve availability, reliability, and efficiency; drive consistency in monitoring and operations at scale.
* Champion Microsoft values of respect, integrity, and accountability while creating an inclusive environment that empowers every team member.
**Qualifications**
**Required Qualifications:**
* Bachelor's Degree in Computer Science or related technical field AND 4\+ years technical engineering experience with coding in languages including, but not limited to, C, C\+\+, C\#, Java, JavaScript, or Python
+ OR equivalent experience.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4\+ years experience with React, TypeScript, HTML, and CSS.
* Experience with integrating front\-end applications with backend services (REST, GraphQL, or other APIs).
* Proven ability to design, build, and ship features end‑to‑end for large‑scale distributed or real‑time communication systems.
* Solid web application development skills with React and TypeScript, plus server‑side development in C\#/.NET, RESTful APIs, and microservices on Azure (or similar cloud).
* Deep understanding of reliability engineering, observability (metrics, logs, tracing), and hands‑on experience with CI/CD and automated testing (unit/integration/E2E).
* Demonstrated leadership: ability to drive technical decisions, influence across partner teams, and mentor engineers while raising engineering excellence.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5">
      <c r="A35" t="inlineStr">
        <is>
          <t>li-4328400102</t>
        </is>
      </c>
      <c r="B35" t="inlineStr">
        <is>
          <t>Senior Software Engineer</t>
        </is>
      </c>
      <c r="C35" t="inlineStr">
        <is>
          <t>Microsoft</t>
        </is>
      </c>
      <c r="D35" t="inlineStr">
        <is>
          <t>linkedin</t>
        </is>
      </c>
      <c r="E35" t="inlineStr"/>
      <c r="F35" t="inlineStr"/>
      <c r="G35" t="inlineStr">
        <is>
          <t>Redmond, WA</t>
        </is>
      </c>
      <c r="H35" t="inlineStr"/>
      <c r="I35" t="inlineStr">
        <is>
          <t>**Overview**
 OneDrive and SharePoint are rapidly growing services at the center of Microsoft's cloud, reaching almost every part of the company, like Windows and Office. You would be a part of a team that can fundamentally change the way that millions of people use their devices and interact with the most important content in their lives.
 You'll design and deliver systems that enable partners and ISVs to migrate from other cloud providers, improve core systems performance and efficiencies, and ensure zero customer impact throughout the change management cycle. You will deliver systems to meet our business continuity planning goals, provide telemetry for optimizing the service and drive our response time for detecting and resolving service issues down.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We are looking for smart, agile, and intellectually curious engineers who love creating and building things that delight and protect our customers.
* You will be working with a team of amazing engineers, PMs, and designers, and work closely with other teams across Microsoft to deliver large scale, distributed architectures, and features to meet OneDrive and SharePoint's core infrastructure needs.
**Qualifications**
**Required Qualifications:**
* Bachelor's Degree in Computer Science or related technical field AND 4\+ years technical engineering experience with coding in languages including, but not limited to, C, C\+\+, C\#, Java, JavaScript, or Python
+ OR equivalent experience.
* Collaborate with partner teams to meet the engineering goals in a unified manner.
* Proficient in delivering and interacting with REST API’s and web services across multiple systemsStrong coding, debugging, algorithm design and problem\-solving skills.
* Experience designing cloud\-scale services and server/service management features.
* Able to learn new systems quickly and adapt new methodologies to our service.
* Experience mentoring and coaching peers and early\-in\-career engineers.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Experience with building cloud\-scale infrastructure components.
* Awareness, passion, and experience related to cloud scale distributed design and patterns.
* Familiar with secure software design concepts.
* Proven track record of delivering projects that include multiple components.
* Ability and eagerness to work across and partner with multiple engineering teams to achieve business goals.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6">
      <c r="A36" t="inlineStr">
        <is>
          <t>li-4352670956</t>
        </is>
      </c>
      <c r="B36" t="inlineStr">
        <is>
          <t>Senior Software Engineer (Front-end focus)</t>
        </is>
      </c>
      <c r="C36" t="inlineStr">
        <is>
          <t>LodgeLink</t>
        </is>
      </c>
      <c r="D36" t="inlineStr">
        <is>
          <t>linkedin</t>
        </is>
      </c>
      <c r="E36" t="inlineStr"/>
      <c r="F36" t="inlineStr"/>
      <c r="G36" t="inlineStr">
        <is>
          <t>Scottsdale, AZ</t>
        </is>
      </c>
      <c r="H36" t="inlineStr"/>
      <c r="I36" t="inlineStr">
        <is>
          <t>**Senior Software Engineer**
**Scottsdale, Arizona**
**About The Role**
 LodgeLink is inviting senior software engineers in Scottsdale to join our team to be part of the creation of the future of workforce travel. We are looking for talented developers with a passion to create products that impact the industry, who enjoy learning about the latest technologies, strong critical thinking skills, and a user\-focused approach.
 As a part of the software engineering team, you will join an agile, audacious, inventive, collaborative, and dependable team with a bold and opinionated vision of how we use technology to solve business problems. You will influence and execute the technical vision and system design decisions on how the product is built, deployed, and operated on production. Specifically, you will collaborate with other software engineers and engineering leaders in designing new cloud\-native solutions and rearchitecting existing ones.
 As a Senior Software Engineer, you should be comfortable around both front\-end and back\-end coding languages, development frameworks, third\-party libraries, and modern system design patterns such as event driven, DDD, and microservices. Our current cloud stack includes GoLang, ReactJS, NodeJS, gRPC, GraphQL, Cosmos DB, PostgreSQL, Docker, all fully running on Azure cloud, plus a few more things.
 This role is in Scottsdale and is in\-office with 20% flexibility to work from home.
**Responsibilities:**
* Your job \#1 is to make the software engineering team better through doing, mentoring, and sharing. You are a role model.
* You will enforce the best coding practices while being a strong advocate and innovator for continual improvement. Your codebase will be better every sprint.
* You will create the tools and templates so that all the other developers will say “wow, this is easy.”
* In the next few years, you will scale our platform to manage over 1,000 times the current load while keeping the uptime at 100%.
**Qualifications**
* Beyond 10 years of progressive career in software development lifecycle experience and still have a curiosity and are malleability to learn new ways.
* 10\+ years of mastery of SDLC, SOLID Principles, Data/Behavior/Test Drive Development, and a love of Clean Code and of clean architecture.
* 5\+ years of experience with modern technologies such as GoLang, ReactJS, NodeJS, gRPC, microservices, and NoSQL are assets. It's okay not to know all of these technologies, we know you can learn fast because you know the principles and have strong software engineering foundations
* 10\+ years of proven application of cloud development patterns and best practices with multiple years in different architectures and industries.
* A proficiency in cloud\-based architecture and automated release pipelines because you have done this for more than 5 years.
* 5\+ years focused on an API\-first approach expertise with loosely coupled systems, and domain driven.
* An advocate for and experience in effectively managing and planning technical debt so that ours do not grow.
* A commitment to leaving code/processes/people better than when you got there.
* An attitude and pride in quality code and have multiple approaches towards testing.
* Degree in Computer Science or Computer Engineering.
**About LodgeLink**
 LodgeLink, a Black Diamond Group company headquartered in Calgary, Alberta, Canada is more than just a digital marketplace and ecosystem for crew travel; we’re a caring tech company on a mission to transform workforce travel. Our digital platform is the key to unlocking seamless solutions for finding, booking, and managing crew travel and accommodation needs. Powered by a growing network of hotel and lodge partners, we address the unique challenges of crew travel, applying technology to streamline the entire process from booking to management, payments, and cost reporting. At LodgeLink, we're not just saving our customers time and money; we're changing the future of workforce (crew) travel – for the better.
 United by our vision to be THE ecosystem for workforce travel, our values reflect our commitment to collaboration, agility, dependability, inventiveness, and audacity. As a diverse and inclusive team, we come together, sharing ideas, building disruptive technology, and tackling complex problems. Our relentless pursuit to deliver value and superior customer experiences is inspired by a collective passion to ‘
 *Create A Better Way’* 
 for all.
 At LodgeLink, we're seeking exceptional team players with an entrepreneurial spirit to contribute to our rapid growth. If you crave a career, not just a job, we could be the perfect fit.
**LodgeLink Total Rewards \|** 
 Caring for our team is a priority, and we’re pleased to provide these benefits:
* Building a diverse and inclusive team, supporting career growth and development.
* Competitive base salaries.
* Share Appreciation Rights program for salaried employees.
* Paid vacation days and sick days.
* An employee charitable donation program.
* Hotel and travel discounts.
* Comprehensive options for benefits, with cost\-sharing between the company and the employee. 401K Matching program.
 LodgeLink is a Black Diamond Group company. Learn more: www.lodgelink.com
 Black Diamond Group is a publicly traded company with 20 years of experience in modular space and workforce solutions, and operations across Canada, the United States, and Australia. Learn more: www.blackdiamondgroup.com
**We are an Equal Opportunity Employer**
 Black Diamond Group is committed to diversity, equal opportunity and ensuring that our employees can thrive in an inclusive environment. We are pleased to consider all qualified applicants for employment without regard to race, color, religion, sex, sexual orientation, gender identity or expression, marital status, family status, veteran status, Indigenous status, national origin, age, disability, or any other legally protected factors. Accommodation for applicants with disabilities is available upon request during the recruitment process.
 Company: LodgeLink</t>
        </is>
      </c>
    </row>
    <row r="37">
      <c r="A37" t="inlineStr">
        <is>
          <t>li-4332555036</t>
        </is>
      </c>
      <c r="B37" t="inlineStr">
        <is>
          <t>Frontend Engineer</t>
        </is>
      </c>
      <c r="C37" t="inlineStr">
        <is>
          <t>RemoteHunter</t>
        </is>
      </c>
      <c r="D37" t="inlineStr">
        <is>
          <t>linkedin</t>
        </is>
      </c>
      <c r="E37" t="inlineStr"/>
      <c r="F37" t="inlineStr"/>
      <c r="G37" t="inlineStr"/>
      <c r="H37" t="inlineStr"/>
      <c r="I37" t="inlineStr">
        <is>
          <t>About the Opportunity:
 The organization is a venture\-backed company focused on enabling responsible AI development, adoption, procurement, and usage at scale. It provides a platform for context\-driven AI governance, risk assessment, and compliance with regulations and standards to ensure fair, auditable, and compliant AI deployment. The goal is to make responsible AI development a standard practice by helping organizations integrate governance practices and collaborating with regulators to establish ecosystem incentives.
 Responsibilities:
 • Design and implement scalable, efficient, and reliable front\-end systems.
 • Communicate technical challenges and solutions clearly across teams.
 • Collaborate with engineers and product managers to deliver high quality UI/UX.
 • Explore and integrate new technologies and programming languages into development.
 • Maintain AI fluency or demonstrate willingness to learn AI concepts.
 • Continuously adapt to new technical challenges, focusing on backend development practices.
 Requirements:
 • 3\-5 years of experience developing high\-quality, maintainable, and robust software for enterprise applications.
 • Proficiency with HTML5, CSS3, JavaScript (ES6\+), and familiarity or interest in learning TypeScript.
 • Experience with frameworks/libraries such as React, Angular, Vue.js, or Next.js.
 • Knowledge of styling tools including SASS, CSS\-in\-JS, Tailwind CSS, or Bootstrap.
 • Experience with testing tools like Jest, Mocha, Cypress, or Jasmine.
 • Proficient in version control systems such as Git, GitHub, or GitLab.
 • Familiarity with APIs including REST, GraphQL, Swagger/OpenAPI, and Postman.
 • Experience with responsive web design, accessibility, and design systems is a plus.
 • Experience with Storybook, Docker, CI/CD, and authentication flows is a plus.
 • Strong communication skills for explaining complex technical issues.
 • Highly motivated to learn new technologies and frameworks.
 Compensation:
 • Expected base salary range is $160,000 to $180,000 USD.
 • Salary ranges depend on role, level, location, skills, experience, and education.
 • The posted range reflects minimum and maximum targets for new hires at the specified location.
 Benefits \&amp; Perks:
 • Competitive salary and equity.
 • Health, dental, and vision coverage.
 • Ergonomic benefit for equipment costs supporting health while working remotely or in office.
 • Coverage for coworking spaces and in\-person meetups.
 • Unlimited paid time off.
 • Up to 12 weeks of paid parental leave.
 • 401(k) plan available for US employees.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8">
      <c r="A38" t="inlineStr">
        <is>
          <t>li-4324970547</t>
        </is>
      </c>
      <c r="B38" t="inlineStr">
        <is>
          <t>Fullstack Engineer, Customer Experience</t>
        </is>
      </c>
      <c r="C38" t="inlineStr">
        <is>
          <t>Whatnot</t>
        </is>
      </c>
      <c r="D38" t="inlineStr">
        <is>
          <t>linkedin</t>
        </is>
      </c>
      <c r="E38" t="inlineStr"/>
      <c r="F38" t="inlineStr"/>
      <c r="G38" t="inlineStr">
        <is>
          <t>Los Angeles, CA</t>
        </is>
      </c>
      <c r="H38" t="inlineStr"/>
      <c r="I38"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We’re looking for a Senior Fullstack Engineer to join the Customer Experience team and help us build a world\-class Customer Support platform. With Whatnot’s rapid growth comes a high volume of complex support needs—spanning technical, purchasing, and logistics issues for both buyers and sellers. Our team is responsible for resolving them quickly, reliably, and with high customer satisfaction.
 As a member of the team, you’ll build new user\-facing experiences, scale internal infrastructure, and design intelligent automation to help us solve thousands of customer issues per hour.
 You’ll lead solutions end to end. You’ll translate ambiguous business problems into clear technical solutions and drive delivery and experimentation. Your role will involve creative problem\-solving to balance development speed, product impact, and technical excellence.
**We offer flexibility to work from home or from one of our global office hubs, and we value in\-person time for planning, problem\-solving, and connection. Team members in this role must live within commuting distance of our San Francisco, Los Angeles, New York City, or Seattle hubs.**
****👋 You****
 Curious about who thrives at Whatnot? We’ve found that low ego and a growth mindset, while leaning into action, details, and impact goes a long way here.
 As our next Fullstack Engineer, you should have 5\+ years of full\-time software engineering experience with high growth startups, plus:
* Bachelor’s degree in Computer Science, a related field, or equivalent work experience.
* Backend Expertise: Proven track record of building end\-to\-end high\-scale product experiences as a full\-stack engineer. Experience with Python on backend, and/or Postgres databases is a plus.
* Web or Mobile Experience: Next.js on Web or Native mobile development
* Ownership Mindset: Own projects holistically from inception to production and beyond. You are known for shipping high\-quality products and features lightning\-fast.
* Product Instinct: Excel at translating user needs to effective technical solutions.
* Problem Solving: Thrive in ambiguity and tackle challenging problems with creativity and autonomy.
* Team Leadership: Proactively improve the team environment and foster inclusive, supportive team culture.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$170K \- $190K</t>
        </is>
      </c>
    </row>
    <row r="39">
      <c r="A39" t="inlineStr">
        <is>
          <t>li-4360684307</t>
        </is>
      </c>
      <c r="B39" t="inlineStr">
        <is>
          <t>Frontend Engineer II</t>
        </is>
      </c>
      <c r="C39" t="inlineStr">
        <is>
          <t>Wiraa</t>
        </is>
      </c>
      <c r="D39" t="inlineStr">
        <is>
          <t>linkedin</t>
        </is>
      </c>
      <c r="E39" t="inlineStr"/>
      <c r="F39" t="inlineStr"/>
      <c r="G39" t="inlineStr"/>
      <c r="H39" t="inlineStr"/>
      <c r="I39" t="inlineStr">
        <is>
          <t>**About The Company**
 Brex is a leading AI\-powered spend platform dedicated to transforming the way companies manage their financial operations. By integrating corporate cards, banking solutions, and global payments into a unified platform, Brex empowers businesses to spend with confidence, optimize costs, and enhance operational efficiency. Serving a diverse clientele ranging from startups to large enterprises such as DoorDash, Flexport, and Compass, Brex is committed to delivering innovative financial technology solutions that meet the evolving needs of modern businesses. The company fosters a culture of innovation, diversity, and inclusion, providing its employees with the tools, resources, and support necessary to grow professionally and personally. With a focus on building scalable systems and delivering exceptional user experiences, Brex is at the forefront of financial technology innovation.
**About The Role**
 We are seeking a talented Software Engineer II, Frontend Platform, to join our dynamic engineering team in New York City. In this role, you will be instrumental in building and maintaining the core web, mobile, and design system infrastructure that powers every customer\-facing experience at Brex. You will collaborate closely with designers, product managers, and cross\-functional engineering teams to define and implement scalable frontend architectural patterns, improve product performance, and enhance developer experience. Your work will directly impact the stability, performance, and scalability of our frontend applications, ensuring a seamless and efficient experience for millions of users worldwide. The ideal candidate is passionate about platform engineering, possesses strong technical expertise in modern web development, and thrives in a collaborative, high\-autonomy environment.
**Qualifications**
* Several years of experience developing modern web applications using React, JavaScript/TypeScript, GraphQL, and modern CSS techniques.
* Strong interest and background in developer experience and platform engineering, with a track record of improving shared infrastructure, standards, or tooling.
* Proven experience with testing practices to build reliable, maintainable client\-side systems across multiple browsers.
* Ability to manage projects effectively and collaborate cross\-functionally, balancing competing priorities and requirements.
* Excellent problem\-solving skills and a proactive approach to identifying and resolving technical challenges.
**Responsibilities**
* Own and contribute to platform, infrastructure, and developer experience improvements that impact all frontend engineers at Brex.
* Define and implement scalable patterns for data fetching, state management, and cross\-product reusability in collaboration with design system and product teams.
* Set and uphold high standards for quality, including performance optimization, testing, accessibility, and observability.
* Design, develop, test, and maintain frontend components and systems, ensuring they meet business and technical requirements.
* Collaborate with cross\-functional teams to drive frontend architectural decisions and ensure consistency across products.
* Manage stakeholder expectations and communicate technical concepts effectively to non\-technical partners.
* Stay current with emerging frontend technologies and industry best practices, evaluating their potential benefits for Brex.
**Benefits**
* Competitive salary range of $152,000 \- $190,000 plus equity options.
* Flexible hybrid work environment with a minimum of three in\-office days per week, and up to four weeks of fully remote work annually.
* Comprehensive health, dental, and vision insurance plans.
* Generous paid time off and holiday leave policies.
* Professional development opportunities, including training, conferences, and workshops.
* Inclusive and diverse workplace culture that values innovation and collaboration.
 Equal Opportunity
 Brex is an equal opportunity employer committed to fostering an inclusive environment for all employees. We do not discriminate based on race, color, religion, gender, gender identity or expression, sexual orientation, national origin, genetics, disability, age, or veteran status. We believe that diverse perspectives and experiences drive innovation and are essential to our success. All qualified applicants will receive consideration for employment without regard to any protected characteristic.</t>
        </is>
      </c>
    </row>
    <row r="40">
      <c r="A40" t="inlineStr">
        <is>
          <t>li-4345314533</t>
        </is>
      </c>
      <c r="B40" t="inlineStr">
        <is>
          <t>Software Engineer II (Full-Stack, Backend-leaning)</t>
        </is>
      </c>
      <c r="C40" t="inlineStr">
        <is>
          <t>RemoteHunter</t>
        </is>
      </c>
      <c r="D40" t="inlineStr">
        <is>
          <t>linkedin</t>
        </is>
      </c>
      <c r="E40" t="inlineStr"/>
      <c r="F40" t="inlineStr"/>
      <c r="G40" t="inlineStr"/>
      <c r="H40" t="inlineStr"/>
      <c r="I40" t="inlineStr">
        <is>
          <t>About the Opportunity:
 The organization is building a super app to help everyday Americans manage their car and home ownership, covering insurance, repairs, and safety. This addresses a $5 trillion\+ market with an end\-to\-end solution. The company has grown revenue 60 times in five years, is profitable, and aims to scale from 5 million to 50 million users.
 Responsibilities:
 • Build automation systems handling complex insurance servicing tasks (policy endorsements, cancellations, document uploads, reinstatements)
 • Reduce policy cancellations, improve renewals, and ensure users have optimal coverage
 • Ship new automations in 1 to 2 weeks on average
 • Develop backend business logic that respects complex insurance carrier rules
 • Design backend data pipelines for syncing customer policy data, delivering alerts, and enabling seamless re\-shopping
 • Optimize and scale internal tools to minimize agent intervention
 • Collaborate with product, data, and engineering operations to anticipate churn and improve retention
 • Work asynchronously across time zones with minimal meetings using Asana and Slack
 • Continuously improve backend systems, APIs, and microservice architecture
 • Participate in refactoring legacy codebases, simplifying systems, rebuilding core flows, and preparing the platform for future growth
 Requirements:
 • Minimum 2 years full stack engineering experience building production\-grade software
 • Experience with large\-scale distributed systems for fast\-growing consumer\-facing software preferred
 • Strong foundations in data structures, algorithms, and systems design prioritized over specific tech stack experience
 • Ability to solve ambiguous problems by breaking them into actionable code and iterating quickly
 • Ownership mentality with responsibility for end\-to\-end outcomes and continuous system improvement
 • Comfortable collaborating asynchronously in a global team environment with excellent communication skills
 • Curiosity and adaptability to learn new tools and understand broader business context
 Benefits \&amp; Perks:
 • Remote\-first, global engineering team spanning North America and Asia
 • Collaborative, curious culture with trust and autonomy
 • Regular context\-sharing meetings and in\-person global offsites
 • Leaders who write code and maintain high standards
 • Supportive environment encouraging learning from mistakes
 • Opportunity to work across the full stack and see immediate user impact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1">
      <c r="A41" t="inlineStr">
        <is>
          <t>li-4324927195</t>
        </is>
      </c>
      <c r="B41" t="inlineStr">
        <is>
          <t>Fullstack Engineer, Customer Experience</t>
        </is>
      </c>
      <c r="C41" t="inlineStr">
        <is>
          <t>Whatnot</t>
        </is>
      </c>
      <c r="D41" t="inlineStr">
        <is>
          <t>linkedin</t>
        </is>
      </c>
      <c r="E41" t="inlineStr"/>
      <c r="F41" t="inlineStr"/>
      <c r="G41" t="inlineStr">
        <is>
          <t>Seattle, WA</t>
        </is>
      </c>
      <c r="H41" t="inlineStr"/>
      <c r="I41"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We’re looking for a Senior Fullstack Engineer to join the Customer Experience team and help us build a world\-class Customer Support platform. With Whatnot’s rapid growth comes a high volume of complex support needs—spanning technical, purchasing, and logistics issues for both buyers and sellers. Our team is responsible for resolving them quickly, reliably, and with high customer satisfaction.
 As a member of the team, you’ll build new user\-facing experiences, scale internal infrastructure, and design intelligent automation to help us solve thousands of customer issues per hour.
 You’ll lead solutions end to end. You’ll translate ambiguous business problems into clear technical solutions and drive delivery and experimentation. Your role will involve creative problem\-solving to balance development speed, product impact, and technical excellence.
**We offer flexibility to work from home or from one of our global office hubs, and we value in\-person time for planning, problem\-solving, and connection. Team members in this role must live within commuting distance of our San Francisco, Los Angeles, New York City, or Seattle hubs.**
****👋 You****
 Curious about who thrives at Whatnot? We’ve found that low ego and a growth mindset, while leaning into action, details, and impact goes a long way here.
 As our next Fullstack Engineer, you should have 5\+ years of full\-time software engineering experience with high growth startups, plus:
* Bachelor’s degree in Computer Science, a related field, or equivalent work experience.
* Backend Expertise: Proven track record of building end\-to\-end high\-scale product experiences as a full\-stack engineer. Experience with Python on backend, and/or Postgres databases is a plus.
* Web or Mobile Experience: Next.js on Web or Native mobile development
* Ownership Mindset: Own projects holistically from inception to production and beyond. You are known for shipping high\-quality products and features lightning\-fast.
* Product Instinct: Excel at translating user needs to effective technical solutions.
* Problem Solving: Thrive in ambiguity and tackle challenging problems with creativity and autonomy.
* Team Leadership: Proactively improve the team environment and foster inclusive, supportive team culture.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$170K \- $190K</t>
        </is>
      </c>
    </row>
    <row r="42">
      <c r="A42" t="inlineStr">
        <is>
          <t>li-4283343272</t>
        </is>
      </c>
      <c r="B42" t="inlineStr">
        <is>
          <t>Senior System Software Engineer - Performance</t>
        </is>
      </c>
      <c r="C42" t="inlineStr">
        <is>
          <t>NVIDIA</t>
        </is>
      </c>
      <c r="D42" t="inlineStr">
        <is>
          <t>linkedin</t>
        </is>
      </c>
      <c r="E42" t="inlineStr"/>
      <c r="F42" t="inlineStr"/>
      <c r="G42" t="inlineStr">
        <is>
          <t>Hillsboro, OR</t>
        </is>
      </c>
      <c r="H42" t="inlineStr"/>
      <c r="I42"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tightly coupled CPU, GPU and DPU technology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NVIDIA is searching for a highly motivated, technical engineer to join the Tegra system\-on\-chip (SoC) software organization. You will work on key aspects of our ARM SW ecosystem and system software architecture. With a targeted charter to enable best\-in\-class datacenter\-scale performance and efficiency for our next generation of datacenter products, including CPUs and CPU\+GPU Superchips.
**What You Will Be Doing**
* Design, develop, test, and optimize software for our next\-generation SoCs. In both pre\-silicon and post\-silicon phases of execution.
* Review architectural performance bottlenecks for various system wide work loads. Identify HW/SW policies to drive performance and performance/watt leadership.
* Using strong communication skills, build and drive architecture, analysis documents and communications to internal and/or external audiences about our technology.
* Competitive analysis comparing uArchitecture \&amp; workload performance metrics on NVIDIA's ARM SoCs against emerging processors from other silicon vendors.
* Influence and drive full\-stack adoption of performance optimizations and best practices across NVIDIA SW products \&amp; OSS SDKs
**What We Need To See**
* BS or MS degree in Computer Engineering, Computer Science, or related degree (or equivalent experience).
* 6\+ years of relevant computer architecture or SW development experience.
* Proven leadership skills and strong ownership on past projects.
* Hands on technical experience and demonstrated excellence in an environment with complex software and hardware designs.
* Strong understanding of multicore hardware, operating systems design, concurrency, virtual memory, caching, interrupts, device drivers and real\-time programming.
* Strong stills in performance analysis, data analysis and performance optimization.
**Ways To Stand Out From The Crowd**
* Deep expertise in ARM architecture and SW ecosystem.
* Proficient in analyzing, debugging and tuning performance of complex system software stacks.
* Experience with CPU server system workloads and performance analysis.
* Familiarity with CUDA programming and/or GPUs.
* Experience with HPC or large\-scale computing environments.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JR2001796</t>
        </is>
      </c>
    </row>
    <row r="43">
      <c r="A43" t="inlineStr">
        <is>
          <t>li-4185019529</t>
        </is>
      </c>
      <c r="B43" t="inlineStr">
        <is>
          <t>Robotics Software Engineer, Vehicle Software</t>
        </is>
      </c>
      <c r="C43" t="inlineStr">
        <is>
          <t>Anduril Industries</t>
        </is>
      </c>
      <c r="D43" t="inlineStr">
        <is>
          <t>linkedin</t>
        </is>
      </c>
      <c r="E43" t="inlineStr"/>
      <c r="F43" t="inlineStr"/>
      <c r="G43" t="inlineStr">
        <is>
          <t>Costa Mesa, CA</t>
        </is>
      </c>
      <c r="H43" t="inlineStr"/>
      <c r="I43"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Air Dominance \&amp; Strike (AD\&amp;S) is responsible for autonomous robotics systems like the Fury unmanned fighter jet and the Barracuda family of advanced effects. The AD\&amp;S Vehicle Software team is responsible for the software running on these systems. Our software engineers collaborate with other engineering disciplines to develop software for vehicle control, networking, sensor integration, and telemetry. We are looking for engineers excited to build the foundational vehicle software stack that supports the wide range of AD\&amp;S initiatives, from early concept simulation to first flight to live operations to large scale fleet management.
**What You'll Do**
* Write and maintain core libraries and services that perform critical functions for collaborative teams of robots \- for example, motion deconfliction and contingency management of fast mover air vehicles.
* Own major feature development and rollout of large, complex features for our products \- recent examples include developing terminal\-phase autonomy for various air vehicles and developing a test plan on live surrogates.
* Work closely with Anduril and 3rd party vehicle hardware teams, as well as operational subject matter experts (fighter pilots, UAV operators, etc.) to align on requirements during product development and iterate towards a final design.
**Required Qualifications**
* Eligible to obtain and maintain an active U.S. Top Secret security clearance
* BS in Robotics, Computer Science, Mechatronics, Electrical Engineering, Mechanical Engineering, or related field
* Proven understanding of data structures, algorithms, concurrency, and code optimization
* Experience troubleshooting and analyzing remotely deployed software systems
* Experience working with and testing electrical and mechanical systems
* 3\+ Years experience with C\+\+ or Rust experience in a Linux development environment
**Preferred Qualifications**
* MS or PhD
* Experience in one or more of the following: motion planning, perception, localization, mapping, controls, and related system performance metrics.
* Python, Rust, and/or Go experience
* Experience programming for embedded and physical devices
* Multi\-agent coordination of UAVs
* Complex frame transformation problems, such as target localization or multi degree of freedom robotic arms
 US Salary Range
 $191,000—$253,000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44">
      <c r="A44" t="inlineStr">
        <is>
          <t>li-4334690267</t>
        </is>
      </c>
      <c r="B44" t="inlineStr">
        <is>
          <t>Android Software Engineer</t>
        </is>
      </c>
      <c r="C44" t="inlineStr">
        <is>
          <t>DataAnnotation</t>
        </is>
      </c>
      <c r="D44" t="inlineStr">
        <is>
          <t>linkedin</t>
        </is>
      </c>
      <c r="E44" t="inlineStr"/>
      <c r="F44" t="inlineStr"/>
      <c r="G44" t="inlineStr">
        <is>
          <t>Nevada, United States</t>
        </is>
      </c>
      <c r="H44" t="inlineStr"/>
      <c r="I44"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45">
      <c r="A45" t="inlineStr">
        <is>
          <t>li-4334589727</t>
        </is>
      </c>
      <c r="B45" t="inlineStr">
        <is>
          <t>Software Engineer (Mobile Focus)</t>
        </is>
      </c>
      <c r="C45" t="inlineStr">
        <is>
          <t>DataAnnotation</t>
        </is>
      </c>
      <c r="D45" t="inlineStr">
        <is>
          <t>linkedin</t>
        </is>
      </c>
      <c r="E45" t="inlineStr"/>
      <c r="F45" t="inlineStr"/>
      <c r="G45" t="inlineStr">
        <is>
          <t>Maryland, United States</t>
        </is>
      </c>
      <c r="H45" t="inlineStr"/>
      <c r="I45"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46">
      <c r="A46" t="inlineStr">
        <is>
          <t>li-4334761015</t>
        </is>
      </c>
      <c r="B46" t="inlineStr">
        <is>
          <t>Senior Backend Software Engineer</t>
        </is>
      </c>
      <c r="C46" t="inlineStr">
        <is>
          <t>Addison Group</t>
        </is>
      </c>
      <c r="D46" t="inlineStr">
        <is>
          <t>linkedin</t>
        </is>
      </c>
      <c r="E46" t="inlineStr"/>
      <c r="F46" t="inlineStr"/>
      <c r="G46" t="inlineStr">
        <is>
          <t>Washington, DC</t>
        </is>
      </c>
      <c r="H46" t="inlineStr"/>
      <c r="I46" t="inlineStr">
        <is>
          <t>**Job Title:** 
 Senior Backend Software Engineer
**Location:** 
 Remote
**Employment Type:** 
 Contract
**Pay Rate** 
 : $65 \- $70/ hour
**Benefits:** 
 This position is eligible for medical, dental, vision, and 401(k).
**The Role**
 We are seeking a Senior Software Engineer to play a pivotal role in transforming a core financial product.
**Key Responsibilities:**
* Lead the development, testing, and delivery of reliable backend services
* Help define and evolve the system architecture in a service\-oriented environment
* Translate complex business requirements into scalable technical solutions
* Deliver high\-availability, high\-scalability services in a cloud\-native environment
* Mentor peers and foster a strong engineering culture
* Drive innovation through new ideas and continuous improvements
* Work closely with product and design teams throughout the product lifecycle
* Support production systems and participate in the on\-call rotation
**Preferred Background \&amp; Experience:**
* Bachelor’s degree in Computer Science or related field
* 4\+ years of backend development experience with modern tech stacks
* 2\+ years of hands\-on experience with Java, Kotlin, or Scala
* Solid understanding of relational databases (e.g., PostgreSQL) and ORM tools
* Experience with microservices or service\-oriented architecture (SOA)
* Comfortable working in Kubernetes\-based infrastructure environments
* Strong sense of ownership and ability to work end\-to\-end from concept to production
* Familiarity with collaborative development practices like code reviews and CI/CD pipelines
**Nice to Have:**
* Interest in personal finance or experience with consumer financial products
* Familiarity with distributed systems technologies such as Kafka and Docker
* Exposure to full\-stack development (React, TypeScript, or similar)
* Prior experience in fintech, digital banking, or financial services
 ﻿
*Addison Group is an Equal Opportunity Employer. Addison Group provides equal employment opportunities (EEO) to all employees and applicants without regard to race, color, religion, gender, sexual orientation, national origin, age, disability, genetic information, marital status, amnesty, or status as a covered veteran, in accordance with applicable federal, state, and local laws. Reasonable accommodation is available for qualified individuals with disabilities upon request.*</t>
        </is>
      </c>
    </row>
    <row r="47">
      <c r="A47" t="inlineStr">
        <is>
          <t>li-4334760072</t>
        </is>
      </c>
      <c r="B47" t="inlineStr">
        <is>
          <t>Software Engineer (Mobile Focus)</t>
        </is>
      </c>
      <c r="C47" t="inlineStr">
        <is>
          <t>DataAnnotation</t>
        </is>
      </c>
      <c r="D47" t="inlineStr">
        <is>
          <t>linkedin</t>
        </is>
      </c>
      <c r="E47" t="inlineStr"/>
      <c r="F47" t="inlineStr"/>
      <c r="G47" t="inlineStr">
        <is>
          <t>Michigan, United States</t>
        </is>
      </c>
      <c r="H47" t="inlineStr"/>
      <c r="I47"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48">
      <c r="A48" t="inlineStr">
        <is>
          <t>li-4345374305</t>
        </is>
      </c>
      <c r="B48" t="inlineStr">
        <is>
          <t>Senior Software Engineer</t>
        </is>
      </c>
      <c r="C48" t="inlineStr">
        <is>
          <t>RemoteHunter</t>
        </is>
      </c>
      <c r="D48" t="inlineStr">
        <is>
          <t>linkedin</t>
        </is>
      </c>
      <c r="E48" t="inlineStr"/>
      <c r="F48" t="inlineStr"/>
      <c r="G48" t="inlineStr"/>
      <c r="H48" t="inlineStr"/>
      <c r="I48" t="inlineStr">
        <is>
          <t>About the Opportunity:
 This organization is developing next\-generation tools to help educators understand student performance, take timely action, and improve outcomes. The Senior Software Engineer role involves designing and delivering a modern, scalable platform with a single\-page application front\-end framework (VueJS/ReactJS), C\#\-based microservices, and AWS\-native infrastructure, integrating with modern data warehouse and analytics platforms. The role requires close collaboration with product, UX, and data teams to create intuitive, high\-performing features for teachers and school leaders.
 Responsibilities:
 • Design and build front\-end experiences using VueJS/ReactJS
 • Develop rich, responsive applications, dashboards, and reporting workflows
 • Implement reusable components, state management, and scalable front\-end architecture
 • Design and implement backend microservices (primarily in C\#/.NET) for reporting, data access, and business logic
 • Build and consume APIs and data services integrating with modern data warehouses (Clickhouse, Amazon Redshift, BigQuery, Databricks)
 • Collaborate with data engineers to optimize reporting services for performance and scalability
 • Design and implement AWS services (ECS/Lambda, API Gateway, S3, RDS/Redshift, CloudWatch)
 • Advocate and implement best practices for scalability, resilience, security, and cost optimization
 • Champion automated testing, code reviews, and observability (logging, metrics, alerting)
 • Assist in evolving CI/CD pipelines and deployment practices
 • Work with Product Managers and UX Designers to refine requirements and deliver user\-centric solutions
 • Mentor junior and mid\-level engineers and establish engineering standards and practices
 • Participate in technical design discussions and architecture reviews
 Requirements:
 • 5\+ years of professional software engineering experience
 • Strong experience building single\-page applications with React or VueJS (hooks, component patterns, state management, performance optimization)
 • Hands\-on experience designing and building microservices, preferably with C\#/.NET in production
 • AWS experience including design, deployment, and operation of core AWS services
 • Experience working with or integrating against modern data warehouses such as Clickhouse or Amazon Redshift
 • Solid understanding of RESTful APIs, distributed systems, and event\-driven architectures
 • Strong software engineering practices including code reviews, unit and integration testing, version control, and CI/CD
 • Excellent communication skills and ability to work effectively in a cross\-functional, agile team
 Nice to Have:
 • Experience with Python for services, data processing, or automation
 • Background in K–12 education, edtech, or reporting/analytics systems
 • Experience with ETL/ELT tools and patterns (AWS Glue, custom pipelines)
 • Familiarity with Infrastructure as Code (CloudFormation, CDK)
 • Experience with modern data stores (PostgreSQL, SQL Server, DynamoDB, or other NoSQL)
 • Knowledge of observability tools (CloudWatch, Datadog, New Relic)
 • Experience with authentication and authorization frameworks (OAuth2, OpenID Connect, Cognito)
 Benefits \&amp; Perks:
 • Remote First work environment offering flexibility and trust to balance work and life
 • Culture focused on collaboration and inclusivity regardless of location
 • Requirement for reliable internet connection with minimum 10 Mbps download and 5 Mbps upload speeds for remote work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9">
      <c r="A49" t="inlineStr">
        <is>
          <t>li-4259486501</t>
        </is>
      </c>
      <c r="B49" t="inlineStr">
        <is>
          <t>Software Engineer, Connected Warfare</t>
        </is>
      </c>
      <c r="C49" t="inlineStr">
        <is>
          <t>Anduril Industries</t>
        </is>
      </c>
      <c r="D49" t="inlineStr">
        <is>
          <t>linkedin</t>
        </is>
      </c>
      <c r="E49" t="inlineStr"/>
      <c r="F49" t="inlineStr"/>
      <c r="G49" t="inlineStr">
        <is>
          <t>Costa Mesa, CA</t>
        </is>
      </c>
      <c r="H49" t="inlineStr"/>
      <c r="I49"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Connected Warfare division builds systems to support global command and control missions. We create joint, time sensitive, multi domain, ubiquitous, connected mesh ecosystems. Our ecosystem enables connected warfare with disproportional impact by connecting every robot, human, and sensor in every domain, bringing together hundreds of thousands of end points across the globe. We are the substrate that provides the source of truth for time sensitive decision, effectively transforming the way that militaries close kills chains and enable mission autonomy.
 The Menace Platform group is developing a first of it’s kind Platform built for the tactical edge, where connectivity is contested, latency costs lives, and resilience defines victory. Built on Anduril’s field\-proven Menace and Voyager systems, and powered by the company’s Lattice orchestration framework and distributed Fabric and Data Mesh, the Menace Platform allows warfighters, allies, and partners to deploy applications, share data, and make decisions at machine speed—even when disconnected.
 As a Software Engineer in the Menace Platform group, you will be responsible for solving novel problems aligned with the goal of creating the next generation distributed data layer and mesh ecosystem for the United States and its allies. You will build the foundation that supports this mission. We spend time thinking critically and designing intentionally against what the system’s end state needs to look like while making pragmatic tradeoffs to deliver against customers’ immediate needs. We keep the mission top\-of\-mind while making sound engineering decisions to deliver on\-time, high quality software and pre\-emptively meet the challenges of the future.
**What You’ll Do**
* Own software spanning Menace Platform: mesh platform, data interfaces, and release management
* Deliver well architected systems through clear interfaces across components, code reviews, design reviews and modern software engineering practices.
* Champion test\-ability, portability, monitoring, scalability, reliability, and maintainability as core parts of software delivery.
* Generate software solutions from problem definition and solution design, through to implementation and delivery to customers
* Collaborate across multiple teams to plan, build, and test complex functionality
* Triage issues, root cause failures, and coordinate next\-steps
* Travel up to 10% of time to collaborate with teammates and understand real world operating conditions
**Required Qualifications**
* 3\+ years experience designing and developing software
* A bias towards rapid delivery and iteration, extreme ownership, and strong opinions with low ego
* Ability to quickly understand and navigate complex systems and established code bases
* A desire to work on critical software that has a real\-world impact
* A bias towards rapid delivery and iteration, extreme ownership, and strong opinions with low ego
* Eligible to obtain and maintain an active U.S. Top Secret security clearance
**Preferred Qualifications**
* Experience designing APIs for use in distributed systems
* Experience building modeling and simulation environments for distributed systems operating in non\-standard networking conditions
* Familiarity with modern build and deployment tooling (e.g. NixOS, Terraform)
* Familiarity with industry standard cloud platforms (AWS, Azure) and software infrastructure fundamentals (networking, security, distributed systems)
* A deep, demonstrated understanding of how computers and networks work, from a single desktop to a multi\-cluster cloud node
* Professional software development lifecycle experience using tools such as version control, CICD systems, etc.
* Familiarity with industry standard monitoring, logging, and data management tools and best practices
 US Salary Range
 $129,000—$292,000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50">
      <c r="A50" t="inlineStr">
        <is>
          <t>li-4343445347</t>
        </is>
      </c>
      <c r="B50" t="inlineStr">
        <is>
          <t>Sr. Software Engineer - ETL, AVP</t>
        </is>
      </c>
      <c r="C50" t="inlineStr">
        <is>
          <t>State Street</t>
        </is>
      </c>
      <c r="D50" t="inlineStr">
        <is>
          <t>linkedin</t>
        </is>
      </c>
      <c r="E50" t="inlineStr"/>
      <c r="F50" t="inlineStr"/>
      <c r="G50" t="inlineStr">
        <is>
          <t>Burlington, MA</t>
        </is>
      </c>
      <c r="H50" t="inlineStr"/>
      <c r="I50" t="inlineStr">
        <is>
          <t>**Summary**
 Contribute to the enhancement and maintenance of one or more Alpha Data Platform modules or components as a senior member of an agile scrum team. Provide engineering troubleshooting assistance to customer support teams and other development teams within Charles River.
**As An ETL Developer You Will**
* Develop, test, debug, and implement software programs, applications and projects using Java, SQL, Java, or other related software engineering languages as well as keeping abreast of emerging technologies impactful to CRDs business
* Collaborate with Business Analysts and Product Managers to create simple and sustainable software solutions for complex problems
* Direct problem solving for projects or major phases of projects to resolve software technical issues
* Provide informed guidance and critical analysis of proposed changes during code reviews
* Write unit and automation tests to ensure a high\-quality product.
* Identify ways of improving development test methodologies contribute to and related test methodology frameworks
* Conduct manual tests to ensure a high\-quality product.
* Provide troubleshooting on large, mission critical client implementations
* Engage in the agile software development process by adhering to and advancing the CRD scrum methodology, including attending all daily standups, sprint planning, backlog grooming, and retrospectives
* Plan and coordinate cross\-team activities groups to complete assignments.
**Stack: Java, Spring, Microservices, React, SQL, Azure Cloud, Kubernetes, Snowflake**
**What We Value**
**Desired skills and competencies:**
* Knowledge of SQL and experience with RBDMS
* Experience in development of cloud native services (Azure experience a bonus)
* Experience with Kafka, Snowflake, Kubernetes, Tomcat will be a strong asset
**Qualifications**
**Education:**
 B.S. degree (or foreign education equivalent) in Computer Science, Engineering, Mathematics, and Physics or other technical course of study required. MS degree strongly preferred.
**Salary Range**
 $90,000 \- $157,500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
 Job ID: R\-781654</t>
        </is>
      </c>
    </row>
    <row r="51">
      <c r="A51" t="inlineStr">
        <is>
          <t>li-4321273574</t>
        </is>
      </c>
      <c r="B51" t="inlineStr">
        <is>
          <t>Embedded Software Engineer – C++</t>
        </is>
      </c>
      <c r="C51" t="inlineStr">
        <is>
          <t>ARi</t>
        </is>
      </c>
      <c r="D51" t="inlineStr">
        <is>
          <t>linkedin</t>
        </is>
      </c>
      <c r="E51" t="inlineStr"/>
      <c r="F51" t="inlineStr"/>
      <c r="G51" t="inlineStr"/>
      <c r="H51" t="inlineStr"/>
      <c r="I51" t="inlineStr">
        <is>
          <t>ARi, headquartered in East Peoria, IL, USA, is a rapidly expanding global engineering enterprise. The essence of our “i” symbolizes our distinctiveness from competitors – an embodiment of innovation, intelligence, ingenuity, and insight. Boasting a diverse team of over 1,500 engineering experts hailing from various nations and cultures across the globe, we are excellently poised to provide intricate and personalized resolutions to our esteemed clients.
**Duties/Responsibilities**
* Design and implement display software features that meet Machine and Engine customer requirements
* Implement and run automated and manual tests to ensure high quality and sufficient test coverage
* Continually improve the software through refactoring to allow easier implementation of current and future display software features
* Participate in team planning through activities such as story estimation and story commitment
**Education/Experience**
* BSEE, BSCE, or BSCS
* 3\-5 years on Embedded C\+\+
**Required Skills**
* 3\-5 years of C\+\+, Modern C\+\+ (11/14/17\)
* Experience using Design Patterns in software development. Meaningful design patterns experience (better than Singleton design pattern)
* Strong unit testing experience
* CI/CD
* Demonstrates some interest in software development as as hobby or passion
* Experience with Linux development and bash scripting
* Experience with CAN, J1939 and other data link protocols
**The Benefits Of Working At ARi**
 At ARi, our commitment to our employees goes beyond the workplace, ensuring comprehensive benefits. From day one, full\-time employees enjoy group health, dental, and life insurance coverage. Additionally, vision coverage is accessible starting the following month.
 Recognizing the significance of rejuvenation, we provide paid time off, sick days, company holidays, and maternity/paternity leave to our full\-time staff. In times of loss, we also offer bereavement support. Furthermore, a 401(k) program is maintained for eligible employees.
 Recognizing the significance of rejuvenation, we provide paid time off, sick days, company holidays, and maternity/paternity leave to our full\-time staff. In times of loss, we also offer bereavement support. Furthermore, a 401(k) program is maintained for eligible employees.</t>
        </is>
      </c>
    </row>
    <row r="52">
      <c r="A52" t="inlineStr">
        <is>
          <t>li-4359629836</t>
        </is>
      </c>
      <c r="B52" t="inlineStr">
        <is>
          <t>Senior Software Engineer with Hardware Interfacing (Hybrid)</t>
        </is>
      </c>
      <c r="C52" t="inlineStr">
        <is>
          <t>SGS</t>
        </is>
      </c>
      <c r="D52" t="inlineStr">
        <is>
          <t>linkedin</t>
        </is>
      </c>
      <c r="E52" t="inlineStr"/>
      <c r="F52" t="inlineStr"/>
      <c r="G52" t="inlineStr">
        <is>
          <t>Farmingdale, NY</t>
        </is>
      </c>
      <c r="H52" t="inlineStr"/>
      <c r="I52" t="inlineStr">
        <is>
          <t>**Company Description**
 SGS is the global leader and innovator in inspection, verification, testing and certification services. Founded in 1878, SGS is recognized as the global benchmark in quality and integrity. With over 99,600 employees in 130 countries and operating a network of more than 2,600 offices and laboratories, we provide services to almost every industry by assuring quality and safety of products and services.
 Trusted all over the world, SGS is a market leader because we put 100% passion, pride, and innovation into everything we do. We encourage new ideas. We welcome people who challenge the way we do things. And we will be 100% committed to helping you reach your full potential.
**Job Description**
 The Senior Software Engineer (with hardware interfacing) is responsible for the design, delivery, support, and improvement of complex in\-house software applications in a laboratory environment, in a variety of languages (primarily C\# and WPF). They design and develop solutions, based on scientific test specifications and/or laboratory requirements, which acquire data from laboratory apparatus and provide intuitive user interfaces needed to accomplish complex scientific tasks. They perform coding, debugging, testing, and troubleshooting throughout the software development life cycle and they work with onsite laboratory staff to help diagnose and resolve problems in software/hardware interfaces.
**This position will need to be on\-site at the Farmingdale, NY facility as needed.**
* Leads development projects to provide new or enhanced functionality for internal and external customers external customers.
* Designs, codes, tests and documents new systems or enhancements to existing systems and prepares the appropriate documentation.
* Applies the principles of software engineering to the design, development, maintenance, testing, and evaluation of computer software.
* Executes full software development life cycle (SDLC).
* Develops flowcharts, layouts, and documentation to identify requirements and solutions.
* Writes well\-designed, testable code.
* Provides implementation and post\-implementation triage and support of business software solutions by programming and/or configuring enhancements to new or packaged\-based systems and applications.
* Produces specifications and determines operational feasibility.
* Integrates software components into a fully functional software system.
* Develops software verification plans and quality assurance procedures.
* Oversees development of test data, system testing, and documentation for all phases of the software development life cycle.
* Performs quality assurance on applicable functionality.
* Documents and maintains software functionality. Reviews and makes changes to technical specifications and documentation.
* Troubleshoots, debugs and upgrades existing systems.
* Deploys programs and evaluates user feedback.
* Ensures software is updated with latest features.
* May oversee the training of users in operating procedures for application.
* Complies with project plans and industry standards.
* Adheres to internal standards, policies and procedures.
* Performs other duties as assigned.
* May assume a team lead role for the work group and may lead projects
**Qualifications**
**Education and Experience**
* Bachelor’s degree in information technology, Computer Science, Computer Engineering, or related discipline (Required)
* Solid understanding and experience designing, troubleshooting, interfacing software applications with low voltage electronic circuits (Required)
* Hands\-on experience with Multi\-Function DAQ (Data Acquisition) devices featuring multi\-channel analog inputs/outputs and digital I/O. Experience includes signal conditioning, channel calibration, and developing software interfaces for data acquisition and analysis. (Preferred)
* 7\+ years of experience, including 3\+ years’ experience as a senior software engineer
* Expertise in at least one compiled language (Java, C, C\#, etc.)
* Solid understanding of software engineering principles, frameworks, and technologies
* Prior experience directly gathering and analyzing end user requirements
**Knowledge, Skills And Abilities**
* Demonstrated software development experience in computational science, engineering, computer science, or applied math. (Required)
* Strong customer service orientation (Required)
* Ability to work effectively in a team environment and as individual contributor (Required)
* Excellent analytical, reasoning, and problem\-solving skills (Required)
* Excellent organizational and time management skills (Required)
* Excellent verbal and written communication, and interpersonal skills (Required)
* Highly focused attention to detail (Required)
* Project management skills and ability to manage complex projects (Required)
**Computer Skills**
* Software development, specifically desktop applications using C\# and one or more of the following: WPF, WinForms (Required)
* Software development using .NET, .NET Core, ASP.NET, Angular, Entity Framework, SQL, and/or Relational DB (Preferred)
* Software development in a team environment using MS Azure DevOps (Required)
* Internal/external client support (Required)
* Troubleshoot problems and solving bugs (Required)
* Software design patterns (Required)
* Data encapsulation (Required)
* Object Oriented Design (Required)
* Functional programming (Required)
* Unit Testing (Required)
* Interconnect hardware and software (e.g. PLC’s, using actuators and scales) (Required)
* Data structures and operating systems internals (Required)
* Windows operating systems (Required)
**Our Benefits**
 We care about your total well\-being and will support you with the following, subject to your location and role.
* Health: Medical, dental and vision insurance, life insurance, employee wellness programs
* Wealth: Competitive pay, 401(k) with company match (immediate vesting upon enrollment), employee referral program
* Happiness:
+ Professional Growth: Online training courses, virtual and classroom development experiences, tuition reimbursement program
+ Work\-Life Balance: Paid\-time off (vacation, sick, company holidays, floating holidays, volunteer time)
**Additional Information**
 SGS is an Equal Opportunity Employer, and as such we recruit, hire, train, and promote persons in all job classifications without regard to race, color, religion, sex, national origin, disability, age, marital status, sexual orientation, gender identity or expression, genetics, status as a protected veteran, or any other characteristics protected by law.
 To perform this job successfully, an individual must be able to perform each essential duty satisfactorily with or without reasonable accommodations. The requirements listed above are representative of the knowledge, skills, and/or abilities required.
 This job description should not be construed as an exhaustive statement of duties, responsibilities or requirements, but a general description of the job. Nothing contained herein restricts the company’s rights to assign or reassign duties and responsibilities to this job at any time.
 If you are applying for a position within the United States and you have difficulty completing the on\-line employment application because of a disability, please call 201\-508\-3149 for assistance and leave a message. You will receive a call back. Please note, this phone number is not for general employment information, but is only for individuals who are experiencing difficulty applying for a position due to a disability.</t>
        </is>
      </c>
    </row>
    <row r="53">
      <c r="A53" t="inlineStr">
        <is>
          <t>li-4360606276</t>
        </is>
      </c>
      <c r="B53" t="inlineStr">
        <is>
          <t>Sr Software Developer</t>
        </is>
      </c>
      <c r="C53" t="inlineStr">
        <is>
          <t>BECU</t>
        </is>
      </c>
      <c r="D53" t="inlineStr">
        <is>
          <t>linkedin</t>
        </is>
      </c>
      <c r="E53" t="inlineStr"/>
      <c r="F53" t="inlineStr"/>
      <c r="G53" t="inlineStr">
        <is>
          <t>Arizona, United States</t>
        </is>
      </c>
      <c r="H53" t="inlineStr"/>
      <c r="I53" t="inlineStr">
        <is>
          <t>Is it surprising to hear that a financial institution of 1\.5 million members and over $30 billion in managed assets say that success comes from focusing on people, not profits?
 Our “people helping people” philosophy has guided us since 1935, driving our deep commitment to serving our members, communities, and each other. When you join our team, you become part of a purpose\-driven organization where your work makes a real difference.
 While we’re proud of our history, we’re even more excited about our future. With business and technology transformation on the horizon, there’s never been a better time to be part of BECU.
**PAY RANGE**
 The Target Pay Range for this position is $138,300\.00\-$169,000\.00 annually. The full Pay Range is $107,400\.00 \- $199,900\.00 annually. At BECU, compensation decisions are determined using factors such as relevant job\-related skills, experience, and education or training. Should an offer for employment be made, we will consider individual qualifications. In addition to your salary, compensation incentives are available for the hired applicant. Incentives are performance based and targets vary by role.
**Benefits**
 Employees and their eligible family members have access to a wide array of employee benefits, such as medical, dental, vision and life insurance coverage. Employees have access to disability and AD\&amp;D insurance. We also offer health care and dependent care flexible spending accounts, as well as health savings accounts, to eligible employees. Employees are able to enroll in our company’s 401k plan and employer\-funded retirement plan. Newly hired employees accrue 6\.16 hours of paid time off (PTO) on a per pay period basis based on hours worked (up to a maximum of 160 PTO hours per year) and receive ten paid holidays throughout the calendar year. Additional details regarding BECU Benefits can be found here.
**Impact You’ll Make**
 As a Sr. Software Developer, you’ll play a pivotal role in transforming BECU’s mortgage experience by helping build API's to support a modern Loan Origination System (LOS). You’ll lead development efforts that directly impact our members, ensuring smoother, more reliable loan processes. Your work will span from designing scalable APIs to mentoring teammates and collaborating across agile workstreams. This is your opportunity to shape the future of mortgage technology at BECU while growing your own technical leadership. You’ll be part of a team that values innovation, collaboration, and long\-term impact.
**To join our dynamic team, we require candidates to be residents of WA, OR, ID, AZ, TX, GA, or SC.** 
 If you’re located in Washington state and within a reasonable driving distance from Tukwila, we are requesting that you come into our HQ on Tuesdays \&amp; Wednesdays. For those candidates that live outside the commute distance of TFC and in any of our approved remote work locations, this role will be remote. Remote or onsite, we are committed to ensuring you are fully engaged and included in our collaborative environment.
**What You’ll Do**
* Lead Development Efforts: Drive the design and implementation of scalable, secure software solutions using C\#/.NET, SQL, and Git workflows.
* Build Mortgage Technology: Collaborate on the development of custom APIs and configurations for ICE Encompass, supporting the transition to a new LOS.
* Architect and Design Systems: Contribute to system architecture, data models, and database migrations that support long\-term scalability and performance.
* Drive Agile Delivery: Participate in agile ceremonies and contribute to one of five workstreams focused on reporting, environments, data, and more.
* Ensure Secure Development: Apply secure coding practices and static code analysis tools to maintain high standards of security and reliability.
* Automate and Optimize: Lead efforts to automate business processes and improve interactions across systems with limited business guidance.
* Communicate and Present: Share technical insights with the broader engineering community and contribute to BECU’s technology roadmap.
* Support Post\-Implementation: Shadow implementation efforts and prepare for long\-term support, including debugging and vendor coordination.
 “This isn’t just about ticking off tasks on a list. It's about making a significant, positive change in BECU’s journey, where your contributions are valued, and your growth is continually fostered.”
**What You’ll Gain**
* High\-Impact Work: Be part of a major transformation that directly improves the mortgage experience for BECU members.
* Cross\-Team Collaboration: Work closely with implementation partners, business teams, and internal stakeholders across departments.
* Innovation Opportunities: Contribute to greenfield development and explore modern tools like ICE Encompass, Azure, and machine learning frameworks.
* Growth \&amp; Recognition: Your contributions will be visible, valued, and celebrated — with clear KPIs and feedback from stakeholders.
**Qualifications**
**Minimum Qualifications:**
* Bachelor’s degree in Computer Science or related discipline, or equivalent work experience.
* Minimum five years of experience designing software and writing production code in a team environment.
* Deep understanding of Secure Development best practices, demonstrated by regular use of static code analysis tools.
* Proven ability to deliver highly scalable solutions in multiple programming languages and technical environments.
* Demonstrated expertise with one of the following: .NET, C\#, node.js, modern JavaScript Frameworks (React, Angular), or Python.
* System administration and automation with PowerShell or bash.
* Experience with public cloud technologies (Azure/AWS/Google Cloud).
* Deep experience in one of the following domains: server\-side web dev, client\-side web dev, REST/web services, ML frameworks, networking, or service mesh.
* Expertise with SOLID design principles, Object\-Oriented Programming and Design.
* Experience with SOA patterns and distributed systems design.
* Expertise with CI/CD tools (Azure DevOps, GitHub Actions, Jenkins, TeamCity).
* Proficiency in building deployment pipelines in YAML.
* Deep expertise in Test Driven Development and testing tools.
* Experience using git, including code reviews, pull requests, and branching standards.
* Experience presenting to technically adept audiences.
* Experience with SQL, large datasets, data warehousing, ETL processes, and analytics engines.
* Proven ability to stay current with emerging technologies.
* Proven experience collaborating across teams to deliver solutions through all aspects of the SDLC.
* Proficient verbal and written communication skills.
* Full\-time hours required.
**Desired Qualifications**
* Experience with mortgage domain specifically with ICE Encompass integrations
* Azure certifications.
* Familiarity with JavaScript frameworks (React, Angular, TypeScript).
* Familiarity DB, Postman, Azure Functions, YAML, Agile/Scrum Methodologies
* Exposure to PowerShell/Bash, machine learning frameworks, and open\-source libraries.
* Knowledge of cloud\-hosted SQL\-based datastores and NoSQL systems.
**JOIN THE JOURNEY**
 Ready to make an indelible impact? Eager to be a part of a collaborative and innovative team where your ideas and contributions don’t just fill a role, but fuel the growth and success of BECU?
**EEO Statement**
 BECU is an equal opportunity employer. All qualified applicants will receive consideration for employment without regard to race, color, religion, sex, national origin, veteran status, disability, sexual orientation, gender identity, or any other protected status.</t>
        </is>
      </c>
    </row>
    <row r="54">
      <c r="A54" t="inlineStr">
        <is>
          <t>li-4345344417</t>
        </is>
      </c>
      <c r="B54" t="inlineStr">
        <is>
          <t>Senior Software Engineer, Real Time</t>
        </is>
      </c>
      <c r="C54" t="inlineStr">
        <is>
          <t>RemoteHunter</t>
        </is>
      </c>
      <c r="D54" t="inlineStr">
        <is>
          <t>linkedin</t>
        </is>
      </c>
      <c r="E54" t="inlineStr"/>
      <c r="F54" t="inlineStr"/>
      <c r="G54" t="inlineStr"/>
      <c r="H54" t="inlineStr"/>
      <c r="I54" t="inlineStr">
        <is>
          <t>About the Opportunity:
 The organization provides a safety technology platform that supports communities by proactively preventing crime and enhancing security. Its hardware and software connect cities, law enforcement, businesses, schools, and neighborhoods in a public\-private safety network nationwide. The role involves joining the Real\-Time team to build essential tools for first responders, law enforcement, and commercial clients, focusing on developing and refining a client\-facing product that delivers real\-time data and features such as hot lists, mapping solutions, web\-socket functionality, and mobile integrations. The position includes direct customer interaction and opportunities to influence critical technology solutions.
 Responsibilities:
 • Develop and refine client\-facing real\-time data tools
 • Work on key features including hot list tools, mapping solutions, web\-socket functionality, and mobile integrations
 • Collaborate with clients to build technology solutions for real\-time crime centers
 • Deliver high\-impact results through direct customer interaction
 • Contribute to engineering tasks and participate in technical discussions
 • Spread knowledge through public communication channels
 • Own the full lifecycle of assigned work
 • Engage in cross\-team communication to solve problems
 • Participate in at least one customer call within the first 90 days
 Requirements:
 • Strong coding skills with a continuous learning mindset
 • Problem\-solving motivation for unknown and complex challenges
 • Up\-to\-date knowledge of latest web technologies
 • Familiarity with Typescript (Node) and general API design
 • Proficiency in React with Typescript
 • Experience with various data stores, especially PostgreSQL
 • Knowledge of observability and monitoring tools such as DataDog and Grafana
 • Experience with WebSocket protocols and deploying applications to Kubernetes using Helm
 • Familiarity with AWS services like S3, API Gateway, and SQS
 Compensation:
 • Starting salary range between $171,000 and $190,000
 • Stock options included
 • Salary based on experience, education, and market factors
 Benefits \&amp; Perks:
 • Flexible PTO plus 11 company holidays
 • Fully paid medical, dental, vision insurance, and HSA match
 • 12 weeks of 100% paid parental leave; additional 6\-8 weeks for birthing parents
 • $50,000 lifetime maximum benefit for adoption, surrogacy, or fertility expenses via partnered digital health service
 • Mental health benefits including therapy, coaching, and medication management
 • Caregiver support services available
 • 1:1 sessions with equity tax advisors
 • Employee Resource Groups supporting diversity and inclusion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5">
      <c r="A55" t="inlineStr">
        <is>
          <t>li-4343904526</t>
        </is>
      </c>
      <c r="B55" t="inlineStr">
        <is>
          <t>Software Engineer II</t>
        </is>
      </c>
      <c r="C55" t="inlineStr">
        <is>
          <t>Microsoft</t>
        </is>
      </c>
      <c r="D55" t="inlineStr">
        <is>
          <t>linkedin</t>
        </is>
      </c>
      <c r="E55" t="inlineStr"/>
      <c r="F55" t="inlineStr"/>
      <c r="G55" t="inlineStr">
        <is>
          <t>Redmond, WA</t>
        </is>
      </c>
      <c r="H55" t="inlineStr"/>
      <c r="I55" t="inlineStr">
        <is>
          <t>**Overview**
 Microsoft Silicon, Cloud Hardware, and Infrastructure Engineering (SCHIE) is the team behind Microsoft’s expanding Cloud Infrastructure and responsible for powering Microsoft’s “Intelligent Cloud” mission. SCHIE delivers the core infrastructure and foundational technologies for Microsoft's over 200 online businesses including Bing, MSN, Office 365, Xbox Live, Teams, OneDrive, and the Microsoft Azure platform globally with our server and data center infrastructure, security and compliance, operations, globalization, and manageability solutions. Our focus is on smart growth, high efficiency, and deliver trusted experience to customers and partners worldwide and we are looking for passionate, high\-energy engineers to help achieve that mission.
 We in SCHIE’s Firmware Center of Excellence create the foundational firmware that powers the Microsoft Cloud. Our firmware lights up millions of servers and racks across the globe, enabling users to do everything from running blogs to crunching through powerful Artificial Intelligence (AI) algorithms. We’re a growing team of diverse, talented \&amp; passionate engineers inventing and delivering technology to light up the “world’s computer!” We are working on the next generation hardware/firmware for server, silicon and rack infrastructure with a focus on innovation in firmware technology to secure Azure infrastructure for Microsoft and their customers. We believe that a robust firmware infrastructure leads to incredibly powerful computing experiences—if you believe this too, we need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Contribute to all phases of Software design, architecture, development, validation, deployment and support.
* Collaborate with cross\-functional teams including hardware engineers, software developers, validation \&amp; integration, and product managers to define firmware requirements and specifications.
* Develop and maintain firmware architecture, ensuring scalability, modularity, and maintainability.
* Ensures compliance with security, threat model, privacy, safety, and accessibility standards, leverages developer tools for code creation and debugging, contributes to automation in production and deployment, and proactively seeks knowledge to improve product availability, reliability, efficiency, and performance at scale.
* Evaluates AI technologies (such as LLMs, SLMs, embeddings) and architectures (such as orchestration patterns, RAG, etc) when developing solutions. Specifies or implements AI platform improvements like fine\-tuning or training custom ML models.
* Collaborate with a variety of stakeholders hardware engineering, electrical engineering, firmware engineering, system architects, program management, external partners etc. to create delightful and robust software solutions.
* You will solve problems relating to mission\-critical services and build automation to prevent problem recurrence.
* Stay up\-to\-date with industry trends and advancements in firmware technologies, and provide recommendations for improvement.
* Contribute to product vision and roadmap by bringing innovation to server manageability ecosystem.
* Perform system\-level debugging and troubleshooting to identify and resolve hardware/firmware\-related issues.
* Design and implement firmware modules to support various hardware interfaces, including USB, SPI, I2C, I3C, PCIe, and other related protocols.
* Define \&amp; measure the success/impact of requested analytics \&amp; reporting features via quantitative measures.
* Contributes to data analysis and feedback integration for product engineering decisions, acting as a Designated Responsible Individual (DRI) for monitoring and restoring system functionality within Service Level Agreement (SLA) timeframe. Participates in live service operations, and supports telemetry data integration for system behavior insights, with a focus on performance, reliability, and safety.
* Supports the identification of dependencies and design documentation for product features, learns about system interactions and back\-end dependencies, and contributes to architectural processes under guidance.
* Produces code to test hypotheses for technical solutions and assist with technical validation efforts. Collaborates on quality assurance plans, augments test cases, and integrates automation into testing, while understanding the implications of security and compliance in system architecture.
* Understands and applies Microsoft’s responsible AI practices to ensure systems meet our commitments to our customers.
**Qualifications**
**Required Qualifications**
* Bachelor's Degree in Computer Science or related technical field AND 2\+ years technical engineering experience with coding in languages including, but not limited to, C, C\+\+, C\#, Java, JavaScript, or Python
+ OR equivalent experience.
**Other Qualifications**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Bachelor's Degree in Computer Science or related technical field AND 5\+ year(s) technical engineering experience with coding in languages including, but not limited to, C, C\+\+, C\#, Java, JavaScript, or Python OR equivalent experience.
- 
* OR Master's Degree (or currently pursuing a degree) in Computer Science or related technical field with proven experience coding in languages including, but not limited to, C, C\+\+, C\#, Java, JavaScript, or Python.
* Experience in object\-oriented programming, SDE Fundamentals, programming. Professional experience in architecting, designing and developing firmware/software solutions.
* Demonstrated interest in/experience with AI/ML technologies.
* Experience with Azure Data Explorer (Kusto) and Kusto Query Language (KQL) for querying, analyzing, and visualizing large datasets.
* Experience with Platform initialization, Board support package integration, low level drivers for peripherals such as PCIe, I2C, eMMC, SPI, USB, UARTs as well as Memory Management, Scheduling, Interrupts and multi\-threading.
* Experience with Architecting, Designing and delivering on new Data Center class technologies across the entire platform.
* Hands\-on experience building and automating CI/CD pipelines in Azure DevOps using YAML for multi\-environment deployments.
* Experience in Windows and Linux Operating Systems.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6">
      <c r="A56" t="inlineStr">
        <is>
          <t>li-4339422133</t>
        </is>
      </c>
      <c r="B56" t="inlineStr">
        <is>
          <t>Staff Backend Engineer</t>
        </is>
      </c>
      <c r="C56" t="inlineStr">
        <is>
          <t>Commure</t>
        </is>
      </c>
      <c r="D56" t="inlineStr">
        <is>
          <t>linkedin</t>
        </is>
      </c>
      <c r="E56" t="inlineStr"/>
      <c r="F56" t="inlineStr"/>
      <c r="G56" t="inlineStr">
        <is>
          <t>Los Angeles, CA</t>
        </is>
      </c>
      <c r="H56" t="inlineStr"/>
      <c r="I56" t="inlineStr">
        <is>
          <t>At Commure, our mission is to simplify healthcare. We have bold ambitions to reimagine the healthcare experience, setting a new standard for how care is delivered and experienced across the industry. Our growing suite of AI solutions spans ambient AI clinical documentation, provider copilots, autonomous coding, revenue cycle management and more — all designed for providers \&amp; administrators to focus on what matters most: providing care.
 Healthcare is a $4\.5 trillion industry with more than $500 billion spent annually on administrative costs, and Commure is at the heart of transforming it. We power over 500,000 clinicians across hundreds of care sites nationwide – more than $10 billion flows through our systems and we support over 100 million patient interactions. With new product launches on the horizon, expansion into additional care segments, and a bold vision to tackle healthcare's most pressing challenges, our ambition is to move from upstart innovator to the industry standard over the next few years.
 Commure was recently named to Fortune’s Future 50 list for 2025 and is backed by world\-class investors including General Catalyst, Sequoia, Y Combinator, Lux, Human Capital, 8VC, Greenoaks Capital, Elad Gil, and more. Commure has achieved over 300% year\-over\-year growth for the past two years and this is only the beginning. Healthcare's moment for AI\-powered transformation is here, and we're building the technology to power it. Come join us in shaping the future of healthcare.
**About The Role**
 At Commure, our engineering team is at the forefront of revolutionizing healthcare technology by building and scaling the systems powering our suite of healthcare products. We are looking for a talented
 **Staff** 
**Backend** 
**Engineer** 
 to help us craft user\-friendly, responsive, and secure interfaces that operate reliably at scale and enhance the healthcare experience for both providers and patients. If you are a builder and love working on important, exciting problems in healthcare and love shipping quickly, come join us!
**What You’ll Do**
* Influence and craft the roadmap for teams, ensuring technical excellence and an engineering organization that scale reliably with the business
* Be a part of a tremendously fast\-paced team that celebrates large ambition and making decisions quickly
* Work across the entire technology stack, including but not limited to Python, Go, FastAPI, Flask, and other frameworks
* Lead technical planning and execution for new features, balancing technical feasibility, usability, and business impact
* Design and refine systems to enforce best practices for code quality, testing, and deployment
* Collaborate with product managers, designers, and clinical experts to translate requirements into intuitive and efficient UI solutions
* Work directly with customers to solve their issues daily
**What You Have**
* Bachelor’s or Master’s degree in Computer Science, Engineering, or a related field, or equivalent extensive experience
* 8\+ years of professional experience in software development industry experience
* Strong Backend Programming Skills (We use Python and Go)
* General Understanding of Containers and Cloud (Docker, Kubernetes)
* Strong debugging and problem\-solving skills and a history of demonstrated resourcefulness
* Track record of making successful architectural decisions to deliver multi\-month, high\-impact projects
* Strong communication skills and the ability to interface with both technical and non\-technical stakeholders
* Experience in environments where you have to ship quickly. We move fast and deploy daily.
* Excitement to work in a high\-impact field with a builder attitude!
* Attention to detail around user experience and customer needs
* Growth mindset and a motivation to grow
 Commure is committed to creating and fostering a diverse team. We are open to all backgrounds and levels of experience, and believe that great people can always find a place. We are committed to providing reasonable accommodations to all applicants throughout the application process.
 Please be aware that all official communication from us will come exclusively from email addresses ending in
 **@** 
**getathelas.com** 
 ,
 **@** 
**commure.com** 
 or
 **@** 
**augmedix.com** 
 . Any emails from other domains are not affiliated with our organization.
 Employees will act in accordance with the organization’s information security policies, to include but not limited to protecting assets from unauthorized access, disclosure, modification, destruction or interference nor execute particular security processes or activities. Employees will report to the information security office any confirmed or potential events or other risks to the organization. Employees will be required to attest to these requirements upon hire and on an annual basis.
 Compensation Range: $200K \- $250K</t>
        </is>
      </c>
    </row>
    <row r="57">
      <c r="A57" t="inlineStr">
        <is>
          <t>li-4359769065</t>
        </is>
      </c>
      <c r="B57" t="inlineStr">
        <is>
          <t>Sr Software Developer</t>
        </is>
      </c>
      <c r="C57" t="inlineStr">
        <is>
          <t>BECU</t>
        </is>
      </c>
      <c r="D57" t="inlineStr">
        <is>
          <t>linkedin</t>
        </is>
      </c>
      <c r="E57" t="inlineStr"/>
      <c r="F57" t="inlineStr"/>
      <c r="G57" t="inlineStr">
        <is>
          <t>Arizona, United States</t>
        </is>
      </c>
      <c r="H57" t="inlineStr"/>
      <c r="I57" t="inlineStr">
        <is>
          <t>Is it surprising to hear that a financial institution of 1\.5 million members and over $30 billion in managed assets say that success comes from focusing on people, not profits?
 Our “people helping people” philosophy has guided us since 1935, driving our deep commitment to serving our members, communities, and each other. When you join our team, you become part of a purpose\-driven organization where your work makes a real difference.
 While we’re proud of our history, we’re even more excited about our future. With business and technology transformation on the horizon, there’s never been a better time to be part of BECU.
**PAY RANGE**
 The Target Pay Range for this position is $138,300\.00\-$169,000\.00 annually. The full Pay Range is $107,400\.00 \- $199,900\.00 annually. At BECU, compensation decisions are determined using factors such as relevant job\-related skills, experience, and education or training. Should an offer for employment be made, we will consider individual qualifications. In addition to your salary, compensation incentives are available for the hired applicant. Incentives are performance based and targets vary by role.
**BENEFITS – Because People Helping People Starts With Supporting You**
* 401(k) Company Match (up to 3%)
* 4% annual contribution to your 401(k) by BECU
* Medical, Dental and Vision (family contributions as well)
* PTO Program \+ Exchange Program
* Tuition Reimbursement Program
* BECU Cares volunteer time off \+ donation match
**Impact You’ll Make**
 As a Sr. Software Developer at BECU, you will leverage deep expertise in software development, system engineering, and DevOps to support and modernize our Enterprise Content Management (ECM) platform. In this role, you’ll design and deliver secure, scalable solutions that enhance member experiences, lead modernization initiatives, and influence technology strategy. Your work will shape architecture, elevate coding standards, and transform business challenges into innovative technical solutions.
**To join our dynamic team, we require candidates to be residents of WA, OR, ID, AZ, TX, GA, SC, NC, CA or VA.** 
 If you’re located in Washington state and within a reasonable driving distance from Tukwila, we are requesting that you come into our HQ on Tuesdays \&amp; Wednesdays. For those candidates that live outside the commute distance of TFC and in any of our approved remote work locations, this role will be remote. Remote or onsite, we are committed to ensuring you are fully engaged and included in our collaborative environment.
**What You’ll Do**
* Lead Development Excellence: Guide teams through design, coding, and testing, ensuring high\-quality, scalable solutions that meet business needs.
* Oversee Platform Operations: Perform server maintenance, execute OS upgrades, vendor product upgrades, configurations, and data center migrations.
* Manage Storage and Capacity: Monitor file shares and storage capacity across environments to ensure optimal performance.
* Conduct System Analysis: Perform capacity planning, system performance analysis, and disaster recovery testing.
* Collaborate Across Teams: Work closely with network, DBA, and vendor teams to troubleshoot and resolve multi\-component performance issues.
* Drive Modernization: Lead efforts to modernize current legacy content management platforms. Architect \&amp; Innovate: Collaborate with architects and product owners to design technology roadmaps, create prototypes, and deliver solutions that push boundaries.
* Champion Code Quality: Set the standard for clean, secure, and maintainable code. Promote best practices and help others grow through feedback and collaboration.
* Drive Automation \&amp; Efficiency: Lead initiatives to automate processes and improve workflows, reducing complexity and increasing speed to market.
* Collaborate \&amp; Communicate: Share technical insights with peers, present ideas, and contribute to a culture of knowledge and innovation.
* Solve Complex Challenges: Analyze, design, and implement multi\-tier systems, tackling intricate problems with creativity and precision.
* Support Team Growth: Help team members develop their skills through collaboration, feedback, and knowledge sharing.
* Stay Informed: Keep up with emerging technologies and apply them thoughtfully to create forward\-thinking solutions.
**This isn’t just about ticking off tasks on a list. It's about making a significant, positive change in BECU’s journey, where your contributions are valued, and your growth is continually fostered.**
**What You’ll Gain**
* Impactful Work: Your ideas and solutions will directly influence systems serving millions of members.
* Growth Opportunities: Continuous learning, mentorship, and exposure to cutting\-edge technologies.
* Collaborative Culture: Work alongside passionate professionals who value innovation and teamwork.
* Tech Leadership: Opportunities to lead projects, shape standards, and influence technology strategy.
* Flexibility \&amp; Balance: Full\-time role with a supportive environment that respects your time and well\-being.
* Future\-Ready Skills: Hands\-on experience with cloud platforms, container orchestration, CI/CD pipelines, and modern frameworks.
**Qualifications**
**Minimum Qualifications:**
* Bachelor’s degree in computer science or related discipline, or equivalent work experience required.
* Minimum five years of experience designing software and writing production code in a team environment required.
* Deep understanding of Secure Development best practices, demonstrated by regular use of static code analysis tools to explain and correct secure coding flaws required.
* Proven ability to deliver highly scalable solutions in multiple programming languages and technical environments over the entire product lifecycle (from ideation to retirement) required.
* Demonstrated expertise with the following required: .NET, C\#, node.js and modern JavaScript Frameworks in TypeScript or JavaScript (React, Angular, etc.), or Python.
* System administration and automation with PowerShell or bash required. Knowledge of Open Source (OSS) technologies and libraries required.
* Experience with public cloud (Azure/AWS/Google Cloud) technologies required.
* Expertise with SQL Server, PostgreSQL
* Experience with RESTful API design, microservices architecture
* Deep experience in one of the following domains: server\-side web dev, modern client\-side web dev, REST/web services, large scale data analytics using Machine Learning frameworks, networking, and service mesh required.
* Expertise with SOLID design principles, Object\-Oriented Programming and Design required. Experience with SOA patterns and distributed systems design required.
* Expertise with Continuous Integration and Continuous Delivery systems and tools such as Azure DevOps Services, GitHub Actions, Jenkins, or Teamcity. Proficiency at building / deployment pipelines in YAML is required.
* Deep expertise in Test Driven Development concepts, methods, and tools. Demonstrated experience in unit testing, integration testing, or performance/load testing required.
* Experience using git, including performing code reviews, pull requests, and following branching standards such as Git Flow or Trunk\-Based Development required.
* Experience presenting in front of technically adept audiences required.
* Proven experience leading and collaborating within team, including business unit teams, to deliver solutions through all aspects of the SDLC
**Desired Qualifications**
* Experience with Enterprise Content management platform \- OpenText \- AppEnhancer (formerly ApplicationXtender), Onbase Hyland, Image trust
* Working knowledge of containers and container orchestration in Kubernetes preferred.
* Experience with SQL, large datasets, data warehousing and sophisticated ETL processes, analytics engines required. Knowledge of cloud\-hosted SQL\-based datastores, and NoSQL systems preferred.
* Proven ability to stay current with emerging technologies and new applications of existing technologies, through work or continuing industry or education involvement
**Join The Journey**
 Ready to make an indelible impact? Eager to be a part of a collaborative and innovative team where your ideas and contributions don’t just fill a role, but fuel the growth and success of BECU? This is more than a job – it’s a chance to elevate your career, skills, and future, all while contributing to the robust technological landscape of BECU.
**EEO Statement**
 BECU is an equal opportunity employer. All qualified applicants will receive consideration for employment without regard to race, color, religion, sex, national origin, veteran status, disability, sexual orientation, gender identity, or any other protected status.</t>
        </is>
      </c>
    </row>
    <row r="58">
      <c r="A58" t="inlineStr">
        <is>
          <t>li-4315874240</t>
        </is>
      </c>
      <c r="B58" t="inlineStr">
        <is>
          <t>Software Engineer, Propulsion Simulation &amp; Data Analysis</t>
        </is>
      </c>
      <c r="C58" t="inlineStr">
        <is>
          <t>SpaceX</t>
        </is>
      </c>
      <c r="D58" t="inlineStr">
        <is>
          <t>linkedin</t>
        </is>
      </c>
      <c r="E58" t="inlineStr"/>
      <c r="F58" t="inlineStr"/>
      <c r="G58" t="inlineStr">
        <is>
          <t>Hawthorne, CA</t>
        </is>
      </c>
      <c r="H58" t="inlineStr"/>
      <c r="I58"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PROPULSION SIMULATION \&amp; DATA ANALYSIS (RAPTOR)**
 The Raptor Systems Modeling and Control Team is responsible for the power\-balance, optimal control, and calibration of one of the worlds most prolific and advanced rocket engines. In addition to this we aid in root cause analysis for anomaly resolution, providing data and model driven insights supporting operations and components teams in high\-consequence decision making. Our models and analysis are relied upon day\-in\-and\-day\-out to evaluate the safety and optimality of flight trajectories. With hundreds of engines, hundreds of simulations, and hundreds of hot fire operations, the work we do guides both the engine design process and operation of every single mission and engine test. In this role you will work with brilliant, passionate engineers to develop rapid, seamless processes to translate engine test data into accurate predictions of future performance for the most reliable and cutting\-edge rocket engines in the world.
**Responsibilities**
* Maintain and improve the accuracy of the lumped\-parameter thermofluid physics model of the Raptor engine
* Conduce engine cycle analysis to steer future\-state engine design and thrust upgrades
* Conduct anomaly resolution utilizing the engine model and sparse instrumentation
* Develop a detailed understanding of the physics underlying rocket engine performance, sources of performance variability, as well as related modeling and measurement techniques
* Maintain and improve the accuracy of the representation of the Raptor engine used in integrated vehicle simulations, control software validation and flight Monte Carlo analysis
* Develop tools and portals to understand the sources of engine performance variability and enact improvements to manufacturing and engine hardware design
* Automate processes and software tools that are used to predict test performance and generate flight performance predictions for GNC (guidance, navigation, and control) and flight software
* Collaborate with engineers across the company to extend and improve interoperability among existing tools as well as to standardize hardware and software practices, tools, and methods to maximize functionality and value while minimizing future overhead and obsolescence
**Basic Qualifications**
* Bachelor's degree in computer science, engineering, or a STEM discipline
* 1\+ year experience writing computer software
* 1\+ year experience with physics\-based simulations of real dynamic systems
**Preferred Skills And Experience**
* Dynamical systems modeling
* Experience with lumped parameter modeling of physical systems
* Experience implementing physics\-informed neural networks to solve real\-world engineering problems
* Data driven analysis of complex systems
* Experience inferring root cause from sparse measurements
* Demonstrable proficiency in the basic principles of compressible and incompressible flow, thermodynamics, thermochemistry, mechanics, and materials
* Strong written and verbal communication skills, ability to make presentations to team members, internal customers and management
* Experience building data pipelines providing sanitization, curation, visualization, exploration to high dimensional datasets
* Experience working with or simulating combustion engines or fluid systems
* Full stack web development experience (database design, frontend)
* Frontend experience in Angular, React, or a similar JavaScript framework
* Backend Development: deliver well\-tested, performant, and maintainable Python, C\#/.NET, C\+\+ or Java code
* Experience with version control, continuous integration, Unix\-like operating systems
* Experience with control feedback loop design and implementation
* Experience with numerical analysis techniques and signal processing in multiple domains
**Compensation And Benefits**
 Pay range:
 Level I: $120,000\.00 \- $145,000\.00/per year
 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59">
      <c r="A59" t="inlineStr">
        <is>
          <t>li-4321299977</t>
        </is>
      </c>
      <c r="B59" t="inlineStr">
        <is>
          <t>EDA RnD Software Engineer</t>
        </is>
      </c>
      <c r="C59" t="inlineStr">
        <is>
          <t>Cadence</t>
        </is>
      </c>
      <c r="D59" t="inlineStr">
        <is>
          <t>linkedin</t>
        </is>
      </c>
      <c r="E59" t="inlineStr"/>
      <c r="F59" t="inlineStr"/>
      <c r="G59" t="inlineStr">
        <is>
          <t>Austin, TX</t>
        </is>
      </c>
      <c r="H59" t="inlineStr"/>
      <c r="I59" t="inlineStr">
        <is>
          <t>**At Cadence, we hire and develop leaders and innovators who want to make an impact on the world of technology.**
 We are looking for a talented engineer for our circuit simulation suite Spectre FX (Fastspice) Product line. You will work on several possible R\&amp;D projects (Fastspice event\-driven algorithms, matrix solver, parallel computing, memory/cpu optimization) and be responsible for advancing and creating state\-of\-the\-art circuit simulation technologies and solutions.
* Must have numerical analysis background in EE related fields. Knowledge of numerical methods for general EDA algorithm is a plus and knowledge of transistor\-level circuit simulation algorithm is a strong plus.
* Proficient in C\+\+ development.
* Required education for this role is a MS in EE or related degree with 2 \- 3 years of experience OR fresh PhD in EE.
**We’re doing work that matters. Help us solve what others can’t.**</t>
        </is>
      </c>
    </row>
    <row r="60">
      <c r="A60" t="inlineStr">
        <is>
          <t>li-4315896842</t>
        </is>
      </c>
      <c r="B60" t="inlineStr">
        <is>
          <t>Senior Software Engineer</t>
        </is>
      </c>
      <c r="C60" t="inlineStr">
        <is>
          <t>ETAP Software</t>
        </is>
      </c>
      <c r="D60" t="inlineStr">
        <is>
          <t>linkedin</t>
        </is>
      </c>
      <c r="E60" t="inlineStr"/>
      <c r="F60" t="inlineStr"/>
      <c r="G60" t="inlineStr">
        <is>
          <t>Irvine, CA</t>
        </is>
      </c>
      <c r="H60" t="inlineStr"/>
      <c r="I60" t="inlineStr">
        <is>
          <t>**ETAP empowers customers to make informed decisions throughout the life cycle of their projects with innovative software solutions for electrical systems. By applying ETAP solutions, customers experience continuous intelligence during design and engineering and into operations and maintenance using a unified electrical digital twin platform. ETAP supports customers in their digital transformation and sustainable energy transitions for a green and smart future, helping them to prioritize safety, maximize reliability, and stay resilient.**
**Our employees' passion for excellence, innovation, and customer satisfaction is our most\-prized resource. If you share that passion — and want to be part of a company that leads the energy transition towards a cleaner and more resilient world for future generations — we invite you to join us!**
**ETAP is committed to creating a diverse work environment and is proud to be an Equal Opportunity Employer.**
**Job Title:** 
 Senior Software Engineer
**Location:** 
 Irvine, CA
**Employment Type:** 
 Full\-time
**Senior Software Engineer**
 ETAP’s R\&amp;D team is looking for a proactive and experienced
 **Senior Software Engineer** 
 to join our innovative development group. This full\-time role is ideal for someone passionate about software engineering and eager to contribute to cutting\-edge solutions in the energy and power systems domain.
 We’re seeking a collaborative, solution\-driven professional with a strong engineering mindset and a desire for continuous growth. If you thrive in a dynamic environment and enjoy solving complex technical challenges, we’d love to meet you.
**Key Responsibilities**
* Design, develop, and maintain high\-performance Windows desktop applications.
* Collaborate with cross\-functional teams to enhance and support software features.
* Work on database\-driven solutions with a focus on performance and reliability.
* Contribute to ongoing improvements in code quality, performance, and processes.
**Minimum Qualifications**
* 7\+ years of hands\-on experience in Windows desktop software development.
* Must be Proficient in developing desktop applications using C\+\+, C\#, and Visual Studio.
* Strong experience with ODBC, SQL Server, and LocalDB.
* Solid understanding of database design, SQL scripting, stored procedures, and performance optimization.
* Skilled in parallel programming and multithreading techniques.
* Strong grasp of object\-oriented design and use of the Standard Template Library (STL).
* In\-depth knowledge of Windows architecture and backend development.
* Excellent analytical and problem\-solving abilities.
* Bachelor’s degree in Computer Science, Computer Engineering, or a related field.
**Preferred Qualifications**
* Experience with Microsoft Foundation Class (MFC).
* Familiarity with WPF, XAML, GDI, and Direct2D (D2D) graphics.
* Exposure to Python scripting and automated testing frameworks.
* Experience with WIX and WixSharp for installer development.
* Background in Jira Administration.
* Prior experience in Energy Management Systems (EMS) or Power System Software is a significant plus.
**Salary Range:** 
 $112,800\.00 \- $150,500\.00
**This pay range represents the minimum and maximum compensation that the position offers, and final compensation can vary within the range depending on work location, job experience, skills, and relevant educational attainment and/or training.**
**ETAP requires all successful applicants to undergo and pass a comprehensive background check before they start employment. Background checks will be conducted in accordance with local laws and may, subject to those laws, include proof of educational attainment, employment history verification, proof of work authorization, criminal records, identity verification, credit check. Certain positions dealing with sensitive and/or third party personal data may involve additional background check criteria.**
**ETAP is an Equal Opportunity Employer. We are committed to being an exemplary employer with an inclusive culture, developing a workplace environment where all our employees are treated with dignity and respect. We value diversity and the expertise that people from different backgrounds bring to our business.**
**Come and join ETAP to create the transformative technology that enables our customers to engineer a better world.**</t>
        </is>
      </c>
    </row>
    <row r="61">
      <c r="A61" t="inlineStr">
        <is>
          <t>li-4334832175</t>
        </is>
      </c>
      <c r="B61" t="inlineStr">
        <is>
          <t>Principal Software Engineer - DGX Cloud Kubernetes Runtime Team</t>
        </is>
      </c>
      <c r="C61" t="inlineStr">
        <is>
          <t>NVIDIA</t>
        </is>
      </c>
      <c r="D61" t="inlineStr">
        <is>
          <t>linkedin</t>
        </is>
      </c>
      <c r="E61" t="inlineStr"/>
      <c r="F61" t="inlineStr"/>
      <c r="G61" t="inlineStr">
        <is>
          <t>Seattle, WA</t>
        </is>
      </c>
      <c r="H61" t="inlineStr"/>
      <c r="I61" t="inlineStr">
        <is>
          <t>Join NVIDIA's DGX Cloud Kubernetes Runtime team and be at the forefront of building the next generation of GPU\-accelerated Kubernetes runtime distributions. As a Software Engineer on the Runtime team, you will design and build automation systems that enable operators to seamlessly install, upgrade, and manage cluster runtime packages powering NVIDIA's AI Accelerators. You'll work on innovative controller systems that manage runtime components for the latest GPU architectures including GB200/GB300 and beyond, ensuring that AI researchers and developers have reliable, secure, and performant infrastructure at their fingertips.
 The Runtime team is responsible for providing a Kubernetes runtime distribution that can be applied to any cluster using NVIDIA accelerators, empowering operators with automation\-first, self\-service tools that minimize manual effort while enhancing reliability and reproducibility.
**What You Will Be Doing**
* Design and implement the runtime controller system that manages the lifecycle of runtime packages across thousands of Kubernetes clusters without manual pipeline intervention
* Build and maintain the runtime builder that packages, validates, and distributes GPU operators, DRA drivers, network components, and other accelerated compute runtime packages
* Develop Kubernetes controllers, CRDs, and operators that automate runtime installation, upgrade, and rollback operations with API driven workflows
* Create expansion rules and component management systems that enable flexible runtime composition across different cloud providers and GPU architectures
* Work with internal teams to migrate from GitLab pipeline\-based deployments to fully automated, controller powered runtime management
**What We Need To See**
* Experience building production Kubernetes systems with deep expertise in controllers, operators, and CustomResourceDefinitions
* Strong proficiency in Go and experience building scalable Go services that manage complex distributed systems
* Hands\-on experience with Helm, Kustomize, and managing Kubernetes manifest packaging and templating at scale
* Deep understanding of Kubernetes architecture including API machinery, admission controllers, and resource lifecycle management
* Demonstrated ability to design and implement automation systems that replace manual processes with reliable, self\-service tooling
* Masters and/or PhD in Computer Science, or equivalent experience
* 15\+ years of professional experience, with at least 4 years experience with Kubernetes development
**Ways To Stand Out From The Crowd**
* Experience building multi\-tenant platform services with focus on API design, versioning, and backward compatibility
* Deep familiarity with OCI registries, artifact signing, SBOM generation, and supply chain security practices
* Experience working with GPU operators, device plugins, or other hardware acceleration components in Kubernetes
* Track record of migrating legacy systems to modern, automated platforms while maintaining zero\-downtime operations
* Contributions to upstream Kubernetes projects or experience extending Kubernetes API machinery
 NVIDIA is leading the way in groundbreaking developments in Artificial Intelligence, High\-Performance Computing and Visualization. The GPU, our invention, serves as the visual cortex of modern computers and is at the heart of our products and services. Our work opens up new universes to explore, enables amazing creativity and discovery, and powers what were once science fiction inventions from artificial intelligence to autonomous cars. NVIDIA is looking for great people like you to help us accelerate the next wave of artificial intelligence. NVIDIA is widely considered to be one of the technology world's most desirable employers. We have some of the most forward\-thinking and hardworking people on the planet working for us. If you're a creative, curious, and driven technical leader, we want to hear from you!
 Your base salary will be determined based on your location, experience, and the pay of employees in similar positions. The base salary range is 272,000 USD \- 431,250 USD.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JR2007488</t>
        </is>
      </c>
    </row>
    <row r="62">
      <c r="A62" t="inlineStr">
        <is>
          <t>li-4295399943</t>
        </is>
      </c>
      <c r="B62" t="inlineStr">
        <is>
          <t>Software Engineer - Salesforce</t>
        </is>
      </c>
      <c r="C62" t="inlineStr">
        <is>
          <t>Millennium</t>
        </is>
      </c>
      <c r="D62" t="inlineStr">
        <is>
          <t>linkedin</t>
        </is>
      </c>
      <c r="E62" t="inlineStr"/>
      <c r="F62" t="inlineStr"/>
      <c r="G62" t="inlineStr">
        <is>
          <t>New York, NY</t>
        </is>
      </c>
      <c r="H62" t="inlineStr"/>
      <c r="I62" t="inlineStr">
        <is>
          <t>We are seeking a highly skilled and experienced Senior Salesforce Developer with at least 8 years of hands\-on experience, specializing in Lightning Web Components (LWC). The ideal candidate should possess in\-depth knowledge and expertise in Salesforce development and configuration, as well as a core understanding of Salesforce functionality. The candidate will also have strong interpersonal skills with proven ability to develop positive relationships with business partners. You will play a key role in driving our digital transformation initiatives, working on high\-impact projects that enhance customer experience and operational efficiency.
**Principal Responsibilities**
* Architect, design and develop complex Salesforce solutions, including Apex and LWC development, org configuration, API development, and more to meet business requirements.
* Interface directly with end users to assist with requirements clarification/documentation and high priority issue resolution.
* Collaborate with stakeholders to architect scalable and sustainable solutions that align with business needs and long\-term goals.
* Conduct code and configuration reviews to ensure adherence to team standards, maintainability, and scalability. Perform quality assurance activities to guarantee high\-quality deliverables.
* Identify and resolve performance bottlenecks, conduct performance testing, and optimize Salesforce applications for optimal speed and efficiency.
* Create and maintain technical documentation, including system architecture diagrams, design specifications, and user manuals.
* Collaborate with fellow Salesforce developers to help design the best possible technical implementations.
* Collaborate with cross\-functional teams, including business analysts and testers, to ensure seamless integration and delivery of Salesforce solutions.
* Stay up to date with the latest Salesforce releases, features, and best practices. Evaluate new technologies and trends to identify opportunities for improving existing solutions.
* Drive AI Innovation: Proactively research, propose, and prototype AI\-driven solutions that enhance business processes, customer experience, or operational efficiency within Salesforce.
**Qualifications/Skills Required**
* Bachelor’s degree in Computer Science, Engineering, or related field.
* Minimum 8 years of relevant experience as a Salesforce Developer.
* Extensive experience in Apex class and trigger development. Knowledge of Apex design patterns.
* Expertise in Lightning Web Component (LWC) design and development, with a strong command of JavaScript, HTML, and CSS.
* Proficiency in declarative development using Process Builder, Validation Rules, and Formula Fields.
* Expertise in Salesforce org configuration, including security model best practices, dynamic forms best practices, and sObject design principles.
* Strong knowledge in general software engineering best practices and design patterns.
* Experience with Salesforce integration using REST and other APIs.
* Familiarity with the SF CLI, SF CI/CD practices, and development using Visual Studio Code with SF plugins enabled.
* Experience leading Salesforce deployments.
* Strong and effective interpersonal skills with proven ability to develop positive relationships with business partners and fellow developers.
* Excellent problem\-solving skills and ability to work independently as well as in a team.
* Salesforce certifications (e.g., Salesforce Platform Developer I and II, Salesforce Administrator) are highly desirable.
**Skills Desired**
* In\-depth knowledge of Salesforce Feedback Management, Salesforce Digital Experiences (Communities) and best practices.
* Experience with JIRA, Conga Grid and Copado.
* Experience with integrating email applications with Salesforce.
* Strong UI/UX experience.
* Experience with AI tools and their integration into Salesforce workflows.
* Experience with additional technologies (e.g., MuleSoft, Tableau, AWS, Azure) is a plus.
* Track record of proposing or leading AI initiatives that resulted in measurable business impact.
* Experience working with front office business data and processes
* Strong Experience gathering user requirements and documentation creation.
 If you are a highly motivated Salesforce Developer with excellent LWC skills, extensive experience in Salesforce Feedback Management and Communities, and a passion for innovative solutions, we would love to hear from you. Apply now and join our dynamic team!
 The estimated base salary range for this position is $175,000 to $250,000, which is specific to New York and may change in the future. Millennium pays a total compensation package which includes a base salary, discretionary performance bonus, and a comprehensive benefits package. When finalizing an offer, we take into consideration an individual’s experience level and the qualifications they bring to the role to formulate a competitive total compensation package.</t>
        </is>
      </c>
    </row>
    <row r="63">
      <c r="A63" t="inlineStr">
        <is>
          <t>li-4334831965</t>
        </is>
      </c>
      <c r="B63" t="inlineStr">
        <is>
          <t>Senior Unity Software Engineer</t>
        </is>
      </c>
      <c r="C63" t="inlineStr">
        <is>
          <t>Light &amp; Wonder</t>
        </is>
      </c>
      <c r="D63" t="inlineStr">
        <is>
          <t>linkedin</t>
        </is>
      </c>
      <c r="E63" t="inlineStr"/>
      <c r="F63" t="inlineStr"/>
      <c r="G63" t="inlineStr">
        <is>
          <t>Las Vegas, NV</t>
        </is>
      </c>
      <c r="H63" t="inlineStr"/>
      <c r="I63" t="inlineStr">
        <is>
          <t>Gaming:
 Welcome to the world of land\-based gaming. At Light \&amp; Wonder, it’s all about the games, and our Gaming team builds cutting\-edge technology, products, and content for the most iconic casinos and operators across the globe.
 Position Summary
 Light \&amp; Wonder is looking for an experienced Unity developer who enjoys creating expressive characters, building rich worlds, and telling evocative and emotive stories. Your companions on this journey are a group of intrepid and experienced slot game designers, artists and developers who have been responsible for some of the most daring, original, and successful slot gaming products developed in the last decade.
 Are you eternally curious? Are you an explorer? Are you someone who wants other people to feel your work and not just see your work? If the answer to all these questions is yes, then your place should be with us.
 As a Unity Engineer you will be responsible for planning and implementing game functionality, building the game code, identifying bottlenecks, and ensuring the quality of the finished product.
* Plan, design, and implement high\-quality game features in partnership with other studio members
* Participate in the planning, architecting, and implementing of game functionality.
* Collaborate in establishing an effective pipeline for feature development.
* Transform design ideas into functional games.
* Identify and fix code errors and performance bottlenecks.
* Prototype and test game functionality and theme dynamics.
* Ensure the optimal performance, quality, and responsiveness of games.
**Qualifications**
 Education:
* Bachelor’s degree in Computer Science or 5\+ years of work experience in related field
 Skills \&amp; Qualifications:
* Extensive experience working with Unity and Unity3D software.
* Strong ability with C\# object\-oriented programming language.
* Experience with game assets (ex: meshes, animations, materials).
* Experience in profiling and optimizing game and render performance (GPU and CPU).
* Understanding of UX design process, and experience working with UX development team.
* Ability to identify errors and troubleshoot.
 Work conditions:
* This is a 5 days a week, fully on\-site role reporting into our studio in Las Vegas, NV.
 Light \&amp; Wonder and its affiliates (collectively, “L\&amp;W”) are engaged in highly regulated gaming and lottery businesses. As a result, certain L\&amp;W employees may, among other things, be required to obtain a gaming or other license(s), undergo background investigations or security checks, or meet certain standards dictated by law, regulation or contracts.
 In order to ensure L\&amp;W complies with its regulatory and contractual commitments, as a condition to hiring and continuing to employ its employees, L\&amp;W requires all of its employees to meet those requirements that are necessary to fulfill their individual roles. As a prerequisite to employment with L\&amp;W (to the extent permitted by law), you shall be asked to consent to L\&amp;W conducting a due diligence/background investigation on you.
 This job description should not be interpreted as all\-inclusive; it is intended to identify major responsibilities and requirements of the job. The employee in this position may be requested to perform other job\-related tasks and responsibilities than those stated above.
 Light \&amp; Wonder is an Equal Opportunity Employer and does not discriminate against applicants due to race, color, sex, age, national origin, religion, sexual orientation, gender identity, status as a veteran, and basis of disability or any other federal, state or local protected class. If you’d like more information about your equal employment opportunity rights as an applicant under the law, please click here for EEOC Poster.</t>
        </is>
      </c>
    </row>
    <row r="64">
      <c r="A64" t="inlineStr">
        <is>
          <t>li-4246745829</t>
        </is>
      </c>
      <c r="B64" t="inlineStr">
        <is>
          <t>Senior Software Engineer, Network Infrastructure</t>
        </is>
      </c>
      <c r="C64" t="inlineStr">
        <is>
          <t>Palantir Technologies</t>
        </is>
      </c>
      <c r="D64" t="inlineStr">
        <is>
          <t>linkedin</t>
        </is>
      </c>
      <c r="E64" t="inlineStr"/>
      <c r="F64" t="inlineStr"/>
      <c r="G64" t="inlineStr">
        <is>
          <t>Seattle, WA</t>
        </is>
      </c>
      <c r="H64" t="inlineStr"/>
      <c r="I64" t="inlineStr">
        <is>
          <t>**A World\-Changing Company**
 Palantir builds the world’s leading software for data\-driven decisions and operations. By bringing the right data to the people who need it, our platforms empower our partners to develop lifesaving drugs, forecast supply chain disruptions, locate missing children, and more.
**The Role**
 As a Senior Software Engineer on Network Infrastructure you will be joining a team whose mission is to make a highly dynamic and intricate Kubernetes networking tech stack a pleasure to interact with, in addition to being legible, robust and secure.
 The Network Infrastructure team owns the tech responsible for north\-south and east\-west traffic flows across 100s of zero\-trust K8s clusters running variable workloads. The team solves the novel technical challenges emergent at the intersection of scale, usability and security: enabling dynamic control over ephemeral infrastructure (10s of thousands of firewall rules targeting 1000s of short\-lived pods) across multiple compliance regimes, using CNCF tools like envoy, cilium with K8s controllers to operate them. In this role, you will be working in one of the most technically challenging spaces at Palantir.
**Core Responsibilities**
* Drive Palantir’s infrastructure strategy while grappling with the needs of your team’s diverse customer base
* Build the APIs through which both internal and external software developers interact with network infrastructure
* Deeply understand and leverage K8s networking primitives and the broader OSS ecosystem around K8s
* Champion a long\-term roadmap to reduce operational burden, ensure scalability, reduce risk, and strive for transformative impact
**What We Value**
* Clear and concise verbal and written communications with a focus on impact and ability to articulate the value your work provides
* Ability to engage stakeholders and ensure timely delivery to address core business needs
* Passion for designing thoughtful and robust APIs
* Deep familiarity with K8s, and the broader ecosystem of software around K8s
* Working knowledge of networking fundamentals, experience with CNIs or cloud networking infrastructure preferred
* Experience designing, building, and operating high\-scale observability or infrastructure systems
* Strong coding skills in Go, Java, or equivalent
**What We Require**
* 3\+ years of professional software development experience
* 1\+ years of experience contributing to the system design or architecture (architecture, design patterns, reliability and scaling) of new and existing systems
* Bachelor's degree in Computer Science or equivalent
**Salary**
 The estimated salary range for this position is estimated to be $135,000 \- $200,000/year. Further note that total compensation for this position will be determined by candidate’s relevant qualifications, work experience, skills, and other factors. This estimate excludes the value of any potential sign\-on bonus; the value of any benefits offered; and the potential future value of any long\-term incentives.
 Our benefits aim to promote health and wellbeing across all areas of Palantirians’ lives. We work to continuously improve our offerings and listen to our community as we design and update them. The list below details our available benefits and some of the perks that can be enjoyed as an employee of Palantir Technologies.
**Benefits**
* Employees (and their eligible dependents) can enroll in medical, dental, and vision insurance as well as voluntary life insurance
* Employees are automatically covered by Palantir’s basic life, AD\&amp;D and disability insurance
* Commuter benefits
* Relocation assistance
* Take what you need paid time off, not accrual based
* 2 weeks paid time off built into the end of each year (subject to team and business needs)
* 10 paid holidays throughout the calendar year
* Supportive leave of absence program including time off for military service and medical events
* Paid leave for new parents and subsidized back\-up care for all parents
* Fertility and family building benefits including but not limited to adoption, surrogacy, and preservation
* Stipend to help with expenses that come with a new child
* Employees can enroll in Palantir’s 401k plan
**Life at Palantir**
 We want every Palantirian to achieve their best outcomes, that’s why we celebrate individuals’ strengths, skills, and interests, from your first interview to your longterm growth, rather than rely on traditional career ladders. Paying attention to the needs of our community enables us to optimize our opportunities to grow and helps ensure many pathways to success at Palantir. Promoting health and well\-being across all areas of Palantirians’ lives is just one of the ways we’re investing in our community. Learn more at Life at Palantir and note that our offerings may vary by region.
 In keeping consistent with Palantir’s values and culture, we believe employees are “better together” and in\-person work affords the opportunity for more creative outcomes. Therefore, we encourage employees to work from our offices to foster connectivity and innovation. Many teams do offer hybrid options (WFH a day or two a week), allowing our employees to strike the right trade\-off for their personal productivity. Based on business need, there are a few roles that allow for “Remote” work on an exceptional basis. If you are applying for one of these roles, you must work from the state in which you are employed. If the posting is specified as Onsite, you are required to work from an office.
 If you want to empower the world's most important institutions, you belong here. Palantir values excellence regardless of background. We are proud to be an Equal Opportunity Employer for all, including but not limited to Veterans and those with disabilities. Palantir is committed to making the application and hiring process accessible to everyone and will provide a reasonable accommodation for those living with a disability. If you need an accommodation for the application or hiring process
 *,* 
 please reach out and let us know how we can help.
 If you would like to understand more about how your personal data will be processed by Palantir, please see our Privacy Policy .</t>
        </is>
      </c>
    </row>
    <row r="65">
      <c r="A65" t="inlineStr">
        <is>
          <t>li-4321245816</t>
        </is>
      </c>
      <c r="B65" t="inlineStr">
        <is>
          <t>Mulesoft Software Engineer (Full Stack)</t>
        </is>
      </c>
      <c r="C65" t="inlineStr">
        <is>
          <t>AIG</t>
        </is>
      </c>
      <c r="D65" t="inlineStr">
        <is>
          <t>linkedin</t>
        </is>
      </c>
      <c r="E65" t="inlineStr"/>
      <c r="F65" t="inlineStr"/>
      <c r="G65" t="inlineStr">
        <is>
          <t>Atlanta, GA</t>
        </is>
      </c>
      <c r="H65" t="inlineStr"/>
      <c r="I65" t="inlineStr">
        <is>
          <t>**Mulesoft Software Engineer**
**Be part of something groundbreaking** 
 At AIG, we are making long\-term investments in a brand\-new,
 **innovative Generative AI team** 
 , designed to explore new possibilities for how artificial intelligence can be applied in insurance and beyond, and we need your help.
 With the support and investment needed to explore new frontiers in Generative AI, you’ll be working alongside talented colleagues, innovating and contributing to projects that will transform how we manage risk and serve our customers.
 This team is central to our vision of the future and the core of our business offering. We will incorporate best\-in\-class engineering and product management principles, and your contribution will be critical to its success. To rapidly advance and innovate, we need your skills and expertise to build and scale world\-class products.
 If you’re excited by the opportunity to create meaningful impact at scale and shape the future of the insurance industry, we’d love to hear from you.
**Who we are** 
* AIG is a leading global insurance organization providing a wide range of property casualty insurance and other financial services. We provide world\-class products and expertise to businesses and individuals in approximately 190 countries and jurisdictions.
* At AIG, we’re reshaping how the world manages risk, and we’re inviting you to be a key part of that transformation. As our Mulesoft Software Engineer, you will have the opportunity to make a meaningful impact, leveraging and further developing your skills to guide groundbreaking AI initiatives. If you’re looking for a place to grow your career and where your contributions will shape the future, AIG is where you belong.
**How You Will Create Impact**
 As a Mulesoft Software Engineer at AIG, you’ll play a critical role in designing, developing, and delivering scalable, high\-quality software solutions that solve complex business challenges. You will work in a dynamic, agile environment, collaborating with teams and leveraging AI coding assistants to create impactful applications that improve and innovate business processes. Your ability to blend technical expertise with a deep understanding of business needs will help drive our projects forward, ensuring we consistently deliver value and world\-class engineering standards.
**Your Responsibilities Include**
* Collaborating with product owners and IT leads to translate high\-level business requirements into functional, well\-architected software solutions.
* Developing new or enhancing existing user interfaces using AIG’s proprietary Angular framework to create seamless, user\-friendly experiences.
* Writing and maintaining high\-quality, reusable code that adheres to AIG's design patterns and coding standards, with a focus on scalability and maintainability.
* Creating robust unit tests to ensure code quality, covering both expected and exception scenarios.
* Building and integrating business services using MuleSoft, while adhering to AIG’s integration standards.
* Working with Agile scrum teams to drive best practices, participate in code reviews, and continuously improve development processes.
**What Is Needed To Be Successful**
* At least 3 years experience using MuleSoft for developing and integrating enterprise\-level services, adhering to standardized design patterns.
* You are highly proficient in object\-oriented programming languages such as Java or Python, with a strong background in developing software solutions for complex business problems.
* You are proficient in developing solutions within a microservices architecture using Spring Boot or similar technologies, ensuring scalability, maintainability, and flexibility of services.
* You have hands\-on experience writing services that interact with relational and NoSQL databases, ensuring efficient data storage and retrieval.
* You are comfortable working with cloud\-native technologies such as Terraform, AWS Lambda, and API Gateways to build scalable, cloud\-based solutions.
* You have solid experience deploying solutions on major cloud providers (such as AWS, Azure, or Google Cloud), leveraging cloud\-native technologies like Terraform, Containerization and API Gateways to build scalable, cloud\-based architectures.
* You have a strong understanding of CI/CD best practices, with hands\-on experience implementing automated build, test, and deployment pipelines to ensure seamless and efficient delivery of solutions.
* You are skilled in front\-end development, with experience using Angular or similar frameworks to create user interfaces that provide exceptional user experiences.
* You excel at working within Agile teams, driving collaboration, and applying strong problem\-solving skills to tackle challenges effectively.
**It Would Be Nice If**
* You are passionate about innovation and continuously seek opportunities to improve development processes through automation and best practices.
* You enjoy mentoring junior developers and contributing to a culture of knowledge\-sharing within your team.
* You have experience developing production quality code within modern product development processes and pipelines.
* You have a solid understanding of authentication, authorization, and various security protocols (e.g., OAuth2, JWT), ensuring secure application and service access across distributed systems.
 Veterans are encouraged to apply.
 \#AI \#GenAI \#artificialintelligence
 At AIG, we value in\-person collaboration as a vital part of our culture, which is why we ask our team members to be primarily in the office. This approach helps us work together effectively and create a supportive, connected environment for our team and clients alike.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**Welcome to a culture of inclusion**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
**Functional Area**
 IT \- Information Technology
 AIG PC Global Services, Inc.</t>
        </is>
      </c>
    </row>
    <row r="66">
      <c r="A66" t="inlineStr">
        <is>
          <t>li-4332555006</t>
        </is>
      </c>
      <c r="B66" t="inlineStr">
        <is>
          <t>Senior Software Engineer</t>
        </is>
      </c>
      <c r="C66" t="inlineStr">
        <is>
          <t>Haystack</t>
        </is>
      </c>
      <c r="D66" t="inlineStr">
        <is>
          <t>linkedin</t>
        </is>
      </c>
      <c r="E66" t="inlineStr"/>
      <c r="F66" t="inlineStr"/>
      <c r="G66" t="inlineStr"/>
      <c r="H66" t="inlineStr"/>
      <c r="I66" t="inlineStr">
        <is>
          <t>**Lead Software Engineer \| Atlanta \| Remote\-Friendly \| $122,600 \- $204,400** 
 We're working with Cox Automotive on this exciting opportunity.
 Join Cox Automotive's Central Dispatch and revolutionize the auto transportation industry as a Lead Software Engineer. Drive innovation, architect scalable solutions, and champion AI\-assisted development practices within a dynamic, high\-impact team.
**The Role** 
 • Lead the design, development, and testing of complex software systems and cloud infrastructure, incorporating AI\-assisted tools for enhanced accuracy.
 • Provide technical and procedural guidance to engineers, fostering best practices in secure, cloud\-native development and responsible AI usage.
 • Collaborate with cross\-functional teams to architect highly complex systems, leveraging AI\-supported exploration for optimal solutions in AWS, Azure, or Google Cloud environments.
 • Drive modernization efforts for legacy systems by guiding refactoring and migration, utilizing AI tools to analyze code and propose efficient patterns.
 • Mentor and elevate Software Engineers at all levels, cultivating a culture of engineering excellence and sound judgment.
**What You'll Need** 
 • Bachelor's degree and 6\+ years of experience in software engineering, or equivalent experience.
 • Strong hands\-on development experience with modern programming languages, frameworks, and distributed system architectures.
 • Expertise in secure cloud\-native development, with a focus on scalability, resilience, and maintainability.
 • Proven ability to evaluate complex technical problems, design innovative solutions, and guide implementation across multiple teams.
 • Excellent communication skills, capable of influencing decisions and leading technical discussions across diverse teams.
**What's On Offer** 
 • Competitive base salary ranging from $122,600 to $204,400, with potential for additional incentive programs.
 • Flexible paid time off to support work\-life balance, including unlimited vacation, seven paid holidays, and 160 hours of paid wellness annually.
 • Opportunities for career growth and professional development in a supportive environment that values mentorship and innovation.
 • Contribute to a best\-in\-class platform that is shaping the future of the automotive and technology industries.
**Apply via Haystack today!**</t>
        </is>
      </c>
    </row>
    <row r="67">
      <c r="A67" t="inlineStr">
        <is>
          <t>li-4334880484</t>
        </is>
      </c>
      <c r="B67" t="inlineStr">
        <is>
          <t>Sr Software Engineer (Contractor)</t>
        </is>
      </c>
      <c r="C67" t="inlineStr">
        <is>
          <t>Sierra Space</t>
        </is>
      </c>
      <c r="D67" t="inlineStr">
        <is>
          <t>linkedin</t>
        </is>
      </c>
      <c r="E67" t="inlineStr"/>
      <c r="F67" t="inlineStr"/>
      <c r="G67" t="inlineStr">
        <is>
          <t>Centennial, CO</t>
        </is>
      </c>
      <c r="H67" t="inlineStr"/>
      <c r="I67" t="inlineStr">
        <is>
          <t>**Sierra Space Careers:**
 At Sierra Space, we build the missions and systems that keep our world secure in the domain above Earth.
 Sierra Space team members share a spirit of innovation and collaboration and a belief that we can deliver on the boldest missions in space today. Together with our customers, we aim to safeguard our nation, sustain human presence in space, and secure the freedom of operations in low Earth orbit and beyond.
 Our success is measured by the trust of those who rely on what we build and deliver, and our technologies keep the United States and its allies mission\-ready throughout space.
 We are mission\-driven, and together, we are an extraordinary team.
**About The Role**
 Do you enjoy developing new products and services? Join us! Our Software Engineers work in an agile, collective environment. You will be using your skills and expertise to define, design, develop, test, certify and improve cutting\-edge software products. These cover a very wide range from advanced mission payloads and electronic systems through highly integrated aircraft to orbital and space exploration systems. You'll perform coding, debugging, testing, and troubleshooting of systems and software throughout our development process. Your technical duties involve the design and development of new software products throughout the product lifecycle.
**About You**
 Our mission is driven by an unyielding commitment to advancing space\-based technology in service of our customers and safeguarding national security. We seek individuals who are passionate about innovating beyond boundaries and relentlessly pursuing solutions that protect, preserve and empower – to join us in this critical mission.
 We’re looking for team members who align with our values, mission and goals – while also meeting the minimum qualifications below. The preferred qualifications are a bonus, not a requirement.
**Minimum Qualifications:**
* Requires bachelor's degree in a related field (or equivalent work experience in lieu of degree or master's \+6 yrs experience).
* Typically, 8\+ years of related experience.
* Expertise in one to multiple programming languages and advanced understanding of software development principles.
* Ability to design and architect complex software systems.
* Experience with different software development methodologies such as Agile and Scrum/Kanban.
* Strong problem\-solving skills.
* Ability to mentor and guide other engineers
* The ability to obtain and maintain a Secret U.S. Security Clearance is required
**Preferred Qualifications:**
* Hands\-on experience with the Open Mission Systems (OMS) and Universal Command and Control Interface (UCI) standards.
* Advanced expertise in requirements management and system modeling tools, such as No Magic Cameo.
* Proven experience in software architecture, including functional decomposition, interface definition, and software design.
* Strong understanding and practical application of software design patterns.
* Experience in creating detailed software interface control documents and algorithm description documents.
* Proficiency in developing and managing requirements using advanced modeling techniques.
* In\-depth knowledge of industry\-standard design principles, including but not limited to requirements management and Model\-Based Systems Engineering (MBSE).
* Certification or practical experience with International Council on Systems Engineering (INCOSE) standards.
* Solid background in the Aerospace and Defense industry.
* Familiarity with defining and tracking key Technical Performance Measurements (TPMs) to ensure project success.
* Demonstrated experience in defining and developing test cases based on architectural documentation and system requirements.
 Compensation:
 Pay Range:
 $73\.48 \- $101\.50/hr
 Your actual base compensation will be determined on a case\-by\-case basis and may vary based on job\-related knowledge and skills, education, experience, internal equity and market competitiveness.
**IMPORTANT NOTICE:**
 This position requires the ability to obtain and maintain a Secret U.S. Security Clearance. U.S. Citizenship status is required as this position needs an active U.S. Security Clearance for employment. Non\-U.S. citizens may not be eligible to obtain a security clearance. The Department of Defense Consolidated Adjudications Facility (DoD CAF), a federal government agency, handles the adjudicative aspects of the security clearance eligibility process for industry applicants. Adjudicative factors which affect the outcome of the eligibility determination include, but are not limited to, allegiance to the U.S., foreign influence, foreign preference, criminal conduct, security violations and illegal drug use.
**Elevate Your Career**
 At Sierra Space, we are committed to your personal and professional development. We empower you to make profound and meaningful contributions and foster a vibrant culture of collaboration, where teamwork ignites breakthrough innovations.
 Sierra Space is an industry\-leading space and defense technology company providing satellites, spacecraft, and enabling mission systems and components. We deliver mission\-proven technologies to our customers that safeguard our nation, protect space\-based assets and enable space exploration.
*Application Deadline: This role will remain posted until a qualified pool of candidates is identified.*
 Sierra Space Corporation is an equal opportunity employer and is committed to working with and providing reasonable accommodations to applicants with disabilities. If you need special assistance or a reasonable accommodation related to applying for employment with Sierra Space or at any stage of the recruitment process, please contact us.</t>
        </is>
      </c>
    </row>
    <row r="68">
      <c r="A68" t="inlineStr">
        <is>
          <t>li-4295435082</t>
        </is>
      </c>
      <c r="B68" t="inlineStr">
        <is>
          <t>Senior Software Engineer, Data Science &amp; Machine Learning</t>
        </is>
      </c>
      <c r="C68" t="inlineStr">
        <is>
          <t>Anduril Industries</t>
        </is>
      </c>
      <c r="D68" t="inlineStr">
        <is>
          <t>linkedin</t>
        </is>
      </c>
      <c r="E68" t="inlineStr"/>
      <c r="F68" t="inlineStr"/>
      <c r="G68" t="inlineStr">
        <is>
          <t>Costa Mesa, CA</t>
        </is>
      </c>
      <c r="H68" t="inlineStr"/>
      <c r="I68"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Anduril’s Tactical Recon \&amp; Strike (TRS) is a division with two missions: 1\) build highly capable autonomous drones, and 2\) build solid rocket motors at scale. We transform products like Ghost, Anvil, Bolt, and Altius from early concepts into fully operational capabilities by partnering closely with specialist engineering, operations, and production teams. Through our Anduril Rocket Motor Systems (RMS) team, we design and manufacture solid rocket motors using advanced materials, proprietary formulations, and high\-volume production methods—delivering safe, reliable propulsion systems that support a wide range of mission requirements. TRS hires software engineers \&amp; hardware engineers, who are excited to build across a diverse and powerful portfolio—from autonomous aerial systems to high\-performance solid rocket motors. Our teams contribute to highly capable autonomous robotics systems and propulsion products that operate reliably in the most demanding mission environment.
**About The Job**
 As a Data Scientist at Anduril, you will dive into unique, complex challenges that come with the territory of high\-stakes, advanced technology in the defense sector. Your expertise will drive innovation in autonomous systems, shaping the future of defense and intelligence with solutions that are deployed at unparalleled speed. If you're eager to leverage your data science skills in an environment that encourages bold ideas and offers the resources to turn them into reality, Anduril provides the perfect platform to propel your career and make a tangible difference in a world entering a new era of strategic competition. Join us and be part of the transformation that's setting new standards for military capabilities and security.
 **This position will be located at our headquarters in Costa Mesa, CA (relocation benefits provided).**
**What You'll Do**
* Conduct in\-depth data analysis using Python, MATLAB, and relevant tools to address complex problems, define key performance indicators for autonomous vehicle systems, and effectively communicate analytical insights to stakeholders.
* Collaborate cross\-functionally with engineering, product management, and fellow data scientists to apply advanced statistical techniques, informing strategic decisions and guiding the development of roadmaps for enhancing vehicle performance based on data\-driven insights.
* Develop, optimize, and oversee autonomous vehicle data infrastructure, including the creation and management of software tools, data catalogs, and robust data pipelines that facilitate efficient data extraction, transformation, and delivery of high\-quality data products for internal use and stakeholder presentation.
* Spearhead technical investigations to diagnose operational issues and analyze performance trends, providing leadership in the interpretation of data and formulation of solutions to improve system reliability and efficiency.
* Design and implement analytics\-driven customer\-facing products that showcase system performance metrics, provide trend analysis, and enhance user understanding and experience with our autonomous vehicle platforms.
**Required Qualifications**
* A background in Mathematics, Statistics, Computer Science, Data Science, or a related technical field with a strong quantitative foundation.
* Demonstrated expertise in Python with a robust portfolio of projects showcasing the development, validation, and deployment of predictive models and data products. Proficiency with machine learning frameworks such as PyTorch, TensorFlow, and Scikit\-Learn is essential.
* Familiarity with Unix/Linux environments, including proficiency with the command line interface and the ability to efficiently manage and navigate distributed computing systems.
* Exceptional data visualization skills, with proficiency in using visualization tools (e.g., Plotly, Matplotlib, Seaborn) and business intelligence platforms (e.g., Tableau, Power BI) to translate complex data insights into accessible visual formats for diverse audiences.
* A proven track record of effectively working with large and complex datasets, as well as the capacity to quickly understand and work within established codebases and complex system architectures.
* A strong commitment to applying data science to solve real\-world problems, with the ability to translate technical findings into actionable recommendations that have a tangible impact.
* Excellent communication and collaboration skills, with the ability to engage effectively with multidisciplinary teams, including engineers, product managers, and non\-technical stakeholders.
* Must be able to obtain and maintain a DoD Security Clearance.
* Must be open to 24/7 on\-call work with customers.
* Must be open to 20% travel.
**Preferred Qualifications**
* Experience with cloud computing platforms (e.g., AWS, GCP, Azure) and familiarity with containerization (e.g., Docker, Kubernetes) is highly beneficial.
* Knowledge of best practices in data governance, ethics, and privacy, as well as experience with data security and compliance requirements relevant to sensitive and classified information.
* Leadership experience, with the ability to mentor junior data scientists and lead project teams in the execution of complex data science initiatives.
* Experience working with terabyte\-scale data, robotics data formats (e.g. MCAP, HDF5\), and dataframes (e.g. Pandas, PySpark).
 US Salary Range
 $220,000—$292,000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69">
      <c r="A69" t="inlineStr">
        <is>
          <t>li-4351834379</t>
        </is>
      </c>
      <c r="B69" t="inlineStr">
        <is>
          <t>Entry Level Software Developer New York - 2026</t>
        </is>
      </c>
      <c r="C69" t="inlineStr">
        <is>
          <t>Jobs via Dice</t>
        </is>
      </c>
      <c r="D69" t="inlineStr">
        <is>
          <t>linkedin</t>
        </is>
      </c>
      <c r="E69" t="inlineStr"/>
      <c r="F69" t="inlineStr"/>
      <c r="G69" t="inlineStr">
        <is>
          <t>New York, NY</t>
        </is>
      </c>
      <c r="H69" t="inlineStr"/>
      <c r="I69" t="inlineStr">
        <is>
          <t>Introduction
**Launch your software career with IBM!**
 Ready to turn your coding skills into real\-world impact? As an Entry\-Level Software Developer at IBM, you'll join a collaborative Agile team where your ideas matter from day one. Whether you've just finished school, completed a boot\-camp, or built your skills independently, this is your opportunity to grow into a world\-class developer. You'll work alongside experienced mentors to design, build, and deploy modern web applications that make a difference for businesses and communities around the world all in an environment designed to help early\-career talent thrive.
 Your role and responsibilities
 As a software developer, you will work with clients and others in a multidisciplinary team to define requirements and develop solutions. You will design, code, and test solutions for IBM Z platform, that use programming languages including Java, C/C\+\+, Assembler, and/or PL/I.
**Who You Are**
 You're early in your software career (0\-1 year of professional experience) and excited to grow. You love solving problems, learning new tools, and collaborating with others to bring ideas to life. You're curious, proactive, and ready to make an impact from day one with the guidance and support of experienced IBM developers.
 Required education
 High School Diploma/GED
**Preferred Education**
 Bachelor's Degree
 Required technical and professional expertise
 Software development experience.
 Expertise working with one more of the following languages: Java, C/C\+\+, PL/I, Assembler.
 Experience in developing tools and products using at least one scripting language: Ansible, Python, JavaScript, Typescript, Ruby, Rust, Swift, or Kotlin.
 Proficient in source control management tools such as GitHub and with Agile Life Cycle Management tools.
 Strong analytical, debugging and problem\-solving skills to analyze issues and defects reported by customers, customer\-facing teams, and test teams.
 Self\-motivated to achieve goals.
 Ability to innovate in the areas of Product Engineering.
 Open to cross time zone collaboration.
 Strong written and verbal communication skills.
 Ability to use conference and collaboration tools effectively.
**Preferred Technical And Professional Experience**
 Your experience and depth in the following areas will influence your competitiveness for a position as well as specific assignments
 Experience with software build technologies.
 Experience in creating, modernizing and supporting robust CI/CD pipelines.
 Agile Development Model.
 IBM Z Architecture, IBM z/OS Systems Programming.
 Databases and database systems including Db2, MongoDB, IMS, and other SQL / NoSQL databases (MySQL, MariaDB, etc.)
 JavaScript, HTML5, CSS3, JavaScript libraries like jQuery, Node.js, React, etc.
 DOM, JSON, CSS Frameworks, HTTP, SSL, MQ, TCP/IP.
 Cloud Architectures, Infrastructure (VPC, Kubernetes/Open\-shift, Istio, Akamai etc.) and Migrations.
 Web development, REST APIs, and web services.
 Knowledge of VS Code extension development.
 Knowledge of Eclipse plugin development.
 Linux \&amp; Windows server environments.
 Microservices architecture and developing applications leveraging any of the following frameworks: Springboot, Liberty, Quarkus, Grails, etc.
 Enterprise software projects, including feature development, troubleshooting, production support, and customization based on business requirements.
 Design and Development of Code using Security Best Practices.
 AI/ML Engineering.
**About Business Unit**
 IBM Software infuses core business operations with intelligence\-from machine learning to generative AI\-to help make organizations more responsive, productive, and resilient. IBM Software helps clients put AI into action now to create real value with trust, speed, and confidence across digital labor, IT automation, application modernization, security, and sustainability. Critical to this is the ability to make use of all data, because AI is only as good as the data that fuels it. In most organizations data is spread across multiple clouds, on premises, in private datacenters, and at the edge. IBM's AI and data platform scales and accelerates the impact of AI with trusted data, and provides leading capabilities to train, tune and deploy AI across business. IBM's hybrid cloud platform is one of the most comprehensive and consistent approach to development, security, and operations across hybrid environments\-a flexible foundation for leveraging data, wherever it resides, to extend AI deep into a business.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
 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
 Restlessly reinventing since 1911, we are not only one of the largest corporate organizations in the world, we're also one of the biggest technology and consulting employers, with many of the Fortune 500 companies relying on the IBM Cloud to run their business.
 At IBM, we pride ourselves on being an early adopter of artificial intelligence, quantum computing and blockchain. Now it's time for you to join us on our journey to being a responsible technology innovator and a force for good in the world.
 IBM is proud to be an equal\-opportunity employer. All qualified applicants will receive consideration for employment without regard to race, color, religion, sex, gender, gender identity or expression, sexual orientation, national origin, genetics, pregnancy, disability, neurodivergence, age, or other characteristics protected by the applicable law. IBM is also committed to compliance with all fair employment practices regarding citizenship and immigration status.
**Other Relevant Job Details**
 IBM will not be providing visa sponsorship for this position now or in the future. Therefore, in order to be considered for this position, you must have the ability to work without a need for current or future visa sponsorship.
 The compensation range and benefits for this position are based on a full\-time schedule for a full calendar year. The salary will vary depending on your job\-related skills, experience and location. Pay increment and frequency of pay will be in accordance with employment classification and applicable laws. For part time roles, your compensation and benefits will be adjusted to reflect your hours. Benefits may be pro\-rated for those who start working during the calendar year.</t>
        </is>
      </c>
    </row>
    <row r="70">
      <c r="A70" t="inlineStr">
        <is>
          <t>li-4315884534</t>
        </is>
      </c>
      <c r="B70" t="inlineStr">
        <is>
          <t>Principal Software Engineer, Mixed Reality</t>
        </is>
      </c>
      <c r="C70" t="inlineStr">
        <is>
          <t>Anduril Industries</t>
        </is>
      </c>
      <c r="D70" t="inlineStr">
        <is>
          <t>linkedin</t>
        </is>
      </c>
      <c r="E70" t="inlineStr"/>
      <c r="F70" t="inlineStr"/>
      <c r="G70" t="inlineStr">
        <is>
          <t>Bellevue, WA</t>
        </is>
      </c>
      <c r="H70" t="inlineStr"/>
      <c r="I70"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Our Warfighter Systems division is pioneering a future where mixed reality (MR), creates immersive, intuitive, and life\-saving technologies. By seamlessly integrating real\-time data with cutting\-edge visualization tools, we are empowering warfighters with unparalleled situational awareness, enhanced training experiences, and operational superiority. This team is consistently pushing the boundaries of what's possible, and shaping a future where technology and defense unite to protect our nation.
 Come join one of the strongest performing mixed reality teams in the industry, dedicated to revolutionizing experiences for the warfighter. You will develop and optimize advanced game development and game engine technologies that drive real\-time simulation, immersive training, and critical mission planning capabilities. This role requires a blend of deep technical expertise and creative problem\-solving skills as you contribute to national defense initiatives while pushing the boundaries of mixed reality.
**You Might Be a Fit For This Role If**
* You recognize the performance gaps in existing game engines and want to lead the emergence of new 3D creation engines
* Recognize that AI is a major accelerator to the game creation process, and experimenting with emerging technologies and frameworks to revolutionize engine capabilities and user experiences excites you
* You believe the future of game engines should be highly modular, built on microservices and API’s, allowing developers to assemble the right engine for the project at hand and quickly
* You obsess over technical advancement and what this means for game engines of the present and the future
**What You Will Do**
* Work with one of the industries strongest mixed reality teams to change the landscape for MR on the frontlines and beyond
* Drive prototyping initiatives to experiment with revolutionary mixed reality concepts that set new industry standards
* Act as the technical advisor and visionary for a business line that is integral to Anduril’s success
* Design, development, and enhance game engine components tailored for mixed reality applications
* Optimize rendering pipelines, physics simulations, and real\-time interactions to deliver high\-performance immersive experiences
* Collaborate with AR/VR specialists to integrate mixed reality sensors, displays, and spatial mapping capabilities
* Implement robust pipelines that transform raw sensor data into actionable, immersive visuals for the warfighter
* Partner with product managers, hardware engineers, and warfighter subject matter experts to translate mission requirements into practical, scalable solutions
* Mentor team members and foster best practices in code quality, performance testing, and game engineering architecture
* Evaluate and integrate emerging technologies and frameworks within the game engine ecosystem
**Required Qualifications**
* 10\+ years of experience in game development, computer graphics, or real\-time simulation
* Strong proficiency in C\+\+ or C\# and familiarity with graphics APIs (DirectX, OpenGL, or Vulkan)
* Experience with shader programming and multi\-threaded rendering pipelines
* Experience working in large codebases to solve complex problems in a matter of days and weeks, not months
* A track record of success in the gaming industry, with experience building and shipping code in a matter of days and weeks, not years
* Excellent communication skills and ability to work cross functionally with stakeholders and Executive leaders
* Must be a U.S. Person due to required access to U.S. export controlled information or facilities
**Preferred Qualifications**
* AR/VR experience working with DoD/Army
* Experience developing on console platforms
* Shipped at least one AAA game title in a similar role
* Understanding of immersive technologies and sensor integration is a plus
* Demonstrated experience or strong interest in developing mixed reality or simulation applications
 US Salary Range
 $254,000—$336,000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71">
      <c r="A71" t="inlineStr">
        <is>
          <t>li-4312494821</t>
        </is>
      </c>
      <c r="B71" t="inlineStr">
        <is>
          <t>Senior Staff Full Stack Engineer, AI Platform</t>
        </is>
      </c>
      <c r="C71" t="inlineStr">
        <is>
          <t>Ridgeline</t>
        </is>
      </c>
      <c r="D71" t="inlineStr">
        <is>
          <t>linkedin</t>
        </is>
      </c>
      <c r="E71" t="inlineStr"/>
      <c r="F71" t="inlineStr"/>
      <c r="G71" t="inlineStr">
        <is>
          <t>New York, NY</t>
        </is>
      </c>
      <c r="H71" t="inlineStr"/>
      <c r="I71" t="inlineStr">
        <is>
          <t>Are you a seasoned technical leader who thrives at the intersection of AI innovation and enterprise impact? Do you excel in architecting scalable AI systems while mentoring teams to push the limits of what's possible with large language models (LLMs)? Are you passionate about delivering transformative solutions using cutting\-edge AI paradigms like Retrieval Augmented Generation (RAG), AI Agents, and custom model fine\-tuning? If so, we invite you to apply to join our forward\-thinking AI Platform Team.
 As a Senior Staff Full Stack Engineer on our AI Platform team, you will play a strategic role in shaping our AI capabilities, setting the technical vision, and delivering game\-changing tools for the investment management industry. With your deep expertise in AI systems, you’ll lead efforts to solve complex challenges, enhance platform capabilities, and drive innovation using state\-of\-the\-art technologies—including AI tools like OpenAI, Amazon Bedrock, Claude, and open\-source frameworks. This is a high\-impact, high\-ownership role where you will influence product strategy and technical direction across Ridgeline’s AI ecosystem.
 At Ridgeline, how we work matters as much as what we build. Ridgeliners act like owners, choose growth over comfort, and communicate with transparency. We assume positive intent, bias toward action, and bring solutions—not just problems. We celebrate wins, learn from setbacks, and thrive in a resilient, collaborative, high\-performing culture. If this excites you, we’d love to meet you.
**The Impact You Will Make**
* Lead the design and delivery of next\-generation AI capabilities, including integration of LLMs, RAG workflows, and AI Agents into Ridgeline’s platform
* Define and execute technical strategies that amplify the value of AI across our enterprise offerings
* Architect scalable, production\-grade AI pipelines for real\-time and batch inference in cloud\-native environments
* Research and implement advanced models and algorithms to keep Ridgeline on the leading edge of AI innovation
* Mentor engineers and foster technical excellence through design guidance, peer reviews, and knowledge sharing
* Collaborate across teams to build end\-to\-end AI\-driven applications that directly impact our customers
* Establish AI development best practices around performance, reliability, observability, and ethical standards
* Stay current with AI research and emerging technologies and guide the team in evaluating and adopting relevant innovations
**What We Look For**
* 10\+ years of experience in software engineering, with 5\+ years focused on AI/ML systems
* Proven experience architecting and deploying machine learning models—especially LLMs—in production environments
* Expertise in Retrieval Augmented Generation (RAG), AI Agent frameworks, and model fine\-tuning
* Proficiency in Python and familiarity with full stack environments using Kotlin, Java, or TypeScript
* Deep understanding of cloud infrastructure (preferably AWS) and distributed system design
* Strong leadership and mentoring skills, with a track record of driving technical initiatives across teams
* Excellent communication skills to engage cross\-functional stakeholders and articulate AI strategies
**Bonus**
* Experience with Reinforcement Learning (RL), multi\-agent systems, or LLM evaluation methodologies
* Contributions to high\-profile open\-source projects or publications in AI/ML conferences
* Familiarity with investment management workflows or use cases for AI in financial technology
**About Ridgeline**
 Ridgeline is the industry cloud platform for investment management. It was founded by visionary tech entrepreneur Dave Duffield (co\-founder of both PeopleSoft and Workday) to apply his successful formula of solving operational business challenges with bold innovation and human connectivity to the unique needs of the investment management industry.
 Ridgeline started with a clean sheet of paper and a deep bench of experts bound by a set of core values and motivated to revolutionize an industry underserved by its current tech offerings. We are building a new, modern platform in the public cloud, purpose\-built for the investment management industry and we are prioritizing security, agility, and usability to empower business like never before.
 With a growing campus in Reno and offices in New York, Lake Tahoe, and the Bay Area, Ridgeline is proud to have built a fast\-growing, people\-first company that has been recognized by Fast Company as a “Best Workplace for Innovators,” by The Software Report as a “Top 100 Software Company,” and by Forbes as one of “America’s Best Startup Employers.”
 Ridgeline is proud to be a community\-minded, discrimination\-free equal opportunity workplace.
 Ridgeline processes the information you submit in connection with your application in accordance with the Ridgeline Applicant Privacy Statement. Please review the Ridgeline Applicant Privacy Statement in full to understand our privacy practices and contact us with any questions.
**Compensation And Benefits**
 The typical starting salary range for new hires in this role is listed below. In select locations (including, the San Francisco Bay Area, CA, and the New York City Metro Area), an alternate range may apply as specified below.
 The typical starting salary range for this role is: $200,000\-$235,000\.
 The typical starting salary range for this role in the select locations listed above is: $212,500\-$250,000\.
 Final compensation amounts are determined by multiple factors, including candidate experience and expertise, and may vary from the amount listed above.
 As an employee at Ridgeline, you’ll have many opportunities for advancement in your career and can make a true impact on the product. In addition to the base salary, 100% of Ridgeline employees can participate in our Company Stock Plan subject to the applicable Stock Option Agreement. We also offer rich benefits that reflect the kind of organization we want to be: one in which our employees feel valued and are inspired to bring their best selves to work. These include unlimited vacation, educational and wellness reimbursements, and $0 cost employee insurance plans. Please check out our Careers page for a more comprehensive overview of our perks and benefits.</t>
        </is>
      </c>
    </row>
    <row r="72">
      <c r="A72" t="inlineStr">
        <is>
          <t>li-4360605896</t>
        </is>
      </c>
      <c r="B72" t="inlineStr">
        <is>
          <t>Senior Software Engineer, Back End (GraphQL, AWS, Python, Go, Rust)</t>
        </is>
      </c>
      <c r="C72" t="inlineStr">
        <is>
          <t>Capital One</t>
        </is>
      </c>
      <c r="D72" t="inlineStr">
        <is>
          <t>linkedin</t>
        </is>
      </c>
      <c r="E72" t="inlineStr"/>
      <c r="F72" t="inlineStr"/>
      <c r="G72" t="inlineStr">
        <is>
          <t>McLean, VA</t>
        </is>
      </c>
      <c r="H72" t="inlineStr"/>
      <c r="I72"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Python, SQL, Node, Go, Java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Python, Java, Scala, Go or Node.js
* 2\+ years of experience with AWS, GCP, Azure, or another cloud service
* 1\+ years of experience using Go or Rust
* 1\+ years of experience using GraphQL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3">
      <c r="A73" t="inlineStr">
        <is>
          <t>li-4360654453</t>
        </is>
      </c>
      <c r="B73" t="inlineStr">
        <is>
          <t>Senior Manager, Software Engineering, iOS</t>
        </is>
      </c>
      <c r="C73" t="inlineStr">
        <is>
          <t>Capital One</t>
        </is>
      </c>
      <c r="D73" t="inlineStr">
        <is>
          <t>linkedin</t>
        </is>
      </c>
      <c r="E73" t="inlineStr"/>
      <c r="F73" t="inlineStr"/>
      <c r="G73" t="inlineStr">
        <is>
          <t>New York, NY</t>
        </is>
      </c>
      <c r="H73" t="inlineStr"/>
      <c r="I73"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As a Capital One iOS Software Engineer, you’ll have the opportunity to be on the forefront of driving a major transformation within Capital One.
 At Capital One, the iOS and Android platforms are recognized as an opportunity to reach our customers in unique, personal and engaging ways. Nothing is off limits as we explore exciting ways to take advantage of the full ecosystem of mobile devices including Watch, TV, and whatever future developments Apple or Google creates. Our engineers are provided with top of the line Macbook Pros, multiple high\-end monitors and the necessary tooling to develop the best possible products with the least amount of friction. We operate in small, productive agile teams and use the best industry tools to collaborate across teams.
 As a Senior Manager for the Rewards \&amp; Benefits mobile teams at Capital One, you will spearhead some of the most exciting and high\-profile features throughout our customer experience. You will lead a pair of mobile development teams (one iOS, one Android) who create and own Capital One’s in\-app customer experiences around earning and viewing rewards, as well as helping customers redeem rewards for travel, experiences, cash and more. You will also create experiences that help customers understand the benefits that their cards have to offer, and help them take full advantage of the perks. Ultimately, you will have a huge impact on developing high\-quality features which represent some of Capital One customers' favorite parts of having a credit card. To do this, you will lead and support tech teams who are building with the latest fully\-native mobile tech, including Swift \&amp; SwiftUI, Kotlin \&amp; Jetpack Compose, and agentic AI (where applicable), and you will collaborate closely with product \&amp; design partners to bring visions to life.
****What You’ll Do:****
* Develop iOS client code solutions that deliver on Product Strategy and adhere to established engineering best practices, design guidelines and principles
* Partner with Software Engineers, UX/UI, Quality Engineers, Product Owners/Analysts to deliver high performing quality customer experiences that are engaging, purposeful and powerful in their simplicity
* Actively participate in all team Agile ceremonies, contributing to ensure that all team commitments are delivered on time and of the highest quality
* Be an active advocate of the mobile platform through both internal and external developer communities
* Remain an active learner in all technologies related to mobile development (Swift, Kotlin, 3rd party libraries, etc.)
* Influence and contribute to group discussions and incorporate feedback/communication from the broader team
* Mentor junior to mid\-level members of the team
* Actively engage with developers outside of the local sprint team across various disciplines (Android, iOS, APIs, Web, etc.)
* Own and lead delivery of major components and platform needs in partnership with senior engineers and Architects
* Consistently share best practices and improve processes within and across sprint teams
* Identify technical obstacles early and work closely with the team to find creative solutions
* Review pull requests and ensure adherence to Swift and other language idioms
* Grow and provide SME level leadership while managing a team of mobile developers
****Basic Qualifications:****
* Bachelor’s Degree
* At least 6 years of experience in software engineering (Internship experience does not apply)
* At least 4 years of people management experience
* At least 4 years of experience building iOS applications
* At least 3 years of experience with Swift
****Preferred Qualifications:****
* Master’s Degree
* 7\+ years of people management experience
* 7\+ years of experience building iOS applications
* 4\+ years of experience with Swift
* 4\+ years of experience in open source frameworks
* 2\+ years of experience with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$250,800 \- $286,200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4">
      <c r="A74" t="inlineStr">
        <is>
          <t>li-4359975989</t>
        </is>
      </c>
      <c r="B74" t="inlineStr">
        <is>
          <t>Senior Lead Software Engineer, Full Stack (Bank Tech)</t>
        </is>
      </c>
      <c r="C74" t="inlineStr">
        <is>
          <t>Capital One</t>
        </is>
      </c>
      <c r="D74" t="inlineStr">
        <is>
          <t>linkedin</t>
        </is>
      </c>
      <c r="E74" t="inlineStr"/>
      <c r="F74" t="inlineStr"/>
      <c r="G74" t="inlineStr">
        <is>
          <t>Richmond, VA</t>
        </is>
      </c>
      <c r="H74" t="inlineStr"/>
      <c r="I74"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Bank Tech is seeking Full Stack Software Engineers who are passionate about marrying data with emerging technologies. As a Capital One Senior Lead Software Engineer, you’ll have the opportunity to be on the forefront of driving a major transformation within Capital One.
 We're not just supporting a bank; we're redefining the tech foundation for a financial giant. As Bank Tech, we are leading the charge to become the first bank to build an internal, integrated, and fully modernized core banking platform. If you're passionate about modular, resilient, cloud\-native, and secure engineering, you'll find your challenge here. We're building common capabilities and cutting\-edge, real\-time technology solutions that power critical lines of business including our Retail Bank, Small Business Bank, Commercial Bank, and Capital One Shopping.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JavaScript, TypeScript, SQL,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****Preferred Qualifications:****
* Master’s Degree
* 9\+ years of experience in at least one of the following: Java, Python, JavaScript, TypeScript, SQL, or Go
* 4\+ years of experience with AWS, GCP, Microsoft Azure, or another cloud service
* 4\+ years of experience in open source frameworks
* 1\+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$209,000 \- $238,500 for Sr. Lead Software Engineer
 McLean, VA: $229,900 \- $262,400 for Sr. Lead Software Engineer
 Richmond, VA: $209,000 \- $238,500 for Sr. Lead Software Engineer
 Wilmington, DE: $209,000 \- $238,500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5">
      <c r="A75" t="inlineStr">
        <is>
          <t>li-4241279070</t>
        </is>
      </c>
      <c r="B75" t="inlineStr">
        <is>
          <t>Staff Software Engineer</t>
        </is>
      </c>
      <c r="C75" t="inlineStr">
        <is>
          <t>Circle</t>
        </is>
      </c>
      <c r="D75" t="inlineStr">
        <is>
          <t>linkedin</t>
        </is>
      </c>
      <c r="E75" t="inlineStr"/>
      <c r="F75" t="inlineStr"/>
      <c r="G75" t="inlineStr"/>
      <c r="H75" t="inlineStr"/>
      <c r="I75"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The Staff Software Engineer is responsible for extending Circle's in\-house blockchain systems infrastructure to support the tokenization of the world; analyzing requirements, procedures, and problems to improve existing systems and modifying systems; building and owning scalable microservices that are responsible for reliable and secure APIs that transfer value and assets across all blockchain protocols as well as traditional banking protocols; collaborating with Product and Engineering teams to design, test, and shape Circle features, including developing and documenting system design procedures, testing procedures, and quality standards; troubleshooting program and system malfunctions to restore normal functioning; building publicly accessible APIs that make it simple for developers to integrate with complex payment systems; integrating Platform Services with leading banks and financial technologies; consulting with management to ensure agreement on system principles; writing the infrastructure to deliver great payment experiences, including data sources (SQL or NoSQL), messaging systems and APIs; other duties as assigned.
**What You'll Bring To Circle**
* 7 years minimum professional software development experience in object oriented languages like Go or Java.
* Computer Science degree or a closely related field (or foreign equivalent).
* Technical leadership of teams \&gt;4 on architecture and system design.
* Expert in one of the domains of API design, payments processing, or blockchains.
* Deep understanding/experience with:
+ Architecture, design, and deployment of production\-quality, scalable software
+ Web3, blockchain, smart Contract business logic
+ RESTful API design and development principles
+ Cloud services (AWS, Google Cloud, Microsoft Azure, etc)
+ Container orchestration systems like Kubernetes or EKS, ECS
+ SQL databases and designing schemas
* Deep focus on coding standards and code quality \-\- a desire to have great test coverage to enable continuous delivery.
* Excellent communication skills, able to collaborate with remote teams, share ideas and present concepts effectively
* Self\-starter with a curious mindset, you enjoy moving at a fast pace, shipping software that improves the user experience and constantly improving your work with little supervision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$172,500 \- $227,500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76">
      <c r="A76" t="inlineStr">
        <is>
          <t>li-4359926275</t>
        </is>
      </c>
      <c r="B76" t="inlineStr">
        <is>
          <t>Lead Software Engineer, Full Stack (Global Payment Network)</t>
        </is>
      </c>
      <c r="C76" t="inlineStr">
        <is>
          <t>Capital One</t>
        </is>
      </c>
      <c r="D76" t="inlineStr">
        <is>
          <t>linkedin</t>
        </is>
      </c>
      <c r="E76" t="inlineStr"/>
      <c r="F76" t="inlineStr"/>
      <c r="G76" t="inlineStr">
        <is>
          <t>McLean, VA</t>
        </is>
      </c>
      <c r="H76" t="inlineStr"/>
      <c r="I76"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JavaScript, Java, TypeScript, SQL, Python, or Go
* 3\+ years of experience with AWS, GCP, Microsoft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$175,800 \- $200,700 for Lead Software Engineer
 McLean, VA: $193,400 \- $220,700 for Lead Software Engineer
 Riverwoods, IL: $175,800 \- $200,700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7">
      <c r="A77" t="inlineStr">
        <is>
          <t>li-4359975977</t>
        </is>
      </c>
      <c r="B77" t="inlineStr">
        <is>
          <t>Senior Lead Software Engineer, Full Stack (Bank Tech)</t>
        </is>
      </c>
      <c r="C77" t="inlineStr">
        <is>
          <t>Capital One</t>
        </is>
      </c>
      <c r="D77" t="inlineStr">
        <is>
          <t>linkedin</t>
        </is>
      </c>
      <c r="E77" t="inlineStr"/>
      <c r="F77" t="inlineStr"/>
      <c r="G77" t="inlineStr">
        <is>
          <t>Richmond, VA</t>
        </is>
      </c>
      <c r="H77" t="inlineStr"/>
      <c r="I77"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Bank Tech is seeking Full Stack Software Engineers who are passionate about marrying data with emerging technologies. As a Capital One Senior Lead Software Engineer, you’ll have the opportunity to be on the forefront of driving a major transformation within Capital One.
 We're not just supporting a bank; we're redefining the tech foundation for a financial giant. As Bank Tech, we are leading the charge to become the first bank to build an internal, integrated, and fully modernized core banking platform. If you're passionate about modular, resilient, cloud\-native, and secure engineering, you'll find your challenge here. We're building common capabilities and cutting\-edge, real\-time technology solutions that power critical lines of business including our Retail Bank, Small Business Bank, Commercial Bank, and Capital One Shopping.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JavaScript, TypeScript, SQL,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****Preferred Qualifications:****
* Master’s Degree
* 9\+ years of experience in at least one of the following: Java, Python, JavaScript, TypeScript, SQL, or Go
* 4\+ years of experience with AWS, GCP, Microsoft Azure, or another cloud service
* 4\+ years of experience in open source frameworks
* 1\+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$225,400 \- $257,200 for Sr. Lead Software Engineer
 Richmond, VA: $204,900 \- $233,800 for Sr. Lead Software Engineer
 Wilmington, DE: $204,900 \- $233,800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8">
      <c r="A78" t="inlineStr">
        <is>
          <t>li-4332555034</t>
        </is>
      </c>
      <c r="B78" t="inlineStr">
        <is>
          <t>Principal Software Engineer</t>
        </is>
      </c>
      <c r="C78" t="inlineStr">
        <is>
          <t>Jobs via Dice</t>
        </is>
      </c>
      <c r="D78" t="inlineStr">
        <is>
          <t>linkedin</t>
        </is>
      </c>
      <c r="E78" t="inlineStr"/>
      <c r="F78" t="inlineStr"/>
      <c r="G78" t="inlineStr">
        <is>
          <t>Nashville, TN</t>
        </is>
      </c>
      <c r="H78" t="inlineStr"/>
      <c r="I78" t="inlineStr">
        <is>
          <t>****Job Description****
 As a Principal Engineer in this space, you will have ownership of key technical components and services. You will drive the engineering team and lead the development of cloud services that enable streaming providers to move their workloads to OCI. These services include playback, content augmentation, video transcoding and packaging, content delivery, streaming analytics, and flexible billing \&amp; cost analytics. This is a unique opportunity to build a competitive product from the ground up and extend OCI's reach into new opportunities within the media and entertainment industry. You will collaborate with engineering leaders to shape the path to success, leveraging your experience as a senior team member to influence and drive progress.
 We are looking for someone with substantial experience in building, leading, and operating cloud services at a high technical level. Experience in video playback, video encoding technologies, content delivery using CDNs, and live streaming is highly desired. This individual contributor role requires exceptional soft skills alongside technical prowess. Strong communication abilities, leadership, and collaboration are essential. You will mentor engineers, drive complex technical projects, and lead initiatives with confidence and independence.
 Career Level \- IC4
****Responsibilities****
**Responsibilities**
* Research in state of the art of specific technical focus areas.
* Cloud service architecture, micro\-service design, scalability, observability and availability provisions.
* Design and implementation of services and their component micro\-services.
* Collaboration within the engineering team to deliver and operate cloud services that enable streaming providers to shift their workloads to OCI.
* Stay abreast of emerging technologies, industry best practices, ensuring compliance and driving innovation within the organization.
* Launching new cloud services and establishing operational excellence.
* Lead implementation to realize and achieve the technical vision of the team.
* Ability to engage with geographically distributed engineering teams.
* Coaching, mentoring, and developing best talent.
* Establishing and stimulating software development standards and processes along with best practices for the entire org.
* Defining OKRs and KPIs to inform decision making and prioritization.
****Qualifications****
* BS/CS Computer Science or related field and 5\+ years software development experience.
* Large/enterprise scale software development and engineering experience, particularly with cloud services and distributed systems.
* Domain knowledge and experience with playback, content augmentation, video transcoding and packaging, content delivery, streaming analytics, and flexible billing \&amp; cost analytics are highly desired.
* Experience as a lead developer in the design, implementation and operation of cloud services.
* Experience collaborating with geo\-distributed teams.
* Extensive background and experience in software implementation, code and design review, failure root cause analysis.
* Designing for availability, observability, scalability and recoverability.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to $223,400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9">
      <c r="A79" t="inlineStr">
        <is>
          <t>li-4359786581</t>
        </is>
      </c>
      <c r="B79" t="inlineStr">
        <is>
          <t>Senior Lead Software Engineer, Back End/Full Stack (Intelligent Foundations &amp; Experiences)</t>
        </is>
      </c>
      <c r="C79" t="inlineStr">
        <is>
          <t>Capital One</t>
        </is>
      </c>
      <c r="D79" t="inlineStr">
        <is>
          <t>linkedin</t>
        </is>
      </c>
      <c r="E79" t="inlineStr"/>
      <c r="F79" t="inlineStr"/>
      <c r="G79" t="inlineStr">
        <is>
          <t>Richmond, VA</t>
        </is>
      </c>
      <c r="H79" t="inlineStr"/>
      <c r="I79"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End/Full Stack Software Engineers** 
 who are passionate about marrying data with emerging technologies. As a Capital One Software Engineer, you’ll have the opportunity to be on the forefront of driving a major transformation within Capital One.
**Intelligent Foundations \&amp; Experiences (IFX)** 
 is a powerful collective of horizontal technology organizations that are driving Capital One’s real\-time intelligent future. Together with our partners in the Enterprise and across lines of business, we deliver broad\-reaching technical solutions and advance state\-of\-the\-art science to help every Capital One associate and our 100\+M customers succeed.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6 years of professional software engineering experience (Internship experience does not apply)
* At least 1 year experience with cloud computing (AWS, Microsoft Azure, Google Cloud)
**Preferred Qualifications:**
* Master’s Degree
* 9\+ years of experience in at least one of the following: Java, Scala, Python, Go, or Node.js
* 3\+ years of experience with AWS, GCP, Azure, or another cloud service
* 4\+ years of experience in open source frameworks
* 1\+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$204,900 \- $233,800 for Sr. Lead Software Engineer
 McLean, VA: $225,400 \- $257,200 for Sr. Lead Software Engineer
 Plano, TX: $204,900 \- $233,800 for Sr. Lead Software Engineer
 Richmond, VA: $204,900 \- $233,800 for Sr. Lead Software Engineer
 Riverwoods, IL: $204,900 \- $233,800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0">
      <c r="A80" t="inlineStr">
        <is>
          <t>li-4345219015</t>
        </is>
      </c>
      <c r="B80" t="inlineStr">
        <is>
          <t>Associate, Software Engineer (Greenville, TX)</t>
        </is>
      </c>
      <c r="C80" t="inlineStr">
        <is>
          <t>L3Harris Technologies</t>
        </is>
      </c>
      <c r="D80" t="inlineStr">
        <is>
          <t>linkedin</t>
        </is>
      </c>
      <c r="E80" t="inlineStr"/>
      <c r="F80" t="inlineStr"/>
      <c r="G80" t="inlineStr">
        <is>
          <t>Greenville, TX</t>
        </is>
      </c>
      <c r="H80" t="inlineStr"/>
      <c r="I8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Software Engineer**
**Job Location: Greenville, TX**
**Job Description:**
* Apply computer science, engineering, and mathematical analysis concepts and principles in the development of software for the target application
* Work closely with cross functional members of the engineering organization to develop and evaluate interfaces between hardware and software, and operational performance requirements and design of the overall system
* Support and participate in all phases of the software development life cycle, including requirements analysis, design, implementation, integration, and test of embedded software for real\-time control of advanced tactical radio equipment
* Develop software test procedures, software programs, and related documentation
* Utilize modeling tools and equipment to establish operating data, conduct experimental tests, and evaluate results
* Participate in peer reviews, identify, track and repair defects
* Utilize a variety of software languages (i.e., C\+\+, C\#, C, Java, Ruby, HTML5, XML, SQL, Perl, Python, Ajax, Qt) on Windows, Linux, mobile platforms, and/or embedded real time operating systems (VxWorks, Linux, QNX, Integrity, Windows CE, and others for Motorola, Intel, TI, and custom processor designs)
**Qualifications:**
* To be eligible, applicants must be pursuing a Bachelor’s Degree in Computer Science and Computer Engineering or have completed their Bachelor’s degree within the last 12 months, regardless of age.
* Eligibility to obtain DoD Security Clearance, which requires U.S. Citizenship.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81">
      <c r="A81" t="inlineStr">
        <is>
          <t>li-4360655010</t>
        </is>
      </c>
      <c r="B81" t="inlineStr">
        <is>
          <t>Frontend Software Engineer</t>
        </is>
      </c>
      <c r="C81" t="inlineStr">
        <is>
          <t>DoorDash</t>
        </is>
      </c>
      <c r="D81" t="inlineStr">
        <is>
          <t>linkedin</t>
        </is>
      </c>
      <c r="E81">
        <f>HYPERLINK("https://www.linkedin.com/jobs/view/4360655010", "https://www.linkedin.com/jobs/view/4360655010")</f>
        <v/>
      </c>
      <c r="F81" t="inlineStr"/>
      <c r="G81" t="inlineStr"/>
      <c r="H81" t="inlineStr"/>
      <c r="I81" t="inlineStr">
        <is>
          <t>**About The Company** 
 DoorDash is a leading technology and logistics company dedicated to empowering local economies by connecting consumers with their favorite local merchants through innovative delivery solutions. Since its inception, DoorDash has revolutionized the on\-demand delivery landscape, expanding from food delivery to include a wide range of goods, services, and experiences. With a mission to build the world's most reliable on\-demand logistics engine, DoorDash continuously strives to enhance the delivery experience for consumers, merchants, and delivery partners alike. The company fosters a dynamic and inclusive work environment that encourages innovation, collaboration, and growth. DoorDash values diversity and is committed to creating an equitable workplace where all employees can thrive and contribute their unique perspectives to drive success.
**About The Role** 
 DoorDash is seeking passionate and skilled Frontend Engineers to join our rapidly growing global engineering team. In this role, you will be instrumental in building and maintaining large\-scale, 24x7 infrastructure systems that power our innovative three\-sided marketplace involving consumers, merchants, and Dashers. You will be responsible for designing and developing intuitive, high\-performance web interfaces that deliver exceptional user experiences. As a product\-focused engineer, you will work at the intersection of product development and infrastructure, collaborating with cross\-functional teams to solve complex business challenges through elegant technical solutions. This hybrid position offers a blend of in\-office and remote work, with the opportunity to influence key features of our client\-facing applications. Reporting to an Engineering Manager, you will become a product owner, ensuring the delivery of robust, well\-tested, and scalable frontend solutions that prioritize customer satisfaction and operational excellence.
 Joining DoorDash means contributing to a fast\-paced environment where innovation is encouraged, and your work directly impacts millions of users worldwide. You will have the opportunity to grow your technical expertise, lead impactful projects, and shape the future of on\-demand delivery technology.
**Qualifications** 
* B.S., M.S., or PhD in Computer Science, Software Engineering, or a related field
* Minimum of 2\+ years of industry experience in frontend development
* Proficiency in core web technologies: vanilla JavaScript, HTML5, CSS3
* Experience architecting large\-scale frontend applications
* Deep understanding of cross\-browser compatibility, responsive design, progressive enhancement, website performance, and accessibility standards
* Strong knowledge of REST principles and experience working with backend APIs
* Hands\-on experience with React, Redux, or similar frontend frameworks
* Experience with documentation, unit testing, and integration testing
* Excellent problem\-solving skills and ability to work collaboratively in a team environment
**Responsibilities** 
* Design, develop, and maintain scalable, high\-quality web applications that enhance user experience
* Collaborate with product managers, designers, and backend engineers to define and implement features
* Ensure cross\-browser compatibility, responsiveness, and accessibility compliance across all web interfaces
* Write clean, well\-documented, and thoroughly tested code to ensure reliability and maintainability
* Participate in code reviews, provide constructive feedback, and adhere to best practices in frontend development
* Optimize application performance and troubleshoot issues to ensure a seamless user experience
* Stay updated with the latest industry trends, tools, and technologies to continuously improve our frontend architecture
* Act as a product owner for specific client\-facing applications, guiding development priorities and technical decisions
**Benefits** 
* Competitive salary within the specified geographic ranges
* Opportunities for equity grants and performance\-based incentives
* Comprehensive health, dental, and vision insurance plans
* 401(k) plan with employer matching
* Paid time off, including vacation, holidays, and paid parental leave
* Wellness benefits and mental health support programs
* Family\-forming assistance and other family\-friendly benefits
* Commuter benefit programs and transportation stipends
* Professional development opportunities and a collaborative work environment
 Equal Opportunity
 DoorDash is an equal opportunity employer committed to fostering an inclusive and diverse workplace. We do not discriminate against any employee or applicant based on race, color, religion, national origin, gender, sexual orientation, gender identity or expression, age, disability, veteran status, or any other protected characteristic.</t>
        </is>
      </c>
    </row>
    <row r="82">
      <c r="A82" t="inlineStr">
        <is>
          <t>li-4345394960</t>
        </is>
      </c>
      <c r="B82" t="inlineStr">
        <is>
          <t>Senior Executive Director of Software Engineering - Data Platforms | Workforce and Experience Technology (WXT)</t>
        </is>
      </c>
      <c r="C82" t="inlineStr">
        <is>
          <t>hackajob</t>
        </is>
      </c>
      <c r="D82" t="inlineStr">
        <is>
          <t>linkedin</t>
        </is>
      </c>
      <c r="E82">
        <f>HYPERLINK("https://www.linkedin.com/jobs/view/4345394960", "https://www.linkedin.com/jobs/view/4345394960")</f>
        <v/>
      </c>
      <c r="F82">
        <f>HYPERLINK("https://www.hackajob.com/job/6fc89b40-ee24-11f0-9e38-0a05e249917d-senior-executive-director-of-software-engineering-data-platforms-workforce-and-experience-technology-wxt?utm_source=LinkedIn&amp;utm_medium=JobAds&amp;utm_term=Automated&amp;utm_campaign=jp-morgan-senior-executive-director-of-software-engineering-data-platforms-workforce-and-experience-technology-wxt&amp;job_name=senior-executive-director-of-software-engineering-data-platforms-workforce-and-experience-technology-wxt&amp;company=jp-morgan&amp;workplace_type=on-site&amp;city=new-york&amp;country=united-states&amp;urlHash=EF9V", "https://www.hackajob.com/job/6fc89b40-ee24-11f0-9e38-0a05e249917d-senior-executive-director-of-software-engineering-data-platforms-workforce-and-experience-technology-wxt?utm_source=LinkedIn&amp;utm_medium=JobAds&amp;utm_term=Automated&amp;utm_campaign=jp-morgan-senior-executive-director-of-software-engineering-data-platforms-workforce-and-experience-technology-wxt&amp;job_name=senior-executive-director-of-software-engineering-data-platforms-workforce-and-experience-technology-wxt&amp;company=jp-morgan&amp;workplace_type=on-site&amp;city=new-york&amp;country=united-states&amp;urlHash=EF9V")</f>
        <v/>
      </c>
      <c r="G82" t="inlineStr">
        <is>
          <t>New York, NY</t>
        </is>
      </c>
      <c r="H82" t="inlineStr"/>
      <c r="I82" t="inlineStr">
        <is>
          <t>***hackajob** 
 is collaborating with
 **J.P. Morgan** 
 to connect them with exceptional tech professionals for this role.*
**Job Description**
 You will be poised to achieve extraordinary success and make a high impact on those around you through data solutions. Partner with an organization comprised of the industry’s thought leaders and committed to advancing your leadership career.
 As a Senior Director of Software Engineering at JPMorganChase within the Employee Platforms, Workforce Experience Technology (WxT) Workforce Data and Analytics (WDA) team, you lead multiple technical areas, manage the activities of multiple departments, and collaborate across technical domains. Your expertise is applied cross\-functionally to drive the adoption and implementation of technical methods within various teams and aid the firm in remaining at the forefront of industry trends, best practices, and technological advances You will lead data engineering and drive impact within teams, technologies, and data product offerings across HR, Employee Experience, CAO and EP technology. Utilize your in\-depth engineering knowledge and impact for data, analytics, applications, technical processes, and product management to lead multiple complex designs and initiatives making key decisions for your team, and drive innovation and solution delivery.
**Job Responsibilities**
* Builds data pipeline and architecture solutions that can be leveraged across multiple businesses that are easily augmented, exchanged, rotated, etc.
* Champions proficiency in all aspects of the data production pipeline ensuring they are driven by x\-as\-Code (extraction, transformation, reconciliation, data quality (business, technical), security).
* Utilizes best practice trends in both test\-driven and data\-driven development.
* Creates modular designs that can be auto repeatable as frameworks to build a data production factory, minimizing ad hoc data generation.
* Leads data engineering scrum teams to achieve functional technology objectives while influencing peer leaders and senior stakeholders across the business, product, and data technology teams
* Partners with Product and Architecture to make strategic decisions that influence teams’ resources, budget, tactical operations, and the implementation of processes and procedures.
* Executes at code level accountability for SDLC, design patterns and upskilling engineers
* Uplifts and modernizes data platforms driving Stability, Timeliness, Completeness, Quality (TDQ/BDQ), Security, FinOps, Operational Excellence and Ease of consumption.
* Carries governance accountability for coding decisions, control obligations, and measures of success such as cost of ownership, maintainability, and portfolio operations.
* Champions the firm’s culture of diversity, equity, inclusion, and respect
* Transforms traditional HR/EX into modern data product offerings that scales for business needs.
**Required Qualifications, Capabilities, And Skills.**
* Formal training or certification on Data Engineering concepts and 12\+ years applied experience. In addition, 8\+ years of experience leading technologists and software engineers to manage, anticipate and solve complex technical items within your domain of expertise.
* Hands\-on Data Engineering development, testing, automation
* Practical experience with the following key technical skills including Databricks, DBX, PySpark, Spark, Cloud Providers: Databricks, AWS, Azure, Terraform, Kafka, Python/Scala, Glue/EMR, AI Developer Automation Tools (Unit Test)
* BI Consumption with tools such as: Sigma, Genie, Tableau SaaS
* Ability to manage governance with Unity Catalogue and Data Access with Immuta
* Experience developing and leading cross\-functional teams of technologists.
* Experience dealing with internet scale volume and size of data.
* Experience hiring, developing, and recognizing talent.
* Experience leading a product as a Product Owner or Product Manager
* Experience in Big Data technologies handling complex data processing requirements.
* Experience building data pipelines and platforms in cloud (AWS S3, Databricks, GCP, Azure)
**Preferred Qualifications, Capabilities, And Skills**
* Experience working hands\-on at code level
* Prior Financial Services experience is preferred.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Corporate Technology team relies on smart, driven people like you to develop applications and provide tech support for all our corporate functions across our network. Your efforts will touch lives all over the financial spectrum and across all our divisions: Global Finance, Corporate Treasury, Risk Management, Human Resources, Compliance, Legal, and within the Corporate Administrative Office. You’ll be part of a team specifically built to meet and exceed our evolving technology needs, as well as our technology controls agenda.</t>
        </is>
      </c>
    </row>
    <row r="83">
      <c r="A83" t="inlineStr">
        <is>
          <t>li-4345354951</t>
        </is>
      </c>
      <c r="B83" t="inlineStr">
        <is>
          <t>Senior Software Engineer (SQL + Snowflake + Python + Cloud Data Platforms)</t>
        </is>
      </c>
      <c r="C83" t="inlineStr">
        <is>
          <t>Digital Asset Management.com</t>
        </is>
      </c>
      <c r="D83" t="inlineStr">
        <is>
          <t>linkedin</t>
        </is>
      </c>
      <c r="E83">
        <f>HYPERLINK("https://www.linkedin.com/jobs/view/4345354951", "https://www.linkedin.com/jobs/view/4345354951")</f>
        <v/>
      </c>
      <c r="F83" t="inlineStr"/>
      <c r="G83" t="inlineStr"/>
      <c r="H83" t="inlineStr"/>
      <c r="I83" t="inlineStr">
        <is>
          <t>New
 Senior Software Engineer (SQL \+ Snowflake \+ Python \+ Cloud Data Platforms)
 Pune or Delhi/NCR Remote
 Acquia empowers the world’s most ambitious brands to create digital customer experiences that matter. With open source Drupal at its core, the Acquia Digital Experience Platform (DXP) enables marketers, developers, and IT operations teams at thousands of global organizations to rapidly compose and deploy digital products and services that engage customers, enhance conversions, and help businesses stand out.
 Headquartered in the U.S., Acquia is positioned as a market leader by the analyst community and is listed as one of the world’s top software companies by The Software Report. We are Acquia. We are a global company with employees located in more than 30 countries, and we’re building for the future. We want you to be a part of it!
 We are seeking an experienced
 **Senior Software Engineer** 
 specializing in Data Engineering to join our team and build robust, scalable data infrastructure using modern tools like Snowflake and Dagster to power our marketing cloud platform and AI\-driven analytics.
**As a Senior Software Engineer, You Will**
* Design and build scalable data pipelines using Dagster for orchestration and Snowflake for data warehousing
* Develop and optimize complex data models and transformations to support real\-time analytics and AI/ML initiatives
* Build metadata\-driven, reusable data solutions that enable self\-service analytics across the organization
* Implement AI\-powered data quality monitoring, anomaly detection, and automated data validation frameworks
* Partner with Data Scientists and ML Engineers to enable efficient model training and inference workflows
* Optimize query performance and cost efficiency across multi\-petabyte data workloads in Snowflake
* Build robust data governance frameworks including lineage tracking, data cataloging, and access controls
* Implement event\-driven data architectures supporting real\-time customer experience optimization
* Collaborate with Product and Engineering teams to instrument applications for comprehensive data collection
* Mentor junior engineers on data engineering best practices and modern data stack technologies
**Skills**
* 5\+ years of experience in data engineering roles with focus on large\-scale data processing
* Strong hands\-on experience with Snowflake including performance optimization, security, and cost management (must\-have)
* Expert\-level proficiency in Python for data pipeline development and automation
* Strong SQL skills with experience in query optimization and performance tuning
* Proven experience with Dagster or similar workflow orchestration tools (Airflow, Prefect)
* Deep understanding of data modeling, ETL/ELT patterns, and dimensional modeling techniques
* Experience with streaming data technologies (Kafka, Kinesis, Pub/Sub) and real\-time processing
* Experience with cloud data platforms (AWS, GCP, Azure) and their native data services
* Knowledge of data governance tools and practices (data cataloging, lineage, quality monitoring)
* Familiarity with version control (Git) and CI/CD practices for data pipelines
* Interest in AI/ML applications including feature engineering, model serving, and MLOps workflows
**Additional Advantages**
* Experience with dbt for analytics engineering and data transformation
* Hands\-on experience with vector databases and embedding pipelines for AI applications
* Knowledge of data mesh architecture and domain\-driven data design
* Experience with Apache Spark for large\-scale data processing
* Snowflake certifications (Data Engineer, Architect)
* Experience with customer data platforms (CDPs) and marketing analytics
* Understanding of privacy regulations (GDPR, CCPA) and data anonymization techniques
*We are an organization that embraces innovation and the potential of AI to enhance our processes and improve our work. We are always looking for individuals who are open to learning new technologies and collaborating with AI tools to achieve our goals.*
*Acquia is proud to provide best\-in\-class benefits to help our employees and their families maintain a healthy body and mind. Core Benefits include: competitive healthcare coverage, wellness programs, take it when you need it time off, parental leave, recognition programs, and much more!*
*Individuals seeking employment at Acquia are considered without regard to race, color, religion, caste, creed, national origin, age, sex, marital status, ancestry, physical or mental disability, veteran status, gender identity, or sexual orientation. Whatever you answer will not be considered in the hiring process or thereafter.*
 Create a Job Alert
 Interested in building your career at Acquia? Get future opportunities sent straight to your email.
 Apply for this job
 indicates a required field
 First Name\*
 Last Name\*
 Email\*
 Phone
 Country\*
 Phone\*
 Resume/CV\*
 Attach
 Enter manually
 Accepted file types: pdf, doc, docx, txt, rtf
 Cover Letter
 Attach
 Enter manually
 Accepted file types: pdf, doc, docx, txt, rtf
 Individuals seeking employment at Acquia are considered without regard to race, color, religion, caste, creed, national origin, age, sex, marital status, ancestry, differently abled, veteran status, gender identity, or sexual orientation. Whatever you answer will not be considered in the hiring process or thereafter.\*
 Select...
 How did you hear about this job?\*
 LinkedIn Profile\*
 Have you been a previous Acquia employee or contractor? \*
 Select...
 Individuals seeking employment at Acquia are considered without regard to race, color, religion, caste, creed, national origin, age, sex, marital status, ancestry, physical or mental disability, veteran status, gender identity, or sexual orientation. Whatever you answer will not be considered in the hiring process or thereafter.\*
 Select...
 If referred, please provide the email of the person who referred\*
 Current Company (Please put N/A if not applicable)\*
 Current Company Website (Please put N/A if not applicable)\*
 What is your current state? (If state is not found, please select the closest one)\*
 Select...
 What is your current city?\*
 How many relevant years of experience do you have (post qualification)?\*
 Select...
 Powered by
 Greenhouse</t>
        </is>
      </c>
    </row>
    <row r="84">
      <c r="A84" t="inlineStr">
        <is>
          <t>li-4332594932</t>
        </is>
      </c>
      <c r="B84" t="inlineStr">
        <is>
          <t>Senior Software Engineer</t>
        </is>
      </c>
      <c r="C84" t="inlineStr">
        <is>
          <t>Sailplane</t>
        </is>
      </c>
      <c r="D84" t="inlineStr">
        <is>
          <t>linkedin</t>
        </is>
      </c>
      <c r="E84">
        <f>HYPERLINK("https://www.linkedin.com/jobs/view/4332594932", "https://www.linkedin.com/jobs/view/4332594932")</f>
        <v/>
      </c>
      <c r="F84" t="inlineStr"/>
      <c r="G84" t="inlineStr"/>
      <c r="H84" t="inlineStr"/>
      <c r="I84" t="inlineStr">
        <is>
          <t>**About Sailplane** 
 In an unmarked building somewhere in Silicon Valley, a small team of engineers is working on what could become one of the most transformative technologies in enterprise computing: autonomous infrastructure that manages itself. Sailplane, backed by AI kingmaker Khosla Ventures (OpenAI's first investor) and seed specialist True Ventures, is building a "self\-driving cloud" \- intelligent agents capable of autonomously managing the largest and most advanced AI infrastructure on the planet.
 Sailplane is solving one of the most complex challenges in modern computing: autonomous manufacturing and management of massive AI data centers. We are creating intelligent agents that operate rack\-scale systems worth millions of dollars. Think Waymo for cloud infrastructure.
 "We're building million\-dollar agents," explains co\-founder Sam Ramji, who previously led product at Google Cloud Platform and brought Linux to Microsoft. "These aren't consumer\-grade chatbots \- they're sophisticated autonomous systems managing rack\-scale hardware worth millions per unit."
**About the Role** 
 Sailplane is an early\-stage AI infrastructure startup. Expect to wear many hats (building ML platforms, MLOps tools, data/LLM infrastructure). You will bring a startup mindset, eager to take ownership of projects, navigate ambiguity, and move quickly to solve challenging problems in a fast\-paced environment.
 As a Senior ML Engineer, you will lead the build and operations of LLMs in production on\-premise for Sailplane. This is a senior individual contributor role focused on hands\-on coding, systems thinking, and prototyping. You won't manage a team, but you will mentor and amplify those around you.
 You should be fluent in models, adept at integrating production infrastructure and observability, and lead performance benchmarking. You’re comfortable working in code and in diverse production environments, and you care deeply about correctness and quality.
 This hybrid position reports to the CEO and is expected to work from our downtown San Francisco office 2 to 3 days per week.
**What you will do at Sailplane** 
* Build, deploy, monitor, and operate LLMs in production on\-premises in diverse customer environments
* Implement MLOps best practices (CI/CD pipelines, containerization, continuous monitoring) to ensure reliable performance
* Benchmark performance and recommend solutions to improve customer deployments including hardware sizing for target throughout (tokens per second, concurrent user sessions)
* Experiment and iterate on models by tuning parameters and testing new approaches, continuously improving accuracy and effectiveness through rigorous evaluation
* Document and ensure reproducibility of ML work, track experiments, code, and model versions to foster knowledge sharing and maintain high standards in the team
* Collaborate cross\-functionally with software engineers, customers, and product stakeholders
**What you will bring to Sailplane** 
* 8\+ years of experience in software engineering, preferably in a VC\-backed startup environment
* Experience with Prometheus, Grafana, distributed tracing, or ML\-specific monitoring (Weights \&amp; Biases, MLflow for production)
* Hands\-on experience deploying models at scale, including familiarity with containerization (Docker, Kubernetes) and cloud platforms (AWS, GCP, or Azure) to build and operate ML systems in production.Proficiency in programming (especially Python) and experience with modern ML frameworks/libraries such as TensorFlow, PyTorch, etc.
* Deep understanding of machine learning algorithms and the model development lifecycle (data preprocessing, training, parameter tuning, and evaluation)
* Proven track record of delivering software that creates real value for users
* Excellent communication skills with an ability to explain complex ML concepts to non\-experts, and a collaborative approach to working with cross\-functional teams and partners
**Benefits and Perks** 
* Comprehensive Health, Dental, and Vision coverage beginning on the first day for employees and their families, paid 100% by Sailplane
* Equity grant participation
* Flexible PTO with no accrual or set annual cap, plus 15 paid holidays per year
* Health and Wellness stipend ($3,000 annually) to help support your personal health goals
* AI tools stipend ($1,200 annually) to encourage hands\-on familiarity with emerging tools
* 12 weeks of paid parental leave</t>
        </is>
      </c>
    </row>
    <row r="85">
      <c r="A85" t="inlineStr">
        <is>
          <t>li-4345354985</t>
        </is>
      </c>
      <c r="B85" t="inlineStr">
        <is>
          <t>Full Stack Engineer</t>
        </is>
      </c>
      <c r="C85" t="inlineStr">
        <is>
          <t>HealthLeap AI</t>
        </is>
      </c>
      <c r="D85" t="inlineStr">
        <is>
          <t>linkedin</t>
        </is>
      </c>
      <c r="E85">
        <f>HYPERLINK("https://www.linkedin.com/jobs/view/4345354985", "https://www.linkedin.com/jobs/view/4345354985")</f>
        <v/>
      </c>
      <c r="F85" t="inlineStr"/>
      <c r="G85" t="inlineStr">
        <is>
          <t>San Francisco, CA</t>
        </is>
      </c>
      <c r="H85" t="inlineStr"/>
      <c r="I85" t="inlineStr">
        <is>
          <t>**About Healthleap**
 HealthLeap builds AI that helps clinicians prioritize patients, surfaces the right data, and gets patients the care they need earlier, so they can leave the hospital sooner.
 We integrate with hospital electronic health record systems, screen 100% of patients daily, and risk\-rank them in real time. Clinicians at Cedars\-Sinai and Penn Medicine start every morning with HealthLeap — with Houston Methodist, Emory, and Intermountain Health deploying now.
**Real results:** 
 39% more diagnoses. 4 days earlier detection. $11M/year ROI for our first site at Cedars Sinai. 7× revenue growth in 7 months.
 We started with malnutrition. We're expanding to every major condition to ensure no patient falls through the cracks. Sequoia and First Round are backing us to build the platform that screens every patient for everything and drives tangible outcomes.
**We're \~15 people. \&gt;$7M raised. SF\-based, hybrid\-friendly.** 
 Early enough to shape the product. Late enough to know it works. Results that are changing lives.
**About The Role**
**Build the product clinicians rely on every morning.**
 HealthLeap's dashboard is the first thing dietitians open at Cedars\-Sinai and Penn Medicine. It shows them which patients need attention, surfaces the right clinical data, and helps them act fast. You'll build the interfaces that make this possible \- and the backend services that power them.
 Why you
 You've built systems that real users depend on. You know what it feels like when something you shipped actually matters. You're energized by hard problems \- messy data, complex permissions, systems that need to work every time. You've felt the chaos of a startup and you liked it.
 What you'll do
* Own features end\-to\-end \- from UI to API to database
* Build complex feature flag systems for multi\-tenant hospital deployments
* Wrangle messy clinical data \- turning unstructured text into structured, usable information
* Work on the explainability problem: surfacing why a patient scored high, not just the score
* Help clinicians find in seconds what currently takes them hours buried in charts
* Ship directly to production at hospitals like Cedars\-Sinai, Penn Medicine, Houston Methodist
 What we're looking for
* 4\+ years building production web applications
* Strong in React and TypeScript, comfortable building APIs
* Experience with complex data transformations and messy real\-world data
* Comfortable with relational databases, auth systems, and feature flags at scale
* You've shipped products, not just features
* You move fast and iterate based on what you learn
 Nice to have
* Experience with LLMs or AI/ML pipelines
* Background in healthcare or clinical software
* Familiarity with Postgres, AWS, or containerized deployments
 This role is NOT for you if
* Startup unpredictability feels like chaos to you. We find it exciting.
* You need detailed specs before you start. We figure it out as we go.
* You've never owned something end\-to\-end. Here, you own outcomes, not tasks.
* You wait to be told what to do next. We need people who see what's needed and do it.
* You're looking for a 9\-5 with predictable hours. We care about deep work and deep rest (we have a minimum leave policy), but when a hospital go\-live is on the line, we show up \- even if that means a 60\+ hour week.
 Interview process
* Intro call \- Get to know each other
* Technical \- 1\-2 interviews on system design \+ coding
* Onsite \- Meet the team in SF
* Decision \- Same week as onsite
 We respect your time. If there's a fit, you'll know fast.
**Compensation \&amp; Benefits**
* Salary: $175,000 \- $275,000 base
* Equity: Meaningful ownership in an early\-stage company
* Healthcare: 100% of premiums covered
* PTO: Unlimited, with a recommended minimum of 20 days
* 401(k): 4% match
* Equipment: Laptop \+ budget for your home office
 Location
 San Francisco, hybrid (Mon/Wed/Fri in office)
 If you're passionate about applying frontier AI to real\-world impact, join us in building healthcare's future.</t>
        </is>
      </c>
    </row>
    <row r="86">
      <c r="A86" t="inlineStr">
        <is>
          <t>li-4359956898</t>
        </is>
      </c>
      <c r="B86" t="inlineStr">
        <is>
          <t>Software Engineer</t>
        </is>
      </c>
      <c r="C86" t="inlineStr">
        <is>
          <t>Coilcraft, Inc.</t>
        </is>
      </c>
      <c r="D86" t="inlineStr">
        <is>
          <t>linkedin</t>
        </is>
      </c>
      <c r="E86">
        <f>HYPERLINK("https://www.linkedin.com/jobs/view/4359956898", "https://www.linkedin.com/jobs/view/4359956898")</f>
        <v/>
      </c>
      <c r="F86" t="inlineStr"/>
      <c r="G86" t="inlineStr">
        <is>
          <t>Oregon, IL</t>
        </is>
      </c>
      <c r="H86" t="inlineStr"/>
      <c r="I86" t="inlineStr">
        <is>
          <t>Coilcraft is a successful, privately\-held company with a worldwide reputation for high\-quality passive electronic components. Coilcraft operates in a wide range of industries, including telecommunication, computers, automotive, broadband communications, and consumer electronics. We have an opening for a Software Engineer.
**Job Responsibilities**
* Program business applications to seamlessly integrate with third\-party applications.
* Provide guidance and support to both technical and non\-technical users on custom applications.
* Maintain and support newly developed and existing applications.
* Code for large\-scale data conversions during system upgrades.
**Job Requirements**
* Bachelor's or Associate degree in Computer Science, Information Technology, or technology\-related degree, or equivalent experience.
* Proficiency in ASP.NET MVC.
* Experience with C\# or Java programming languages.
* Proficient in relational database management systems (RDBMS), particularly in SQL.
* Proficiency in SQL Server Reporting Services (SSRS) is a plus.
* Knowledge of Content Management Systems (CMS) is a plus.
* Familiarity with Internet Information Services (IIS) is a plus.
* Natural problem\-solving abilities.
* Excellent communication skills.
**Company Benefits**
* 401(k) Matching
* Disability Insurance
* Dental Insurance
* Employee Assistance Program
* Flexible Spending Account
* Health Insurance
* Health Savings Account
* Life Insurance
* Paid Holidays
* Paid Time\-Off
* Profit Sharing
* Vision Insurance
 Equal Opportunity Employer: disability/veteran
***Job Posted by ApplicantPro***</t>
        </is>
      </c>
    </row>
    <row r="87">
      <c r="A87" t="inlineStr">
        <is>
          <t>li-4359936778</t>
        </is>
      </c>
      <c r="B87" t="inlineStr">
        <is>
          <t>Software Engineer, Full Stack</t>
        </is>
      </c>
      <c r="C87" t="inlineStr">
        <is>
          <t>Rad AI</t>
        </is>
      </c>
      <c r="D87" t="inlineStr">
        <is>
          <t>linkedin</t>
        </is>
      </c>
      <c r="E87">
        <f>HYPERLINK("https://www.linkedin.com/jobs/view/4359936778", "https://www.linkedin.com/jobs/view/4359936778")</f>
        <v/>
      </c>
      <c r="F87">
        <f>HYPERLINK("https://www.wiraa.com/job-description/us7965E1021885DAC56D0E770071F79A50?source=Linkedin&amp;urlHash=s9_l", "https://www.wiraa.com/job-description/us7965E1021885DAC56D0E770071F79A50?source=Linkedin&amp;urlHash=s9_l")</f>
        <v/>
      </c>
      <c r="G87" t="inlineStr"/>
      <c r="H87" t="inlineStr"/>
      <c r="I87" t="inlineStr">
        <is>
          <t>**About Rad AI** 
 Rad AI is a pioneering healthcare technology company dedicated to transforming the future of medicine through artificial intelligence. Founded by a radiologist, our mission is to revolutionize radiology practices by providing AI\-driven solutions that enhance diagnostic accuracy, streamline workflows, and reduce clinician burnout. Our extensive proprietary radiology report dataset, one of the largest in the world, enables us to develop sophisticated AI models that have already contributed to the detection of hundreds of new cancer diagnoses and a significant reduction in error rates across tens of millions of radiology reports. With a strong commitment to innovation, Rad AI has secured over $140 million in funding, including a recent oversubscribed Series C round led by Transformation Capital, valuing the company at over half a billion dollars.
 Our technology is widely adopted across the United States, supporting more than one\-third of radiology groups and healthcare systems, and nearly 50% of all medical imaging in the country. Our partnerships with leading healthcare providers such as Cone Health, Jefferson Einstein Health, Geisinger, Guthrie Healthcare System, and Henry Ford Health exemplify our impact in improving patient outcomes. Recognized as one of the most promising healthcare AI companies by CB Insights and AuntMinnie, and ranked as the 19th fastest\-growing company in North America by Deloitte, Rad AI continues to lead innovation in AI\-powered healthcare solutions. Our recent inclusion in CNBC’s Disruptor 50 list underscores our momentum and commitment to making a meaningful difference in medical imaging and patient care.
**About The Role** 
 We are seeking a highly skilled Staff Software Engineer to join our platform team, focusing on building and maintaining our healthcare data platform. This role offers a unique opportunity to work at the intersection of advanced engineering and healthcare, shaping how medical data is processed and utilized across our products. You will be responsible for developing scalable, secure, and efficient backend systems that power mission\-critical applications such as our Reporting platform. The ideal candidate will have a strong background in backend development with expertise in Python and TypeScript, and experience working with web platforms that handle sensitive health data in compliance with HIPAA standards.
 In this role, you will collaborate closely with cross\-functional teams including Product Management, UX, Customer Success, and other stakeholders to develop new features, improve existing functionalities, and ensure the robustness and security of our systems. You will be instrumental in designing infrastructure that supports our rapid growth and enhances the overall quality, security, and performance of our healthcare solutions. This position emphasizes backend development but offers the chance to influence the entire technology stack, contributing to innovative solutions that impact millions of lives through improved healthcare delivery.
**Qualifications** 
* 8\+ years of industry experience in full\-stack engineering, with a focus on large\-scale, multi\-tenant environments
* Proficiency in Javascript / TypeScript, Python, and FastAPI or equivalent modern frameworks
* Deep understanding of relational databases (e.g., PostgreSQL), document\-based databases, and large\-scale data storage paradigms
* Strong knowledge of modern web architecture, security standards, and best practices
* Experience with HTML, CSS, responsive design, and web APIs such as WebSockets and IndexedDB
* Hands\-on experience with unit and integration testing
* Proficiency with version control systems, particularly Git
* Experience diagnosing and optimizing performance issues at scale
* Excellent collaboration skills and experience working within distributed teams
**Responsibilities** 
* Develop and maintain large\-scale web applications, including single\-page applications using React/TypeScript
* Build and enhance backend services using Python, FastAPI, and related technologies, including REST APIs and ML pipelines
* Create features that support our expanding customer base and improve user workflows
* Ensure code quality by adhering to security, style, and maintainability standards suitable for HIPAA\-compliant environments
* Collaborate with cross\-functional teams to gather requirements, iterate on features, and resolve defects
* Advocate for system improvements related to security, performance, and scalability
* Participate in code reviews, testing, and deployment processes to ensure high\-quality deliverables
**Benefits** 
* Comprehensive Medical, Dental, Vision \&amp; Life insurance coverage
* HSA (with employer contribution), FSA, and DCFSA options
* 401(k) retirement plan with company matching
* 11 paid company holidays annually
* Flexible work location with a remote\-first policy
* Flexible paid time off (PTO) policy
* Annual company\-wide offsite and periodic team offsites
* Annual equipment stipend to support remote work setup
 Equal Opportunity
 Rad AI is an equal opportunity employer. We celebrate diversity and are committed to creating an inclusive environment for all employees and applicants. We do not discriminate based on race, color, religion, national origin, gender, sexual orientation, age, marital status, veteran status, disability, or any other protected characteristic.</t>
        </is>
      </c>
    </row>
    <row r="88">
      <c r="A88" t="inlineStr">
        <is>
          <t>li-4360616667</t>
        </is>
      </c>
      <c r="B88" t="inlineStr">
        <is>
          <t>Software Engineer 2</t>
        </is>
      </c>
      <c r="C88" t="inlineStr">
        <is>
          <t>Gormat</t>
        </is>
      </c>
      <c r="D88" t="inlineStr">
        <is>
          <t>linkedin</t>
        </is>
      </c>
      <c r="E88">
        <f>HYPERLINK("https://www.linkedin.com/jobs/view/4360616667", "https://www.linkedin.com/jobs/view/4360616667")</f>
        <v/>
      </c>
      <c r="F88" t="inlineStr"/>
      <c r="G88" t="inlineStr">
        <is>
          <t>Annapolis Junction, MD</t>
        </is>
      </c>
      <c r="H88" t="inlineStr"/>
      <c r="I88" t="inlineStr">
        <is>
          <t>Gormat is looking for a Software Engineer 2 with the following skills:
* The ideal candidate will perform Software Engineering and vulnerability research with a focus on OCO (Offensive Cyber Operations) and DCO (Defensive Cyber Operations) activities.
* Work with customers directly performing full cycle system engineering, gathering requirements and source code, to technical documentation and specifications.
* Performing long term, in depth vulnerability assessments using reverse engineering, kernel debugging, and exploitation technologies.
* Engineers are encouraged to be creative and exhaust every technical avenue to uncover weaknesses of the system and exploit them.
* Performs software development tasks and assists in the design and architecture of software applications individually or as a team member
* Develops production quality software based on pre\-defined software requirements and designs
* Reviews, analyzes, and modifies programming systems to include coding, testing, debugging, installing, and documenting to support organizations software applications
* Implements software development process improvement activities in accordance with organizational procedures
* Develops unit and integration tests and test plans for software applications and prepares software test reports
* Writes documentation for software and software interfaces
**Required Qualifications**
* High School and Seven \[7] years experience in software development technologies and methodologies.
* Or BS in STEM field (Electrical/Computer/Software Engineering, Computer Science, Math or Information Systems) and Three (3\) year of experience in software development technologies and methodologies.
* C/C\+\+ Software development skills
* Experience in x86/x64 assembly, software reverse engineering, kernel debugging, and protocol stacks
* Experience developing computer exploits
**Preferred Technical Skills**
* Experience developing computer exploits
* Experience in Software Reverse Engineering with at least 1 of the following tool or an equivalent: IDAPro, GDB, WinDbg, Immunity/OllyDbg
* Experience in malware analysis and mitigation techniques
* Strong understanding of the Windows and Linux Operating System internals and APIs
* Knowledge of analyzing shellcode, packed and obfuscated and the associated algorithms a plus
* Experience with scripting languages such as Python, Bash, Pearl, etc
* Experience in host and network analysis to identify and characterize anomalies and vulnerabilities in the platform
* Experience documenting findings in reports and briefings
**TS/SCI With Polygraph Is Required.**
***Job Posted by ApplicantPro***</t>
        </is>
      </c>
    </row>
    <row r="89">
      <c r="A89" t="inlineStr">
        <is>
          <t>li-4359769220</t>
        </is>
      </c>
      <c r="B89" t="inlineStr">
        <is>
          <t>Full Stack Engineer</t>
        </is>
      </c>
      <c r="C89" t="inlineStr">
        <is>
          <t>James Search Group</t>
        </is>
      </c>
      <c r="D89" t="inlineStr">
        <is>
          <t>linkedin</t>
        </is>
      </c>
      <c r="E89">
        <f>HYPERLINK("https://www.linkedin.com/jobs/view/4359769220", "https://www.linkedin.com/jobs/view/4359769220")</f>
        <v/>
      </c>
      <c r="F89" t="inlineStr"/>
      <c r="G89" t="inlineStr"/>
      <c r="H89" t="inlineStr"/>
      <c r="I89" t="inlineStr">
        <is>
          <t>**About the Company** 
 \- Our client is a globally recognized quantitative trading firm, known for its advanced technology\-driven approach to trading. They are committed to fostering a collaborative and innovative environment where talented engineers can thrive and make a real impact on the business.
**About the Role** 
 \- We're partnering with a leading Quantitative Finance Trading Firm, known for its innovative approach to trading and financial technology, to find a Full Stack Software Engineer. This is a fantastic opportunity for a passionate developer with expertise in C\+\+ or Java and Python to join a cutting\-edge team where your contributions will directly impact the firm's high\-performance trading systems and algorithms.
**Responsibilities** 
* Develop and optimize full\-stack applications that support complex quantitative trading strategies.
* Build and maintain robust, scalable systems, from front\-end user interfaces to back\-end infrastructure.
* Work closely with quants, traders, and data scientists to design and implement software solutions for algorithmic trading.
* Contribute to the continuous improvement of existing systems with a focus on speed, reliability, and performance.
* Collaborate in an agile environment, using modern development tools and techniques to solve real\-world financial problems.
**Qualifications** 
 \- Bachelors Degree
**Required Skills** 
* 1\-4\+ years experience with C\+\+ or Java with experience in Python for full\-stack development.
* Strong experience in building high\-performance, low\-latency systems (trading experience is a plus but not required).
* Familiarity with financial markets, trading systems, and quantitative strategies is beneficial but not mandatory.
* Excellent problem\-solving skills and the ability to think algorithmically.
* A keen eye for performance and the ability to optimize complex systems for speed and efficiency.
* Familiarity with cloud technologies and containerized environments (e.g., Docker, Kubernetes) is a plus.
* Ability to thrive in a fast\-paced, collaborative, and dynamic environment.
**Pay range and compensation package** 
 Competitive base salary
 Variable compensation / bonus
 Benefits and 401k
 Our client are an equal opportunity employer, dedicated to fostering a diverse and inclusive environment.
 To apply or learn more, please follow the instructions below and a member of the team will be in touch.</t>
        </is>
      </c>
    </row>
    <row r="90">
      <c r="A90" t="inlineStr">
        <is>
          <t>li-4351864757</t>
        </is>
      </c>
      <c r="B90" t="inlineStr">
        <is>
          <t>Full Stack Engineer</t>
        </is>
      </c>
      <c r="C90" t="inlineStr">
        <is>
          <t>Inceed</t>
        </is>
      </c>
      <c r="D90" t="inlineStr">
        <is>
          <t>linkedin</t>
        </is>
      </c>
      <c r="E90">
        <f>HYPERLINK("https://www.linkedin.com/jobs/view/4351864757", "https://www.linkedin.com/jobs/view/4351864757")</f>
        <v/>
      </c>
      <c r="F90" t="inlineStr"/>
      <c r="G90" t="inlineStr">
        <is>
          <t>Houston, TX</t>
        </is>
      </c>
      <c r="H90" t="inlineStr"/>
      <c r="I90" t="inlineStr">
        <is>
          <t>**Position:**
  Full Stack Engineer
**Compensation:**
  $125,000 \- $150,000 annually, depending on experience
**Location:**
  Houston, Texas
 Inceed has partnered with a great company to help find a skilled 
 **Full Stack Engineer** 
  to join their team!
 Join a dynamic team where innovation meets real\-world business challenges. As a Full Stack Engineer, you'll develop cutting\-edge technology for customized ERP systems and modern eCommerce platforms. This is a fantastic opportunity to showcase your creativity in a fast\-paced Agile environment. Dive into exciting projects and make a tangible impact!
**Key Responsibilities \&amp; Duties:**
* Develop technology for customized ERP systems
* Create solutions for modern eCommerce platforms
* Manage multiple projects in an Agile environment
* Analyze requirements and write technical content
* Test software and report technical issues
* Contribute to company content standards
* Lead and collaborate with cross\-functional teams
**Required Qualifications \&amp; Experience:**
* B.A./B.S. degree or equivalent experience
* Senior level experience in React and Node development
* Proficiency in JavaScript frameworks like Angular and Vue
* Thorough understanding of API and .NET applications
* Experience with Azure DevOps and CI/CD tools
**Nice to Have Skills \&amp; Experience:**
* Knowledge of Progress 4GL programming
* Experience with Progress database administration
* Familiarity with UNIX scripting and Progress OpenEdge development
* Understanding of SDLC principles
* Proficient Progress coding skills
**Perks \&amp; Benefits:**
* This opportunity includes a comprehensive and competitive benefits package—details will be shared during later stages of the hiring process.
 If you are interested in learning more about the 
 **Full Stack Engineer** 
  opportunity, please submit your resume for consideration. Our client is unable to provide sponsorship at this time.
*We are Inceed, a staffing direct placement firm who believes in the possibility of something better. Our mission is simple: We’re here to help every person, whether client, candidate, or employee, find and secure what’s better for them.* 
*Inceed is an equal opportunity employer. Inceed prohibits discrimination and harassment of any type and affords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 
 \#IND
 \#MON</t>
        </is>
      </c>
    </row>
    <row r="91">
      <c r="A91" t="inlineStr">
        <is>
          <t>li-4359926804</t>
        </is>
      </c>
      <c r="B91" t="inlineStr">
        <is>
          <t>Software Engineer, ML</t>
        </is>
      </c>
      <c r="C91" t="inlineStr">
        <is>
          <t>Waymo</t>
        </is>
      </c>
      <c r="D91" t="inlineStr">
        <is>
          <t>linkedin</t>
        </is>
      </c>
      <c r="E91">
        <f>HYPERLINK("https://www.linkedin.com/jobs/view/4359926804", "https://www.linkedin.com/jobs/view/4359926804")</f>
        <v/>
      </c>
      <c r="F91" t="inlineStr"/>
      <c r="G91" t="inlineStr"/>
      <c r="H91" t="inlineStr"/>
      <c r="I91" t="inlineStr">
        <is>
          <t>**About The Company**
 Waymo is a pioneering autonomous driving technology company dedicated to creating the world's most trusted driver. Originating from the Google Self\-Driving Car Project in 2009, Waymo has established itself as a leader in the development of self\-driving vehicle technology. Our core mission is to enhance mobility access while significantly reducing traffic\-related fatalities by deploying the Waymo Driver—the most experienced autonomous driver in the world. The Waymo Driver powers our fully autonomous ride\-hail service and is adaptable to various vehicle platforms and use cases. With over ten million rider\-only trips completed and more than 100 million miles driven on public roads across over 15 states, Waymo continues to push the boundaries of innovation in autonomous driving technology.
**About The Role**
 We are seeking a highly skilled Software Engineer to join our team in a hybrid capacity, reporting to a Technical Lead Manager. In this role, you will be instrumental in advancing Waymo’s autonomous driving capabilities by designing and implementing sophisticated algorithms that optimize pick\-up and drop\-off point selection, routing, and overall user experience. Your work will directly influence the safety, efficiency, and reliability of our autonomous ride\-hail service.
 You will collaborate with cross\-functional teams including TaaS, Onboard Router, and Pullover, to ensure seamless integration and deployment of new features. Your responsibilities will encompass developing simulation infrastructure, analyzing large datasets, and contributing to the entire software development lifecycle, from concept to deployment and monitoring. This position offers an exciting opportunity to work at the forefront of robotics, perception, decision\-making, and deep learning within the autonomous vehicle industry.
**Qualifications**
* Bachelor's degree in Computer Science, Engineering, or a related field, or equivalent practical experience
* 7\+ years of professional software engineering experience, including designing and building production\-grade systems
* Proven experience (3\+ years) in developing and deploying machine learning models in real\-world applications
* Strong proficiency in C\+\+ programming
* Experience working with large datasets, including data extraction, analysis, and feature engineering (e.g., SQL/Plx)
**Responsibilities**
* Design, implement, and evaluate new algorithms and models to enhance pick\-up/drop\-off points selection and routing quality, considering factors such as walking inconvenience, safety, traffic, and user preferences
* Develop and improve simulation and evaluation infrastructure to accurately measure the impact of algorithmic changes and accelerate development cycles
* Analyze extensive datasets from Waymo’s fleet to identify opportunities for improvement, develop new metrics, and inform product strategy
* Collaborate closely with cross\-functional teams, including TaaS, Onboard Router, and Pullover, to deliver a cohesive and optimal user experience
* Contribute to all phases of the software development lifecycle, from ideation and design through implementation, testing, deployment, and ongoing monitoring
**Benefits**
* Competitive salary range from $238,000 to $302,000 USD, commensurate with experience and location
* Participation in Waymo’s discretionary annual bonus program
* Equity incentive plan
* Comprehensive benefits package including health, dental, and vision insurance
* Paid time off and flexible work arrangements
* Opportunities for professional growth and development within a cutting\-edge technology environment
 Equal Opportunity
 Waymo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age, disability, or any other protected status.</t>
        </is>
      </c>
    </row>
    <row r="92">
      <c r="A92" t="inlineStr">
        <is>
          <t>li-4360690605</t>
        </is>
      </c>
      <c r="B92" t="inlineStr">
        <is>
          <t>Backend Engineer, AI</t>
        </is>
      </c>
      <c r="C92" t="inlineStr">
        <is>
          <t>ClickUp</t>
        </is>
      </c>
      <c r="D92" t="inlineStr">
        <is>
          <t>linkedin</t>
        </is>
      </c>
      <c r="E92">
        <f>HYPERLINK("https://www.linkedin.com/jobs/view/4360690605", "https://www.linkedin.com/jobs/view/4360690605")</f>
        <v/>
      </c>
      <c r="F92">
        <f>HYPERLINK("https://www.wiraa.com/job-description/usDF6B96DF061474BA57CB2D711D88E647?source=Linkedin&amp;urlHash=lYGc", "https://www.wiraa.com/job-description/usDF6B96DF061474BA57CB2D711D88E647?source=Linkedin&amp;urlHash=lYGc")</f>
        <v/>
      </c>
      <c r="G92" t="inlineStr"/>
      <c r="H92" t="inlineStr"/>
      <c r="I92" t="inlineStr">
        <is>
          <t>**About The Company**
 ClickUp is a pioneering technology company dedicated to transforming the future of work through innovative software solutions. Our platform integrates tasks, documents, chat, calendar, and enterprise search into a single, unified AI\-powered workspace. By leveraging advanced AI and machine learning technologies, we enable millions of teams worldwide to break down silos, reclaim their time, and achieve unprecedented levels of productivity. Our mission is to redefine productivity software by creating tools that are intuitive, responsive, and capable of adapting to the evolving needs of modern organizations. At ClickUp, we foster a culture of innovation, collaboration, and continuous learning, offering our team members opportunities to pioneer AI applications that shape the future of work.
**About The Role**
 We are seeking a highly skilled and experienced Staff Search Engineer to join our dynamic engineering team. In this pivotal role, you will be responsible for designing, optimizing, and scaling our search infrastructure, which is fundamental to our platform's performance and AI initiatives. You will work closely with cross\-functional teams including AI, backend, and product development to enhance search capabilities, ensuring users can locate information swiftly and accurately across their workspace. Your expertise will directly impact the responsiveness and relevance of our search functionalities, contributing to ClickUp's goal of delivering the most intuitive and efficient productivity platform. This role offers an exciting opportunity to innovate with cutting\-edge search technologies, including OpenSearch and ElasticSearch, and to develop next\-generation search experiences such as vector search and semantic search implementations.
**Qualifications**
* Bachelor's degree in Computer Science, Engineering, or a related field
* 7\+ years of experience as a search engineer or in a similar role
* Proficiency with search technologies such as OpenSearch and ElasticSearch
* Experience in measuring and optimizing search relevance, accuracy, and speed
* Strong background in distributed data processing systems and high\-volume data management
* Proven ability to optimize query parsing, indexing, and relevance tuning
* Excellent analytical, problem\-solving, and debugging skills
* Effective communication skills with the ability to collaborate across teams
**Responsibilities**
* Design and implement scalable, robust search solutions to support a growing user base
* Enhance search relevance, accuracy, and response times to improve user experience
* Improve real\-time indexing pipelines to ensure search results are current and reliable
* Create and maintain measurement frameworks to evaluate and enhance search quality
* Develop and integrate vector search capabilities for advanced search functionalities
* Collaborate with AI, backend, and product teams to embed search features into new product offerings
* Troubleshoot and resolve complex search\-related issues at scale
* Mentor junior engineers, promote best practices, and contribute to engineering standards
**Benefits**
* Competitive salary and performance\-based bonuses
* Flexible remote work environment
* Comprehensive health, dental, and vision insurance
* Generous paid time off and holidays
* Professional development opportunities and continuous learning support
* Inclusive and collaborative company culture
* Equity options and stock options
 Equal Opportunity
 ClickUp is an Equal Opportunity Employer. We are committed to creating an inclusive environment where all employees and applicants are valued and respected. Qualified applicants will receive consideration for employment without regard to race, color, religion, sex, sexual orientation, gender identity, national origin, age, disability, or any other protected status in accordance with applicable laws. We believe diversity drives innovation and are dedicated to fostering a workplace that reflects the diverse communities we serve.</t>
        </is>
      </c>
    </row>
    <row r="93">
      <c r="A93" t="inlineStr">
        <is>
          <t>li-4359956651</t>
        </is>
      </c>
      <c r="B93" t="inlineStr">
        <is>
          <t>Full Stack Engineer</t>
        </is>
      </c>
      <c r="C93" t="inlineStr">
        <is>
          <t>Locus Robotics</t>
        </is>
      </c>
      <c r="D93" t="inlineStr">
        <is>
          <t>linkedin</t>
        </is>
      </c>
      <c r="E93">
        <f>HYPERLINK("https://www.linkedin.com/jobs/view/4359956651", "https://www.linkedin.com/jobs/view/4359956651")</f>
        <v/>
      </c>
      <c r="F93" t="inlineStr"/>
      <c r="G93" t="inlineStr"/>
      <c r="H93" t="inlineStr"/>
      <c r="I93" t="inlineStr">
        <is>
          <t>**About The Company**
 Locus Robotics is a pioneering leader in the rapidly expanding eCommerce order fulfillment optimization industry. Our innovative solutions are designed to significantly enhance warehouse efficiency, enabling warehouse owners to achieve 2\-3 times improvements over traditional cart\-picking operations. By empowering pickers to collaborate seamlessly with our autonomous robots, we streamline the order fulfillment process, reducing operational costs and increasing throughput. Our technology integrates effortlessly with existing Warehouse Management Systems (WMS) and optimizes current facility infrastructure, making us a trusted partner for major global brands. At Locus Robotics, we are committed to deploying cutting\-edge robotics and software solutions that address real\-world logistics challenges, fostering a dynamic and innovative work environment for our talented teams.
**About The Role**
 We are seeking a highly skilled and motivated Principal Full Stack Engineer to join our team remotely in the United States or in a hybrid capacity at our offices in Wilmington, MA, or Nashua, NH. In this pivotal role, you will leverage your extensive experience in modern UI and backend development to influence the technical direction of our robotic warehouse execution software. Your expertise will drive the design and implementation of scalable, maintainable solutions that enhance our core functionalities and introduce new features. As a senior technical leader, you will collaborate closely with cross\-functional teams including UX designers, product managers, and fellow engineers to deliver high\-quality, innovative software products. This position offers an exciting opportunity to contribute to the future of warehouse automation technology, working on complex systems that have a tangible impact on global supply chain efficiency.
**Qualifications**
* Bachelor’s Degree in Computer Science, Software Engineering, or a related field
* 10\+ years of professional experience in software development
* Proficiency in SQL, C\#, and .NET framework with strong object\-oriented design skills
* Experience with API\-first development, especially RESTful services
* Hands\-on UI development experience using frameworks like React.js or Angular.js
* Expertise in designing multi\-threaded applications and supporting them in production environments
* Proven ability to develop complex applications utilizing microservices architecture and asynchronous messaging systems
* Solid understanding of relational (SQL) and NoSQL database technologies, with Microsoft SQL preferred
* Strong analytical, problem\-solving, and attention to detail skills
* Deep familiarity with agile methodologies and Scrum practices
* Experience with Test Driven Development (TDD) and automated testing frameworks
* Knowledge of warehouse automation and execution systems is a significant plus
* Additional programming skills in Java, Go, Python, or Rust are advantageous
* Excellent verbal and written communication skills in English, capable of effective collaboration across teams
**Responsibilities**
* Lead the design and architecture of scalable, maintainable software solutions, conducting design reviews and ensuring best practices
* Provide technical leadership and mentorship to a team of talented engineers, fostering a culture of innovation and continuous improvement
* Develop high\-quality, robust code along with automated unit tests for both cloud\-based and self\-hosted SaaS products
* Participate in integration, system, and performance testing, including the development and utilization of test tools
* Own complex technical areas as a senior member of a Scrum team, ensuring timely delivery and high standards
* Lead troubleshooting efforts for customer issues, providing effective and timely solutions
* Write and maintain automated test cases within testing frameworks to ensure product reliability
* Collaborate within an Agile environment to plan, develop, and deliver software in scheduled sprints
* Build strong partnerships with UX designers, product managers, and fellow developers to align on technical and product goals
* Act as a mentor and technical resource for junior team members, supporting their growth and development
* Contribute to the development of technical strategies and participate in continuous improvement initiatives across teams
* Perform other duties as required to support team and organizational objectives
**Benefits**
* Competitive salary and performance\-based incentives
* Flexible remote work options or hybrid setup at our offices in Wilmington, MA, or Nashua, NH
* Comprehensive health, dental, and vision insurance plans
* Retirement savings plans with company matching
* Paid time off and holidays to support work\-life balance
* Professional development opportunities and ongoing training
* Collaborative and innovative work environment with cutting\-edge technology
 Equal Opportunity
 Locus Robotics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t>
        </is>
      </c>
    </row>
    <row r="94">
      <c r="A94" t="inlineStr">
        <is>
          <t>li-4360684348</t>
        </is>
      </c>
      <c r="B94" t="inlineStr">
        <is>
          <t>AI Backend Engineer - Data &amp; Integration</t>
        </is>
      </c>
      <c r="C94" t="inlineStr">
        <is>
          <t>Digital Iron</t>
        </is>
      </c>
      <c r="D94" t="inlineStr">
        <is>
          <t>linkedin</t>
        </is>
      </c>
      <c r="E94">
        <f>HYPERLINK("https://www.linkedin.com/jobs/view/4360684348", "https://www.linkedin.com/jobs/view/4360684348")</f>
        <v/>
      </c>
      <c r="F94" t="inlineStr"/>
      <c r="G94" t="inlineStr"/>
      <c r="H94" t="inlineStr"/>
      <c r="I94" t="inlineStr">
        <is>
          <t>**About Us** 
 At Digital Iron, we're building the intelligent infrastructure that powers predictive maintenance and parts procurement automation across the heavy equipment ecosystem. We work with customers to transform how industrial equipment is maintained.
 We're looking for an AI Infrastructure Engineer who combines deep technical expertise in distributed systems with strategic thinking about integration architecture. You'll need exceptionally high standards for data accuracy, first\-principles problem solving, and an obsession with building systems that scale across diverse partnership models.
 As our first dedicated infrastructure engineer, you'll work on problems at the intersection of knowledge graphs, real\-time IoT data, and enterprise integration—building infrastructure that thousands of businesses will depend on. 
**What You'll Own** 
* Design the framework that supports multiple partnership and customer models: Deep Embedded (white\-label components), Best\-of\-Breed SaaS (standalone platform with APIs), Data Layer Only (predictions via API)
* Evaluate architectural tradeoffs across complexity, risk, scalability, time\-to\-market, and value capture for each pattern
* Make build vs. buy decisions: direct API integrations vs. iPaaS middleware vs. embedded agents
* Define authentication strategies across OAuth 2\.0, certificate\-based auth, and federated identity for different customer security models
* Create deployment patterns that work across on\-premise, cloud, and hybrid environments
* Design for portfolio risk
**What You'll Do** 
**Design Integration Architecture Build bi\-directional integrations** 
 with customer ERP systems and telematics platforms. Architect event\-driven systems that turn predictive alerts into automated workflows. Implement multiple integration patterns (Direct API, middleware/iPaaS, embedded agents, webhooks) to support different partnership and customer models.
**Build Knowledge Graph Systems** 
 Transform flat parts catalogs into semantic networks using AWS Neptune. Design ontologies that capture ACES (fitment) and PIES (attributes) standards for heavy equipment. Build ingestion pipelines that parse customer data and extract compatibility relationships. Implement graph traversal algorithms for multi\-hop reasoning ("find compatible substitute parts in stock").
**Develop Agentic Workflows** 
 Create AI agent orchestration using Amazon Bedrock that breaks complex requests into multi\-step workflows. Build tool functions agents invoke: graph queries, customer API calls, inventory checks, order placement. Implement GraphRAG systems that ground LLM responses in structured graph data to prevent hallucination on critical fitment recommendations.
**What We're Looking For** 
**Graph \&amp; Semantic Systems** 
* Experience with graph databases (Neptune, Neo4j) and ontology design
* Ability to model complex domain relationships as graph structures, not tables
* Understanding of semantic query languages (Gremlin, SPARQL) and entity resolution
**Backend Engineering \&amp; Data Systems** 
* Strong Python for data pipelines, graph operations, and application logic
* Experience with database design across relational and graph paradigms
* Background normalizing data from disparate sources with conflicting formats
**Enterprise Integration \&amp; API Design** 
* Track record designing bidirectional API integrations with enterprise systems
* Experience with event\-driven architectures, webhooks, and async workflows
* Knowledge of authentication models (OAuth 2\.0, SAML, certificate\-based)
**Data Engineering Excellence** 
* Strong experience normalizing data from disparate sources with conflicting formats
* Obsession with accuracy where 99% is insufficient—compatibility data must be correct
* Experience building automated validation and conflict resolution systems
* Ability to model complex business domains (you'll learn heavy equipment specifics)
**Nice\-to\-Haves** 
* Experience in automotive, heavy equipment, or industrial IoT domains
* Experience with embedded/white\-label integration models or AI agent frameworks
* Knowledge of industry standards (ACES, PIES, OAGIS) or similar B2B data formats
* A network of sec\-ops and ML compliance resources and colleagues to tap as we scale our team
* TypeScript for backend services and integration middleware
* Experience working with founders to evaluate integration architectures across different partnership strategies (deep embedded, best\-of\-breed SaaS, data layer only)
**This Role Is NOT For You If:** 
* You prefer infrastructure automation over application architecture
* You're more comfortable with Kubernetes and Terraform than APIs and databases
* You need complete requirements before designing systems
* You view integration work as "plumbing" rather than strategic architecture
**Role Level** 
**Leadership \&amp; Team** 
 \- You will have one staff\-level engineering direct report with dotted lines across a team of engineers. You will be expected to deliver 80% hands\-on code development with 20% oversight across our vendors, strategy and a direct report. We can be flexible on title for the right candidate. 
**Role Details** 
**Location:** 
 US (East Coast \&amp; Mid\-West only), South London \&amp; Belfast Office
**Visa:** 
 Cannot sponsor at this time
**Start:** 
 Immediate availability preferred
**Ready to Build Integration \&amp; Data Systems That Matters?** 
 If you're excited about designing backend systems at the intersection of graph databases, enterprise integration, and AI agents—where your technical decisions have direct business impact—we want to hear from you.</t>
        </is>
      </c>
    </row>
    <row r="95">
      <c r="A95" t="inlineStr">
        <is>
          <t>li-4360690943</t>
        </is>
      </c>
      <c r="B95" t="inlineStr">
        <is>
          <t>Software Developer</t>
        </is>
      </c>
      <c r="C95" t="inlineStr">
        <is>
          <t>Comtello</t>
        </is>
      </c>
      <c r="D95" t="inlineStr">
        <is>
          <t>linkedin</t>
        </is>
      </c>
      <c r="E95">
        <f>HYPERLINK("https://www.linkedin.com/jobs/view/4360690943", "https://www.linkedin.com/jobs/view/4360690943")</f>
        <v/>
      </c>
      <c r="F95" t="inlineStr"/>
      <c r="G95" t="inlineStr">
        <is>
          <t>Albany, NY</t>
        </is>
      </c>
      <c r="H95" t="inlineStr"/>
      <c r="I95" t="inlineStr">
        <is>
          <t>We have a 30 month Remote Software Developer contract that may be extended by our client.
**Minimum Qualifications**
* 84 months of experience creating JAVA programs.
* 84 months of experience working with Angular2\+ to create web\-based programs.
* 60 months of experience working with Spring boot applications.
* 84 months of experience working in the Google Cloud Platform environment
* 24 Months experience using CI/CD pipeline technologies
* Google GCP Certification.
 Your application will be disqualified if you do not meet all these minimum application requirements.
* Must meet or exceed the Minimum Qualifications.
* Must be a current resident of the United States.
* Must have current work authorization for the United States.
* Must be a direct hire.
 Make sure to check your junk/spam folders as we will use email to reach out to you.</t>
        </is>
      </c>
    </row>
    <row r="96">
      <c r="A96" t="inlineStr">
        <is>
          <t>li-4359927101</t>
        </is>
      </c>
      <c r="B96" t="inlineStr">
        <is>
          <t>Mid-Level Software Engineer</t>
        </is>
      </c>
      <c r="C96" t="inlineStr">
        <is>
          <t>Authorium</t>
        </is>
      </c>
      <c r="D96" t="inlineStr">
        <is>
          <t>linkedin</t>
        </is>
      </c>
      <c r="E96">
        <f>HYPERLINK("https://www.linkedin.com/jobs/view/4359927101", "https://www.linkedin.com/jobs/view/4359927101")</f>
        <v/>
      </c>
      <c r="F96" t="inlineStr"/>
      <c r="G96" t="inlineStr">
        <is>
          <t>San Francisco, CA</t>
        </is>
      </c>
      <c r="H96" t="inlineStr"/>
      <c r="I96" t="inlineStr">
        <is>
          <t>**About Authorium**
 Authorium is transforming the way agencies manage complex, document\-centric workflows. Our unified platform integrates essential administrative functions, from Budgeting to Procurement to Contracting, streamlining government operations. By consolidating data from documents, emails, and spreadsheets into a unified data layer, we drive insights and visibility. We believe in the power of collaboration and data to transform government operations. Come innovate with us and drive positive change!
**About Position**
 As a Mid\-Level Engineer at Authorium, you will be a key technical contributor in building our innovative workflow process automation platform. You'll work on complex challenges at the intersection of document management, workflow automation, and data integration. Your experience will help deliver robust solutions that transform how government agencies work.
 What You’ll Be Doing
* Design, develop, and deploy features for our platform using Ruby on Rails, ensuring high performance and responsiveness to requests
* Write clean, efficient, and maintainable code while adhering to best practices and security standards
* Collaborate with product and design teams to ensure features meet business goals and usability standards
* Contribute to code reviews and technical documentation
* Contribute to our continuous integration and deployment processes
**Requirements**
* 3\+ years of experience building and maintaining production applications using Ruby on Rails
* Solid proficiency with relational databases, specifically PostgreSQL, and experience with database optimization
* Demonstrated experience with modern frontend approaches like Hotwire and integration rich text editors like CKEditor
* Experience with cloud services (AWS) and containerization technologies
* A strong understanding of security principles and best practices, with experience or familiarity with working under strict compliance frameworks like FedRAMP/IL5 being highly desirable
* Proven ability to write clean, maintainable, and well\-tested code, demonstrating a strong grasp of software development fundamentals
* Excellent technical communication skills and a collaborative approach to problem\-solving, capable of working effectively with both technical and non\-technical stakeholders
 Employees located within 30 miles of our hub cities—San Francisco, Sacramento, and Washington, D.C. —are required to work onsite from Tuesday to Thursday. Remote work is available on other days.
**Benefits**
* Salary Range: $100,000\-$140,000
* 100% benefits coverage for employee
* 401K Profit Share plan
* Flexible PTO
* Home office stipend
* Comprehensive wellness benefits
* Commuter stipend for hybrid roles</t>
        </is>
      </c>
    </row>
    <row r="97">
      <c r="A97" t="inlineStr">
        <is>
          <t>li-4360684307</t>
        </is>
      </c>
      <c r="B97" t="inlineStr">
        <is>
          <t>Frontend Engineer II</t>
        </is>
      </c>
      <c r="C97" t="inlineStr">
        <is>
          <t>Brex</t>
        </is>
      </c>
      <c r="D97" t="inlineStr">
        <is>
          <t>linkedin</t>
        </is>
      </c>
      <c r="E97">
        <f>HYPERLINK("https://www.linkedin.com/jobs/view/4360684307", "https://www.linkedin.com/jobs/view/4360684307")</f>
        <v/>
      </c>
      <c r="F97" t="inlineStr"/>
      <c r="G97" t="inlineStr"/>
      <c r="H97" t="inlineStr"/>
      <c r="I97" t="inlineStr">
        <is>
          <t>**About The Company**
 Brex is a leading AI\-powered spend platform dedicated to transforming the way companies manage their financial operations. By integrating corporate cards, banking solutions, and global payments into a unified platform, Brex empowers businesses to spend with confidence, optimize costs, and enhance operational efficiency. Serving a diverse clientele ranging from startups to large enterprises such as DoorDash, Flexport, and Compass, Brex is committed to delivering innovative financial technology solutions that meet the evolving needs of modern businesses. The company fosters a culture of innovation, diversity, and inclusion, providing its employees with the tools, resources, and support necessary to grow professionally and personally. With a focus on building scalable systems and delivering exceptional user experiences, Brex is at the forefront of financial technology innovation.
**About The Role**
 We are seeking a talented Software Engineer II, Frontend Platform, to join our dynamic engineering team in New York City. In this role, you will be instrumental in building and maintaining the core web, mobile, and design system infrastructure that powers every customer\-facing experience at Brex. You will collaborate closely with designers, product managers, and cross\-functional engineering teams to define and implement scalable frontend architectural patterns, improve product performance, and enhance developer experience. Your work will directly impact the stability, performance, and scalability of our frontend applications, ensuring a seamless and efficient experience for millions of users worldwide. The ideal candidate is passionate about platform engineering, possesses strong technical expertise in modern web development, and thrives in a collaborative, high\-autonomy environment.
**Qualifications**
* Several years of experience developing modern web applications using React, JavaScript/TypeScript, GraphQL, and modern CSS techniques.
* Strong interest and background in developer experience and platform engineering, with a track record of improving shared infrastructure, standards, or tooling.
* Proven experience with testing practices to build reliable, maintainable client\-side systems across multiple browsers.
* Ability to manage projects effectively and collaborate cross\-functionally, balancing competing priorities and requirements.
* Excellent problem\-solving skills and a proactive approach to identifying and resolving technical challenges.
**Responsibilities**
* Own and contribute to platform, infrastructure, and developer experience improvements that impact all frontend engineers at Brex.
* Define and implement scalable patterns for data fetching, state management, and cross\-product reusability in collaboration with design system and product teams.
* Set and uphold high standards for quality, including performance optimization, testing, accessibility, and observability.
* Design, develop, test, and maintain frontend components and systems, ensuring they meet business and technical requirements.
* Collaborate with cross\-functional teams to drive frontend architectural decisions and ensure consistency across products.
* Manage stakeholder expectations and communicate technical concepts effectively to non\-technical partners.
* Stay current with emerging frontend technologies and industry best practices, evaluating their potential benefits for Brex.
**Benefits**
* Competitive salary range of $152,000 \- $190,000 plus equity options.
* Flexible hybrid work environment with a minimum of three in\-office days per week, and up to four weeks of fully remote work annually.
* Comprehensive health, dental, and vision insurance plans.
* Generous paid time off and holiday leave policies.
* Professional development opportunities, including training, conferences, and workshops.
* Inclusive and diverse workplace culture that values innovation and collaboration.
 Equal Opportunity
 Brex is an equal opportunity employer committed to fostering an inclusive environment for all employees. We do not discriminate based on race, color, religion, gender, gender identity or expression, sexual orientation, national origin, genetics, disability, age, or veteran status. We believe that diverse perspectives and experiences drive innovation and are essential to our success. All qualified applicants will receive consideration for employment without regard to any protected characteristic.</t>
        </is>
      </c>
    </row>
    <row r="98">
      <c r="A98" t="inlineStr">
        <is>
          <t>li-4360626503</t>
        </is>
      </c>
      <c r="B98" t="inlineStr">
        <is>
          <t>API Software Developer</t>
        </is>
      </c>
      <c r="C98" t="inlineStr">
        <is>
          <t>PCI Services, LLC</t>
        </is>
      </c>
      <c r="D98" t="inlineStr">
        <is>
          <t>linkedin</t>
        </is>
      </c>
      <c r="E98">
        <f>HYPERLINK("https://www.linkedin.com/jobs/view/4360626503", "https://www.linkedin.com/jobs/view/4360626503")</f>
        <v/>
      </c>
      <c r="F98">
        <f>HYPERLINK("https://www.adzuna.com/details/5578186664?v=05DB89F316BAC88F50A909245B465B56ECFD67C2&amp;frd=72d7b387fec4b9f605e789dff4752fda&amp;r=21037952&amp;ccd=3fc9054add76a8952b4bba8ed42bbfb7&amp;utm_source=linkedin7&amp;utm_medium=organic&amp;chnlid=1931&amp;title=API%20Software%20Developer&amp;a=e&amp;urlHash=1Oc8", "https://www.adzuna.com/details/5578186664?v=05DB89F316BAC88F50A909245B465B56ECFD67C2&amp;frd=72d7b387fec4b9f605e789dff4752fda&amp;r=21037952&amp;ccd=3fc9054add76a8952b4bba8ed42bbfb7&amp;utm_source=linkedin7&amp;utm_medium=organic&amp;chnlid=1931&amp;title=API%20Software%20Developer&amp;a=e&amp;urlHash=1Oc8")</f>
        <v/>
      </c>
      <c r="G98" t="inlineStr">
        <is>
          <t>Red Bank, NJ</t>
        </is>
      </c>
      <c r="H98" t="inlineStr"/>
      <c r="I98" t="inlineStr">
        <is>
          <t>**Description**
 Premier Consulting \&amp; Integration, LLC (PCI) is the leading provider of financial management consulting services, software implementation and audit support for government contractors, marketing agencies, and professional service firms. We help project\-based businesses power Deltek products with simple, fast \&amp; affordable solutions. PCI offers competitive salaries and benefits and the ability to work in a remote environment.
**Responsibilities**
* Intermediate level coding ability in one computer language (JAVA, Python, SQL)
* Ability to code in multiple language is a plus
* Responsible for code building, testing, and applicable automation tasks for assigned integrations
* Understanding of AWS / cloud technologies, specifically LAMBDA, Cloudwatch, S3, and Gateway.
* Understanding of API security measures and contribute to security documentation (preferred)
* Ability to manage multiple projects at a time
* Ability to communicate with clients regarding customizations needed specifically for their environment. Captures and clearly understands next steps for clients and project team
* Collaboratively participates in business requirements gathering sessions and documents technical specifications, readily resolve defects, and maintain and implements high quality program changes, applying IT development standards and practices
* Provide accurate and timely estimates for assigned work and documentation for all completed work assignments. Proven track record of delivering projects on time.
* Leverage a detailed understanding of business processes and procedures to prepare accurate and comprehensive user\-level documentation
**Required Skills**
* 1\-3 years of software development experience – Java, Python, SQL
* API – Application Programming Interface coding experience
* RESTful API
* SOAP UI
* Experience programming Middleware in Java, Python, SQL
* Highly organized
**Required Education**
* Bachelor’s Degree within Computer Science
 This position’s salary range can vary DOE depending on the applicants experience. Our company culture believes in recognizing and rewarding talent from within. If you're passionate and ready to grow, we encourage you to apply/inquire on this growth path. PCI offers a variety of benefits and additional compensation to include, Medical/Dental/Vision, 401K Match, Wellness Benefit, Life Insurance, S\&amp;L Term Disability, Supplemental Insurances, Unlimited PTO and a Performance based bonus program.
**EEO Statement**
 PCI is an Equal Opportunity/Affirmative Action Employer and does not discriminate in our hiring or employment practices on the basis of any categories protected under applicable federal, state or local laws. Qualified applicants are considered for employment without regard to age, race, color, religion, sex, national origin, sexual orientation, disability, or veteran status.
*Please note: We will often continue to source candidates for these roles as they are in high demand even if there isn't an immediate vacancy.*</t>
        </is>
      </c>
    </row>
    <row r="99">
      <c r="A99" t="inlineStr">
        <is>
          <t>li-4360684308</t>
        </is>
      </c>
      <c r="B99" t="inlineStr">
        <is>
          <t>Software Engineer (Python, Js)</t>
        </is>
      </c>
      <c r="C99" t="inlineStr">
        <is>
          <t>Mapbox</t>
        </is>
      </c>
      <c r="D99" t="inlineStr">
        <is>
          <t>linkedin</t>
        </is>
      </c>
      <c r="E99">
        <f>HYPERLINK("https://www.linkedin.com/jobs/view/4360684308", "https://www.linkedin.com/jobs/view/4360684308")</f>
        <v/>
      </c>
      <c r="F99">
        <f>HYPERLINK("https://www.wiraa.com/job-description/us5F97322AE2435B515B26B3E2602A1051?source=Linkedin&amp;urlHash=Tim1", "https://www.wiraa.com/job-description/us5F97322AE2435B515B26B3E2602A1051?source=Linkedin&amp;urlHash=Tim1")</f>
        <v/>
      </c>
      <c r="G99" t="inlineStr"/>
      <c r="H99" t="inlineStr"/>
      <c r="I99" t="inlineStr">
        <is>
          <t>**About The Company**
 Mapbox is a leading technology company dedicated to revolutionizing the way people experience maps and navigation. Our Maps team oversees services that process and deliver high\-quality map data, styles, rendering, and interactivity to a diverse range of customers. As a multidisciplinary group, we develop mobile SDKs for Android and iOS, create immersive 3D mapping experiences, and build robust API services leveraging AWS technologies.
 Our ownership of base map data ensures a solid foundation for all our deliverables, enabling us to provide industry\-leading solutions. We are committed to innovation and excellence, working closely with automotive partners such as BMW, Toyota, and GM to enhance in\-vehicle navigation and infotainment systems. Our products, including MapGPT and Mapbox for EV, are designed to deliver fast, reliable, and visually stunning mapping experiences across various platforms and vehicle types.
**About The Role**
 We are seeking a highly experienced Principal Software Development Engineer to lead our Navigation organization’s technical strategy and execution. In this strategic role, you will influence the future of our product portfolio, including Logistics API, Directions API, EV Routing, Routing, Guidance, and Telemetry. You will play a pivotal role in shaping the AI strategy for the entire company, providing technical guidance on leveraging AI to improve development efficiency across all Maps teams. Your responsibilities will include designing and building large\-scale, secure, and frictionless product experiences from the ground up.
 This role offers an exceptional opportunity to lead a global team of approximately 80 engineers, foster innovation, and influence how data and technology are used to enhance customer experiences. You will collaborate across teams to align complex technical requirements, evaluate design trade\-offs, and drive product development that supports Mapbox’s growth into new markets.
**Qualifications**
* 15\+ years of engineering experience with a proven track record of technical leadership
* Extensive coding experience in languages such as C/C\+\+, Python, JavaScript, and TypeScript
* Deep understanding of data structures, algorithms, design patterns, memory management, multithreading, and performance optimization
* Proficiency with cloud database services including AWS RDS, Google Cloud Spanner, and Azure SQL
* Experience deploying and managing databases in cloud environments
* Strong operational excellence mindset with a focus on quality and continuous improvement
* Ability to lead with empathy across globally distributed teams
* Exceptional communication skills, both written and verbal, capable of articulating complex ideas clearly
* Data\-informed decision\-making approach with the ability to measure and analyze key metrics
* Experience bringing products to market, including coordinating deadlines, setting pricing, and developing marketing strategies
* High standards for work quality and engineering practices
**Responsibilities**
* Develop and guide the long\-term technical roadmap for the Navigation organization, ensuring alignment with business objectives and innovation goals
* Lead and mentor a global team of approximately 80 engineers in the design, development, and implementation of critical engineering components
* Shape the vision for exceptional customer experiences through innovative mapping and navigation solutions
* Collaborate across product, engineering, design, and executive teams to identify and align on complex technical requirements
* Evaluate, prototype, and implement new technologies and frameworks to support company expansion into new markets
* Engage directly with customers to understand their needs, gather feedback, and relay insights to the development teams
* Drive a culture of operational excellence, quality, and continuous improvement within the engineering teams
* Influence AI strategy and provide technical guidance on leveraging AI to enhance product development and customer experience
* Ensure scalable, secure, and high\-performance system architecture design and implementation
**Benefits**
* Competitive annual base salary ranging from $269,450 to $364,550, with adjustments based on location, experience, and role scope
* Comprehensive health care plans, including medical, dental, and vision coverage
* Flexible work arrangements supporting work\-life balance
* Generous parental leave policies and family support programs
* Opportunities for professional growth and development through ongoing learning initiatives
* Inclusive and diverse work environment that values different perspectives
* Participation in innovative projects shaping the future of mapping and navigation technology
* Employee wellness programs and support resources
 Equal Opportunity
 Mapbox is an equal opportunity employer committed to fostering an inclusive environment for all employees. We celebrate diversity and are dedicated to providing equal employment opportunities regardless of race, ethnicity, gender, sexual orientation, age, disability, or any other protected status. We believe that diverse teams drive innovation and success, and we strive to create a workplace where everyone feels valued, respected, and empowered to contribute their best.</t>
        </is>
      </c>
    </row>
    <row r="100">
      <c r="A100" t="inlineStr">
        <is>
          <t>li-4332553219</t>
        </is>
      </c>
      <c r="B100" t="inlineStr">
        <is>
          <t>Software Engineer (US only)</t>
        </is>
      </c>
      <c r="C100" t="inlineStr">
        <is>
          <t>Haiven, Inc.</t>
        </is>
      </c>
      <c r="D100" t="inlineStr">
        <is>
          <t>linkedin</t>
        </is>
      </c>
      <c r="E100">
        <f>HYPERLINK("https://www.linkedin.com/jobs/view/4332553219", "https://www.linkedin.com/jobs/view/4332553219")</f>
        <v/>
      </c>
      <c r="F100" t="inlineStr"/>
      <c r="G100" t="inlineStr"/>
      <c r="H100" t="inlineStr"/>
      <c r="I100" t="inlineStr">
        <is>
          <t>**Location** 
 : Remote \- US
*only*
**Employment Type** 
 : Full\-time
**Experience Level** 
 : Mid\-level (3\-5 years)
**Industry** 
 : Gaming, Communications, AI, Digital Distribution Platforms
***Do not apply* 
 if you are not a legal US citizen, located in the United States.** 
**About the Role** 
 We are looking for a mid\-level Software Engineer to join our engineering team and help build and scale our game distribution platform. Apply your skills in GO, JavaScript, React to build modern front\-end applications using Agile SCRUM methodologies, rapid\-prototyping, vibe coding, and use of AI to create frameworks and augment code review and testing. Familiarity with AI / ML backed features a plus. This role works across the product, contributing to core platform features, developer tooling, and internal systems.
 You will collaborate with product and design, ship features used by real developers and players, and help evolve the platform as we move through Alpha and beyond. Reporting to VP Product.
**﻿You
 *must*
 be a legal citizen and resident of the United States to be considered for this role.** 
***Do not apply* 
 if you are not a US citizen, located in the United States.** 
**What You’ll Do** 
* Design, build, and maintain features for our game distribution platform
* Develop frontend experiences using SolidJS
* Build and maintain backend services and APIs using Go
* Work with product and design to implement features from specification through release
* Integrate and extend existing AI\-powered functionality within the platform
* Debug production issues, improve performance, and contribute to platform stability
* Participate in code reviews, technical discussions, and architectural decisions
* Contribute to improving engineering processes and documentation as the team grows
**Who You Are** 
* 3 to 5 years of professional software development experience
* Experience building backend services in Go or a similar language
* Experience building modern frontend applications with JavaScript or TypeScript
* Familiarity with a modern frontend framework such as SolidJS, React, or Vue
* Experience working with cloud infrastructure on AWS
* Experience designing and consuming APIs
* Experience working with databases and basic data modeling
* Experience supporting production systems with real users
* Ability to work independently and take ownership of features
* Strong communication skills and comfort working in a small team
**Preferred Qualifications** 
* Experience with SolidJS
* Experience with Go in production environments
* Experience working with AI or ML\-backed features at the application level
* Experience building developer\-facing tools or dashboards
* Experience in gaming, community platforms, or digital marketplaces
**What We Offer** 
* Competitive salary and meaningful equity
* High ownership and impact in a small team environment
* Close collaboration with product and design
* Opportunity to grow with the company as the platform scales
* Work on a product used by real developers and players
 Haiven is an Equal Opportunity Employer, committed to a discrimination and harassment\-free workplace. Employment decisions are based on business needs, job requirements, and individual qualifications, regardless of demographic characteristics or geographic location. We promote meritocracy values, including: active collaboration, clear communication, relentless follow\-up,intelligent risk\-taking, forbearance, forgiveness, and an ongoing celebration of excellence.
**More on Haiven** 
**Visit** 
 www.haiven.chat
 for details on our company, team, customers, products, and culture. 
**How to Apply** 
**Tell us why you’re a perfect fit for this role at:** 
 careers@haiven.chat
 Thank you for your interest in joining Haiven!!</t>
        </is>
      </c>
    </row>
    <row r="101">
      <c r="A101" t="inlineStr">
        <is>
          <t>li-4359917080</t>
        </is>
      </c>
      <c r="B101" t="inlineStr">
        <is>
          <t>Software Engineer</t>
        </is>
      </c>
      <c r="C101" t="inlineStr">
        <is>
          <t>Penta Research Incorporated</t>
        </is>
      </c>
      <c r="D101" t="inlineStr">
        <is>
          <t>linkedin</t>
        </is>
      </c>
      <c r="E101">
        <f>HYPERLINK("https://www.linkedin.com/jobs/view/4359917080", "https://www.linkedin.com/jobs/view/4359917080")</f>
        <v/>
      </c>
      <c r="F101" t="inlineStr"/>
      <c r="G101" t="inlineStr">
        <is>
          <t>Huntsville, AL</t>
        </is>
      </c>
      <c r="H101" t="inlineStr"/>
      <c r="I101" t="inlineStr">
        <is>
          <t>Huntsville, AL
 Full Time
**Security Clearance:** 
 Active Secret Clearance required.
**Job Description \&amp; Position Responsibilities**
 Penta Research is seeking candidates to join our Space Based Interceptor team supporting the prime customer. The candidate will work full\-time onsite supporting the flight software team supporting full software development lifecycle including requirements analysis, object oriented software design, development and test and integration.
**Basic Qualifications**
* Bachelor’s degree in software engineering, or related field from accredited university
* Proficient in C\+\+, object oriented design
* Experience working in Agile environment
* Understanding of software development practices and software process
* Experience with Git, DevOps, Linux
* Good interpersonal and communication skills, both written and oral
* Proficient with standard office computer software (Microsoft® Office®)
* 4\+ years related experience
**Preferred Qualifications**
* Master’s degree in software engineering or related field from accredited university
* 8\+ years relevant experience
* Experience with development in VxWorks or similar RTOS
* Experience with Embedded Systems
* Experience with flight software or large/complex system simulations
* Full development lifecycle experience
**Travel Requirement**
* Position location: Huntsville, AL. No travel is required for this position.
**Keyword Search: (optional)**
* Next Generation Interceptor, NGI, C\+\+, VxWorks, software engineering, Computer Science</t>
        </is>
      </c>
    </row>
    <row r="102">
      <c r="A102" t="inlineStr">
        <is>
          <t>li-4360645217</t>
        </is>
      </c>
      <c r="B102" t="inlineStr">
        <is>
          <t>Software Developer</t>
        </is>
      </c>
      <c r="C102" t="inlineStr">
        <is>
          <t>Best Job Tool</t>
        </is>
      </c>
      <c r="D102" t="inlineStr">
        <is>
          <t>linkedin</t>
        </is>
      </c>
      <c r="E102">
        <f>HYPERLINK("https://www.linkedin.com/jobs/view/4360645217", "https://www.linkedin.com/jobs/view/4360645217")</f>
        <v/>
      </c>
      <c r="F102" t="inlineStr"/>
      <c r="G102" t="inlineStr"/>
      <c r="H102" t="inlineStr"/>
      <c r="I102" t="inlineStr">
        <is>
          <t>**About The Company**
 SimVentions, Inc. is a leading engineering solutions provider dedicated to delivering innovative and reliable technology solutions to clients across various industries. Recognized for its commitment to excellence, SimVentions has established a strong reputation for providing high\-quality engineering, software development, and integrated systems solutions. With a focus on fostering a collaborative and inclusive work environment, the company emphasizes continuous learning and professional growth. SimVentions prides itself on its customer\-centric approach, ensuring that each project is tailored to meet the unique needs of its clients while maintaining the highest standards of quality and performance. The company’s dedication to innovation and integrity has earned it a top rating of 4\.6 on Glassdoor, reflecting its positive workplace culture and employee satisfaction.
**About The Role**
 We are seeking a talented and motivated Software Engineer to join our dynamic team at SimVentions, Inc. In this role, you will be responsible for designing, developing, and maintaining software solutions that support our clients' mission\-critical operations. The ideal candidate will have a strong background in software development, with experience in a variety of programming languages and development frameworks. This position offers an exciting opportunity to work on complex projects that require innovative problem\-solving skills and a keen attention to detail. As a Software Engineer, you will collaborate closely with cross\-functional teams, including systems engineers, hardware developers, and project managers, to deliver integrated solutions that meet technical specifications and client expectations. The role provides a platform for professional growth, exposure to cutting\-edge technologies, and the chance to contribute to impactful projects that make a difference in national security, defense, and other high\-stakes environments.
**Qualifications**
 The ideal candidate should possess a bachelor’s degree in Computer Science, Software Engineering, or a related technical field. A minimum of 3\-5 years of experience in software development is preferred. Strong proficiency in programming languages such as C\+\+, Java, Python, or similar is required. Experience with software development lifecycle, version control systems, and agile methodologies is essential. Familiarity with embedded systems, real\-time operating systems, and hardware integration will be advantageous. Excellent problem\-solving skills, attention to detail, and the ability to work effectively in a team environment are critical. Candidates should demonstrate strong communication skills and the ability to translate complex technical concepts into clear, understandable language. Security clearance or the ability to obtain one may be required depending on project needs.
**Responsibilities**
 Design, develop, and test high\-quality software solutions that meet project specifications and client needs.
 Collaborate with cross\-disciplinary teams to define system requirements and develop technical specifications.
 Participate in code reviews, troubleshooting, and debugging to ensure software reliability and performance.
 Maintain and enhance existing software applications, ensuring they are scalable, secure, and efficient.
 Contribute to the documentation of software design, development processes, and user manuals.
 Stay updated on the latest industry trends, tools, and best practices to continuously improve development processes.
 Support integration efforts with hardware and other system components, ensuring seamless operation.
 Assist in the planning and estimation of project timelines and deliverables.
**Benefits**
 SimVentions offers a comprehensive benefits package designed to support the health, well\-being, and professional development of its employees. This includes competitive salary packages, health, dental, and vision insurance, and a 401(k) retirement plan with company matching. Employees have access to ongoing training and certification programs to enhance their skills and career growth. The company promotes a healthy work\-life balance through flexible work arrangements and generous paid time off policies. Additionally, employees enjoy a collaborative and inclusive workplace culture that values diversity, innovation, and continuous improvement. Opportunities for advancement and leadership development are integral parts of the employee experience at SimVentions, making it an ideal environment for those looking to build a rewarding career in engineering and technology.
 Equal Opportunity
 SimVentions, Inc. is an equal opportunity employer committed to fostering a diverse and inclusive workplace. We do not discriminate based on race, color, religion, sex, sexual orientation, gender identity, national origin, age, disability, or any other protected characteristic. We believe that a diverse workforce enhances our ability to innovate and provide exceptional solutions to our clients. All qualified applicants are encouraged to apply and will be considered for employment without regard to any protected status. We are dedicated to creating an environment where every employee feels valued, respected, and empowered to contribute to our collective success.</t>
        </is>
      </c>
    </row>
    <row r="103">
      <c r="A103" t="inlineStr">
        <is>
          <t>li-4360684670</t>
        </is>
      </c>
      <c r="B103" t="inlineStr">
        <is>
          <t>Software Engineer, Security</t>
        </is>
      </c>
      <c r="C103" t="inlineStr">
        <is>
          <t>Sierra Business Solution</t>
        </is>
      </c>
      <c r="D103" t="inlineStr">
        <is>
          <t>linkedin</t>
        </is>
      </c>
      <c r="E103">
        <f>HYPERLINK("https://www.linkedin.com/jobs/view/4360684670", "https://www.linkedin.com/jobs/view/4360684670")</f>
        <v/>
      </c>
      <c r="F103" t="inlineStr"/>
      <c r="G103" t="inlineStr">
        <is>
          <t>San Francisco, CA</t>
        </is>
      </c>
      <c r="H103" t="inlineStr"/>
      <c r="I103" t="inlineStr">
        <is>
          <t>**About Us**
* At Sierra, we’re creating a platform to help businesses build better, more human customer experiences with AI. We are primarily an in\-person company based in San Francisco, with growing offices in Atlanta, New York, London, France, Singapore, and Japan.
* We are guided by a set of values that are at the core of our actions and define our culture: Trust, Customer Obsession, Craftsmanship, Intensity, and Family. These values are the foundation of our work, and we are committed to upholding them in everything we do.
* Our co\-founders are Bret Taylor and Clay Bavor. Bret currently serves as Board Chair of OpenAI. Previously, he was co\-CEO of Salesforce (which had acquired the company he founded, Quip) and CTO of Facebook. Bret was also one of Google's earliest product managers and co\-creator of Google Maps. Before founding Sierra, Clay spent 18 years at Google, where he most recently led Google Labs. Earlier, he started and led Google’s AR/VR effort, Project Starline, and Google Lens. Before that, Clay led the product and design teams for Google Workspace.
**What You'll Do**
* Build the Foundations of Trust. Design and ship systems that make Sierra’s platform secure by default — spanning privacy, identity, authentication, authorization, and data security. You’ll work across backend services, APIs, and infrastructure layers to embed security\-conscious design into the core of our product.
* Own Cross\-Cutting Systems. Partner with product and platform teams to implement and evolve Sierra’s trust primitives: identity management, access control, auditability, and data lifecycle management. You’ll make pragmatic design trade\-offs between usability, performance, and security.
* Secure Agentic AI Systems. Build controls that ensure AI agents can't leak customer data, execute unauthorized actions, or be manipulated into unintended behavior. Design runtime policy enforcement for tool use, implement safe agent sandboxing, and create boundaries that protect data while keeping agents powerful and useful.
* Automate and Scale Security\-Adjacent Workflows. Create developer\-friendly tooling to reduce risk and friction — whether through automating security checks in CI/CD, enforcing privacy boundaries through schema validation, or instrumenting runtime monitoring for sensitive events.
**What You'll Bring**
* Strong Software Engineering Skills. Experience building and maintaining production systems in Python, Go, or TypeScript. You’re comfortable designing APIs, integrating with authentication or identity frameworks, and shipping high\-quality code in a fast\-paced environment.
* Security Mindset. You may not be a dedicated security engineer, but you think like one — considering how data flows, where it’s stored, who can access it, and how to design for least privilege and transparency.
* Product and Platform Mindset. You care about building secure systems that enable, not block, innovation. You work closely with product teams to make trade\-offs clear and help them move quickly without sacrificing trust.
* Curiosity and Ownership. You’re the kind of engineer who goes deep — tracing how a token propagates through the stack, or how an LLM might interact with internal APIs — because you want to understand and strengthen the system.
**Even better if…**
* You’ve worked on privacy, identity, trust \&amp; safety, auth/authz, or data protection systems.
* You’ve built security frameworks, libraries, or tooling that developers actually use or integrated security automation into CI/CD pipelines.
* You have exposure to AI systems or care about designing secure\-by\-default LLM applications.
* You think like an attacker — you naturally ask "what could go wrong?" when reviewing designs or while building systems. You've found or fixed real security issues in production systems.
* You thrive in 0→1 environments, where foundational systems have to balance speed, reliability, and trust.
**Our values**
* Trust: We build trust with our customers with our accountability, empathy, quality, and responsiveness. We build trust in AI by making it more accessible, safe, and useful. We build trust with each other by showing up for each other professionally and personally, creating an environment that enables all of us to do our best work.
* Customer Obsession: We deeply understand our customers’ business goals and relentlessly focus on driving outcomes, not just technical milestones. Everyone at the company knows and spends time with our customers. When our customer is having an issue, we drop everything and fix it.
* Craftsmanship: We get the details right, from the words on the page to the system architecture. We have good taste. When we notice something isn’t right, we take the time to fix it. We are proud of the products we produce. We continuously self\-reflect to continuously self\-improve.
* Intensity: We know we don’t have the luxury of patience. We play to win. We care about our product being the best, and when it isn’t, we fix it. When we fail, we talk about it openly and without blame so we succeed the next time.
* Family: We know that balance and intensity are compatible, and we model it in our actions and processes. We are the best technology company for parents. We support and respect each other and celebrate each other’s personal and professional achievements.
**What We Offer**
 We want our benefits to reflect our values and offer the following to full\-time employees:
* Flexible (Unlimited) Paid Time Off
* Medical, Dental, and Vision benefits for you and your family
* Life Insurance and Disability Benefits
* Retirement Plan (e.g., 401K, pension) with Sierra match
* Parental Leave
* Fertility and family building benefits through Carrot
* Lunch, as well as delicious snacks and coffee to keep you energized
* Discretionary Benefit Stipend giving people the ability to spend where it matters most
* Free alphorn lessons
 These benefits are further detailed in Sierra's policies and are subject to change at any time, consistent with the terms of any applicable compensation or benefits plans. Eligible full\-time employees can participate in Sierra's equity plans subject to the terms of the applicable plans and policies.
**Be you, with us**
 We're working to bring the transformative power of AI to every organization in the world. To do so, it is important to us that the diversity of our employees represents the diversity of our customers. We believe that our work and culture are better when we encourage, support, and respect different skills and experiences represented within our team. We encourage you to apply even if your experience doesn't precisely match the job description. We strive to evaluate all applicants consistently without regard to race, color, religion, gender, national origin, age, disability, veteran status, pregnancy, gender expression or identity, sexual orientation, citizenship, or any other legally protected class.</t>
        </is>
      </c>
    </row>
    <row r="104">
      <c r="A104" t="inlineStr">
        <is>
          <t>li-4360616422</t>
        </is>
      </c>
      <c r="B104" t="inlineStr">
        <is>
          <t>Software Engineer, AI</t>
        </is>
      </c>
      <c r="C104" t="inlineStr">
        <is>
          <t>Maximus</t>
        </is>
      </c>
      <c r="D104" t="inlineStr">
        <is>
          <t>linkedin</t>
        </is>
      </c>
      <c r="E104">
        <f>HYPERLINK("https://www.linkedin.com/jobs/view/4360616422", "https://www.linkedin.com/jobs/view/4360616422")</f>
        <v/>
      </c>
      <c r="F104" t="inlineStr"/>
      <c r="G104" t="inlineStr"/>
      <c r="H104" t="inlineStr"/>
      <c r="I104" t="inlineStr">
        <is>
          <t>**About The Company**
 Maximus is a leading organization dedicated to improving government services and community outcomes through innovative technology solutions. With a commitment to excellence, integrity, and collaboration, Maximus leverages cutting\-edge advancements in artificial intelligence, data analytics, and software engineering to deliver impactful results across various sectors. The company fosters an inclusive and dynamic work environment that encourages continuous learning and professional growth. As a recognized leader in the industry, Maximus is committed to diversity, equity, and inclusion, ensuring equal opportunities for all employees and applicants.
**About The Role**
 We now have an exciting opportunity for a Lead AI Software Engineer to join the Maximus AI Accelerator supporting the enterprise at large. This strategic role requires a highly skilled, hands\-on individual contributor who excels in team collaboration and technical leadership. The successful candidate will be responsible for architecting, developing, and optimizing scalable, secure AI systems, integrating AI models into production environments using MLOps best practices.
 This position emphasizes systems thinking, problem\-solving, and risk management within complex environments. The Lead AI Software Engineer will play a pivotal role in driving company\-wide initiatives, contributing to project delivery, and providing innovative solutions to capture new business opportunities. This is a remote position, offering flexibility and the chance to work with a forward\-thinking team dedicated to technological excellence and impactful AI solutions.
**Qualifications**
* Bachelor's degree in Computer Science, Software Engineering, Data Science, or a related field
* 7\+ years of relevant professional experience in software development and AI/ML
* 3\+ years of experience specifically in Artificial Intelligence and Machine Learning
* Experience with professional programming languages such as Python, Java, or similar
* Proficiency in software engineering, DevOps practices, and modern development methodologies
* Experience with API programming and Linux environments
* Strong knowledge of cloud solutioning (AWS, Azure, GCP) with 4\+ years of experience
* Experience with deep learning frameworks such as TensorFlow and PyTorch
* Knowledge of data structures, software architectures, and computational paradigms
* Ability to design and develop custom AI and analytics solutions tailored to client needs
* Excellent communication skills with the ability to articulate complex technical concepts
**Responsibilities**
* Design, develop, and optimize advanced AI software applications ensuring scalability, performance, and seamless integration with enterprise systems
* Develop and modify systems software to operate hardware and support business applications
* Generate descriptive, diagnostic, predictive, and prescriptive insights and algorithms
* Apply experimental methodologies, statistical analysis, and machine learning techniques to build and refine models
* Lead technical implementation efforts, translating complex algorithms into production\-ready code
* Mentor junior engineers and promote best practices within the development team
* Advance the responsible use of AI and ML solutions across the enterprise by identifying appropriate tools and technologies
* Contribute to the creation and dissemination of best practices, playbooks, and lessons learned in AI and data science
* Support enterprise efforts to leverage AI capabilities such as Computer Vision, Natural Language Processing, and Large Language Models to achieve mission\-critical outcomes
* Stay current with emerging AI technologies and evaluate their applicability for production environments
* Collaborate with cross\-functional teams to scope customer needs, develop custom solutions, and implement reference architectures
* Utilize programming languages and frameworks for proof\-of\-concept demos and dashboarding
* Implement automation, CI/CD pipelines, DevSecOps practices, and Agile methodologies to streamline development processes
**Benefits**
* Comprehensive health insurance coverage including medical, dental, and vision plans
* Life and disability insurance options
* Retirement savings plan with company contributions
* Paid holidays and paid time off for work\-life balance
* Opportunities for professional development and continuous learning
* Flexible remote work environment
* Performance\-based incentives and rewards
 Equal Opportunity
 Maximus is an equal opportunity employer. We evaluate qualified applicants without regard to race, color, religion, sex, age, national origin, disability, veteran status, genetic information, or other legally protected characteristics. We are committed to fostering an inclusive environment where all employees and applicants are valued and respected. Our hiring decisions are based solely on merit, qualifications, and business needs.</t>
        </is>
      </c>
    </row>
    <row r="105">
      <c r="A105" t="inlineStr">
        <is>
          <t>li-4359907196</t>
        </is>
      </c>
      <c r="B105" t="inlineStr">
        <is>
          <t>Software Engineer (Mid-Level)</t>
        </is>
      </c>
      <c r="C105" t="inlineStr">
        <is>
          <t>Penta Research Incorporated</t>
        </is>
      </c>
      <c r="D105" t="inlineStr">
        <is>
          <t>linkedin</t>
        </is>
      </c>
      <c r="E105">
        <f>HYPERLINK("https://www.linkedin.com/jobs/view/4359907196", "https://www.linkedin.com/jobs/view/4359907196")</f>
        <v/>
      </c>
      <c r="F105" t="inlineStr"/>
      <c r="G105" t="inlineStr">
        <is>
          <t>Huntsville, AL</t>
        </is>
      </c>
      <c r="H105" t="inlineStr"/>
      <c r="I105" t="inlineStr">
        <is>
          <t>Penta is seeking a highly‑motivated
 **Software Engineer** 
 to join our (Modeling and Simulation Contract \- Framework and Tools) MASC\-F Objective Simulation Framework (OSF) development team. The candidate will design, develop, test, and field C\+\+, Java (Spring Boot), and TypeScript \+ React software to support mission‑critical missile‑defense systems operating in cloud, on\-prem, and hybrid test environments.This is a
 **Mid\-Level Development** 
 role position that requires strong technical depth, proven delivery in an Agile environment, and the ability to work directly with government stakeholders.
 **Basic Requirements** 
 : Bachelor’s degree from an accredited college in a related discipline, with 5 years or more of professional experience; or 3 years of professional experience with a related Master’s degree; or no experience with a related PhD
 **Clearance Level** 
 : Secret
 **Support Location** 
 : On sight at Lockheed Martin in Huntsville, ALIn this role, your
 **responsibilities** 
 include:
* Software Development
+ Write high‑performance, secure code in C\+\+, Java, and Java Spring Boot
+ Build responsive front‑ends using TypeScript \+ React
+ Triage defects, produce root‑cause analysis, and drive fixes
* Testing \&amp; Quality
+ Author unit tests (GoogleTest, JUnit, Jest) and integration tests
+ Participate in coding peer reviews
* Containerization
+ Containerize applications with Docker
* Agile Development
+ Operate in an agile team with other developers, product owners and SCRUM masters
+ Break down features into stories, and deliver on time
**Desired Skills Include:**
* Familiar with Scaled Agile Framework
* Multi\-core and multi\-threaded programming
* Experience programming network connections (protocol buffers, message brokers, UDP and TCP/IP interfaces)
* Jira \- issue tracking and agile project management, or similar tool
* Cloud and Container Orchestration with Helm and Terraform</t>
        </is>
      </c>
    </row>
    <row r="106">
      <c r="A106" t="inlineStr">
        <is>
          <t>li-4360655392</t>
        </is>
      </c>
      <c r="B106" t="inlineStr">
        <is>
          <t>Software Developer</t>
        </is>
      </c>
      <c r="C106" t="inlineStr">
        <is>
          <t>TransPerfect Connect</t>
        </is>
      </c>
      <c r="D106" t="inlineStr">
        <is>
          <t>linkedin</t>
        </is>
      </c>
      <c r="E106">
        <f>HYPERLINK("https://www.linkedin.com/jobs/view/4360655392", "https://www.linkedin.com/jobs/view/4360655392")</f>
        <v/>
      </c>
      <c r="F106" t="inlineStr"/>
      <c r="G106" t="inlineStr">
        <is>
          <t>Maynard, MA</t>
        </is>
      </c>
      <c r="H106" t="inlineStr"/>
      <c r="I106" t="inlineStr">
        <is>
          <t>**TransPerfect Is More Than Just a Job…**
 Our greatest asset is our people, and nothing is more important to us than ensuring that everyone knows that. Each of our 100\+ offices has its own individual identity, and each also has its own unique rewards.</t>
        </is>
      </c>
    </row>
    <row r="107">
      <c r="A107" t="inlineStr">
        <is>
          <t>li-4351854855</t>
        </is>
      </c>
      <c r="B107" t="inlineStr">
        <is>
          <t>Frontend Engineer</t>
        </is>
      </c>
      <c r="C107" t="inlineStr">
        <is>
          <t>RemoteHunter</t>
        </is>
      </c>
      <c r="D107" t="inlineStr">
        <is>
          <t>linkedin</t>
        </is>
      </c>
      <c r="E107">
        <f>HYPERLINK("https://www.linkedin.com/jobs/view/4351854855", "https://www.linkedin.com/jobs/view/4351854855")</f>
        <v/>
      </c>
      <c r="F107" t="inlineStr"/>
      <c r="G107" t="inlineStr"/>
      <c r="H107" t="inlineStr"/>
      <c r="I107" t="inlineStr">
        <is>
          <t>About the Opportunity:
 The organization is a venture\-backed company focused on enabling responsible AI development, adoption, procurement, and usage at scale. It provides a platform for context\-driven AI governance, risk assessment, and compliance with regulations and standards to ensure fair, auditable, and compliant AI deployment. The goal is to make responsible AI development a standard practice by helping organizations integrate governance practices and collaborating with regulators to establish ecosystem incentives.
 Responsibilities:
 • Design and implement scalable, efficient, and reliable front\-end systems.
 • Communicate technical challenges and solutions clearly across teams.
 • Collaborate with engineers and product managers to deliver high quality UI/UX.
 • Explore and integrate new technologies and programming languages into development.
 • Maintain AI fluency or demonstrate willingness to learn AI concepts.
 • Continuously adapt to new technical challenges, focusing on backend development practices.
 Requirements:
 • 3\-5 years of experience developing high\-quality, maintainable, and robust software for enterprise applications.
 • Proficiency with HTML5, CSS3, JavaScript (ES6\+), and familiarity or interest in learning TypeScript.
 • Experience with frameworks/libraries such as React, Angular, Vue.js, or Next.js.
 • Knowledge of styling tools including SASS, CSS\-in\-JS, Tailwind CSS, or Bootstrap.
 • Experience with testing tools like Jest, Mocha, Cypress, or Jasmine.
 • Proficient in version control systems such as Git, GitHub, or GitLab.
 • Familiarity with APIs including REST, GraphQL, Swagger/OpenAPI, and Postman.
 • Experience with responsive web design, accessibility, and design systems is a plus.
 • Experience with Storybook, Docker, CI/CD, and authentication flows is a plus.
 • Strong communication skills for explaining complex technical issues.
 • Highly motivated to learn new technologies and frameworks.
 Compensation:
 • Expected base salary range is $160,000 to $180,000 USD.
 • Salary ranges depend on role, level, location, skills, experience, and education.
 • The posted range reflects minimum and maximum targets for new hires at the specified location.
 Benefits \&amp; Perks:
 • Competitive salary and equity.
 • Health, dental, and vision coverage.
 • Ergonomic benefit for equipment costs supporting health while working remotely or in office.
 • Coverage for coworking spaces and in\-person meetups.
 • Unlimited paid time off.
 • Up to 12 weeks of paid parental leave.
 • 401(k) plan available for US employees.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08">
      <c r="A108" t="inlineStr">
        <is>
          <t>li-4359996644</t>
        </is>
      </c>
      <c r="B108" t="inlineStr">
        <is>
          <t>Senior Software Engineer, Full-Stack</t>
        </is>
      </c>
      <c r="C108" t="inlineStr">
        <is>
          <t>Owner.com</t>
        </is>
      </c>
      <c r="D108" t="inlineStr">
        <is>
          <t>linkedin</t>
        </is>
      </c>
      <c r="E108">
        <f>HYPERLINK("https://www.linkedin.com/jobs/view/4359996644", "https://www.linkedin.com/jobs/view/4359996644")</f>
        <v/>
      </c>
      <c r="F108" t="inlineStr"/>
      <c r="G108" t="inlineStr"/>
      <c r="H108" t="inlineStr"/>
      <c r="I108" t="inlineStr">
        <is>
          <t>**Why we’re looking for you** 
 We are looking for a mission\-driven senior engineer who is passionate about their craft and committed to building incredible products for our customers.
 This role is 100% remote and can be based anywhere in the United States or Canada. For San Francisco\-based candidates: we have a new HQ in the Presidio for optional in\-person collaboration opportunities!
**Our Tech Stack:** 
 Frontend: \[React,
 Next.js
 , Vue]
 Backend: \[
 Node.js
 , Mongo]
 Typescript everywhere
**The impact you will have** 
* Build new products and features 0 to 1
* Take ownership of projects from conception all the way to shipping, ensuring modular, maintainable, and high\-quality code
* Deliver value to our end users across our entire system while considering performance, scale, security, and maintainability
* Shape our product direction by talking to users and collaborating with other teammates in feature brainstorms/roadmap planning
* Provide thoughtful code reviews and technical guidance to peers, helping to improve overall team quality
* Help us build a great team — interview candidates, refer great engineers, etc.
**What we’re looking for** 
* 5\+ years of experience building applications
* Extensive Typescript experience
* Experience scaling with frontend stack (React,
 Next.js
 , etc.) and/or our backend stack (Nodejs, Mongo, AWS)
* Experience at product\-focused startup/scale\-up or technology company
* High degree of cross\-functional collaboration—past colleagues in product, design, and business would speak highly of your teamwork
* Dedicated to continuous professional development and possessing a lifelong\-learner mindset
* Strong sense of ownership and drive, excellent communication, and a proactive approach to identifying and solving problems
**Pay and benefits** 
* The estimated starting base salary range for this role is $190K\-220K depending on level, location and experience, plus a generous pre\-IPO equity package
* Other benefits include comprehensive health coverage, work from anywhere (remote\-first workplace), unlimited PTO \- plus extra fun perks!
 🚩 Notice \- Employment Scams
 Communication from our team regarding job opportunities will only be made by an Owner team member with an @owner.com email address. We do not conduct interviews over email or chat platforms, and we will never ask you to provide personal or financial information such as your mailing address, social security number, credit card numbers or banking information.
 If you believe you are being contacted by scammer, please mark the communication as "phishing" or “spam” and do not respond.</t>
        </is>
      </c>
    </row>
    <row r="109">
      <c r="A109" t="inlineStr">
        <is>
          <t>li-4359946944</t>
        </is>
      </c>
      <c r="B109" t="inlineStr">
        <is>
          <t>Senior Full Stack Engineer ( Python and Node. js/ TypeScript)</t>
        </is>
      </c>
      <c r="C109" t="inlineStr">
        <is>
          <t>Grid Dynamics</t>
        </is>
      </c>
      <c r="D109" t="inlineStr">
        <is>
          <t>linkedin</t>
        </is>
      </c>
      <c r="E109">
        <f>HYPERLINK("https://www.linkedin.com/jobs/view/4359946944", "https://www.linkedin.com/jobs/view/4359946944")</f>
        <v/>
      </c>
      <c r="F109" t="inlineStr"/>
      <c r="G109" t="inlineStr">
        <is>
          <t>Sunnyvale, CA</t>
        </is>
      </c>
      <c r="H109" t="inlineStr"/>
      <c r="I109" t="inlineStr">
        <is>
          <t>We need a skilled Python Developer to help us solve challenging problems that affect our entire organization. You’ll build release frameworks, tools, infrastructure, and work to improve test and release processes. When you join Grid Dynamics, you will be joining a bright engineering team that has open communication, empowerment, innovation, and a customer\-centric culture.
**Responsibilities**
* Work on internal tools, frameworks, and infrastructure: develop new features, fix known bugs
* Support teams that use those tools
* Automation and improvement of release processes
**Requirements**
* Proficiency in Google Cloud Platform (GCP) — e.g. Cloud Run, Cloud Functions, App Engine, Cloud Storage, and Pub/Sub.
* Working knowledge of Dialogflow CX/ES, webhooks, and Gemini (Vertex AI) integration for conversational experiences.
* Hands\-on experience with Node.js/TypeScript and/or Python, RESTful APIs, OAuth2, and JSON\-based webhooks.
* Ability to create clear and engaging developer documentation (tutorials, samples, or videos).
* Bachelor’s/Master’s degree in Computer Science/ Engineering or a related field
**Nice to have**
* Prior experience working with Google, familiarity with internal Google infrastructure.
* Experience with Gemini function calling, Vertex AI Studio, and prompt engineering.
* Familiarity with rich messaging APIs (RBM, WhatsApp Business, Apple Business Messages, etc.).
**We offer**
* Opportunity to work on cutting\-edge projects
* Work with a highly motivated and dedicated team
* Competitive salary
* Flexible schedule
* Benefits package \- medical insurance, vision, dental, etc.
* Corporate social events
* Professional development opportunities
* Well\-equipped office
**About Us**
 Grid Dynamics (NASDAQ: GDYN) is a leading provider of technology consulting, platform and product engineering, AI, and advanced analytics services. Fusing technical vision with business acumen, we solve the most pressing technical challenges and enable positive business outcomes for enterprise companies undergoing business transformation. A key differentiator for Grid Dynamics is our 8 years of experience and leadership in enterprise AI, supported by profound expertise and ongoing investment in data, analytics, cloud \&amp; DevOps, application modernization and customer experience. Founded in 2006, Grid Dynamics is headquartered in Silicon Valley with offices across the Americas, Europe, and India.</t>
        </is>
      </c>
    </row>
    <row r="110">
      <c r="A110" t="inlineStr">
        <is>
          <t>li-4351864947</t>
        </is>
      </c>
      <c r="B110" t="inlineStr">
        <is>
          <t>Software Engineer - Flights and Loyalty</t>
        </is>
      </c>
      <c r="C110" t="inlineStr">
        <is>
          <t>RemoteHunter</t>
        </is>
      </c>
      <c r="D110" t="inlineStr">
        <is>
          <t>linkedin</t>
        </is>
      </c>
      <c r="E110">
        <f>HYPERLINK("https://www.linkedin.com/jobs/view/4351864947", "https://www.linkedin.com/jobs/view/4351864947")</f>
        <v/>
      </c>
      <c r="F110" t="inlineStr"/>
      <c r="G110" t="inlineStr"/>
      <c r="H110" t="inlineStr"/>
      <c r="I110" t="inlineStr">
        <is>
          <t>About the Opportunity:
 This organization is a fintech and travel startup building a next generation premium financial services brand. As a profitable fintech with $70M revenue per year and new carrier partnerships, it is entering a new stage of growth focused on significant expansion of its loyalty engine. The role involves scaling the flight routing and booking engine, working with airline loyalty programs to develop partnerships for flight search and booking, and shaping the Flights \&amp; Loyalty team alongside the resident flights expert.
 Responsibilities:
 • Take ownership of major feature releases across the entire flight booking funnel, from flight search to booking creation and post\-booking fulfillment
 • Build logic for award ticket inventory pricing and point transferring to partners
 • Integrate with external airlines and GDS partners, navigating their complex communication protocols and data schemas
 Requirements:
 • 6\+ years of engineering experience, most recently writing production\-grade Python
 • Experience with GDS systems such as Amadeus or Sabre
 • Technical experience with Python, Django, TypeScript, React, PostgreSQL, and AWS
 • Knowledge of credit card points and travel hacking, with extensive personal experience booking flights with points
 • Familiarity with airline rewards search engines and experience considering or building flight inventory scrapers
 • Multiple credit cards and history with FlyerTalk
 Benefits \&amp; Perks:
 • Competitive salary and stock option plan
 • Medical, Dental, and Vision insurance
 • 401(k) plan with 5% company match
 • Flexible vacation policy
 • Fully remote work environment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11">
      <c r="A111" t="inlineStr">
        <is>
          <t>li-4352721424</t>
        </is>
      </c>
      <c r="B111" t="inlineStr">
        <is>
          <t>Software Engineer–Embedded (Associate, Experienced or Senior) (Virtual))</t>
        </is>
      </c>
      <c r="C111" t="inlineStr">
        <is>
          <t>Boeing</t>
        </is>
      </c>
      <c r="D111" t="inlineStr">
        <is>
          <t>linkedin</t>
        </is>
      </c>
      <c r="E111">
        <f>HYPERLINK("https://www.linkedin.com/jobs/view/4352721424", "https://www.linkedin.com/jobs/view/4352721424")</f>
        <v/>
      </c>
      <c r="F111">
        <f>HYPERLINK("https://ad.doubleclick.net/ddm/clk/517492914;325447798;a?https://jobs.boeing.com/job/-/-/185/90462838944?utm_source=linkedin&amp;utm_medium=job_posting&amp;utm_campaign=ra-us&amp;urlHash=t5Xu", "https://ad.doubleclick.net/ddm/clk/517492914;325447798;a?https://jobs.boeing.com/job/-/-/185/90462838944?utm_source=linkedin&amp;utm_medium=job_posting&amp;utm_campaign=ra-us&amp;urlHash=t5Xu")</f>
        <v/>
      </c>
      <c r="G111" t="inlineStr">
        <is>
          <t>Hazelwood, MO</t>
        </is>
      </c>
      <c r="H111" t="inlineStr"/>
      <c r="I111" t="inlineStr">
        <is>
          <t>**Job Description**
 At Boeing, we innovate and collaborate to make the world a better place. We’re committed to fostering an environment for every teammate that’s welcoming, respectful and inclusive, with great opportunity for professional growth. Find your future with us.
 The Boeing Company is currently seeking a
 **Mid\-Level Real Time Software Engineer (Virtual)** 
 to join the
 **Defense Mission Computing Team** 
 , part of the B
 **oeing Enterprise Software Products and Capabilities (ESPC)** 
 group/team located in
 **Hazelwood, MO** 
 . This position will focus on supporting the Boeing Defense, Space \&amp; Security (BDS) business organization.
 These systems must meet the highest levels of safety standards, levels of rigor and design assurances required by the Federal Aviation Administration (FAA), Department of Defense (DOD) and National Security Agency (NSA) certification authorities as they are deployed on latest Commercial aircraft, Defense platforms and weapons systems, including un\-piloted and autonomous vehicles of the future.
 The ideal candidate for this role is experienced at low level infrastructure for safety and security critical application, using rigorous design practices, efficient and automated processes and tools, to deliver on\-time, high quality, safety assured and cyber assured software.
**Our teams are currently hiring for a broad range of experience levels including Associate, Experienced and Senior Level Software Engineers.**
**This position has been identified as a virtual opportunity and will not require the selected candidate to relocate.**
**Position Responsibilities:**
* Designs, develops, tests, debugs and maintains software that is integrated into embedded devices and systems and meets industry, customer, safety and regulation standards
* Reviews, analyzes, and translates customer requirements into the design of software products for embedded devices and systems
* Builds and writes code for embedded systems software to run on specific specialized hardware
* Integrates embedded software with hardware components
* Analyzes, monitors and improves the efficiency and stability of embedded software systems
* Tests and debugs software for embedded devices and systems
* Implements current and emerging technologies, tools, frameworks, and changes in regulations relevant to software development and hardware technologies
* Advises on software and hardware integration domains
* Tracks and evaluates internal and supplier software team performance to ensure product and process compliance to project plans and industry standards
* Performs embedded software project management functions
**Basic Qualifications (Required Skills/ Experience):**
* 2\+ years of experience programming in a high\-level language: C, C\+\+ or Ada (C\+\+ preferred)
* 2\+ years of experience test automation in python
* 2\+ years of experience developing software for embedded systems, using one or more real\-time operating systems (RTOS)
* 2\+ years of Experience with Wind River VxWorks or any version of Linux is preferred, but general understanding of an RTOS is acceptable (other applicable RTOS experience includes but is not limited to DDC\-I Deos or Green Hills Software Integrity)
* 2\+ years of experience developing software using Git for repository revision control and configuration management (CM)
**Preferred Qualifications (Desired Skills/Experience):**
* Bachelor of Science degree from an accredited course of study in engineering, engineering technology (includes manufacturing engineering technology), chemistry, physics, mathematics, data science, or computer science
* Level 2: 2 or more years’ related work experience or an equivalent combination of education and experience
* Level 3: 5 or more years’ related work experience or an equivalent combination of education and experience
* Level 4: 9 or more years’ related work experience or an equivalent combination of education and experience
* Experience developing board bring up software applications used for hardware checkout and design verification developing resident test software (RTS) applications used for hardware environmental stress screening (ESS), qualification testing and acceptance test procedures (ATP)
* Experience developing middleware per applications programming interfaces (APIs) to open standards such as FACE (future airborne capability environment) and OMS (open mission systems)
* Experience developing software, including device drivers, per aircraft interface standards such as MIL\-STD\-1553B, ARINC 429, UART, CAN, ARINC 664, RS\-485
* Experience developing cyber assured software per NSA National Institute of Standards and Technology (NIST) cybersecurity framework
* Experience developing Python scripts for automated Requirements Based Testing (RBT), regression and release testing
* Experience developing safety critical software per FAA DO\-178C or MIL\-STD\-882E standards
* Experience developing software build environments utilizing Bazel
* Experience developing software as a certified Scaled Agile Framework for Enterprise (SAFe) professional
**Drug Free Workplace:**
 Boeing is a Drug Free Workplace (DFW) where post offer applicants and employees are subject to testing for marijuana, cocaine, opioids, amphetamines, PCP, and alcohol when criteria is met as outlined in our policies.
**Travel:**
 10%
**CodeVue Coding Challenge:**
 To be considered for this position you will be required to complete a technical assessment as part of the selection process. Failure to complete the assessment will remove you from consideration.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Associate Level (Level 2\): $92,650 \- $143,750
 Summary pay range for Experienced Level (Level 3\): $118,150 \- $182,850
 Summary pay range for Senior Level (Level 4\): $149,600 \- $232,300
 Applications for this position will be accepted until
 **Jan. 13, 2026**
**Export Control Requirements:**
 This position must meet U.S. export control compliance requirements. To meet U.S. export control compliance requirements, a “U.S. Person” as defined by 22 C.F.R.
* 120\.62 is required. “U.S. Person” includes U.S. Citizen, U.S. National, lawful permanent resident, refugee, or asylee.
**Export Control Details:**
 US based job, US Person required
**Relocation**
 Relocation assistance is not a negotiable benefit for this position.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112">
      <c r="A112" t="inlineStr">
        <is>
          <t>li-4345324968</t>
        </is>
      </c>
      <c r="B112" t="inlineStr">
        <is>
          <t>Full Stack Lead Software Engineer - Java / React</t>
        </is>
      </c>
      <c r="C112" t="inlineStr">
        <is>
          <t>hackajob</t>
        </is>
      </c>
      <c r="D112" t="inlineStr">
        <is>
          <t>linkedin</t>
        </is>
      </c>
      <c r="E112">
        <f>HYPERLINK("https://www.linkedin.com/jobs/view/4345324968", "https://www.linkedin.com/jobs/view/4345324968")</f>
        <v/>
      </c>
      <c r="F112">
        <f>HYPERLINK("https://www.hackajob.com/job/bad4f9eb-ee24-11f0-9e38-0a05e249917d-full-stack-lead-software-engineer-java-react?utm_source=LinkedIn&amp;utm_medium=JobAds&amp;utm_term=Automated&amp;utm_campaign=jp-morgan-full-stack-lead-software-engineer-java-react&amp;job_name=full-stack-lead-software-engineer-java-react&amp;company=jp-morgan&amp;workplace_type=on-site&amp;city=jersey-city&amp;country=united-states&amp;urlHash=SIIC", "https://www.hackajob.com/job/bad4f9eb-ee24-11f0-9e38-0a05e249917d-full-stack-lead-software-engineer-java-react?utm_source=LinkedIn&amp;utm_medium=JobAds&amp;utm_term=Automated&amp;utm_campaign=jp-morgan-full-stack-lead-software-engineer-java-react&amp;job_name=full-stack-lead-software-engineer-java-react&amp;company=jp-morgan&amp;workplace_type=on-site&amp;city=jersey-city&amp;country=united-states&amp;urlHash=SIIC")</f>
        <v/>
      </c>
      <c r="G112" t="inlineStr">
        <is>
          <t>Jersey City, NJ</t>
        </is>
      </c>
      <c r="H112" t="inlineStr"/>
      <c r="I112" t="inlineStr">
        <is>
          <t>***hackajob** 
 is collaborating with
 **J.P. Morgan** 
 to connect them with exceptional tech professionals for this role.*
**Job Description**
 We have an opportunity to impact your career and provide an adventure where you can push the limits of what's possible.
 As a Full Stack Lead Software Engineer\- Java / React at JPMorganChase within the Asset and Wealth Management Digital Marketing Web Experience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You will play a senior, hands\-on engineering role focused on building first\-in\-class digital web experiences for a diverse client base, including personal investors, financial advisors, liquidity, and institutional clients. A key focus will be reinventing our product experience across high\-traffic pages, where we promote our products and surface essential regulatory documents. You will help deliver and enhance features such as fund explorer, investment comparison tools, and subscription capabilities for product literature, ensuring clients can easily discover and engage with our offerings. You will drive the transformation of our web and digital capabilities, bringing personalization at scale and helping to create a truly integrated marketing technology ecosystem. You will work closely with global development and product teams, as well as marketing stakeholders across regions, to deliver innovative solutions and platform enhancements.
**Job Responsibilities**
* Executes creative software solutions, design, development, and technical troubleshooting with ability to think beyond routine or conventional approaches to build solutions or break down technical problems
* Serves as an engineering lead, driving the technical direction and hands\-on development of our content management platform (CMS) for digital marketing
* Architects and implements modern web solutions, focusing on platform redesign, AI\-driven personalization, and seamless client experiences
* Collaborates with global development teams and marketing stakeholders to deliver products and applications in line with business requirements
* Ensures all solutions adhere to compliance standards, service level agreements, and business requirements
* Promotes a culture of creativity, problem\-solving, and strong collaboration within cross\-functional teams
* Champions the adoption of modern web technologies and best practices, delivering rich personalization at both individual and firm levels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**Required Qualifications, Capabilities, And Skills**
* Formal training or certification on software engineering concepts and 5\+ years applied experience
* Hands\-on practical experience delivering system design, application development, testing, and operational stability
* Hands\-on expertise in React, Java Script / Type Script, Java Springboot, and Microservices for building scalable, secure, and high\-performance web applications and RESTful services
* Proven experience leading technology projects as a senior engineer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Practical cloud native experience
**Preferred qualifications, capabilities, and skills**
* Experience with Adobe Experience Manager (AEM) or similar enterprise CMS platforms
* Experience designing and implementing AI\-driven personalization features
* Experience in large\-scale platform redesigns and marketing technology ecosystems and experience leading software engineering projects for digital marketing or web experience domains
* AWS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t>
        </is>
      </c>
    </row>
    <row r="113">
      <c r="A113" t="inlineStr">
        <is>
          <t>li-4332595049</t>
        </is>
      </c>
      <c r="B113" t="inlineStr">
        <is>
          <t>React Software Engineer III - AWS</t>
        </is>
      </c>
      <c r="C113" t="inlineStr">
        <is>
          <t>hackajob</t>
        </is>
      </c>
      <c r="D113" t="inlineStr">
        <is>
          <t>linkedin</t>
        </is>
      </c>
      <c r="E113">
        <f>HYPERLINK("https://www.linkedin.com/jobs/view/4332595049", "https://www.linkedin.com/jobs/view/4332595049")</f>
        <v/>
      </c>
      <c r="F113" t="inlineStr"/>
      <c r="G113" t="inlineStr">
        <is>
          <t>Tampa, FL</t>
        </is>
      </c>
      <c r="H113" t="inlineStr"/>
      <c r="I113" t="inlineStr">
        <is>
          <t>***hackajob** 
 is collaborating with
 **J.P. Morgan** 
 to connect them with exceptional tech professionals for this role.*
**Job Description**
 We have an exciting and rewarding opportunity for you to take your software engineering career to the next level.
 As a Software Engineer III at JPMorganChase within the Merchant Services Technology group,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education on software engineering concepts and 3\+ years applied experience
* Deep understanding of React and its core principles, with a proven track record of building complex applications.
* Experience with frontend state management libraries e.g. Redux.
* Proficiency in modern frontend build pipelines and tools, including npm and webpack
* Strong understanding of RESTful APIs and asynchronous request handling.
* Participates in, design and develop scalable and resilient systems using Java or Python to contribute to continual, iterative improvements for product teams
* Hands\-on practical experience in system design, application development, testing, and operational stability
* Proficient in coding in one or more languages
* Experience in developing, debugging, and maintaining code in a large corporate environment with one or more modern programming languages and database querying languages
* Solid understanding of agile methodologies such as CI/CD, Application Resiliency, and Security
* Demonstrated knowledge of software applications and technical processes within a technical discipline (e.g., cloud, artificial intelligence, machine learning, mobile, etc.)
**Preferred Qualifications, Capabilities, And Skills**
* Familiarity with modern front\-end technologies
* Exposure to cloud technologies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14">
      <c r="A114" t="inlineStr">
        <is>
          <t>li-4351834938</t>
        </is>
      </c>
      <c r="B114" t="inlineStr">
        <is>
          <t>iOS Software Engineer II</t>
        </is>
      </c>
      <c r="C114" t="inlineStr">
        <is>
          <t>hackajob</t>
        </is>
      </c>
      <c r="D114" t="inlineStr">
        <is>
          <t>linkedin</t>
        </is>
      </c>
      <c r="E114">
        <f>HYPERLINK("https://www.linkedin.com/jobs/view/4351834938", "https://www.linkedin.com/jobs/view/4351834938")</f>
        <v/>
      </c>
      <c r="F114">
        <f>HYPERLINK("https://www.hackajob.com/job/674e7538-ee24-11f0-9e38-0a05e249917d-ios-software-engineer-ii?utm_source=LinkedIn&amp;utm_medium=JobAds&amp;utm_term=Automated&amp;utm_campaign=jp-morgan-ios-software-engineer-ii&amp;job_name=ios-software-engineer-ii&amp;company=jp-morgan&amp;workplace_type=on-site&amp;city=new-york&amp;country=united-states&amp;urlHash=Z9w4", "https://www.hackajob.com/job/674e7538-ee24-11f0-9e38-0a05e249917d-ios-software-engineer-ii?utm_source=LinkedIn&amp;utm_medium=JobAds&amp;utm_term=Automated&amp;utm_campaign=jp-morgan-ios-software-engineer-ii&amp;job_name=ios-software-engineer-ii&amp;company=jp-morgan&amp;workplace_type=on-site&amp;city=new-york&amp;country=united-states&amp;urlHash=Z9w4")</f>
        <v/>
      </c>
      <c r="G114" t="inlineStr">
        <is>
          <t>New York, NY</t>
        </is>
      </c>
      <c r="H114" t="inlineStr"/>
      <c r="I114" t="inlineStr">
        <is>
          <t>***hackajob** 
 is collaborating with
 **J.P. Morgan** 
 to connect them with exceptional tech professionals for this role.*
**Job Description**
 You’re ready to gain the skills and experience needed to grow within your role and advance your career — and we have the perfect software engineering opportunity for you.
 As a Software Engineer II \- iOS at JPMorganChase within the Connected Commerce team,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 Executes standard software solutions, design, development, and technical troubleshooting
* Writes secure and high\-quality code using the syntax of at least one programming language with limited guidance
* Designs, develops, codes, and troubleshoots with consideration of upstream and downstream systems and technical implications
* Applies knowledge of tools within the Software Development Life Cycle toolchain to improve the value realized by automation
* Applies technical troubleshooting to break down solutions and solve technical problems of basic complexity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
* Adds to team culture of diversity, opportunity, inclusion, and respect
**Required Qualifications, Capabilities, And Skills**
* Formal training or certification on software engineering concepts and 2\+ years applied experience
* Hands\-on practical experience in system design, application development, testing, and operational stability
* Experience in developing, debugging, and maintaining code in a large corporate environment with one or more modern programming languages and database querying languages
* Demonstrable ability to code in one or more languages including Swift and Objective C
* Experience with testing for mobile phones, GIT source control management
* Experience across the whole Software Development Life Cycle
* Exposure to agile methodologies such as CI/CD, Application Resiliency, and Security
* Emerging knowledge of software applications and technical processes within a technical discipline (e.g., cloud, artificial intelligence, machine learning, mobile, etc.)
**Preferred Qualifications, Capabilities, And Skills**
* Developed application found on Apple app store
 Same Posting Description for Internal and External Candidates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15">
      <c r="A115" t="inlineStr">
        <is>
          <t>li-4332574911</t>
        </is>
      </c>
      <c r="B115" t="inlineStr">
        <is>
          <t>Software Engineer III - Data Platform and Insights</t>
        </is>
      </c>
      <c r="C115" t="inlineStr">
        <is>
          <t>hackajob</t>
        </is>
      </c>
      <c r="D115" t="inlineStr">
        <is>
          <t>linkedin</t>
        </is>
      </c>
      <c r="E115">
        <f>HYPERLINK("https://www.linkedin.com/jobs/view/4332574911", "https://www.linkedin.com/jobs/view/4332574911")</f>
        <v/>
      </c>
      <c r="F115">
        <f>HYPERLINK("https://www.hackajob.com/job/b810a894-ee24-11f0-9e38-0a05e249917d-software-engineer-iii-data-platform-and-insights?utm_source=LinkedIn&amp;utm_medium=JobAds&amp;utm_term=Automated&amp;utm_campaign=jp-morgan-software-engineer-iii-data-platform-and-insights&amp;job_name=software-engineer-iii-data-platform-and-insights&amp;company=jp-morgan&amp;workplace_type=on-site&amp;city=columbus&amp;country=united-states&amp;urlHash=GmVA", "https://www.hackajob.com/job/b810a894-ee24-11f0-9e38-0a05e249917d-software-engineer-iii-data-platform-and-insights?utm_source=LinkedIn&amp;utm_medium=JobAds&amp;utm_term=Automated&amp;utm_campaign=jp-morgan-software-engineer-iii-data-platform-and-insights&amp;job_name=software-engineer-iii-data-platform-and-insights&amp;company=jp-morgan&amp;workplace_type=on-site&amp;city=columbus&amp;country=united-states&amp;urlHash=GmVA")</f>
        <v/>
      </c>
      <c r="G115" t="inlineStr">
        <is>
          <t>Columbus, OH</t>
        </is>
      </c>
      <c r="H115" t="inlineStr"/>
      <c r="I115" t="inlineStr">
        <is>
          <t>***hackajob** 
 is collaborating with
 **J.P. Morgan** 
 to connect them with exceptional tech professionals for this role.*
**Job Description**
 Join our dynamic team to innovate and refine technology operations, impacting the core of our business services.
 As a Software Engineer III at JPMorgan Chase within the Consumer \&amp; Community Banking you will serve as the subject matter expert on various facets of the CCB Data Lake, including data publication, governance, management, consumption, and security. This individual will collaborate with existing architecture, technology, and product teams to effectively influence senior stakeholders across the organization. They will also work closely with other critical AWS software engineering teams from CCB ET\&amp;P, CCB Data Technology, Data Engineering, Corporate Technology, and Cybersecurity, in partnership with our product teams. This role requires collaboration with other CCB Software and Data Engineering teams within the firm to align, implement, and uphold software engineering best practices, ensuring the delivery of comprehensive insights, advanced analytics, machine learning, and artificial intelligence applications.
**Job Responsibilities**
* Demonstrate hands\-on expertise in AWS data lake publication, governance, consumption, and security.
* Collaborate on innovative design and develop engineering capabilities for advanced AI/ML data and insights.
* Code, test, deploy AWS micro\-services, event\-driven, serverless, and scalable architectures and capabilities.
* Offer leadership and expertise in AWS software engineering, leveraging agile team processes.
* Define and implement coding principles, standards, designs, frameworks, and chaos testing for engineering.
* Build, train, and enhance the skill depth of software engineers to optimize code quality and performance.
* Exhibit excellent verbal and written communication skills to articulate technical designs effectively.
* Responsible for delivering technology systems globally. The candidate will work closely with regional and global teams to deliver high\-quality technology services and projects on time, within scope, and within budget.
**Required Qualifications, Capabilities, And Skills**
* Formal training or certification on software engineering concepts 3\+ years of experience or equivalent expertise troubleshooting, resolving, and maintaining information technology services
* Demonstrated knowledge of applications or infrastructure in a large\-scale technology environment both on premises and public cloud
* Demonstrated AWS cloud expertise and hands\-on AWS software engineering experience.
* Hands\-on experience with four or more AWS data lake and/or analytics technologies:
+ AWS Lake Formation, AWS Glue, Apache Kafka (MSK), AWS Athena
+ AWS ECS, AWS EKS, AWS Fargate, AWS S3, AWS EC2, Apache Iceberg, Snowflake, Databricks
* Proficiency in one or more programming languages: Python, Java, or Scala
* Proven ability to build self\-service, self\-healing, highly scalable, and secure cloud software capabilities.
* Proven expertise with software testing, releasing, CI/CD pipeline deployments, and security in AWS cloud.
* Demonstrated strength in applying DevSecOps and DevOps development practices.
* Experienced with Agile development methodologies, processes, and procedures.
**Preferred Qualifications, Capabilities, And Skills**
* AWS Certifications: Cloud Practioner, Solutions Architect, or Certified Developer
* Proficiency in multiple modern programming languages.
* Awareness of industry\-wide technology trends and best practices.
* Keen understanding of financial control and budget management.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16">
      <c r="A116" t="inlineStr">
        <is>
          <t>li-4332534946</t>
        </is>
      </c>
      <c r="B116" t="inlineStr">
        <is>
          <t>Lead Software Engineer - Java (API Marketplace)</t>
        </is>
      </c>
      <c r="C116" t="inlineStr">
        <is>
          <t>hackajob</t>
        </is>
      </c>
      <c r="D116" t="inlineStr">
        <is>
          <t>linkedin</t>
        </is>
      </c>
      <c r="E116">
        <f>HYPERLINK("https://www.linkedin.com/jobs/view/4332534946", "https://www.linkedin.com/jobs/view/4332534946")</f>
        <v/>
      </c>
      <c r="F116">
        <f>HYPERLINK("https://www.hackajob.com/job/b4d751ad-ee24-11f0-9e38-0a05e249917d-lead-software-engineer-java-api-marketplace?utm_source=LinkedIn&amp;utm_medium=JobAds&amp;utm_term=Automated&amp;utm_campaign=jp-morgan-lead-software-engineer-java-api-marketplace&amp;job_name=lead-software-engineer-java-api-marketplace&amp;company=jp-morgan&amp;workplace_type=on-site&amp;city=seattle&amp;country=united-states&amp;urlHash=gZEI", "https://www.hackajob.com/job/b4d751ad-ee24-11f0-9e38-0a05e249917d-lead-software-engineer-java-api-marketplace?utm_source=LinkedIn&amp;utm_medium=JobAds&amp;utm_term=Automated&amp;utm_campaign=jp-morgan-lead-software-engineer-java-api-marketplace&amp;job_name=lead-software-engineer-java-api-marketplace&amp;company=jp-morgan&amp;workplace_type=on-site&amp;city=seattle&amp;country=united-states&amp;urlHash=gZEI")</f>
        <v/>
      </c>
      <c r="G116" t="inlineStr">
        <is>
          <t>Seattle, WA</t>
        </is>
      </c>
      <c r="H116" t="inlineStr"/>
      <c r="I116" t="inlineStr">
        <is>
          <t>***hackajob** 
 is collaborating with
 **J.P. Morgan** 
 to connect them with exceptional tech professionals for this role.*
**Job Description**
 We have an opportunity to impact your career and provide an adventure where you can push the limits of what's possible.
 As a Lead Software Engineer at JPMorganChase within
 **Consumer and Community Banking** 
 's (CCB)
 **API Marketplace** 
 team, you are an integral part of an agile team that enhances, builds, and delivers trusted, market\-leading technology products in a secure, stable, and scalable manner. You will drive significant business impact through your capabilities and contributions, applying deep technical expertise and problem\-solving skills to address a diverse array of challenges across multiple technologies and applications.
**Job Responsibilities**
* Executes creative software solutions, design, development, and technical troubleshooting, with the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adoption of new and leading\-edge technologies
* Contributes to a team culture of diversity, opportunity, inclusion, and respect
**Required Qualifications, Capabilities, And Skills**
* Formal training or certification in software engineering concepts and 5\+ years of applied experience
* Advanced proficiency in one or more programming languages, with expertise in Java 8\+ distributed application development, REST, microservices, and Spring Boot
* Experience in modern SDLC practices such as Test Driven Development, Continuous Integration, Continuous Delivery, and Continuous Deployment
* Strong understanding of data structures and algorithms
* Experience working on multi\-threaded, high\-throughput, mission\-critical, high\-performance platforms
* Proficiency in automation and continuous delivery methods
* Advanced understanding of agile methodologies such as CI/CD, application resiliency, and security
* Experience with cloud\-native application development (e.g., AWS, GCP, private cloud, etc.)
* Experience with data security and encryption in an enterprise setting
**Preferred Qualifications, Capabilities, And Skills**
* Experience with build automation using Maven
* Experience configuring Continuous Integration in Jenkins
* Experience developing open\-source libraries or internal libraries that are integrated into applications by other internal teams
* Front\-end experience in React, or any modern frameworks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17">
      <c r="A117" t="inlineStr">
        <is>
          <t>li-4332564917</t>
        </is>
      </c>
      <c r="B117" t="inlineStr">
        <is>
          <t>Staff Backend Engineer, Messaging</t>
        </is>
      </c>
      <c r="C117" t="inlineStr">
        <is>
          <t>RemoteHunter</t>
        </is>
      </c>
      <c r="D117" t="inlineStr">
        <is>
          <t>linkedin</t>
        </is>
      </c>
      <c r="E117">
        <f>HYPERLINK("https://www.linkedin.com/jobs/view/4332564917", "https://www.linkedin.com/jobs/view/4332564917")</f>
        <v/>
      </c>
      <c r="F117">
        <f>HYPERLINK("https://www.remotehunter.com/apply-with-ai/8d5ac692-4334-4a5f-ba57-ace8555d2828?utm_medium=job_posting&amp;utm_source=linkedin&amp;utm_campaign=software_engineer_remote&amp;utm_category=software_engineer&amp;utm_term=staff_backend_engineer_messaging&amp;urlHash=L2Cn", "https://www.remotehunter.com/apply-with-ai/8d5ac692-4334-4a5f-ba57-ace8555d2828?utm_medium=job_posting&amp;utm_source=linkedin&amp;utm_campaign=software_engineer_remote&amp;utm_category=software_engineer&amp;utm_term=staff_backend_engineer_messaging&amp;urlHash=L2Cn")</f>
        <v/>
      </c>
      <c r="G117" t="inlineStr"/>
      <c r="H117" t="inlineStr"/>
      <c r="I117" t="inlineStr">
        <is>
          <t>About the Opportunity:
 This organization is focused on modernizing insurance claims processing by providing large insurers with software solutions to enhance efficiency and accuracy. The role involves advancing a rapidly scaling Messaging platform that supports high\-volume, reliable communication across products, with emphasis on backend architecture, APIs, data models, and AI/LLM integrations.
 Responsibilities:
 • Own major backend components of the Messaging platform, including business logic, APIs, data models, and supporting infrastructure.
 • Design, build, test, and ship high\-quality production code using TypeScript and GraphQL.
 • Architect and implement scalable messaging workflows to handle increasing volume, complexity, and new product use cases.
 • Build and maintain production\-level AI/LLM integrations involving message orchestration, prompt execution, response handling, and system observability.
 • Design and optimize Postgres schemas and queries to support messaging state, auditing, and performance at scale.
 • Implement testing, monitoring, and observability practices to improve reliability, performance, and developer velocity.
 • Create reusable abstractions and internal tooling to accelerate and secure product development across the platform.
 Requirements:
 • 8 or more years of backend or full\-stack engineering experience, preferably in SaaS environments.
 • Strong experience building backend services with TypeScript and GraphQL in production.
 • Hands\-on expertise with relational databases, especially Postgres, including data modeling and performance tuning.
 • Experience shipping and operating AI/LLM\-powered features in production with focus on reliability, monitoring, and iteration.
 • Proven ability to design and scale robust backend systems.
 • Solid engineering fundamentals in distributed systems, APIs, and data modeling.
 • Collaborative mindset and experience working cross\-functionally with product, infrastructure, and data teams.
 Benefits \&amp; Perks:
 • Competitive salary and equity package.
 • Access to multiple medical plans with an HSA option and minimal out\-of\-pocket expenses; some plans fully covered.
 • Dental insurance.
 • Vision insurance.
 • Company\-provided life insurance at no cost.
 • Uncapped vacation days and paid holidays.
 • Maternity and paternity leave options.
 • 401(k) plan with a 3% company contribution regardless of employee contribution.
 • Health and dependent care flexible spending accounts (FSAs).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18">
      <c r="A118" t="inlineStr">
        <is>
          <t>li-4360655304</t>
        </is>
      </c>
      <c r="B118" t="inlineStr">
        <is>
          <t>Hydrographic Data Model Software Engineer (GIS)</t>
        </is>
      </c>
      <c r="C118" t="inlineStr">
        <is>
          <t>Axiom Consultants</t>
        </is>
      </c>
      <c r="D118" t="inlineStr">
        <is>
          <t>linkedin</t>
        </is>
      </c>
      <c r="E118">
        <f>HYPERLINK("https://www.linkedin.com/jobs/view/4360655304", "https://www.linkedin.com/jobs/view/4360655304")</f>
        <v/>
      </c>
      <c r="F118" t="inlineStr"/>
      <c r="G118" t="inlineStr">
        <is>
          <t>Rockville, MD</t>
        </is>
      </c>
      <c r="H118" t="inlineStr"/>
      <c r="I118" t="inlineStr">
        <is>
          <t>Axiom is looking for a Software Engineer III to support the NOAA Office of Coast Survey:
**Responsibilities**
* Assist with developing software to encode ocean model predictions and bathymetric output and format it to S\-100 conformant product specifications using a combination of HPC and nowCOAST cloud resources in collaboration with others on the PMN Team and nowCOAST Development Team.
* Assist with developing scripts to validate S\-102/S\-104/S\-111 against S\-100 standards.
* Assist with onboarding and maintaining S\-100 metadata Application Programming Interface (API) to ensure metadata for S\-102/S\-104/S\-111\.
* Assist with developing and managing interoperability between different S\-100 based products.
* Provide support with portrayal enhancements to improve product interoperability.
* Assist with designing and developing tools to enable the OCS to operationalize S\-100 data for the broader maritime community.
* Assist with developing and/or apply existing open source software to continuously monitor the end\-to\-end generation of S\-104 and S\-111 products and provide alerts when problems occur.
* Assist with writing documentation to support the maintenance and operations of S\-104/S\-111 generation including metadata.
* Provide support with S\-104/S\-111 developers in hydrographic offices of other countries in the development of S\-104/S\-111 software.
**Requirements**
* Education: Bachelor's or Master's degree in computer science, geospatial science, physical science, or physical oceanography (education equivalency: 4 years of work experience)
* Experience: 4\-7 years in the field of software development, software engineering, GIS, and/or technical scientific field
* Knowledge, Skills, and Abilities:
* 
+ Software development including Python, Integrated Development Environments, debugging principles, continuous integration testing and automated documentation.
+ Knowledge and experience with version control best practices and experience with version control software.
+ Strong understanding of Geographic Information Systems (GIS) concepts, including spatial data models (vector, raster), projections, coordinate systems, and geospatial analysis.
+ Proficiency with relational databases, particularly PostgreSQL and PostGIS, including schema design and optimization.
+ Ability to work within Linux\-based computer systems.
+ Experience in developing, maintaining, or extending metadata schemas.
+ Experience working in a technical/scientific field including code documentation.
+ Experience with XML Schema (XSD), DTDs, and transformations (XSLT).
+ Experience with Django REST Framework and deploying Django apps to production.
+ Experience with APIs and data exchange standards, with the ability to design endpoints that expose metadata schemas to support dataset discovery and interoperability.
+ Experience designing and validating XML documents using XSD and DTDs, and performing data transformations with XSLT.
+ Experience integrating visualizations with backend APIs to render dynamic data.
* Desired skills, but not required:
* 
+ Familiarity with NOAA's scientific raster and vector data sets (e.g., ocean model forecast guidance, bathymetry, and in\-situ weather and ocean observations) and scientific data formats (e.g., netCDF, HDF5, shapefiles, geopackages).
+ Familiarity with AWS services and resources (e.g., Lambda, Amazon Elastic Compute Cloud (EC2\), Amazon Simple Storage Service (S3\), Amazon Elastic Kubernetes Service (EKS)).
+ Familiarity monitoring system performance, resource utilization, and application logs to ensure high availability, reliability, and efficiency of data workflows
+ Familiarity with API documentation and standards (OpenAPI/Swagger, Postman).
+ Familiarity with container\-based software development and deployment (e.g., Docker, Kubernetes).
+ Familiarity with developing interactive web\-based visualizations using JavaScript libraries such as D3\.js and OpenLayers, including mapping and dashboard applications.
**Axiom offers competitive compensation packages including comprehensive medical/dental/life insurance and matching 401(k) contribution.**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***Job Posted by ApplicantPro***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2026-01-11T21:03:06Z</dcterms:created>
  <dcterms:modified xsi:type="dcterms:W3CDTF">2026-01-11T21:03:06Z</dcterms:modified>
</cp:coreProperties>
</file>