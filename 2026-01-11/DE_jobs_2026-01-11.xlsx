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in-87d28edd73900135</t>
        </is>
      </c>
      <c r="B2" t="inlineStr">
        <is>
          <t>Data engineer</t>
        </is>
      </c>
      <c r="C2" t="inlineStr">
        <is>
          <t>Stacklogy</t>
        </is>
      </c>
      <c r="D2" t="inlineStr">
        <is>
          <t>indeed</t>
        </is>
      </c>
      <c r="E2" t="inlineStr"/>
      <c r="F2" t="inlineStr"/>
      <c r="G2" t="inlineStr">
        <is>
          <t>US</t>
        </is>
      </c>
      <c r="H2" s="2" t="n">
        <v>46032</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in-ec947e89b38c6a09</t>
        </is>
      </c>
      <c r="B3" t="inlineStr">
        <is>
          <t>Data Analytics Engineer - Apple Services Engineering</t>
        </is>
      </c>
      <c r="C3" t="inlineStr">
        <is>
          <t>Apple</t>
        </is>
      </c>
      <c r="D3" t="inlineStr">
        <is>
          <t>indeed</t>
        </is>
      </c>
      <c r="E3" t="inlineStr"/>
      <c r="F3" t="inlineStr"/>
      <c r="G3" t="inlineStr">
        <is>
          <t>Seattle, WA, US</t>
        </is>
      </c>
      <c r="H3" s="2" t="n">
        <v>46032</v>
      </c>
      <c r="I3" t="inlineStr">
        <is>
          <t>Apple’s App Store is the world’s largest and most innovative app marketplace, home to over 1\.5 million apps and serving more than half a billion customers every week across all Apple devices. Since the App Store launched in 2008, it has changed how we all live; it has enabled countless new companies, spawned new industries, and built millions of jobs. But we believe we are just getting started.  
We’re seeking a highly skilled Software Data Engineer to join the App Store Data organization. In this role, you will help shape the next generation of App Store insights and data products by building scalable, privacy\-forward data pipelines, analytical solutions, and actionable insights. Our team enables data\-driven innovation for external partners, while maintaining data quality, privacy, and engineering excellence as first\-class citizens.  
Our teams remain small, highly collaborative, and cross\-functional, providing deep ownership and broad exposure to impactful opportunities.  
**Description**  
As a member of the App Store Data team, you will play a key role in building large\-scale distributed data systems.  
This is a software engineering role with strong analytics responsibilities. We build robust, production\-quality code and process petabytes of data daily.  
Data is our core product, and we care deeply about its correctness, semantics, lineage, and usability.","responsibilities":"In this role, you will:  
Design, build, and maintain efficient, scalable, and reliable data pipelines using Spark, Flink, or similar distributed systems.  
Implement service layer components that encapsulate business logic and expose data products to downstream clients.  
Develop high\-quality software in Scala, Python, or Java following best practices (code reviews, testing, CI/CD).  
Manage real\-time and batch data systems across technologies such as Hadoop, Iceberg, Kafka, Airflow, and Kubernetes.  
Conduct exploratory analysis and help define KPIs, metrics, and data quality standards.  
Work closely with engineering, product, privacy, compliance, and other internal partners to design new features and data products.  
Partner with SRE teams to monitor, troubleshoot, and optimize large\-scale production workloads.  
Review code, mentor teammates, and contribute to a collaborative and inclusive engineering culture.  
**Preferred Qualifications**  
Familiarity with functional programming concepts.  
Understanding of emerging AI/ML techniques and their application to large\-scale analytics.  
Experience working in data privacy, trust \&amp; safety, compliance, or governance domains.  
Skilled in writing design documents and technical specifications for new data products.  
**Minimum Qualifications**  
5\+ years of experience in data engineering, analytics engineering, software data engineering, or similar roles.  
Experience building and maintaining service layer applications, including data access patterns and integration with backend data systems.  
Strong programming skills in Scala or Java.  
Expert\-level proficiency with SQL and advanced data manipulation techniques.  
Hands\-on experience with big\-data technologies (Hadoop/HDFS, Spark/Flink, Kafka, Airflow, Iceberg, or related tools).  
Proven track record building scalable, production\-quality distributed data pipelines.  
Deep understanding of computer science fundamentals\-algorithms, data structures, complexity.  
Excellent communication skills and ability to work in a highly cross\-functional environment.  
Bachelor's degree or equivalent work experience in Computer Science, Engineering, Business Information Systems, or other quantitative degree.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in-2f131b91217a6079</t>
        </is>
      </c>
      <c r="B4" t="inlineStr">
        <is>
          <t>Data Engineer</t>
        </is>
      </c>
      <c r="C4" t="inlineStr">
        <is>
          <t>Amazon.com</t>
        </is>
      </c>
      <c r="D4" t="inlineStr">
        <is>
          <t>indeed</t>
        </is>
      </c>
      <c r="E4" t="inlineStr"/>
      <c r="F4" t="inlineStr"/>
      <c r="G4" t="inlineStr">
        <is>
          <t>San Francisco, CA, US</t>
        </is>
      </c>
      <c r="H4" s="2"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in-3d49507674d4a289</t>
        </is>
      </c>
      <c r="B5" t="inlineStr">
        <is>
          <t>Data Engineer</t>
        </is>
      </c>
      <c r="C5" t="inlineStr">
        <is>
          <t>Amazon.com</t>
        </is>
      </c>
      <c r="D5" t="inlineStr">
        <is>
          <t>indeed</t>
        </is>
      </c>
      <c r="E5" t="inlineStr"/>
      <c r="F5" t="inlineStr"/>
      <c r="G5" t="inlineStr">
        <is>
          <t>Seattle, WA,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in-00f940223a895ce1</t>
        </is>
      </c>
      <c r="B6" t="inlineStr">
        <is>
          <t>Delivery Consultant - Data Engineer, Data and Machine Learning, WWPS US Federal</t>
        </is>
      </c>
      <c r="C6" t="inlineStr">
        <is>
          <t>Amazon Web Services</t>
        </is>
      </c>
      <c r="D6" t="inlineStr">
        <is>
          <t>indeed</t>
        </is>
      </c>
      <c r="E6" t="inlineStr"/>
      <c r="F6" t="inlineStr"/>
      <c r="G6" t="inlineStr">
        <is>
          <t>Herndon, VA, US</t>
        </is>
      </c>
      <c r="H6" s="2"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in-8599b049ce83c329</t>
        </is>
      </c>
      <c r="B7" t="inlineStr">
        <is>
          <t>Delivery Consultant - Data Engineer, Data and Machine Learning, WWPS US Federal</t>
        </is>
      </c>
      <c r="C7" t="inlineStr">
        <is>
          <t>Amazon Web Services</t>
        </is>
      </c>
      <c r="D7" t="inlineStr">
        <is>
          <t>indeed</t>
        </is>
      </c>
      <c r="E7" t="inlineStr"/>
      <c r="F7" t="inlineStr"/>
      <c r="G7" t="inlineStr">
        <is>
          <t>Arlington, VA, US</t>
        </is>
      </c>
      <c r="H7" s="2"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in-eed4375f3954c20c</t>
        </is>
      </c>
      <c r="B8" t="inlineStr">
        <is>
          <t>Associate Data Engineer</t>
        </is>
      </c>
      <c r="C8" t="inlineStr">
        <is>
          <t>RR Donnelley</t>
        </is>
      </c>
      <c r="D8" t="inlineStr">
        <is>
          <t>indeed</t>
        </is>
      </c>
      <c r="E8">
        <f>HYPERLINK("https://www.indeed.com/viewjob?jk=eed4375f3954c20c", "https://www.indeed.com/viewjob?jk=eed4375f3954c20c")</f>
        <v/>
      </c>
      <c r="F8">
        <f>HYPERLINK("https://jobs.smartrecruiters.com/RRDonnelley/744000102941485-associate-data-engineer-", "https://jobs.smartrecruiters.com/RRDonnelley/744000102941485-associate-data-engineer-")</f>
        <v/>
      </c>
      <c r="G8" t="inlineStr">
        <is>
          <t>Warrenville, IL, US</t>
        </is>
      </c>
      <c r="H8" s="3" t="n">
        <v>46033</v>
      </c>
      <c r="I8" t="inlineStr">
        <is>
          <t>**Company Description**  
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Data Engineer will join our Enterprise Reporting Team with a focus on Data Architecture. In the same way that an architect helps builders transform raw materials into buildings, a Data Engineer focusing on data architecture helps transform raw data into information. Instead of designing structures like strip malls or distribution centers, a data engineer designs structures like data marts or data warehouses. These structures integrate data from multiple systems across the enterprise to power the reports and dashboards central to RR Donnelley’s decisions and processes.
 **Responsibilities:**
* Analysis/Design: Analyze business requirements for projects of small to medium scope and complexity. Assist with the gathering of requirements from end users
* Coding: Write, test, and debug routine to moderately complex SQL queries, DML scripts, and DDL scripts
* Testing: Under general supervision, analyze and document test results to ensure that technical requirements are met
* Technical Support: Research and resolve routine to moderately complex data issues using SQL and other reporting tools.
* Documentation: Assist in preparing high\-quality internal documentation.
* Communication: Clearly convey problems, solutions, updates, and project status to peers, customers, and management
* Assist with the design, documentation, and implementation of Data Architecture standards
* Review existing data models for correctness and compliance with standards
* Analyze medium size datasets using Python to both visualize and make predictions
* Seek to understand RRD business units and processes, through research and discussions with IT and business partners
 **Qualifications**  
* Bachelor’s / 4\-year degree in a technical field: computer science, MIS, mathematics, engineering, data science, or similar
* 2\-3 years of related IT experience
* Strong knowledge and programming experience with SQL (Oracle, SQL Server, etc.)
* Strong knowledge of database concepts \&amp; structures (indexes, foreign keys, views, etc.)
* Understanding of data modeling concepts
* Fluency in office productivity software (MS Office, Google Workspace, etc.)
* Excellent written and verbal communication skills
* Superior critical thinking skills with the ability to ask thoughtful questions
* Ability to self\-start and collaborate with other team members while working in a remote setting
* Curiosity and a strong desire to learn
Data Engineer Preferred Skills:
* Working knowledge of Python or other programming languages
* Experience with Star Schema / Dimension databases
* Experience with data modeling tools, such as ERwin
**Additional Information**  
RRD's current salary range for this role is $67,800 to $105,800 / year. The salary range may be adjusted based on the applicable geographic location of the hired employee, and the range may change in the future. At RRD, it is not typical for an individual to be hired at or near the top of the range for their role and compensation decisions may vary based upon, but not limited to education, skills, experience, proficiency, performance, shift and location. Depending on the role, in addition to base salary, the total compensation package may also include participation in a bonus, commission or incentive program. RRD’s benefit offerings include medical, dental, and vision coverage, paid time off, disability insurance, 401(k) with company match, life insurance and other voluntary supplemental insurance coverages, plus parental leave, adoption assistance, tuition assistance and employer/partner discounts.
All employment offers are contingent upon the successful completion of both a pre\-employment background and drug screen.
RRD is an Equal Opportunity Employer, including disability/veterans</t>
        </is>
      </c>
    </row>
    <row r="9">
      <c r="A9" t="inlineStr">
        <is>
          <t>in-afce3e5d84b85e25</t>
        </is>
      </c>
      <c r="B9" t="inlineStr">
        <is>
          <t>Data Engineer</t>
        </is>
      </c>
      <c r="C9" t="inlineStr">
        <is>
          <t>LP Building Solutions</t>
        </is>
      </c>
      <c r="D9" t="inlineStr">
        <is>
          <t>indeed</t>
        </is>
      </c>
      <c r="E9">
        <f>HYPERLINK("https://www.indeed.com/viewjob?jk=afce3e5d84b85e25", "https://www.indeed.com/viewjob?jk=afce3e5d84b85e25")</f>
        <v/>
      </c>
      <c r="F9">
        <f>HYPERLINK("https://jobs.lpcorp.com/job/Nashville-Data-Engineer-TN-37203/1342383900/?feedId=298900&amp;utm_source=Indeed&amp;utm_campaign=LouPac_Indeed", "https://jobs.lpcorp.com/job/Nashville-Data-Engineer-TN-37203/1342383900/?feedId=298900&amp;utm_source=Indeed&amp;utm_campaign=LouPac_Indeed")</f>
        <v/>
      </c>
      <c r="G9" t="inlineStr">
        <is>
          <t>Nashville, TN, US</t>
        </is>
      </c>
      <c r="H9" s="3" t="n">
        <v>46032</v>
      </c>
      <c r="I9" t="inlineStr">
        <is>
          <t>Louisiana\-Pacific Corporation (LP Building Solutions) is a leading provider of high\-performance building solutions that meet the demands of builders, remodelers, and homeowners worldwide. We manufacture engineered wood building products that include an extensive offering of innovative and dependable building materials and accessories. LP’s values\-driven culture creates an environment where talented and hardworking people thrive in an ethical, inclusive, challenging, and rewarding place to work. Since our founding in 1972, we’ve developed careers and provided advancement opportunities in the building products industry. Headquartered in Nashville, Tennessee, LP operates more than 20 facilities across North and South America. For more information, visit LPCorp.com.
**Job Purpose**
---------------
As a Data Engineer II, you will play a key leadership role in the Enterprise Data Engineering organization by architecting, building, and optimizing scalable data solutions that power advanced analytics and business intelligence. This position requires deep expertise in data engineering, cloud platforms, and modern data architectures. You will lead complex projects, mentor junior engineers, and ensure best practices in data governance, security, and performance across enterprise systems.  
You will also build strong relationships with business stakeholders, guiding them through requirements discovery and helping them articulate needs that translate into actionable technical solutions. Additionally, you will contribute to the development, documentation, and enforcement of data engineering standards in collaboration with the Data Engineering Lead, ensuring alignment with enterprise architecture and compliance frameworks.**In this position you will have the opportunity to:**
------------------------------------------------------
* Lead the design and architecture of advanced data solutions
* + Architect and implement data pipelines and frameworks using dbt, Snowflake, and cloud services (AWS, Azure) across medallion architecture layers (bronze, silver, gold).
	+ Define and enforce standards for data modeling, ETL/ELT processes, and pipeline orchestration under the guidance of the Data Engineering Lead.
* Own and optimize complex integrations
* + Design and manage integrations with enterprise systems (SAP, Salesforce, Manufacturing Efficiency Systems) and external data sources at scale.
	+ Optimize data ingestion for performance, reliability, and cost efficiency.
* Ensure data quality and governance across the enterprise
* + Implement automated data quality frameworks and monitoring solutions to ensure accuracy, consistency, and compliance.
	+ Drive adherence to governance, security, and audit requirements across all data assets.
* Collaborate, build relationships, and guide stakeholders
* + Develop trusted partnerships with business leaders, analysts, and technical teams to understand objectives and challenges.
	+ Facilitate requirements\-gathering sessions, asking the right questions to uncover critical details and ensure clarity.
	+ Act as a liaison between technical teams and business units, translating needs into scalable, well\-documented solutions.
* Develop, document, and enforce standards
* + Create and maintain guidelines for data modeling, pipeline design, and transformation logic.
	+ Ensure consistency and quality across all data assets by implementing coding standards, naming conventions, and documentation protocols.
	+ Provide feedback to improve practices and drive adoption of best practices within project teams.
* Innovate and drive continuous improvement
* + Evaluate emerging technologies and recommend improvements to data engineering practices.
	+ Champion automation and performance optimization initiatives across pipelines and workflows.
**What do I need to be successful?**
------------------------------------
* 4\+ years of data engineering experience with proven leadership in complex projects.
* Advanced proficiency in Python, SQL and transformation tools like dbt.
* Strong understanding of ETL processes, data modeling (including dimensional modeling), and medallion architecture.
* Expertise with cloud\-based services platforms (e.g., AWS, Azure) and modern data warehouses/lakehouses (e.g., Snowflake, Databricks).
* Hands\-on experience designing and implementing complex ETL/ELT workflows using tools like Azure Data Factory (ADF), AWS Glue, Informatica, or equivalent.
* Experience with database technologies (SQL, NoSQL, Oracle) and API development is highly preferred.
* Experience with integration into reporting platforms like Tableau and Power BI.
* Strong analytical and problem\-solving skills.
* Ability to lead technical discussions, mentor team members, and communicate effectively with stakeholders.
* Strong relationship\-building skills with the ability to influence and guide stakeholders through requirements discovery.
* Skilled at defining and championing standards that improve team efficiency and data reliability.
**Education**
-------------
* Bachelor’s or master’s degree in computer science, software or computer engineering or related field, or equivalent work experience.
**Work Environment**
--------------------
* This position will work at home and in our Nashville office on a hybrid schedule
* Must currently live within the Nashville area
\#LI\-HYBRID
LP offers competitive salaries and comprehensive benefits and programs including health and welfare benefits, 401(k) program, career mobility, tuition reimbursement, volunteer opportunities, profit sharing and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li-4359946641</t>
        </is>
      </c>
      <c r="B2" t="inlineStr">
        <is>
          <t>Data Engineer</t>
        </is>
      </c>
      <c r="C2" t="inlineStr">
        <is>
          <t>The University of Texas at Austin</t>
        </is>
      </c>
      <c r="D2" t="inlineStr">
        <is>
          <t>linkedin</t>
        </is>
      </c>
      <c r="E2" t="inlineStr"/>
      <c r="F2" t="inlineStr"/>
      <c r="G2" t="inlineStr"/>
      <c r="H2" t="inlineStr"/>
      <c r="I2" t="inlineStr">
        <is>
          <t>**About The Company**
 The University of Texas at Austin is a renowned research university committed to advancing knowledge, fostering innovation, and preparing future leaders. As a leading institution, UT Austin emphasizes excellence in education, research, and community engagement. The university's Enterprise Technology department supports its mission by developing cutting\-edge data solutions that enable data\-driven decision\-making across academic, administrative, and research functions. With a focus on technological innovation and excellence, UT Austin provides an inspiring environment for professionals dedicated to leveraging data to create meaningful societal impact.
**About The Role**
 The Lead Data Engineer position within the Enterprise Technology \- Data to Insights (D2I) team is a critical role responsible for designing, developing, and maintaining scalable, high\-quality data pipelines and platforms. This role involves leading a team of data engineers and collaborating with cross\-functional stakeholders to build a modern data ecosystem that supports analytics, AI, and machine learning initiatives. The Lead Data Engineer will oversee the architecture of cloud\-based data solutions using Databricks and AWS services, ensuring performance, reliability, and compliance. This position offers an exciting opportunity to influence the university’s data landscape, foster innovation, and support strategic decision\-making through advanced data engineering practices. The role is expected to continue until December 2026, with the possibility of extension, and provides flexible work arrangements, including remote work options.
**Qualifications**
* Bachelor’s or Master’s degree in Computer Science, Information Systems, Engineering, or related field
* 5\+ years of experience designing, implementing, and optimizing complex, production\-grade data pipelines or enterprise\-scale data platforms
* 5 years of experience in cloud\-based data engineering using Databricks and AWS (e.g., Glue, S3, Lambda, Redshift)
* 3\+ years of experience managing or leading teams of data/software engineers, including mentorship and performance management
* Proficiency in Python, PySpark, and SQL, with a strong understanding of data modeling and scalable transformations
* Experience architecting ETL/ELT solutions across relational, non\-relational, and lakehouse environments such as Delta Lake or Parquet
* Knowledge of CI/CD pipelines and infrastructure as code (IaC) tools like Terraform, CDK, or GitHub Actions
* Understanding of data governance, security, and compliance standards in cloud environments
* Strong analytical, problem\-solving, and debugging skills across distributed data systems
* Excellent communication skills for translating technical concepts to diverse audiences
**Responsibilities**
* Design, architect, and deliver scalable, production\-grade data pipelines and AI\-ready data platforms leveraging Databricks, AWS, and modern frameworks
* Lead end\-to\-end implementation of lakehouse architectures, ensuring optimal performance, reliability, and cost efficiency
* Champion best practices in data engineering, including data quality, observability, governance, and security
* Conduct peer code reviews to maintain high standards of code quality and consistency
* Identify and resolve bottlenecks in data ingestion, transformation, and orchestration processes using Databricks Delta Live Tables, Spark optimization, and workflow automation
* Implement systems for data quality assurance, observability, and compliance using tools such as Unity Catalog and Delta Lake
* Lead technical knowledge\-sharing sessions on AI/ML integration, data lakehouse architecture, and emerging data technologies
* Define project milestones, timelines, and deliverables, ensuring timely and high\-quality outcomes
* Collaborate with internal and external stakeholders, including data architects, business users, and Agile teams
* Manage project priorities, sprint planning, and team workloads, balancing innovation with delivery
* Supervise and mentor a team of 2\-5 data engineers, fostering a culture of continuous learning and technical excellence
* Participate in recruiting, onboarding, and professional development of team members
* Provide regular updates on project progress, technical challenges, and milestones to stakeholders
* Translate complex technical concepts into clear narratives for non\-technical audiences
* Stay current with advancements in AI, data engineering, and Databricks ecosystem, evaluating and piloting new tools and frameworks
* Perform other duties supporting the organization’s data and AI transformation initiatives
**Benefits**
* Competitive health benefits, with employee premiums covered at 100% and family premiums at 50%
* Vision, dental, life, and disability insurance options
* Paid vacation, sick leave, and holidays
* Participation in the Teachers Retirement System of Texas (TRS) retirement plan
* Additional voluntary retirement options including tax\-sheltered annuity 403(b) and deferred compensation 457(b)
* Flexible spending accounts for medical and childcare expenses
* Opportunities for training, conferences, and professional development
* Tuition assistance programs
* Discounts on athletic tickets and access to UT Austin’s libraries and museums
* Free transportation on UT Shuttle and Capital Metro buses with staff ID
 Equal Opportunity
 The University of Texas at Austin is an equal opportunity/affirmative action employer committed to fostering an inclusive environment. We do not discriminate on the basis of race, color, national origin, age, marital status, sex, sexual orientation, gender identity, gender expression, disability, religion, veteran status, or any other legally protected status.</t>
        </is>
      </c>
    </row>
    <row r="3">
      <c r="A3" t="inlineStr">
        <is>
          <t>li-4359966044</t>
        </is>
      </c>
      <c r="B3" t="inlineStr">
        <is>
          <t>Data Engineer</t>
        </is>
      </c>
      <c r="C3" t="inlineStr">
        <is>
          <t>Hirenza</t>
        </is>
      </c>
      <c r="D3" t="inlineStr">
        <is>
          <t>linkedin</t>
        </is>
      </c>
      <c r="E3" t="inlineStr"/>
      <c r="F3" t="inlineStr"/>
      <c r="G3" t="inlineStr"/>
      <c r="H3" t="inlineStr"/>
      <c r="I3" t="inlineStr">
        <is>
          <t>**About The Company**
 Keurig Dr Pepper (NASDAQ: KDP) is a leading beverage company in North America, renowned for its extensive portfolio of over 125 owned, licensed, and partner brands. With a robust distribution network, KDP offers a diverse range of beverages that cater to every taste and occasion, ensuring availability anytime and anywhere. The company operates on a differentiated business model supported by world\-class brands and a talented, engaged workforce that upholds core values centered on innovation, quality, and customer satisfaction. KDP's commitment to excellence and growth has established it as a prominent leader in the beverage industry, fostering a culture of collaboration, creativity, and continuous improvement.
**About The Role**
 The Director of Data Engineering \&amp; Business Intelligence at Keurig Dr Pepper is a strategic leadership position responsible for overseeing the development, implementation, and management of data engineering and business intelligence initiatives within the Marketing Analytics \&amp; Intelligence division. Reporting directly to the VP of Marketing Analytics \&amp; Intelligence, this role is pivotal in architecting scalable data systems, managing end\-to\-end data pipelines, and delivering advanced analytics solutions that drive data\-informed decision\-making across the organization. The ideal candidate will possess a strong technical background combined with leadership capabilities, enabling the team to harness big data, AI, and machine learning technologies effectively. This role requires a proactive approach to innovation, collaboration with cross\-functional teams, and a focus on data governance and compliance to ensure secure and high\-quality data assets that support strategic business objectives.
**Qualifications**
* Minimum of 10 years of experience in ETL, Business Intelligence, and Data Analytics, with a proven track record of delivering impactful data solutions.
* At least 5 years of experience working with Big Data systems, pipelines, and processing frameworks.
* Deep expertise in data architecture, data modeling, and processing using cloud platforms such as GCP and Snowflake.
* Hands\-on experience with ML/AI operations, including deploying and managing AI models in cloud environments.
* Proven leadership experience in building, mentoring, and managing high\-performing data engineering teams.
* Strong skills in API integration, SQL pipeline design, and automation of data workflows.
* Familiarity with data privacy standards and compliance regulations such as GDPR and CCPA.
* Excellent understanding of data visualization best practices, with proficiency in tools like PowerBI and UI/UX principles for multi\-modal interfaces.
* Knowledge of LLM foundations and architecture is preferred.
* Exceptional communication, stakeholder management, and project management skills with meticulous attention to detail.
* Experience in Consumer Packaged Goods (CPG) and marketing environments is preferred.
**Responsibilities**
* Leadership \&amp; Team Development: Build, mentor, and lead a high\-performing data engineering team, fostering a culture of innovation, collaboration, and continuous learning.
* Data Architecture \&amp; Engineering: Design and maintain secure, scalable, and efficient data ecosystems utilizing GCP and Snowflake. Implement data maturity principles (Bronze to Silver to Gold) within a marketing\-owned data lake, collaborating with enterprise data architects.
* Innovation \&amp; Business Impact: Partner with business leaders, product managers, and data scientists to develop impactful data solutions. Drive innovation in analytics, leveraging AI/ML to extract insights and enable predictive capabilities.
* Governance \&amp; Compliance: Work with Data Governance teams to establish and enforce best practices for data quality, security, and compliance, ensuring adherence to GDPR, CCPA, and other relevant standards.
* DevOps \&amp; Deployment: Oversee robust DevOps processes for continuous integration, deployment, and monitoring of data pipelines and analytics solutions.
* Data Modeling \&amp; Business Intelligence: Develop comprehensive data models and architecture to support analytics and reporting needs. Create dynamic dashboards and visualizations using PowerBI to facilitate data\-driven decision\-making.
* Cross\-Functional Collaboration: Translate complex business requirements into technical specifications. Act as a bridge between technical teams and business stakeholders, automating ad\-hoc data processes and ensuring alignment with strategic goals.
**Benefits**
* Competitive salary range of $190,000 to $240,000, with placement determined by experience and skills.
* Comprehensive benefits package including medical, dental, and vision insurance, along with disability coverage.
* Paid Time Off programs encompassing vacation, sick leave, and paid parental leave.
* Retirement savings plan with company match (401k).
* Additional perks such as Tuition Reimbursement and Mileage Reimbursement.
* Annual performance\-based bonus eligibility.
 Equal Opportunity
 Keurig Dr Pepper is an equal opportunity employer committed to fostering an inclusive environment. We recruit, hire, and promote qualified applicants regardless of race, color, religion, gender, sexual orientation, gender identity or expression, age, disability, veteran status, or any other protected characteristic under applicable law. We value diversity and are dedicated to creating a workplace where all employees can thrive, contribute, and grow.</t>
        </is>
      </c>
    </row>
    <row r="4">
      <c r="A4" t="inlineStr">
        <is>
          <t>li-4294893744</t>
        </is>
      </c>
      <c r="B4" t="inlineStr">
        <is>
          <t>Python Data Engineer</t>
        </is>
      </c>
      <c r="C4" t="inlineStr">
        <is>
          <t>Vitol</t>
        </is>
      </c>
      <c r="D4" t="inlineStr">
        <is>
          <t>linkedin</t>
        </is>
      </c>
      <c r="E4" t="inlineStr"/>
      <c r="F4" t="inlineStr"/>
      <c r="G4" t="inlineStr">
        <is>
          <t>Houston, TX</t>
        </is>
      </c>
      <c r="H4" t="inlineStr"/>
      <c r="I4" t="inlineStr">
        <is>
          <t>**Company Description**
 Vitol is a leader in energy and commodities. Vitol produces, manages and delivers energy and commodities to consumers and industry worldwide. In addition to its primary business of trading, Vitol is invested in infrastructure globally, with $10\+billion invested in long\-term assets.
 Vitol’s customers include national oil companies, multinationals, leading industrial companies and utilities. Founded in Rotterdam in 1966, today Vitol serves its customers from some 40 offices worldwide. Revenues in 2023 were $400bn.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**This Role is located in Houston, TX \- In office 5x a week**
**Job Description**
 We are looking for a talented and motivated Python Data Engineer to help us expand our data assets in support of our analytical capabilities in a full\-time role. This role will have the opportunity to interface directly with our traders, analysts, researchers and data scientists to drive out requirements and deliver a wide range of data related needs.
 What you will do:
* Write modular, reusable components to liaise between external sources of data, internal tools and databases
* Work with our business sponsors to drive out requirements for data ingestion and access
* Translate business requirements into technical deliveries
* Maintain the cleanliness and centrality of the Vitol Python codebase, while adhering to existing designs and coding conventions as much as possible
* Contribute to our developer tools and Python ETL toolkit, including standardization and consolidation of core functionality
* Efficiently coordinate with the rest of our global team
* Participate in Vitol’s Python development community and act as a liaison for our growing business development efforts
**Qualifications**
* 7\+ years of enterprise\-level coding experience with Python
* Computer Science, MIS or related degree
* Experience with Data Engineering and building data pipelines
* Experience scraping websites with Requests, Beautiful Soup, Selenium, etc.
* Oracle / PL SQL development experience including stored procedures
* Strong understating of object\-oriented design, design patterns, SOA architectures
* Past experience working in an Agile/Scrum environment
* Proficient understanding of peer\-reviewing, code versioning, and bug/issue tracking tools.
* Familiarity with Pandas and NumPy packages
* Strong communication skills (written and verbal)
* Commodities/Energy Industry experience desired
* Familiarity with containerization solutions like Docker and Kubernetes is a plus
**This Role is located in Houston, TX \- In office 5x a week**
**Additional Information**
 Work Environment
* This job operates in a professional office environment. Because of the collaborative, fast\-paced, and high energy nature of our business, Vitol requires team members to work from our fully\-equipped office.
*All your information will be kept confidential according to EEO guidelines.*</t>
        </is>
      </c>
    </row>
    <row r="5">
      <c r="A5" t="inlineStr">
        <is>
          <t>li-4345364369</t>
        </is>
      </c>
      <c r="B5" t="inlineStr">
        <is>
          <t>Data Engineer</t>
        </is>
      </c>
      <c r="C5" t="inlineStr">
        <is>
          <t>RemoteHunter</t>
        </is>
      </c>
      <c r="D5" t="inlineStr">
        <is>
          <t>linkedin</t>
        </is>
      </c>
      <c r="E5" t="inlineStr"/>
      <c r="F5" t="inlineStr"/>
      <c r="G5" t="inlineStr"/>
      <c r="H5" t="inlineStr"/>
      <c r="I5"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
      <c r="A6" t="inlineStr">
        <is>
          <t>li-4337909658</t>
        </is>
      </c>
      <c r="B6" t="inlineStr">
        <is>
          <t>Data Engineer III</t>
        </is>
      </c>
      <c r="C6" t="inlineStr">
        <is>
          <t>SiriusXM</t>
        </is>
      </c>
      <c r="D6" t="inlineStr">
        <is>
          <t>linkedin</t>
        </is>
      </c>
      <c r="E6" t="inlineStr"/>
      <c r="F6" t="inlineStr"/>
      <c r="G6" t="inlineStr">
        <is>
          <t>New York, NY</t>
        </is>
      </c>
      <c r="H6" t="inlineStr"/>
      <c r="I6" t="inlineStr">
        <is>
          <t>**Who We Are**
 SiriusXM and its brands (Pandora, 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SiriusXM is seeking a highly motivated and experienced Data Engineer to join our Data Org. In this role, you will be responsible for designing and developing data processing pipelines, data warehousing solutions, and real\-time data ingestion systems. You will work closely with data scientists, analysts, and other stakeholders to develop solutions that support the business needs of SiriusXM, Pandora and AdsWizz.
**What You’ll Do**
* Develop and maintain high\-performance, scalable, and fault\-tolerant data processing systems using Spark, Flink, Druid, or the like.
* Collaborate with cross\-functional teams to integrate data from multiple sources and ensure data accuracy and consistency.
* Write complex SQL queries to support data analysis and reporting.
* Develop and maintain data models and ETL processes.
* Optimize data pipelines and system performance to ensure efficient data processing and analysis.
* Build and maintain data infrastructure, including data storage and data access systems.
* Stay up\-to\-date with the latest developments in data engineering technologies and best practices.
**What You’ll Need**
* Bachelor's degree in Computer Science, Engineering, or a related field.
* 3\+ years of experience in Data Engineering.
* Expertise in Spark and Python.
* Experience with Scala is a bonus.
* Strong understanding of distributed systems, data modeling, and ETL processes.
* Hands\-on experience with cloud\-based data warehousing solutions (e.g., AWS Redshift, Snowflake, Teradata).
* Excellent problem\-solving skills and attention to detail.
* Strong written and verbal communication skills.
* Ability to work independently and as part of a team.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$104,000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R\-2025\-08\-2</t>
        </is>
      </c>
    </row>
    <row r="7">
      <c r="A7" t="inlineStr">
        <is>
          <t>li-4295359014</t>
        </is>
      </c>
      <c r="B7" t="inlineStr">
        <is>
          <t>Data Engineer / Sr Data Engineer (GCP, BigQuery)</t>
        </is>
      </c>
      <c r="C7" t="inlineStr">
        <is>
          <t>Applied Systems</t>
        </is>
      </c>
      <c r="D7" t="inlineStr">
        <is>
          <t>linkedin</t>
        </is>
      </c>
      <c r="E7" t="inlineStr"/>
      <c r="F7" t="inlineStr"/>
      <c r="G7" t="inlineStr"/>
      <c r="H7" t="inlineStr"/>
      <c r="I7"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EZLynx is seeking a skilled and motivated
 **Data Engineer** 
 to join our growing data team.
 **The ideal candidate will be responsible for designing and implementing data pipelines, building efficient ETL processes, managing our Looker instance to enable data\-driven decision\-making across the organization.** 
 In this new role, you will work closely with cross\-functional teams to deliver scalable data solutions and integrate platforms such as SQL Server, BigQuery, and Looker.
 This is an exciting opportunity for someone who is passionate about leveraging data to drive business outcomes, enjoys solving complex problems, and thrives in a fast\-paced, collaborative environment.
**What You’ll Do**
* Design, build, and maintain scalable ETL pipelines using cloud native services (GCP, BigQuery, Pub/Sub, etc.)
* Automate deployment and configuration using Terraform, Helm, and Kubernetes
* Develop dashboards and other tooling around Looker performance metrics
* Ensure Looker datasets are backed by performant and reliable queries
* Diagnose and address performance issues in dashboard performance, LookML codebases, Explores, and derived tables
* Build and maintain CI/CD pipelines for microservices and data workflows
* Support and maintain custom tools for data processing and orchestration
* Monitor and troubleshoot data lake operations and cloud resources
* Design efficient and logical data models that align with business reporting needs
* Write complex SQL queries for data extraction, transformation, and reporting
* Collaborate with data engineers and analysts to deliver reliable, high quality data products
 And we’d be looking for a Senior level team member to additionally:
* Assess opportunities and risks of various solutions to provide insights and input needed for technical decisions as we continuously build for scalability and security while maintaining high velocity
* Enhance data lake operation and optimize complex SQL queries for data extraction, transformation, and reporting
* Support continuous improvement of internal processes and documentation as a champion of principles\-based approaches to design, implementation, and testing
* Share advanced knowledge to support the team as we continue building our data infrastructure over time
**We’re Excited To Learn More About You**
 We’re looking for someone who:
* Can work remotely or from an Applied office
 The position could be an excellent match for a Data Engineer with:
* 3\+ years of experience with Google Big Query for data warehousing
* Experience with GCP (Pub/Sub, Dataflow, Cloud functions, IAM)
* Experience in Looker environments, including performance metrics and monitoring
* Experience with CI/CD pipelines and version control systems (e.g., Git)
* Proficiency in SQL, including stored procedures, windows functions, and query optimization.
* Proficiency in building and maintaining ETL pipelines to process large datasets
* Knowledge of data modeling best practices (star/snowflake schemas, normalization).
* Ability to work cross functionally in an agile, fast paced environment.
* Experience with scripting languages (Python, Bash, etc.); Go experience a plus.
* Proficiency with Kubernetes, Terraform, CI/CD tools (GitHub Actions, Jenkins, etc.)
* Familiarity with CDC tools (Debezium, Kafka, etc.) and data lake architecture
 At a Senior level, we’d be also look for:
* 5\+ years of additional experience with Google Big Query for data warehousing
* Proven impact managing and enhancing Looker environments, including performance metrics and monitoring
* Advanced knowledge of SQL and Python with the proven ability to optimize queries
* Demonstrated ability to address complex problems by proposing solutions based on advanced knowledge of data lake architectures and technical considerations
* 
+ We proudly support and encourage people with military experience, as well as military spouses,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$160,000\.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 and promote regardless of race, religion, color, national origin, sexual orientation, gender identity, disability, age, veteran status, and other protected status as required by applicable law.</t>
        </is>
      </c>
    </row>
    <row r="8">
      <c r="A8" t="inlineStr">
        <is>
          <t>li-4306283458</t>
        </is>
      </c>
      <c r="B8" t="inlineStr">
        <is>
          <t>Data Engineer</t>
        </is>
      </c>
      <c r="C8" t="inlineStr">
        <is>
          <t>Underdog</t>
        </is>
      </c>
      <c r="D8" t="inlineStr">
        <is>
          <t>linkedin</t>
        </is>
      </c>
      <c r="E8" t="inlineStr"/>
      <c r="F8" t="inlineStr"/>
      <c r="G8" t="inlineStr"/>
      <c r="H8" t="inlineStr"/>
      <c r="I8"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As a Data Engineer on the Data Engineering team at Underdog, you’ll focus on building robust data pipelines that empower cross\-functional stakeholders including Marketing, Product, Analytics, and Data Science with reliable, actionable data. You’ll work closely with these teams to understand their data needs and deliver scalable solutions that support their top initiatives and priorities. This role blends hands\-on pipeline development with shaping the future of Underdog’s evolving data platform.
**About The Role**
* You’ll be developing data pipelines and maintaining production quality datasets that support Underdog’s analytics, data science, and marketing teams
* Design, build, and optimize scalable data platform infrastructure to support batch and real\-time data processing and storage in the cloud
* Collaborate with analytics, data scientists, engineers, and other business stakeholders to understand data requirements and translate them into scalable technical solutions
* Implement and maintain monitoring, alerting, and logging mechanisms to ensure the health and performance of the pipelines and platforms
* Perform validation and build data quality checks on production datasets and ensure there are minimal data quality issues
* Communicate continuously about progress, blockers, and resolution steps to all relevant stakeholders
**Who you are**
* 3\+ years of experience building scalable data pipelines in a cloud\-native environment (AWS, GCP, or Azure)
* 2\+ years of experience using dbt, Flink, or Spark for data transformations and BI tools such as Sigma or Looker
* Advanced proficiency with Python and SQL
* Some experience with streaming data infrastructure such as Apache Kafka, Apache Flink, GCP Datastream or AWS Kinesis
* Some familiarity with DevOps practices such as CI/CD pipelines, and infrastructure\-as\-code tools (e.g. Terraform, CDK)
* Strong ownership mindset; you’re focused on delivering results in a fast\-paced, entrepreneurial environment
* A proactive problem solver who finds and implements opportunities to improve systems and processes
* Excellent communication skills, with the ability to influence and collaborate effectively across teams
**Even better if you have**
* Strong interest in sports
* Prior experience in the sports betting industry
* Experience working highly regulated industries and familiarity with data privacy and compliance frameworks (e.g. GDPR, CCPA)
* Knowledge of ML concepts, with some experience in building ML platforms
*Our target starting base salary range for this position is between $135,000 and $165,000, plus pre\-IPO equity. Our comp range reflects the full scale of expected compensation for this role. Offers are calibrated based on experience, skills, impact, and geographies. Most new hires land in the lower half of the band, with the opportunity to advance toward the upper end over time.*
**What we can offer you:**
* Unlimited PTO (we're extremely flexible with the exception of the first few weeks before \&amp; into the NFL season)
* 16 weeks of fully paid parental leave
* Home office stipend
* A connected virtual 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9">
      <c r="A9" t="inlineStr">
        <is>
          <t>li-4325091553</t>
        </is>
      </c>
      <c r="B9" t="inlineStr">
        <is>
          <t>Data Engineer, Supply Chain and Data Warehouse</t>
        </is>
      </c>
      <c r="C9" t="inlineStr">
        <is>
          <t>evo</t>
        </is>
      </c>
      <c r="D9" t="inlineStr">
        <is>
          <t>linkedin</t>
        </is>
      </c>
      <c r="E9" t="inlineStr"/>
      <c r="F9" t="inlineStr"/>
      <c r="G9" t="inlineStr">
        <is>
          <t>Seattle, WA</t>
        </is>
      </c>
      <c r="H9" t="inlineStr"/>
      <c r="I9" t="inlineStr">
        <is>
          <t>Job Type
 Full\-time
**Description**
**evo Purpose:** 
 To make life better by building community and igniting the adventurous spirit that lives within us all. evo is leading multi\-channel retail brand that stands at the intersection of community, commerce, action sports and the outdoor lifestyle. This is personified by a distinctly curated product assortment and a creative approach to crafting highly differentiated customer experiences. We define success differently than most. Balancing our goals of (1\) building an iconic brand and business (2\) creating an extraordinary place and path for our employees and (3\) leveraging our success to give back, helping to empower underprivileged children is paramount to evos success. We have a passion for community, sports and lifestyle, and a collective hunger when it comes to building a great company together.
**The Job**
 The Data Engineer is responsible for designing, implementing, and maintaining data feeds that power various aspects of our business, including our e\-commerce website, merchandising systems, order processing, and warehouse management. This position works closely with other developers, data engineers, and external vendors to ensure the availability, accessibility, and accuracy of critical data. The primary goal of this role is to enable all stakeholders to make informed, data\-driven decisions by creating and supporting ETL pipelines, data models, and data connections.
**The Perks**
* 100% paid health dental and vision\*
* Paid vacation time\*, sick leave, 40 hours volunteer paid time off
* Paid parental leave for birthing \&amp; non birthing parents
* Retail quarterly bonus program, profit share program\* and long\-term compensation program
* 401k matching
* Employee discount and access to pro deals on most the products we sell
* NGEY (New Gear Every Year): a new ski or snowboard setup to use for the season\*
* Bike finance program and bike stipend
* Time together outside, volunteer activities, community events, ride days and annual retreat
* Flexible work schedules, remote work for eligible roles, and dog friendly offices
* Career pathing, leadership development, network development, training and performance feedback
*Note: Availability of the benefits and perks may be subject to your location, tenure and employment type. The Company reserves the right to alter these benefits and perks in whole or in part at any time.*
* Benefit not eligible for seasonal employees
**The Opportunity**
* Create, optimize, and maintain ETL (Extract, Transform, Load) pipelines for various data sources, including Warehouse Management Systems, Shopify, NetSuite, and more.
* Design and support data models, including tabular models used company\-wide, supply chain data models, and warehouse automation/optimization models.
* Maintain daily reports and automate report delivery, via multiple channels, to relevant stakeholders.
* Ensure seamless data connections between our website and backend systems, including product SKU information, inventory data, discounts, and more.
* Collaborate with external vendors for design, user experience, and development as needed to deliver solutions.
* Engage in proactive communication with team members and the broader organization to facilitate agile development and decision\-making processes.
* Other duties as assigned.
**Requirements**
**The Must Haves**
* At least 4 years related work experience.
* Intermediate to advanced programming skills with MS SQL Server T\-SQL and Python are required.
* Experience with ETL, Report Development with Business Intelligence systems, (MSFT BI Stack (SSIS, SSRS, SSAS), Power BI etc.)
* Proficient with warehouse operations data across receiving, picking, packing, and shipping processes, in a distribution or e\-commerce environment.
* Familiarity with NetSuite schema, tooling and integration workflows.
* Must be customer service\-oriented with the ability to learn quickly, be resourceful/flexible, and exercise sound judgment.
* Must demonstrate excellent communication skills and patience verbally, in writing and interpersonally to inspire and build trust.
* Must be able to handle high pressure/emergency response situations.
* You love to tackle new problems and learn new skills along the way.
* Microsoft Office: Proficient
* Embodies, honors, and lives our core values: The Great 8
**The Nice to Haves**
* Experience with compute and storage solutions in Azure.
* MySQL, C, Java, AI/ML skills.
*At evo, we are working to build and nurture a culture where equity, inclusivity, and compassion are inherent to how we operate and evolve. We recognize and value the uniqueness of each individual's experiences and understand the power in the diversity of ideas and opinions. Guided by our values and mission to promote more inclusive outdoor spaces, we are working to develop a team that is equally representative of the community we hope to build.*
*While there is more work to be done, we are in the process of evolving our toolset. We are committed to providing the space, support, and resources necessary for each individual to feel heard and valued. If you are interested in contributing your unique voice to our journey, we welcome you to apply!*
*evo is an equal opportunity employer. We believe the participation of individuals of diverse ages, races, religions, cultures, abilities and personalities will add to personal development and organizational success. All employees and potential employees will be recruited, selected, trained, and promoted without regard to sex, sexual orientation, race, religion, marital or military status, age, national origin, color, the presence of any mental, physical, or sensory disability, genetic information, gender identity, political ideology, or any other basis prohibited by law.*
*The base wage for this role ranges from $81,000\.00/yr to $100,000\.00/yr. Where you land in that range depends on your skills and experience, and we also factor in internal pay equity. While the full range is listed for this role, we rarely hire at the top of the range, leaving room for professional and financial growth in role.*
*At evo, we continually evolve our pay process and total rewards offerings to ensure pay is fair and easy to understand. While every individual's needs are unique, we are proud to offer a benefits package that has been carefully curated to support both your personal life and professional aspirations.*
 Salary Description
 $81,000\.00/yr\-$122,000\.00/yr</t>
        </is>
      </c>
    </row>
    <row r="10">
      <c r="A10" t="inlineStr">
        <is>
          <t>li-4360634975</t>
        </is>
      </c>
      <c r="B10" t="inlineStr">
        <is>
          <t>Data Engineer</t>
        </is>
      </c>
      <c r="C10" t="inlineStr">
        <is>
          <t>Haystack</t>
        </is>
      </c>
      <c r="D10" t="inlineStr">
        <is>
          <t>linkedin</t>
        </is>
      </c>
      <c r="E10" t="inlineStr"/>
      <c r="F10" t="inlineStr"/>
      <c r="G10" t="inlineStr"/>
      <c r="H10" t="inlineStr"/>
      <c r="I10" t="inlineStr">
        <is>
          <t>**Senior Data Engineer \| Dallas, TX \| Hybrid**
 We're working with Goodwin Recruiting on this exciting opportunity.
 Join a fast\-growing consumer financial services company in Plano, TX, as a Senior Data Engineer. This pivotal role involves designing and building robust data pipelines, ensuring data accuracy, and leveraging technologies like SQL, Python, and cloud platforms (AWS, GCP, Azure) to drive critical business insights.
**The Role**
* Design, build, and maintain scalable data pipeline architectures to support business intelligence and reporting.
* Develop high\-quality, maintainable code to solve complex business problems, focusing on data integration from multiple sources.
* Ensure data is well\-structured, accurate, and ready for visualization and analysis using tools like Tableau or Power BI.
* Build and maintain automated reports, dashboards, and data tools that drive decision\-making.
* Promote best practices in data governance, quality, and performance, providing thorough documentation for all data processes.
**What You'll Need**
* 5\+ years of experience in data engineering or related roles.
* Hands\-on experience with SQL (MySQL, MariaDB, or PostgreSQL) and Python.
* Strong understanding of data modeling and data warehousing principles.
* Familiarity with data visualization tools such as Tableau, Power BI, or Looker.
* Foundational knowledge of predictive analytics, statistical modeling, and data mining concepts.
* Understanding of cloud platforms like AWS, GCP, or Azure.
**What's On Offer**
* Competitive benefits package including Medical, Dental, Vision, and company\-paid Life Insurance.
* Generous 401(k) plan with a strong company match.
* Convenient location near Legacy West in Plano, offering a dynamic work environment.
**Apply via Haystack today!**</t>
        </is>
      </c>
    </row>
    <row r="11">
      <c r="A11" t="inlineStr">
        <is>
          <t>li-4351844400</t>
        </is>
      </c>
      <c r="B11" t="inlineStr">
        <is>
          <t>Analytics Engineer</t>
        </is>
      </c>
      <c r="C11" t="inlineStr">
        <is>
          <t>RemoteHunter</t>
        </is>
      </c>
      <c r="D11" t="inlineStr">
        <is>
          <t>linkedin</t>
        </is>
      </c>
      <c r="E11" t="inlineStr"/>
      <c r="F11" t="inlineStr"/>
      <c r="G11" t="inlineStr"/>
      <c r="H11" t="inlineStr"/>
      <c r="I11"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li-4345630298</t>
        </is>
      </c>
      <c r="B12" t="inlineStr">
        <is>
          <t>Data Engineer III</t>
        </is>
      </c>
      <c r="C12" t="inlineStr">
        <is>
          <t>JPMorganChase</t>
        </is>
      </c>
      <c r="D12" t="inlineStr">
        <is>
          <t>linkedin</t>
        </is>
      </c>
      <c r="E12" t="inlineStr"/>
      <c r="F12" t="inlineStr"/>
      <c r="G12" t="inlineStr">
        <is>
          <t>Columbus, OH</t>
        </is>
      </c>
      <c r="H12" t="inlineStr"/>
      <c r="I12" t="inlineStr">
        <is>
          <t>**Job Description**
 This is your chance to change the path of your career and work at one of the world's leading financial institutions.
 As a Python/Java Software Engineer III at JPMorgan Chase within the Consumer \&amp; Community Banking/Data Products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python development experience, including modular coding, creating reusable classes, logging, and testing
* Understand PySpark or distributed data processing frameworks
* Exhibit Proficiency in writing DBT macros, jinja templates, seeds, and custom test cases
* Have Experience with Airflow on MWAA, Astronomer or Kubernetes
* Show Proficiency with Glue jobs, Athena, Cloud watch, and Lambda
* Working knowledge of Terraform for infrastructure automation
* Apply Understanding of Iceberg, Hudi or Delta Lake and their role in data\-lake architecture.
* Possess Ability to query and manage open\-table format datasets.
* Designing and optimizing ETL/ELT pipelines.
* Demonstrate Knowledge of snowflake streams, tasks, roles, and warehouses.
* Utilize Experience with version control like GIT, testing frameworks, and code reviews
**Required Qualifications, Capabilities, And Skills**
* Formal training or certification on software engineering concepts and 3\+ years of applied experience
* Proficiency in Python/Java technology
* Hands\-on practical experience in system design, application development, testing, and operational stability
* Proficient in coding in one or more languages such as Python/Java
* Experience in building solutions using cloud technologies like AWS
* Exposure to message streaming technologies such KAFKA/FLINK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
      <c r="A13" t="inlineStr">
        <is>
          <t>li-4332594541</t>
        </is>
      </c>
      <c r="B13" t="inlineStr">
        <is>
          <t>Big Data Engineer</t>
        </is>
      </c>
      <c r="C13" t="inlineStr">
        <is>
          <t>RemoteHunter</t>
        </is>
      </c>
      <c r="D13" t="inlineStr">
        <is>
          <t>linkedin</t>
        </is>
      </c>
      <c r="E13" t="inlineStr"/>
      <c r="F13" t="inlineStr"/>
      <c r="G13" t="inlineStr"/>
      <c r="H13" t="inlineStr"/>
      <c r="I13" t="inlineStr">
        <is>
          <t>About the Opportunity:
 This team is seeking a seasoned Factory Data Engineer to lead the development of scalable data solutions in a cloud\-native environment. The role involves designing robust data pipelines, optimizing data warehouse performance, and working with in\-house tools to support data operations and management.
 Responsibilities:
 • Create Python, Spark, Perl, Shell Scripting programs to process data sets
 • Maintain existing Python, Spark, Perl, Shell Scripts and C programs
 • Collaborate with cross\-functional teams to understand data requirements and deliver high\-quality solutions
 • Learn and work extensively with in\-house data tools and frameworks, contributing to their enhancement and integration
 • Ensure data quality, governance, and security across all data assets
 • Mentor junior engineers and promote best practices in data engineering
 • Drive performance tuning, cost optimization, and automation of data workflows
 • Participate in Agile ceremonies, code reviews, and technical design discussions
 • Create required documentation and provide interface documentation to other team members on interfaces
 • Follow established SOPs and practices
 • Validate data generated to confirm that desired values are created
 Requirements:
 • Bachelor’s degree or equivalent in computer science
 • Minimum 5 years of experience in Python, Perl, C programming languages
 • Good understanding of Spark and pySpark
 • Good understanding of databases such as Hive, Postgres or Oracle
 • Familiarity with scheduling tools such as Airflow or Control\-M
 • Strong communication skills, ability to write technical documentation and present ideas
 Benefits \&amp; Perks:
 • Paid time off
 • Medical, dental, and vision insurance
 • 401(k) plan
 Compensation:
 • Salary range for this role is $90,000 to $115,000
 • Compensation will depend on factors such as education, experience, skills, location, and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
      <c r="A14" t="inlineStr">
        <is>
          <t>li-4360684167</t>
        </is>
      </c>
      <c r="B14" t="inlineStr">
        <is>
          <t>Data Engineer</t>
        </is>
      </c>
      <c r="C14" t="inlineStr">
        <is>
          <t>Haystack</t>
        </is>
      </c>
      <c r="D14" t="inlineStr">
        <is>
          <t>linkedin</t>
        </is>
      </c>
      <c r="E14" t="inlineStr"/>
      <c r="F14" t="inlineStr"/>
      <c r="G14" t="inlineStr">
        <is>
          <t>Raleigh, NC</t>
        </is>
      </c>
      <c r="H14" t="inlineStr"/>
      <c r="I14" t="inlineStr">
        <is>
          <t>**Data Integration Engineer \| Raleigh, North Carolina \| Hybrid**
 We're working with Enact on this exciting opportunity.
 Join Enact as a Data Integration Engineer and play a pivotal role in enabling secure, scalable, and reliable data movement across our cutting\-edge cloud ecosystem. You'll be instrumental in building and supporting ingestion and integration processes using AWS, Snowflake, and Informatica Intelligent Cloud Services (IICS) as we modernize our data platforms.
**The Role**
* Design, build, and maintain robust data ingestion and integration pipelines between cloud applications leveraging AWS, Snowflake, and IICS.
* Implement and support app\-to\-app integrations, APIs, and cloud data movement patterns across internal and external systems.
* Partner with architects and data engineers to translate functional needs into scalable integration solutions.
* Ensure integration pipelines meet enterprise standards for data quality, security, reliability, and performance.
* Proactively monitor, troubleshoot, and optimize pipelines to identify and resolve issues, supporting data migration and cross\-platform initiatives.
**What You'll Need**
* 5\+ years of hands\-on experience with cloud data integration or data engineering.
* 5\+ years building integrations using AWS services (Lambda, S3, API Gateway, SNS/SQS, EventBridge, DMS, Glue, RDS, Dynamo DB, Step Functions).
* 5\+ years hands\-on experience with IICS (Cloud Data Integration, Cloud Application Integration, mappings, tasks).
* In\-depth experience developing data ingestion and transformation pipelines using Snowflake (stages, tasks, streams, procedures) and strong SQL skills.
* 5\+ years hands\-on experience with CI/CD tools like CodeBuild/CodePipeline or GitHub Actions/GitLab.
**What's On Offer**
* Hybrid work schedule with generous time off and 40 hours of Volunteer Time Off.
* Tuition Reimbursement, Student Loan Repayment, Paid Family Leave, and Flexible Spending Accounts.
* 401k with up to 5% employer match.
* Fitness and Emotional Wellness Reimbursements with an onsite gym.
**Apply via Haystack today!**</t>
        </is>
      </c>
    </row>
    <row r="15">
      <c r="A15" t="inlineStr">
        <is>
          <t>li-4306254607</t>
        </is>
      </c>
      <c r="B15" t="inlineStr">
        <is>
          <t>Senior Data Engineer</t>
        </is>
      </c>
      <c r="C15" t="inlineStr">
        <is>
          <t>SS&amp;C Technologies</t>
        </is>
      </c>
      <c r="D15" t="inlineStr">
        <is>
          <t>linkedin</t>
        </is>
      </c>
      <c r="E15" t="inlineStr"/>
      <c r="F15" t="inlineStr"/>
      <c r="G15" t="inlineStr">
        <is>
          <t>Missouri, United States</t>
        </is>
      </c>
      <c r="H15" t="inlineStr"/>
      <c r="I1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We are seeking a skilled Data Engineer to join our team, focusing on designing, building, and maintaining data infrastructure to support business decision\-making. This role emphasizes data engineering expertise while incorporating elements of data analysis, leveraging tools like GitHub, Kubernetes, and Grafana to ensure high\-quality, accessible data for stakeholders.
**Key Responsibilities:**
* Design, develop, and maintain data infrastructure to collect, store, and process data from various sources.
* Transform raw data into reliable, high\-quality, and accessible formats for use by business stakeholders.
* Use GitHub for version control, collaboration, and documentation of data scripts and infrastructure code.
* Collaborate with cross\-functional teams, including business stakeholders, to understand data requirements and deliver tailored solutions.
* Perform data extraction and transformation using tools like SQL or Python to support analytical needs.
* Develop and maintain documentation for data processes in GitHub repositories to ensure reproducibility.
* Support the creation of reports and dashboards by ensuring data is structured and accessible for visualization tools like Tableau, Power BI, or Grafana.
* Deploy and manage data workflows in Kubernetes clusters to ensure reliability and fault tolerance.
* Utilize Grafana to create and manage monitoring dashboards for data system performance.
**Required Skills and Qualifications:**
* Strong proficiency in SQL and Python for data processing and transformation.
* Experience with data engineering tools such as Airflow or similar.
* Proficiency in using GitHub for version control, code collaboration, and managing data repositories.
* Hands\-on experience with Kubernetes for deploying and managing containerized data applications.
* Proficiency in Grafana for creating and managing dashboards to monitor data systems.
* Knowledge of data architecture principles, including data modeling and ETL processes.
* Strong problem\-solving skills to optimize data processes.
* Effective communication skills to collaborate with technical and non\-technical stakeholders.
* Understanding of data analysis techniques to support business reporting.
**Preferred Qualifications:**
* Experience with visualization tools like Grafana to assist in data delivery.
* Familiarity with data querying to support analytical workflows.
* This role prioritizes data engineering to build and maintain data infrastructure using GitHub, Kubernetes, and Grafana, while supporting analytical tasks to deliver impactful business insights.
***If you are passionate about creating efficient data systems and enabling data\-driven decisions, we encourage you to apply!***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6">
      <c r="A16" t="inlineStr">
        <is>
          <t>li-4304855731</t>
        </is>
      </c>
      <c r="B16" t="inlineStr">
        <is>
          <t>Lead Data Analytics Engineer</t>
        </is>
      </c>
      <c r="C16" t="inlineStr">
        <is>
          <t>LendingClub</t>
        </is>
      </c>
      <c r="D16" t="inlineStr">
        <is>
          <t>linkedin</t>
        </is>
      </c>
      <c r="E16" t="inlineStr"/>
      <c r="F16" t="inlineStr"/>
      <c r="G16" t="inlineStr">
        <is>
          <t>San Francisco, CA</t>
        </is>
      </c>
      <c r="H16" t="inlineStr"/>
      <c r="I16" t="inlineStr">
        <is>
          <t>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Our mission at LendingClub is to empower those who strive to achieve better financial health. The Big Data Analytics Platform team plays a crucial role in achieving our mission. We are seeking a Lead Data Analytics Engineer for our Analytics Platform to help onboard customers onto our warehouse and data marts. In our data and analytics team you will have the opportunity to understand business use cases and help them map these to our modern data and analytics stack. We have PB scale data and intend to provide lead edge products. You will enable our business teams to leverage modern cloud native stack to take business decisions to enable LendingClub to be a data driven company.
 What You'll Do
* You will work closely with business teams to help them start to use our modern data and analytics stack. You will work with business analyst to help them query data on an ad\-hoc basis
* You will take ad\-hoc business use cases and analyze the data warehouse and marts to enable business be data driven by helping them discover new insights
* You will understand LendingClub’s data usage, and deliver optimal data analysis
* You will identify, design, and implement internal process improvements: automating manual processes, optimizing data delivery, reduce Cloud cost, etc.
* You will work with stakeholders including the Business, Product, Program and Engineering teams to deliver required data in time with high quality at reasonable cost
* You will build and maintain robust, reusable, and well\-documented data transformation pipelines using dbt, ensuring data models are version\-controlled, tested, and easily understood across teams.
* You will work with technologies such as Snowflake, Tableau, Spark, Kafka, Presto etc. and cloud technologies across AWS stack
* Implement processes to validate and monitor data quality and support operations to manage the production environment and lead in resolving production issues with RCA
* Identify, design, and implement automated processes, optimizing analytics, re\-designing infrastructure for greater scalability, etc.
* You will work closely with Quality Engineers, and lead products across all data use cases.
**About You**
* 8\+ years’ experience and bachelor's degree in computer science or a related field; or equivalent work experience
* 8\+ years of solid professional experience as a data analyst using data warehouses, and marts
* 7\+ years of solid production quality data analyst (Sql) helping business be data driven
* Hands\-on experience developing and managing data models in dbt, including version control, testing, documentation, and deployment best practices.
* In\-depth working experience of distributed systems distributed database with cloud experience. Working with Spark, Hive, Kafka, Airflow is a strong plus. Familiarity with Snowflake is a plus
* 6\+ years of experience with OLTP and OLAP use cases at scale
* Experience working with public cloud platforms, preferably AWS
* Familiar with Agile methodology, test\-driven development, source control management and automated testing
* Experience supporting and working with cross\-functional teams in a dynamic environment
* Experience with technical leadership of products and teams
* You’re passionate about Big Data Analytics, Cloud, and transforming business to be data driven
* You have excellent listening skills and are empathetic to others
* You believe in simple and elegant solutions and give paramount importance to quality
* Passionate with good understanding of data, with a focus on having fun, while delivering incredible business results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190,000\-217,000\.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17">
      <c r="A17" t="inlineStr">
        <is>
          <t>li-4345384438</t>
        </is>
      </c>
      <c r="B17" t="inlineStr">
        <is>
          <t>Senior Analytics Engineer</t>
        </is>
      </c>
      <c r="C17" t="inlineStr">
        <is>
          <t>RemoteHunter</t>
        </is>
      </c>
      <c r="D17" t="inlineStr">
        <is>
          <t>linkedin</t>
        </is>
      </c>
      <c r="E17" t="inlineStr"/>
      <c r="F17" t="inlineStr"/>
      <c r="G17" t="inlineStr"/>
      <c r="H17" t="inlineStr"/>
      <c r="I17"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li-4360634613</t>
        </is>
      </c>
      <c r="B18" t="inlineStr">
        <is>
          <t>Senior Data Engineer (Python, SQL, AWS)</t>
        </is>
      </c>
      <c r="C18" t="inlineStr">
        <is>
          <t>Capital One</t>
        </is>
      </c>
      <c r="D18" t="inlineStr">
        <is>
          <t>linkedin</t>
        </is>
      </c>
      <c r="E18" t="inlineStr"/>
      <c r="F18" t="inlineStr"/>
      <c r="G18" t="inlineStr">
        <is>
          <t>McLean, VA</t>
        </is>
      </c>
      <c r="H18" t="inlineStr"/>
      <c r="I1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li-4334800170</t>
        </is>
      </c>
      <c r="B19" t="inlineStr">
        <is>
          <t>Senior Data Architect / Senior Data Engineer</t>
        </is>
      </c>
      <c r="C19" t="inlineStr">
        <is>
          <t>WTW</t>
        </is>
      </c>
      <c r="D19" t="inlineStr">
        <is>
          <t>linkedin</t>
        </is>
      </c>
      <c r="E19" t="inlineStr"/>
      <c r="F19" t="inlineStr"/>
      <c r="G19" t="inlineStr">
        <is>
          <t>Atlanta, GA</t>
        </is>
      </c>
      <c r="H19" t="inlineStr"/>
      <c r="I19" t="inlineStr">
        <is>
          <t>**Description**
 As a Central Data Architect, you will play a critical role in empowering and accelerating Line of Business (LOB) data teams by providing clear, scalable, and actionable architectural guidance. Partnering closely with the Enterprise Data Architect, you will define and promote foundational data architecture patterns that enable LOB teams to move faster with confidence, while maintaining alignment with enterprise standards.
 Your mission is to bridge strategic architecture with practical implementation, ensuring LOB teams can rapidly design, build, and scale cloud\-native data solutions, especially Microsoft Azure and Microsoft Fabric, without reinventing the wheel. You will act as a trusted advisor and enabler, helping federated teams adopt best practices, leverage reusable assets, and navigate architectural decisions that drive consistency, innovation, and speed across WTW’s data ecosystem.
 This role is pivotal in fostering a federated data model that balances autonomy with alignment, enabling LOB teams to deliver business value faster while contributing to a cohesive enterprise data strategy.
**The Role**
* Develop and maintain enterprise\-wide data architecture standards, patterns, and best practices aligned with WTW’s “common as possible, distinct as necessary” philosophy.
* Collaborate with embedded data teams to educate, guide, and support the adoption of centralized data architecture strategies.
* Work closely with business and technical teams to provide architectural guidance on data management, data quality, metadata management, and data lineage, ensuring alignment with enterprise data principles and cloud\-native design patterns.
* Lead the creation of conceptual and reference architecture designs that support scalable, secure, and compliant data solutions.
* Contribute to the evolution of WTW’s data platform strategy, including the use of Microsoft Fabric, Azure Synapse, and other modern data services.
* Support the migration of legacy on\-premises data systems to cloud\-native architectures.
* Document and communicate architectural decisions, trade\-offs, and implementation guidance in a clear and consumable format.
* Assist in understanding compliance requirements with respect to data security, privacy, and regulatory requirements across all data solutions.
* Evaluate and recommend tools, technologies, and platforms to support enterprise data initiatives.
* Participate in architecture reviews, design sessions, and governance forums to ensure architectural integrity and alignment.
**Note: Employment\-based non\-immigrant visa sponsorship and/or assistance is not offered for this specific job opportunity.**
**Qualifications**
**The Requirements**
* Substantial experience in data architecture and data engineering, with a strong focus on cloud\-native solutions.
* Solid experience that focused specifically in data architecture roles, ideally within large, federated organizations.
* Deep expertise in Microsoft Azure data services (e.g., Azure Data Factory, Synapse, Data Lake, SQL DB) and Microsoft Fabric.
* Strong understanding of the software development lifecycle (SDLC) and DevOps practices, including CI/CD pipelines using Azure DevOps.
* Demonstrated experience designing and implementing scalable, secure, and performant data solutions in cloud environments.
* Proficiency in data modeling techniques (e.g., dimensional, normalized, data vault) and the ability to apply them appropriately.
* Working experience with modern data architecture paradigms such as Data Mesh, Data Lakehouse, and Event\-Driven architecture.
* Excellent communication and interpersonal skills, with a proven ability to influence and collaborate across diverse teams.
* Strong documentation skills and a passion for sharing knowledge.
* Familiarity with data governance, compliance, and data residency considerations.
* WTW core competencies: Customer Focus, Problem Solving, Action Oriented, Strategic Agility, Results Focus, and Organizing \&amp; Planning.
* Preferred Qualifications
+ Microsoft Certified: Azure Solutions Architect Expert or Microsoft Fabric Analytics Engineer Associate.
+ Experience working in a federated data architecture model.
+ Experience with enterprise data strategy development and implementation.
+ Past work with multi\-cloud or hybrid cloud data architectures.
+ Familiarity with WTW’s internal data architecture frameworks and tooling is a plus.
**Compensation And Benefits**
 Base salary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(Producer roles only).
**Company Benefits**
 WTW provides a competitive benefit package which includes the following (eligibility requirements apply):
*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
* Leave Benefits: Paid Holidays, Annual Paid Time Off (includes state/local paid leave where required), Short\-Term Disability, Long\-Term Disability, Other Leaves (e.g., Bereavement, FMLA, ADA, Jury Duty, Military Leave, and Parental and Adoption Leave), Paid Time Off (only included for Washington roles)
* Retirement Benefits: Qualified contributory pension plan (if eligible) and 401(k) plan with annual nonelective company contribution. Non\-qualified retirement plans available to senior level colleagues who satisfy the plans’ eligibility requirements.
 Pursuant to the San Francisco Fair Chance Ordinance and Los Angeles County Fair Chance Ordinance for Employers, we will consider for employment qualified applicants with arrest and conviction records.
**EOE, including disability/vets**</t>
        </is>
      </c>
    </row>
    <row r="20">
      <c r="A20" t="inlineStr">
        <is>
          <t>li-4360610332</t>
        </is>
      </c>
      <c r="B20" t="inlineStr">
        <is>
          <t>Principal Advanced Analytics Engineer</t>
        </is>
      </c>
      <c r="C20" t="inlineStr">
        <is>
          <t>NVR, Inc.</t>
        </is>
      </c>
      <c r="D20" t="inlineStr">
        <is>
          <t>linkedin</t>
        </is>
      </c>
      <c r="E20" t="inlineStr"/>
      <c r="F20" t="inlineStr"/>
      <c r="G20" t="inlineStr">
        <is>
          <t>Reston, VA</t>
        </is>
      </c>
      <c r="H20" t="inlineStr"/>
      <c r="I20" t="inlineStr">
        <is>
          <t>**NVR, Inc. is seeking a Principal Advanced Analytics Engineer to work on\-site in Reston, VA.**
 NVR’s technology teams thrive on providing multiple business lines with tools and cutting\-edge technologies that support NVR’s mission to create a better living experience for our customers. Join NVR Technology and be part of a collaborative team that welcomes innovation, encourages continuous learning, and helps you achieve your career goals.
**Summary**
 NVR is accelerating its enterprise AI strategy. As our Principal Advanced Analytics Engineer, you will set technical standards and lead the end\-to\-end design, development, and productionization of Microsoft\-based AI, ML, and BI solutions. You will partner with business leaders and engineering teams to turn complex data into actionable decisions while mentoring engineers, championing responsible AI, and consistently delivering outstanding customer service.
**Key Job Responsibilities**
* Work with business stakeholders and senior technology leaders to design and implement AI/ML predictive and prescriptive models, ensuring business fit and technical viability.
* Define and enforce engineering standards, design patterns, and quality checks for advanced analytics.
* Implement CI/CD for ML, including model versioning, automated testing, monitoring, drift detection, and retraining using Fabric \+ Azure ML.
* Ensure Responsible AI practices: fairness, bias detection, explainability, and compliance.
* Design enterprise data models (dimensional/star schemas) supporting BI and Data Agents.
* Collaborate with analytics and insights teams to deliver efficient and reliable data solutions.
* Ensure data security, access control, lineage, and adherence to corporate standards and privacy regulations.
* Research new and evolving ML, AI, and BI capabilities and introduce them to the team and users.
* Mentor Data Analytics Engineers on problem\-solving, best practices, and career growth.
**Job Qualifications**
**Must\-Have Qualifications**
* 8\+ years in data engineering/analytics roles, with at least 3 years in ML/AI solution architecture.
* Effective communication, customer service, and engagement skills.
* Advanced skills in Microsoft Analytics Toolset (Fabric, Azure ML, Azure Synapse, Azure ADF, Power BI, Lakehouse, Warehouse, Notebooks, Pipelines, Dataflows, Spark, Python).
* Experience training, validating, and deploying predictive and generative AI models (LLMs) with Fabric \+ Azure ML.
* Skilled in dimensional/star schema data model design for use by Data Agents and BI applications.
* Hands\-on experience with CI/CD for ML, model versioning, monitoring, and retraining using Fabric/Azure ML.
* Experience ensuring data security, lineage, access control, and compliance with corporate standards and privacy regulations.
**Nice\-to\-Have Qualifications (Preferred)**
* Experience with Power BI and semantic models.
* Knowledge of fairness, bias detection, explainability, and AI compliance.
* Performance tuning for Spark workloads and cost optimization in Fabric/Azure.
* BS/MS in Computer Science, Data Science, Engineering, or equivalent experience.
**Life at NVR**
 As the parent company of
 **Ryan Homes** 
 ,
 **NVHomes** 
 and
 **Heartland Homes** 
 , NVR is committed to your success and we will give you the tools, training, and industry knowledge you need to excel and thrive. Our management team is tenured and talented, nearly 80% of them promoted from within, so you will have mentors who can share their knowledge and provide career guidance and encouragement.
 NVR offers traditional benefits, among the best in the industry. In addition, we offer all employees stock ownership through a profit sharing trust as part of our retirement savings package. NVR has had the highest Earnings Per Share growth rate in the homebuilding industry for the past 10 years, so as we grow financially, so do you!
**View more about our exceptional culture and comprehensive benefits at** 
**https://www.nvrcareers.com/** 
**.**
 We are an Equal Opportunity Employer.
 Drug Testing and Credit Check are required.
 Applicants must be legally entitled to work in the United States, as NVR does not provide visa sponsorship.</t>
        </is>
      </c>
    </row>
    <row r="21">
      <c r="A21" t="inlineStr">
        <is>
          <t>li-4347621588</t>
        </is>
      </c>
      <c r="B21" t="inlineStr">
        <is>
          <t>Senior Data Engineer</t>
        </is>
      </c>
      <c r="C21" t="inlineStr">
        <is>
          <t>Carex Consulting Group</t>
        </is>
      </c>
      <c r="D21" t="inlineStr">
        <is>
          <t>linkedin</t>
        </is>
      </c>
      <c r="E21" t="inlineStr"/>
      <c r="F21" t="inlineStr"/>
      <c r="G21" t="inlineStr">
        <is>
          <t>Madison, WI</t>
        </is>
      </c>
      <c r="H21" t="inlineStr"/>
      <c r="I21" t="inlineStr">
        <is>
          <t>W2 only, no C2C, must be authorized to work in the US (both now and in the future).
 Senior Data Engineer (Direct Hire) \- Hybrid in Madison, WI. Apply now for this opportunity at Carex!
**Carex is partnering with an Insurance industry partner** 
 to find a highly skilled
 **Senior Data Engineer** 
 . This direct hire, hybrid role in Madison, WI offers the opportunity to work in an Agile environment alongside cross\-functional teams to design and optimize data architecture, drive innovation in data pipeline development, and support data\-driven decision\-making across the organization.
**Summary**
 The Senior Data Engineer plays a pivotal role in designing, building, and maintaining scalable and reliable data infrastructure. This position supports development teams, analysts, and data scientists by creating solutions that enable efficient data access and transformation. The role includes mentoring junior engineers, contributing to the company’s data architecture strategy, and ensuring compliance with best practices in cloud infrastructure and data governance.
 What You'll Do
* Design, build, and manage scalable data pipelines using AWS services such as Glue, Lambda, EC2, S3, Redshift, and Delta Lake.
* Develop and deploy infrastructure as code (IaC) using Terraform to automate and manage cloud\-based data services.
* Collaborate with cross\-functional teams to gather requirements and translate them into efficient data solutions.
* Implement and optimize data flow and architecture to support data analytics, reporting, and business intelligence efforts.
* Build analytics tools and solutions to drive business insights and decision\-making.
* Participate in the continuous integration and continuous deployment (CI/CD) process.
* Maintain existing systems through regular updates, troubleshooting, and performance optimization.
* Contribute to Agile development cycles, including sprint planning, reviews, and retrospectives.
* Provide technical mentorship and participate in code reviews to maintain high\-quality development standards.
* Support and troubleshoot issues in production systems, including off\-hours support when required.
* Ensure compliance with security and privacy standards in all data handling and processing.
 What You'll Bring
* 5\+ years of experience developing in Python and building scalable data pipelines.
* 3\+ years of hands\-on experience with AWS data\-focused services and infrastructure as code (IaC) practices.
* Expertise in PySpark, Terraform (including modules), and AWS services such as Glue, Lambda, RDS, Redshift, DynamoDB, Athena, and S3\.
* Strong understanding of CI/CD practices and version control using GitHub or similar tools.
* Familiarity with microservices, stream processing, message queuing, and scalable storage solutions.
* Proven ability to extract, manipulate, and transform large data sets for business insights.
* Experience applying Agile methodologies (Scrum/Kanban, Test\-Driven Development) in a collaborative setting.
* Strong communication and organizational skills, with the ability to mentor peers and articulate complex solutions.
* Bachelor’s degree in Computer Science, Information Systems, or a related field preferred.
* AWS certifications (e.g., AWS Certified Data Analytics – Specialty) are a plus.
 Carex Consulting Group is an equal opportunity employer. We are committed to equal employment opportunity regardless of race, color, ancestry, religion, sex, national origin, sexual orientation, age, marital status, disability, gender identity, or Veteran status.</t>
        </is>
      </c>
    </row>
    <row r="22">
      <c r="A22" t="inlineStr">
        <is>
          <t>li-4328490290</t>
        </is>
      </c>
      <c r="B22" t="inlineStr">
        <is>
          <t>Solutions Architect/Data Engineer</t>
        </is>
      </c>
      <c r="C22" t="inlineStr">
        <is>
          <t>General Dynamics Information Technology</t>
        </is>
      </c>
      <c r="D22" t="inlineStr">
        <is>
          <t>linkedin</t>
        </is>
      </c>
      <c r="E22" t="inlineStr"/>
      <c r="F22" t="inlineStr"/>
      <c r="G22" t="inlineStr"/>
      <c r="H22" t="inlineStr"/>
      <c r="I22" t="inlineStr">
        <is>
          <t>****Job Description:****
**Type of Requisition:**
 Regular
****Clearance Level Must Currently Possess:****
 None
****Clearance Level Must Be Able To Obtain:****
 None
****Public Trust/Other Required:****
 MBI (T2\)
****Job Family:****
 IT Infrastructure and Operations
****Skills:****
**Job Qualifications:**
 Data Analysis, Kubernetes, Solution Architecture
****Certifications:****
 None
****Experience:****
 8 \+ years of related experience
****US Citizenship Required:****
 No
****Job Description:****
 Position Description:
 The Solutions Architect/Data Engineer will implement complex systems to meet the current and future needs of a federal agency in Washington, DC. Works closely with stakeholders to ensure IT systems are efficient, secure and compliant with industry standards. The identified candidate will also perform engineering work associated with the design, development, maintenance, and testing of infrastructures for data generation as well as optimizing data flow and collection for cross functional teams.
 Position Duties:
* Provides enterprise\-level technical design and support to leadership to align IT systems and data solutions with organizational goals.
* Develops and maintains scalable, secure, and integrated system architectures across cloud and on\-premises platforms.
* Bridges business needs and technology capabilities to guide complex solution development and implementation.
* Leverages expertise in SQL, Python, ETL automation, data pipelines, and cloud platforms (AWS, Azure).
* Apply best practices in system integration, data governance, cybersecurity, and enterprise frameworks (e.g., TOGAF, Zachman).
* Designs, develops, and implements methods, processes and systems to consolidate and analyze diverse data sets, both structured and unstructured.
* Proficient in building infrastructure pipelines required for optimal extraction, transformation, and loading of data from a wide variety of data sources.
 Qualifications:
* Requires a BA/BS degree in a related discipline and at least 8 years of experience in solution architecture/data engineering.
* Strong experience in Kubernetes orchestration for scalable deployment environments.
* Expertise in software development, preferably using Python.
* Knowledge of machine learning model deployment practices.
* Familiarity with ML orchestration tools (e.g., Kubeflow, MLflow, Airflow, SageMaker, or similar).
* Experience with infrastructure\-as\-code using Terraform, and OpenTofu.
* Proficiency with GitLab for source control, CI/CD, and DevOps workflows.
* Hands\-on experience with Ansible for configuration management and automated provisioning.
* Experience with Databricks for large\-scale data engineering, ML workflows, and collaborative analytics.
* Certificate in Kubernetes administration and/or machine learning certification, a plus.
 Additional Requirements:
* This position requires an existing Public Trust or the ability to obtain one.
* This position is 100%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an enterprise IT career at GDIT and you’ll find endless opportunities to grow alongside colleagues who share your desire to drive operations forward.
 The likely salary range for this position is $142,792 \- $184,000\.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3">
      <c r="A23" t="inlineStr">
        <is>
          <t>li-4316024999</t>
        </is>
      </c>
      <c r="B23" t="inlineStr">
        <is>
          <t>Mission Analytics Engineer</t>
        </is>
      </c>
      <c r="C23" t="inlineStr">
        <is>
          <t>Anduril Industries</t>
        </is>
      </c>
      <c r="D23" t="inlineStr">
        <is>
          <t>linkedin</t>
        </is>
      </c>
      <c r="E23" t="inlineStr"/>
      <c r="F23" t="inlineStr"/>
      <c r="G23" t="inlineStr">
        <is>
          <t>Irvine, CA</t>
        </is>
      </c>
      <c r="H23" t="inlineStr"/>
      <c r="I2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We build robots that find other robots and knock them out of the sky. At a time when air superiority can no longer be taken for granted, the Air Defense (AD)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Role**
 We are looking for a well\-rounded Senior Analytics Engineer to support our Air Defense team. In this role, you will design and maintain data systems to ingest and transform structured, semistructured, and unstructured data, creating robust and efficient data models that deliver actionable insights. You will collaborate with stakeholders to gather requirements and implement secure, reliable analytics solutions, focusing on supporting a variety of data applications.
 You will work with engineering and field operations teams to better understand how our family of systems and capabilities performs in production (both in and out of classified environments). Additionally, you will support operational teams by building out data products to support operational workflows. Ensuring data quality and performing root cause analysis on complex systems will be key, as will deploying mission\-critical analytics solutions with occasional travel to build, test, and deploy capabilities in real\-world scenarios.
**What You'll Do**
* Help lead the development and maintenance of data systems architecture that enable high quality, low latency data ingestion across many different source systems and transformation for downstream data products and operational workflows.
* Collaborate with stakeholders to collect requirements and write code for secure, timely, accurate, trusted, and extensible data models.
* Become a trusted partner to AD’s leadership by creating reusable entities that generalize how our division operates and building both deployment\- and business\-related workflows, dashboards, and metrics that drive better and faster decision\-making.
* Develop and deliver analytics solutions for evolving problems in network\-isolated and classified environments.
* Help empower users to leverage the aforementioned data architecture to self\-serve through enablement \&amp; knowledge\-transfer, as well as improving the developer/end\-user experience.
**Required Qualifications**
* 6\+ years of experience in an analytics\-focused or data\-oriented role (e.g., data engineer, analytics engineer, data scientist, backend software engineer).
* Exceptional general problem\-solving and critical\-thinking skills, bringing to bear technical solutions to ambiguous and dynamic data problems.
+ Proficiency designing scalable and adaptable logical and physical data models that facilitate both future product evolution and analytical requirements
+ Strong skills in performing data\-driven root cause analysis on complex systems.
* Excellent written and verbal communication skills, especially when communicating with a technical audience; an affection for documentation.
+ Ability to drive consensus across internal and external stakeholders, with demonstrated experience leading through influence.
* Comfortable navigating a polyglot ecosystem and a proven ability to quickly understand established code bases and operate at different levels of abstraction.
+ Procedural fluency in writing, debugging, profiling, testing, and maintaining performant Python and SQL code.
+ Experience writing another language (e.g., JavaScript/TypeScript, Go, Java, Scala, Haskell, OCaml, Julia, etc.).
* Proficiency in building end\-to\-end, scalable data solutions (including the steps for beyond implementation such as enablement, support, integrations, etc.) in a cloud setting.
+ Experience writing pipelines with common orchestration tooling (e.g., Flyte, Airflow, Dagster, etc.).
+ Experience with DevOps and software deployment: containerization \&amp; container orchestration (e.g., Docker, Kubernetes, Helm, etc.), GitOps \&amp; CI/CD tooling (e.g., CircleCI, ArgoCD, etc.), observability/monitoring (e.g., DataDog, Grafana, etc.)
+ Experience with infrastructure\-as\-code (e.g., Terraform), core\- and data\-related cloud services (e.g., AWS, Azure).
+ Experience writing and working with microservices architectures (e.g., gRPC \+ protocol buffers).
* Ability to obtain and maintain a U.S. Department of Defense (DOD) Secret Clearance or higher.
**Preferred Qualifications**
* Ability to comprehend and appropriately modify software written in a systems or lower\-level language such as C/C\+\+, Zig, Rust, etc.
* Experience with setting up and managing infrastructure to support analytical workloads on\-premises or in resource\-constrained environments.
* Experience delivering and maintaining systems that securely egress data from air\-gapped and security\-hardened networks.
* Experience working with data formats (e.g. MCAP, HDF5, etc.) relatively common to robotics.
* Experience with dbt, Palantir Foundry, Trino/Presto, Apache Spark, Apache Kafka, Apache Flink, and/or in\-memory databases (e.g., DuckDB, Polars).
* Experience with the Nix (dependency management \&amp; system configuration) ecosystem.
* Strong Linux fundamentals.
* Exposure to the the technical, programmatic, and operational challenges of developing and deploying autonomous weapon systems across command echelons.
* Deep intellectual interest in the intersection of analytics and the physical hardware world, motivated by Anduril’s mission.
* Prior defense, aerospace, or intelligence domain experience.
 US Salary Range
 $146,000—$194,000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4">
      <c r="A24" t="inlineStr">
        <is>
          <t>li-4359965967</t>
        </is>
      </c>
      <c r="B24" t="inlineStr">
        <is>
          <t>Distinguished Data Engineer - Card Data</t>
        </is>
      </c>
      <c r="C24" t="inlineStr">
        <is>
          <t>Capital One</t>
        </is>
      </c>
      <c r="D24" t="inlineStr">
        <is>
          <t>linkedin</t>
        </is>
      </c>
      <c r="E24" t="inlineStr"/>
      <c r="F24" t="inlineStr"/>
      <c r="G24" t="inlineStr">
        <is>
          <t>New York, NY</t>
        </is>
      </c>
      <c r="H24" t="inlineStr"/>
      <c r="I24"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Distinguished Data Engineer
 McLean, VA: $269,100 \- $307,200 for Distinguished Data Engineer
 New York, NY: $293,600 \- $335,100 for Distinguished Data Engineer
 Richmond, VA: $244,700 \- $279,200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li-4275007371</t>
        </is>
      </c>
      <c r="B25" t="inlineStr">
        <is>
          <t>Manager, BI + Analytics Engineer</t>
        </is>
      </c>
      <c r="C25" t="inlineStr">
        <is>
          <t>Peregrine</t>
        </is>
      </c>
      <c r="D25" t="inlineStr">
        <is>
          <t>linkedin</t>
        </is>
      </c>
      <c r="E25" t="inlineStr"/>
      <c r="F25" t="inlineStr"/>
      <c r="G25" t="inlineStr">
        <is>
          <t>San Francisco, CA</t>
        </is>
      </c>
      <c r="H25" t="inlineStr"/>
      <c r="I25"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**The Role**
 As Peregrine’s Manager, BI \+ Analytics Engineer, you’ll play a foundational role in shaping how data is modeled, accessed, and used across the company. You will own the architecture and execution of our internal analytics stack, partnering closely with stakeholders across Product, Sales, Finance, and Operations to turn raw data into insight and insight into action.
 This is a highly cross\-functional and high\-visibility role — you’ll work directly with leaders across the business to define KPIs, automate workflows, and level up our data infrastructure. If you're a hands\-on builder who thrives in ambiguity, loves translating business questions into clean data pipelines, and wants to shape the future of data at a mission\-driven company, we want to hear from you.
 What You'll Do
* Own and scale our data warehouse to support a fast\-growing Go\-To\-Market and product ecosystem
* Build and maintain ETL pipelines using dbt to integrate data from tools, apps, and third\-party platforms
* Design clean, reusable data models that power reporting across Sales, Marketing, Product, and Finance
* Create dashboards and analysis that uncover trends in revenue, product usage, and customer behavior
* Set up data quality checks and alerts to ensure accurate, timely, and trustworthy data
* Support planning and forecasting by partnering with teams to define KPIs and build forward\-looking models
 What We Look For
* 4\+ years of experience as a BI Engineer, Analytics Engineer, or Data Engineer in a fast\-growing tech environment
* Strong command of SQL and data modeling best practices
* Proficiency in dbt, modern data warehouses (Snowflake/BigQuery), and orchestration tools (Airflow, Prefect)
* Experience with BI tools such as Looker, Hex, Mode, Sigma, or similar
* Strong product and business sense — you know how to balance technical purity with speed, scalability, and impact
* Comfort working autonomously and owning projects end\-to\-end
* Excellent communication skills with an ability to translate complex concepts to non\-technical audiences
* Located in San Francisco, CA and willing to work in our headquarters
*Salary Range: $150,000 \- $180,000 Annually \+ Benefits \+ Equity (if applicable) \+ Bonus (if applicable)
 Actual compensation is influenced by a wide array of factors including but not limited to skill set, level of experience, and specific work location. Information on the benefits offered is here.*
**Pursuant to the San Francisco Fair Chance Ordinance, we will consider for employment qualified applicants with arrest and conviction records.**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26">
      <c r="A26" t="inlineStr">
        <is>
          <t>li-4321262739</t>
        </is>
      </c>
      <c r="B26" t="inlineStr">
        <is>
          <t>GCP BQ Data Engineer</t>
        </is>
      </c>
      <c r="C26" t="inlineStr">
        <is>
          <t>Tata Consultancy Services</t>
        </is>
      </c>
      <c r="D26" t="inlineStr">
        <is>
          <t>linkedin</t>
        </is>
      </c>
      <c r="E26" t="inlineStr"/>
      <c r="F26" t="inlineStr"/>
      <c r="G26" t="inlineStr">
        <is>
          <t>Denver, CO</t>
        </is>
      </c>
      <c r="H26" t="inlineStr"/>
      <c r="I26" t="inlineStr">
        <is>
          <t>**Job Description**
 Must Have Technical/Functional Skills
* Experience: 8\-15 years in software development, with 1\-5 years focused on GCP.
* Languages: Proficiency in Python.
* GCP Services: Hands\-on experience with GKE, Cloud Run, Cloud Functions, Cloud SQL, Cloud Storage, Pub/Sub, BigQuery, IAM.
* Infrastructure as Code: Strong experience with Terraform.
* Experience with Google Gemini AI, Vertex AI API, Google Agent Development Kit (ADK) or any Agent development is a plus.
* CI/CD: Experience with Cloud Build or similar CI/CD tools.
* Containerization: Docker and Kubernetes fundamentals.
* Databases: SQL proficiency and experience with relational or NoSQL databases.
* Version Control: Git.
* Soft Skills: Strong problem\-solving, communication, and collaboration abilities.
 Roles \&amp; Responsibilities
* Develop, deploy, and maintain scalable applications using GCP services (GKE, Cloud Run, Cloud Functions, Compute Engine, etc.).
* Integrate and manage GCP services, including databases (Cloud SQL, Spanner), storage, and networking.
* Implement and manage Infrastructure as Code (IaC) using Terraform.
* Build and maintain CI/CD pipelines for automated builds, testing, and deployments (Cloud Build).
* Optimize application performance and ensure cost\-efficiency of GCP resources.
* Implement security best practices and ensure compliance within the GCP environment.
* Troubleshoot and resolve technical issues in production and development environments.
* Collaborate with cross\-functional teams, participate in code reviews, and contribute to architectural discussions.
 Salary Range: $90,000 \- $120,000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27">
      <c r="A27" t="inlineStr">
        <is>
          <t>li-4360674083</t>
        </is>
      </c>
      <c r="B27" t="inlineStr">
        <is>
          <t>Senior Data Engineer (Bank Tech)</t>
        </is>
      </c>
      <c r="C27" t="inlineStr">
        <is>
          <t>Capital One</t>
        </is>
      </c>
      <c r="D27" t="inlineStr">
        <is>
          <t>linkedin</t>
        </is>
      </c>
      <c r="E27" t="inlineStr"/>
      <c r="F27" t="inlineStr"/>
      <c r="G27" t="inlineStr">
        <is>
          <t>Richmond, VA</t>
        </is>
      </c>
      <c r="H27" t="inlineStr"/>
      <c r="I2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
      <c r="A28" t="inlineStr">
        <is>
          <t>li-4360615940</t>
        </is>
      </c>
      <c r="B28" t="inlineStr">
        <is>
          <t>Distinguished Data Engineer - Capital One Software (Remote)</t>
        </is>
      </c>
      <c r="C28" t="inlineStr">
        <is>
          <t>Capital One</t>
        </is>
      </c>
      <c r="D28" t="inlineStr">
        <is>
          <t>linkedin</t>
        </is>
      </c>
      <c r="E28" t="inlineStr"/>
      <c r="F28" t="inlineStr"/>
      <c r="G28" t="inlineStr">
        <is>
          <t>Richmond, VA</t>
        </is>
      </c>
      <c r="H28" t="inlineStr"/>
      <c r="I28" t="inlineStr">
        <is>
          <t>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Distinguished Data Engineer, you’ll have the opportunity to be on the forefront of building this business and bring these tools to market.
**Responsibilities:**
* Build awareness, increase knowledge and drive adoption of modern technologies, sharing consumer and engineering benefits to gain buy\-in
* Collaborate on Capital One’s toughest issues, to deliver on business needs that directly impact the lives of our customers and associates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5 years of experience in data architecture
**Preferred Qualifications:**
* Masters’ Degree
* 7\+ years of experience using Python, Java, Go, and SQL
* 3\+ years of experience with Kafka, Airflow, Spark, AWS Glue/Kinesis
* 3\+ years of experience with Databricks or Snowflake
* 1\+ year of experience deploying machine learning models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$239,900 \- $273,800 for Distinguished Data Engineer
 Richmond, VA: $239,900 \- $273,800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li-4359768675</t>
        </is>
      </c>
      <c r="B29" t="inlineStr">
        <is>
          <t>Lead Data Engineer</t>
        </is>
      </c>
      <c r="C29" t="inlineStr">
        <is>
          <t>Capital One</t>
        </is>
      </c>
      <c r="D29" t="inlineStr">
        <is>
          <t>linkedin</t>
        </is>
      </c>
      <c r="E29" t="inlineStr"/>
      <c r="F29" t="inlineStr"/>
      <c r="G29" t="inlineStr">
        <is>
          <t>Cambridge, MA</t>
        </is>
      </c>
      <c r="H29" t="inlineStr"/>
      <c r="I2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Manager, Data Engineering
 McLean, VA: $193,400 \- $220,700 for Manager, Data Engineering
 Richmond, VA: $175,800 \- $200,700 for Manager,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li-4360615942</t>
        </is>
      </c>
      <c r="B30" t="inlineStr">
        <is>
          <t>Lead Data Engineer</t>
        </is>
      </c>
      <c r="C30" t="inlineStr">
        <is>
          <t>Capital One</t>
        </is>
      </c>
      <c r="D30" t="inlineStr">
        <is>
          <t>linkedin</t>
        </is>
      </c>
      <c r="E30" t="inlineStr"/>
      <c r="F30" t="inlineStr"/>
      <c r="G30" t="inlineStr">
        <is>
          <t>Richmond, VA</t>
        </is>
      </c>
      <c r="H30" t="inlineStr"/>
      <c r="I3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li-4359777891</t>
        </is>
      </c>
      <c r="B31" t="inlineStr">
        <is>
          <t>Lead Data Engineer</t>
        </is>
      </c>
      <c r="C31" t="inlineStr">
        <is>
          <t>Capital One</t>
        </is>
      </c>
      <c r="D31" t="inlineStr">
        <is>
          <t>linkedin</t>
        </is>
      </c>
      <c r="E31" t="inlineStr"/>
      <c r="F31" t="inlineStr"/>
      <c r="G31" t="inlineStr">
        <is>
          <t>Richmond, VA</t>
        </is>
      </c>
      <c r="H31" t="inlineStr"/>
      <c r="I3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Manager, Data Engineering
 McLean, VA: $193,400 \- $220,700 for Manager, Data Engineering
 Richmond, VA: $175,800 \- $200,700 for Manager,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2">
      <c r="A32" t="inlineStr">
        <is>
          <t>li-4360626546</t>
        </is>
      </c>
      <c r="B32" t="inlineStr">
        <is>
          <t>Data Engineer</t>
        </is>
      </c>
      <c r="C32" t="inlineStr">
        <is>
          <t>Shrive Technologies</t>
        </is>
      </c>
      <c r="D32" t="inlineStr">
        <is>
          <t>linkedin</t>
        </is>
      </c>
      <c r="E32">
        <f>HYPERLINK("https://www.linkedin.com/jobs/view/4360626546", "https://www.linkedin.com/jobs/view/4360626546")</f>
        <v/>
      </c>
      <c r="F32">
        <f>HYPERLINK("https://www.adzuna.com/details/5578591675?v=7BFAC9B769D36CEDF4739544B980033B606E6DE3&amp;r=21037952&amp;frd=a924c491486e6d2a0068bbdd3ea14abb&amp;ccd=3b10ed5b76bf81906c08a8aaf05c7265&amp;utm_source=linkedin7&amp;utm_medium=organic&amp;chnlid=1931&amp;title=Data%20Engineer&amp;a=e&amp;urlHash=LuNJ", "https://www.adzuna.com/details/5578591675?v=7BFAC9B769D36CEDF4739544B980033B606E6DE3&amp;r=21037952&amp;frd=a924c491486e6d2a0068bbdd3ea14abb&amp;ccd=3b10ed5b76bf81906c08a8aaf05c7265&amp;utm_source=linkedin7&amp;utm_medium=organic&amp;chnlid=1931&amp;title=Data%20Engineer&amp;a=e&amp;urlHash=LuNJ")</f>
        <v/>
      </c>
      <c r="G32" t="inlineStr">
        <is>
          <t>Texas, United States</t>
        </is>
      </c>
      <c r="H32" t="inlineStr"/>
      <c r="I32" t="inlineStr">
        <is>
          <t>**Job Details**
 We are looking for a skilled Data Engineer to join our team. The ideal candidate will have experience in building and optimizing data pipelines, architectures, and data sets. You will be responsible for creating and maintaining scalable data architectures, ensuring data availability, and enabling datadriven decisionmaking processes. This role requires a deep understanding of data management practices, data warehousing, ETL processes.
**Required Qualifications**
 Bachelor's degree in computer science, Engineering, Information Technology, or a related field.
 5\+ years of experience as a Data Engineer or in a similar role.
 Proficiency in Snowflake, Matilliion SQL and experience with relational databases e.g., MySQL, PostgreSQL.
 Knowledge of data warehousing solutions e.g., Snowflake, Redshift, BigQuery.
 Experience with cloud platforms e.g., AWS, Google Cloud, Azure.
 Good to have hands on programming languages like Python.
 Strong understanding of Matillion ETL tool and processes.
 Experience with data modeling and data architecture design</t>
        </is>
      </c>
    </row>
    <row r="33">
      <c r="A33" t="inlineStr">
        <is>
          <t>li-4359946641</t>
        </is>
      </c>
      <c r="B33" t="inlineStr">
        <is>
          <t>Data Engineer</t>
        </is>
      </c>
      <c r="C33" t="inlineStr">
        <is>
          <t>The University of Texas at Austin</t>
        </is>
      </c>
      <c r="D33" t="inlineStr">
        <is>
          <t>linkedin</t>
        </is>
      </c>
      <c r="E33">
        <f>HYPERLINK("https://www.linkedin.com/jobs/view/4359946641", "https://www.linkedin.com/jobs/view/4359946641")</f>
        <v/>
      </c>
      <c r="F33" t="inlineStr"/>
      <c r="G33" t="inlineStr"/>
      <c r="H33" t="inlineStr"/>
      <c r="I33" t="inlineStr">
        <is>
          <t>**About The Company**
 The University of Texas at Austin is a renowned research university committed to advancing knowledge, fostering innovation, and preparing future leaders. As a leading institution, UT Austin emphasizes excellence in education, research, and community engagement. The university's Enterprise Technology department supports its mission by developing cutting\-edge data solutions that enable data\-driven decision\-making across academic, administrative, and research functions. With a focus on technological innovation and excellence, UT Austin provides an inspiring environment for professionals dedicated to leveraging data to create meaningful societal impact.
**About The Role**
 The Lead Data Engineer position within the Enterprise Technology \- Data to Insights (D2I) team is a critical role responsible for designing, developing, and maintaining scalable, high\-quality data pipelines and platforms. This role involves leading a team of data engineers and collaborating with cross\-functional stakeholders to build a modern data ecosystem that supports analytics, AI, and machine learning initiatives. The Lead Data Engineer will oversee the architecture of cloud\-based data solutions using Databricks and AWS services, ensuring performance, reliability, and compliance. This position offers an exciting opportunity to influence the university’s data landscape, foster innovation, and support strategic decision\-making through advanced data engineering practices. The role is expected to continue until December 2026, with the possibility of extension, and provides flexible work arrangements, including remote work options.
**Qualifications**
* Bachelor’s or Master’s degree in Computer Science, Information Systems, Engineering, or related field
* 5\+ years of experience designing, implementing, and optimizing complex, production\-grade data pipelines or enterprise\-scale data platforms
* 5 years of experience in cloud\-based data engineering using Databricks and AWS (e.g., Glue, S3, Lambda, Redshift)
* 3\+ years of experience managing or leading teams of data/software engineers, including mentorship and performance management
* Proficiency in Python, PySpark, and SQL, with a strong understanding of data modeling and scalable transformations
* Experience architecting ETL/ELT solutions across relational, non\-relational, and lakehouse environments such as Delta Lake or Parquet
* Knowledge of CI/CD pipelines and infrastructure as code (IaC) tools like Terraform, CDK, or GitHub Actions
* Understanding of data governance, security, and compliance standards in cloud environments
* Strong analytical, problem\-solving, and debugging skills across distributed data systems
* Excellent communication skills for translating technical concepts to diverse audiences
**Responsibilities**
* Design, architect, and deliver scalable, production\-grade data pipelines and AI\-ready data platforms leveraging Databricks, AWS, and modern frameworks
* Lead end\-to\-end implementation of lakehouse architectures, ensuring optimal performance, reliability, and cost efficiency
* Champion best practices in data engineering, including data quality, observability, governance, and security
* Conduct peer code reviews to maintain high standards of code quality and consistency
* Identify and resolve bottlenecks in data ingestion, transformation, and orchestration processes using Databricks Delta Live Tables, Spark optimization, and workflow automation
* Implement systems for data quality assurance, observability, and compliance using tools such as Unity Catalog and Delta Lake
* Lead technical knowledge\-sharing sessions on AI/ML integration, data lakehouse architecture, and emerging data technologies
* Define project milestones, timelines, and deliverables, ensuring timely and high\-quality outcomes
* Collaborate with internal and external stakeholders, including data architects, business users, and Agile teams
* Manage project priorities, sprint planning, and team workloads, balancing innovation with delivery
* Supervise and mentor a team of 2\-5 data engineers, fostering a culture of continuous learning and technical excellence
* Participate in recruiting, onboarding, and professional development of team members
* Provide regular updates on project progress, technical challenges, and milestones to stakeholders
* Translate complex technical concepts into clear narratives for non\-technical audiences
* Stay current with advancements in AI, data engineering, and Databricks ecosystem, evaluating and piloting new tools and frameworks
* Perform other duties supporting the organization’s data and AI transformation initiatives
**Benefits**
* Competitive health benefits, with employee premiums covered at 100% and family premiums at 50%
* Vision, dental, life, and disability insurance options
* Paid vacation, sick leave, and holidays
* Participation in the Teachers Retirement System of Texas (TRS) retirement plan
* Additional voluntary retirement options including tax\-sheltered annuity 403(b) and deferred compensation 457(b)
* Flexible spending accounts for medical and childcare expenses
* Opportunities for training, conferences, and professional development
* Tuition assistance programs
* Discounts on athletic tickets and access to UT Austin’s libraries and museums
* Free transportation on UT Shuttle and Capital Metro buses with staff ID
 Equal Opportunity
 The University of Texas at Austin is an equal opportunity/affirmative action employer committed to fostering an inclusive environment. We do not discriminate on the basis of race, color, national origin, age, marital status, sex, sexual orientation, gender identity, gender expression, disability, religion, veteran status, or any other legally protected status.</t>
        </is>
      </c>
    </row>
    <row r="34">
      <c r="A34" t="inlineStr">
        <is>
          <t>li-4360665140</t>
        </is>
      </c>
      <c r="B34" t="inlineStr">
        <is>
          <t>Data EngINEER</t>
        </is>
      </c>
      <c r="C34" t="inlineStr">
        <is>
          <t>Inherent Technologies</t>
        </is>
      </c>
      <c r="D34" t="inlineStr">
        <is>
          <t>linkedin</t>
        </is>
      </c>
      <c r="E34">
        <f>HYPERLINK("https://www.linkedin.com/jobs/view/4360665140", "https://www.linkedin.com/jobs/view/4360665140")</f>
        <v/>
      </c>
      <c r="F34" t="inlineStr"/>
      <c r="G34" t="inlineStr">
        <is>
          <t>Federalsburg, MD</t>
        </is>
      </c>
      <c r="H34" t="inlineStr"/>
      <c r="I34" t="inlineStr">
        <is>
          <t>Role Description: Job Description We are seeking a Senior BI Developer with expertise in Power BI, Tableau, and Data Engineering to design and develop advanced dashboards, reporting solutions, and data pipelines. This role involves collaborating across multiple teams to deliver actionable insights, optimize performance, and support enterprise analytics initiatives. The ideal candidate will have architect\-level experience in BI tools and Azure data services.Key ResponsibilitiesDesign and develop interactive dashboards and reports using Power BI and Tableau. Implement advanced data modeling, DAX calculations, and performance optimization for BI solutions. Build and maintain ETL pipelines using Azure Data Factory (ADF) and Databricks for data transformation and integration. Develop and deploy SSAS tabular models, manage data security, and optimize query performance. Integrate dashboards into applications and ensure compliance with security standards. Collaborate with stakeholders to gather requirements, document specifications, and deliver solutions aligned with business objectives. Provide support for BI tools and resolve issues within defined SLA.Required Skills10 years of experience in Power BI, Tableau, and SQL proficiency in Python is a plus. Expertise in designing advanced Tableau dashboards and optimizing performance. Strong experience in Power BI architecture, DAX, Power Query, and report sharing strategies. Hands\-on experience with Azure BI stack ADF, Databricks, SSAS, ADLS, Azure Data Lake Analytics, Azure Stream Analytics. Proficiency in data modeling, schema design, and ETL processes. Experience with Looker and Dynamics 365 is desirable. Strong communication and problem\-solving skills.Technical SkillsBusiness Intelligence Power BI, Tableau, Azure Data Factory (ADF), Azure Databricks, Azure Analysis Services (SSAS), Azure Data Lake Analytics, Azure Data Lake Store (ADLS), Power Apps, Azure Integration Runtime, DAX, XMLA, Power Query (M Language), Azure Event Hubs, Azure Stream Analytics, DBTDatabase Technologies Azure SQL, MongoDB.</t>
        </is>
      </c>
    </row>
    <row r="35">
      <c r="A35" t="inlineStr">
        <is>
          <t>li-4359936823</t>
        </is>
      </c>
      <c r="B35" t="inlineStr">
        <is>
          <t>Senior Data Engineer</t>
        </is>
      </c>
      <c r="C35" t="inlineStr">
        <is>
          <t>DW Search</t>
        </is>
      </c>
      <c r="D35" t="inlineStr">
        <is>
          <t>linkedin</t>
        </is>
      </c>
      <c r="E35">
        <f>HYPERLINK("https://www.linkedin.com/jobs/view/4359936823", "https://www.linkedin.com/jobs/view/4359936823")</f>
        <v/>
      </c>
      <c r="F35" t="inlineStr"/>
      <c r="G35" t="inlineStr">
        <is>
          <t>New York, United States</t>
        </is>
      </c>
      <c r="H35" t="inlineStr"/>
      <c r="I35" t="inlineStr">
        <is>
          <t>**Senior Data Engineer**
**New AI startup within major investment firm**
**New York**
**$240k \- $280k total comp \- flexible for top candidates**
 Are you an experienced Data Engineer with a strong software engineering background and exposure to modern data technologies?
 Come and join an AI startup spun out of a major investment firm where you’ll work alongside a team combining deep academic backgrounds from leading global universities with years of commercial AI experience
 This role is front office facing and we're looking for exceptional technical talent interested in value creation and working closely with users.
 You can expect exposure to modern data technologies including Python, SQL, Snowflake, Airflow, DBT and Azure/ AWS. You'll also get exposure to various AI/ML technologies.
 In terms of background, strong fundamentals trump specific tooling \- we're looking for exceptionally talented engineers comfortable working in front office environments.
 Financial services experience is a plus as you'll be working with investors but a strong interest in finance works. Any AI experience is of course an advantage \- even if personal projects. The bar for Python is very high and you'll be tested on internals/ fundamentals in the first stage.
 A compensation steer is provided within the advert but we're looking for top talent and there is flexibility.
 For top tier Data Engineers this could be a career defining opportunity to work with some of the most advanced AI practitioners.
 Apply now to be considered ASAP.</t>
        </is>
      </c>
    </row>
    <row r="36">
      <c r="A36" t="inlineStr">
        <is>
          <t>li-4359769687</t>
        </is>
      </c>
      <c r="B36" t="inlineStr">
        <is>
          <t>Associate Data Engineer</t>
        </is>
      </c>
      <c r="C36" t="inlineStr">
        <is>
          <t>RR Donnelley</t>
        </is>
      </c>
      <c r="D36" t="inlineStr">
        <is>
          <t>linkedin</t>
        </is>
      </c>
      <c r="E36">
        <f>HYPERLINK("https://www.linkedin.com/jobs/view/4359769687", "https://www.linkedin.com/jobs/view/4359769687")</f>
        <v/>
      </c>
      <c r="F36" t="inlineStr"/>
      <c r="G36" t="inlineStr">
        <is>
          <t>Warrenville, IL</t>
        </is>
      </c>
      <c r="H36" t="inlineStr"/>
      <c r="I36" t="inlineStr">
        <is>
          <t>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Data Engineer will join our Enterprise Reporting Team with a focus on Data Architecture. In the same way that an architect helps builders transform raw materials into buildings, a Data Engineer focusing on data architecture helps transform raw data into information. Instead of designing structures like strip malls or distribution centers, a data engineer designs structures like data marts or data warehouses. These structures integrate data from multiple systems across the enterprise to power the reports and dashboards central to RR Donnelley’s decisions and processes.
**Responsibilities:**
* Analysis/Design: Analyze business requirements for projects of small to medium scope and complexity. Assist with the gathering of requirements from end users
* Coding: Write, test, and debug routine to moderately complex SQL queries, DML scripts, and DDL scripts
* Testing: Under general supervision, analyze and document test results to ensure that technical requirements are met
* Technical Support: Research and resolve routine to moderately complex data issues using SQL and other reporting tools.
* Documentation: Assist in preparing high\-quality internal documentation.
* Communication: Clearly convey problems, solutions, updates, and project status to peers, customers, and management
* Assist with the design, documentation, and implementation of Data Architecture standards
* Review existing data models for correctness and compliance with standards
* Analyze medium size datasets using Python to both visualize and make predictions
* Seek to understand RRD business units and processes, through research and discussions with IT and business partners
**Qualifications**
* Bachelor’s / 4\-year degree in a technical field: computer science, MIS, mathematics, engineering, data science, or similar
* 2\-3 years of related IT experience
* Strong knowledge and programming experience with SQL (Oracle, SQL Server, etc.)
* Strong knowledge of database concepts \&amp; structures (indexes, foreign keys, views, etc.)
* Understanding of data modeling concepts
* Fluency in office productivity software (MS Office, Google Workspace, etc.)
* Excellent written and verbal communication skills
* Superior critical thinking skills with the ability to ask thoughtful questions
* Ability to self\-start and collaborate with other team members while working in a remote setting
* Curiosity and a strong desire to learn
 Data Engineer Preferred Skills:
* Working knowledge of Python or other programming languages
* Experience with Star Schema / Dimension databases
* Experience with data modeling tools, such as ERwin
**Additional Information**
 RRD's current salary range for this role is $67,800 to $105,800 / year. The salary range may be adjusted based on the applicable geographic location of the hired employee, and the range may change in the future. At RRD, it is not typical for an individual to be hired at or near the top of the range for their role and compensation decisions may vary based upon, but not limited to education, skills, experience, proficiency, performance, shift and location. Depending on the role, in addition to base salary, the total compensation package may also include participation in a bonus, commission or incentive program. RRD’s benefit offerings include medical, dental, and vision coverage, paid time off, disability insurance, 401(k) with company match, life insurance and other voluntary supplemental insurance coverages, plus parental leave, adoption assistance, tuition assistance and employer/partner discounts.
 All employment offers are contingent upon the successful completion of both a pre\-employment background and drug screen.
 RRD is an Equal Opportunity Employer, including disability/veterans</t>
        </is>
      </c>
    </row>
    <row r="37">
      <c r="A37" t="inlineStr">
        <is>
          <t>li-4359778688</t>
        </is>
      </c>
      <c r="B37" t="inlineStr">
        <is>
          <t>GCP Data Engineer</t>
        </is>
      </c>
      <c r="C37" t="inlineStr">
        <is>
          <t>Biogensys</t>
        </is>
      </c>
      <c r="D37" t="inlineStr">
        <is>
          <t>linkedin</t>
        </is>
      </c>
      <c r="E37">
        <f>HYPERLINK("https://www.linkedin.com/jobs/view/4359778688", "https://www.linkedin.com/jobs/view/4359778688")</f>
        <v/>
      </c>
      <c r="F37">
        <f>HYPERLINK("https://www.adzuna.com/details/5578592502?v=5A97BDD7E329716F1037D109774063915FA45CDD&amp;r=21037952&amp;frd=576d7b4ac91baa15f581436b72714eb0&amp;ccd=876471a9225b51069470892d6e641dfe&amp;utm_source=linkedin7&amp;utm_medium=organic&amp;chnlid=1931&amp;title=GCP%20Data%20Engineer&amp;a=e&amp;urlHash=FJSW", "https://www.adzuna.com/details/5578592502?v=5A97BDD7E329716F1037D109774063915FA45CDD&amp;r=21037952&amp;frd=576d7b4ac91baa15f581436b72714eb0&amp;ccd=876471a9225b51069470892d6e641dfe&amp;utm_source=linkedin7&amp;utm_medium=organic&amp;chnlid=1931&amp;title=GCP%20Data%20Engineer&amp;a=e&amp;urlHash=FJSW")</f>
        <v/>
      </c>
      <c r="G37" t="inlineStr">
        <is>
          <t>Dallas, TX</t>
        </is>
      </c>
      <c r="H37" t="inlineStr"/>
      <c r="I37" t="inlineStr">
        <is>
          <t>We are hiring a
 **GCP Data Engineer** 
 for one of our clients in
 **Dallas, TX.**
**Job Description**
 Yahoo is a global media and tech company connecting nearly 900M people to their passions across finance, sports, shopping, and news. Yahoo Mail, our ultimate consumer inbox, is on a mission to create the best platform for running the "business of life".
 The Mail Analytics Infrastructure team builds the mission\-critical data serving, pipelines, and Lakehouse systems that fuel this success.
**The Role**
* As a Data Engineer (II), you will work on large\-scale batch pipelines and analytics systems to enable mission\-critical decision\-making and AI\-powered capabilities.
* Your Day:
* Infrastructure Management: Develop, improve, and maintain large\-scale data systems for processing and serving.
* Optimization: Optimize complex code using advanced algorithmic concepts and a deep understanding of data system stacks.
* Framework Contribution: Create frameworks to improve the management and deployment of data platforms.
* Problem Solving: Develop complex queries and large\-volume pipelines to solve engineering problems.
* Collaboration: Work with engineers, data scientists, and product managers to deliver data solutions.
* Innovation: Prototype new metrics or data systems and define SLAs for data sets.
**Requirements**
* Education: BS in Computer Science/Engineering or equivalent practical experience with a specialization in Data Engineering.
* Experience: 3 5 years in Data Engineering, including ETL, data lakehouse, and data modeling.
* Technical Skills: Fluency in Python, Java, and SQL.
* Fundamentals: Strong knowledge of algorithms, distributed computing, data structures, and databases.
* Soft Skills: Self\-driven, detail\-oriented, and excellent communication skills.
**Preferred Qualifications**
* MS/PhD in a relevant technical field.
* 2\+ years of experience in Hadoop/Apache technologies (Spark, Hive, Kafka, etc.).
* 2\+ years of experience with Google Cloud Platform (BigQuery, Dataproc, Looker, etc.).
**Additional Information**
* Location: Dallas, TX (Onsite)
* Job Type: Contract W2
* Duration: Long\-Term
* Visa: USC/GC/OPT/ H4EAD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By responding to this job posting, you are consenting to receive text/SMS messages from us. Thank you.</t>
        </is>
      </c>
    </row>
    <row r="38">
      <c r="A38" t="inlineStr">
        <is>
          <t>li-4351834821</t>
        </is>
      </c>
      <c r="B38" t="inlineStr">
        <is>
          <t>Data Engineer</t>
        </is>
      </c>
      <c r="C38" t="inlineStr">
        <is>
          <t>RemoteHunter</t>
        </is>
      </c>
      <c r="D38" t="inlineStr">
        <is>
          <t>linkedin</t>
        </is>
      </c>
      <c r="E38">
        <f>HYPERLINK("https://www.linkedin.com/jobs/view/4351834821", "https://www.linkedin.com/jobs/view/4351834821")</f>
        <v/>
      </c>
      <c r="F38">
        <f>HYPERLINK("https://www.remotehunter.com/apply-with-ai/cbc541cb-0314-4308-be9b-f74271d1faa8?utm_medium=job_posting&amp;utm_source=linkedin&amp;utm_campaign=data_engineer_remote&amp;utm_category=data_engineer&amp;utm_term=data_engineer&amp;urlHash=HZHH", "https://www.remotehunter.com/apply-with-ai/cbc541cb-0314-4308-be9b-f74271d1faa8?utm_medium=job_posting&amp;utm_source=linkedin&amp;utm_campaign=data_engineer_remote&amp;utm_category=data_engineer&amp;utm_term=data_engineer&amp;urlHash=HZHH")</f>
        <v/>
      </c>
      <c r="G38" t="inlineStr"/>
      <c r="H38" t="inlineStr"/>
      <c r="I38"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li-4332544827</t>
        </is>
      </c>
      <c r="B39" t="inlineStr">
        <is>
          <t>Analytics Engineer</t>
        </is>
      </c>
      <c r="C39" t="inlineStr">
        <is>
          <t>RemoteHunter</t>
        </is>
      </c>
      <c r="D39" t="inlineStr">
        <is>
          <t>linkedin</t>
        </is>
      </c>
      <c r="E39">
        <f>HYPERLINK("https://www.linkedin.com/jobs/view/4332544827", "https://www.linkedin.com/jobs/view/4332544827")</f>
        <v/>
      </c>
      <c r="F39" t="inlineStr"/>
      <c r="G39" t="inlineStr"/>
      <c r="H39" t="inlineStr"/>
      <c r="I39"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0">
      <c r="A40" t="inlineStr">
        <is>
          <t>li-4332555459</t>
        </is>
      </c>
      <c r="B40" t="inlineStr">
        <is>
          <t>Big Data Engineer</t>
        </is>
      </c>
      <c r="C40" t="inlineStr">
        <is>
          <t>RemoteHunter</t>
        </is>
      </c>
      <c r="D40" t="inlineStr">
        <is>
          <t>linkedin</t>
        </is>
      </c>
      <c r="E40">
        <f>HYPERLINK("https://www.linkedin.com/jobs/view/4332555459", "https://www.linkedin.com/jobs/view/4332555459")</f>
        <v/>
      </c>
      <c r="F40">
        <f>HYPERLINK("https://www.remotehunter.com/apply-with-ai/336af772-2932-4113-86b4-2c6fb61cfb7e?utm_medium=job_posting&amp;utm_source=linkedin&amp;utm_campaign=data_engineer_remote&amp;utm_category=data_engineer&amp;utm_term=big_data_engineer&amp;urlHash=OxRx", "https://www.remotehunter.com/apply-with-ai/336af772-2932-4113-86b4-2c6fb61cfb7e?utm_medium=job_posting&amp;utm_source=linkedin&amp;utm_campaign=data_engineer_remote&amp;utm_category=data_engineer&amp;utm_term=big_data_engineer&amp;urlHash=OxRx")</f>
        <v/>
      </c>
      <c r="G40" t="inlineStr"/>
      <c r="H40" t="inlineStr"/>
      <c r="I40" t="inlineStr">
        <is>
          <t>About the Opportunity:
 This team is seeking a seasoned Factory Data Engineer to lead the development of scalable data solutions in a cloud\-native environment. The role involves designing robust data pipelines, optimizing data warehouse performance, and working with in\-house tools to support data operations and management.
 Responsibilities:
 • Create Python, Spark, Perl, Shell Scripting programs to process data sets
 • Maintain existing Python, Spark, Perl, Shell Scripts and C programs
 • Collaborate with cross\-functional teams to understand data requirements and deliver high\-quality solutions
 • Learn and work extensively with in\-house data tools and frameworks, contributing to their enhancement and integration
 • Ensure data quality, governance, and security across all data assets
 • Mentor junior engineers and promote best practices in data engineering
 • Drive performance tuning, cost optimization, and automation of data workflows
 • Participate in Agile ceremonies, code reviews, and technical design discussions
 • Create required documentation and provide interface documentation to other team members on interfaces
 • Follow established SOPs and practices
 • Validate data generated to confirm that desired values are created
 Requirements:
 • Bachelor’s degree or equivalent in computer science
 • Minimum 5 years of experience in Python, Perl, C programming languages
 • Good understanding of Spark and pySpark
 • Good understanding of databases such as Hive, Postgres or Oracle
 • Familiarity with scheduling tools such as Airflow or Control\-M
 • Strong communication skills, ability to write technical documentation and present ideas
 Benefits \&amp; Perks:
 • Paid time off
 • Medical, dental, and vision insurance
 • 401(k) plan
 Compensation:
 • Salary range for this role is $90,000 to $115,000
 • Compensation will depend on factors such as education, experience, skills, location, and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li-4343928278</t>
        </is>
      </c>
      <c r="B41" t="inlineStr">
        <is>
          <t>Staff Data Engineer - Healthcare Data Infrastructure</t>
        </is>
      </c>
      <c r="C41" t="inlineStr">
        <is>
          <t>Qualified Health</t>
        </is>
      </c>
      <c r="D41" t="inlineStr">
        <is>
          <t>linkedin</t>
        </is>
      </c>
      <c r="E41">
        <f>HYPERLINK("https://www.linkedin.com/jobs/view/4343928278", "https://www.linkedin.com/jobs/view/4343928278")</f>
        <v/>
      </c>
      <c r="F41">
        <f>HYPERLINK("https://grnh.se/2548961e8us?gh_src=f242f2062us&amp;gh_src=b5c003a2teu&amp;gh_src=2eab38e2teu&amp;urlHash=om7l", "https://grnh.se/2548961e8us?gh_src=f242f2062us&amp;gh_src=b5c003a2teu&amp;gh_src=2eab38e2teu&amp;urlHash=om7l")</f>
        <v/>
      </c>
      <c r="G41" t="inlineStr"/>
      <c r="H41" t="inlineStr"/>
      <c r="I41"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Qualified Health is seeking exceptional data engineers to join our growing team. You'll work at the intersection of healthcare data, cloud infrastructure, and AI—building robust, scalable data pipelines that power our platform. This role requires deep technical expertise in data engineering fundamentals, with opportunities to contribute across customer integrations, data quality and transformation, and platform automation depending on your strengths and interests.
 You'll collaborate with health systems and internal teams to deliver reliable healthcare data solutions using cutting\-edge technologies.
**Key Responsibilities:**
* Design, implement, and maintain production\-grade data pipelines that process complex healthcare data at scale
* Build ETL/ELT solutions using modern cloud technologies and distributed computing frameworks
* Work with healthcare data standards including FHIR, HL7v2, and EHR\-specific formats
* Ensure data quality, reliability, and compliance through comprehensive validation and monitoring
* Collaborate with cross\-functional teams, customers, and stakeholders to deliver data solutions
* Debug and optimize pipeline performance in production environments
* Contribute to technical architecture decisions and platform evolution
* Document implementations and communicate technical concepts to varied audiences
**Required Qualifications:**
* **6\+ years of data engineering and/or related experience** 
 building and deploying production data pipelines
* **Healthcare data experience** 
 working with clinical data standards (FHIR, HL7v2, CDA, X12\) or EHR systems
* **Strong SQL proficiency** 
 with ability to write complex queries, perform data modeling, and optimize performance
* **Python expertise** 
 with modern development practices and frameworks
* **Cloud platform experience** 
 (Azure, AWS, or GCP) with hands\-on use of core data services
* **ETL/ELT implementation** 
 using modern tools such as Databricks, Data Factory, Airflow, dbt, or similar platforms
* **Proven problem\-solving ability** 
 to independently debug complex data issues and drive solutions
* **Excellent communication skills** 
 with ability to explain technical concepts clearly and document work thoroughly
* **Bachelor's degree** 
 in Computer Science, Engineering, or related field
**Desirable Skills:**
**Healthcare \&amp; Integration Expertise**
* Direct experience establishing clinical data feeds from Epic, Cerner, eClinicalWorks, or other major EHR systems
* Knowledge of EHR\-specific data formats and integration mechanisms (Epic Clarity, Chronicles, etc.)
* Experience with healthcare integration patterns including FHIR APIs, SFTP, Delta Sharing, Fabric External Shares, Snowflake Reader Accounts
* Customer\-facing experience managing technical implementations and timelines
* Understanding of HIPAA and HITRUST compliance requirements in data infrastructure
**Data Quality \&amp; Transformation**
* Healthcare data science or analytics background with understanding of clinical data models
* Experience designing sophisticated, configurable transformation logic and validation frameworks
* Expertise in data profiling, quality assessment, and building rule\-based quality engines
* Strong instincts for identifying data quality issues and patterns in complex healthcare datasets
* Experience building data pipelines for AI/ML applications
**Platform Engineering \&amp; Automation**
* Advanced experience with PySpark and distributed computing frameworks
* Infrastructure as Code (Terraform, CloudFormation, Pulumi, or similar)
* CI/CD pipeline development using GitHub Actions, Azure DevOps, GitLab, or similar
* Experience building reusable data engineering abstractions, frameworks, and developer tooling
* Production monitoring, alerting, and observability solutions (DataDog, Grafana, Prometheus, or similar)
* Track record establishing operational excellence standards for data systems
**Technical Depth**
* Deep expertise in Azure cloud services (Databricks, Data Factory, Fabric, ADLS2, networking)
* Experience with modern data warehouse solutions (Snowflake, Databricks, Fabric)
* Real\-time data processing and streaming architectures
* Advanced Python patterns for type safety and modern development
* Relevant certifications (Azure Data Engineer, Databricks, Snowflake, etc.)
* Master's degree in Computer Science, Engineering, or related field
**Strong candidates will excel in multiple areas above, demonstrating both breadth and depth in their expertise.**
**Technical Environment:**
 Our data infrastructure is built on modern cloud technologies including:
* **Azure Databricks \+ Data Factory** 
 (plus Fabric and Snowflake integrations)
* **PySpark** 
 for distributed data processing
* **GitHub Actions \+ Terraform** 
 for CI/CD and Infrastructure as Code
* **Python** 
 with type\-safe patterns and modern frameworks
**Impact \&amp; Growth Opportunity:**
 As a Senior Data Engineer at Qualified Health, you'll build the data foundation that powers our AI platform's ability to deliver insights to major health systems. You'll have the opportunity to shape our technical architecture and directly impact healthcare delivery, working with cutting\-edge technologies in a rapidly growing company. This position offers significant visibility and growth potential as we scale our platform across the healthcare ecosystem.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$140,000 and $220,000, and will depend on your skills, qualifications, experience, and location. This role is also eligible for equity and benefits.
***Join our mission to revolutionize healthcare with AI.***
 To apply, please send your resume through the application below.</t>
        </is>
      </c>
    </row>
    <row r="42">
      <c r="A42" t="inlineStr">
        <is>
          <t>li-4345314893</t>
        </is>
      </c>
      <c r="B42" t="inlineStr">
        <is>
          <t>Senior Analytics Engineer</t>
        </is>
      </c>
      <c r="C42" t="inlineStr">
        <is>
          <t>RemoteHunter</t>
        </is>
      </c>
      <c r="D42" t="inlineStr">
        <is>
          <t>linkedin</t>
        </is>
      </c>
      <c r="E42">
        <f>HYPERLINK("https://www.linkedin.com/jobs/view/4345314893", "https://www.linkedin.com/jobs/view/4345314893")</f>
        <v/>
      </c>
      <c r="F42" t="inlineStr"/>
      <c r="G42" t="inlineStr"/>
      <c r="H42" t="inlineStr"/>
      <c r="I42"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3">
      <c r="A43" t="inlineStr">
        <is>
          <t>li-4345394904</t>
        </is>
      </c>
      <c r="B43" t="inlineStr">
        <is>
          <t>Data Engineer - Databricks</t>
        </is>
      </c>
      <c r="C43" t="inlineStr">
        <is>
          <t>Jobs via Dice</t>
        </is>
      </c>
      <c r="D43" t="inlineStr">
        <is>
          <t>linkedin</t>
        </is>
      </c>
      <c r="E43">
        <f>HYPERLINK("https://www.linkedin.com/jobs/view/4345394904", "https://www.linkedin.com/jobs/view/4345394904")</f>
        <v/>
      </c>
      <c r="F43" t="inlineStr"/>
      <c r="G43" t="inlineStr"/>
      <c r="H43" t="inlineStr"/>
      <c r="I43"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44">
      <c r="A44" t="inlineStr">
        <is>
          <t>li-4332544905</t>
        </is>
      </c>
      <c r="B44" t="inlineStr">
        <is>
          <t>Data Engineer/AWS III</t>
        </is>
      </c>
      <c r="C44" t="inlineStr">
        <is>
          <t>hackajob</t>
        </is>
      </c>
      <c r="D44" t="inlineStr">
        <is>
          <t>linkedin</t>
        </is>
      </c>
      <c r="E44">
        <f>HYPERLINK("https://www.linkedin.com/jobs/view/4332544905", "https://www.linkedin.com/jobs/view/4332544905")</f>
        <v/>
      </c>
      <c r="F44">
        <f>HYPERLINK("https://www.hackajob.com/job/83843393-ee24-11f0-9e38-0a05e249917d-data-engineer-aws-iii?utm_source=LinkedIn&amp;utm_medium=JobAds&amp;utm_term=Automated&amp;utm_campaign=jp-morgan-data-engineer-aws-iii&amp;job_name=data-engineer-aws-iii&amp;company=jp-morgan&amp;workplace_type=on-site&amp;city=columbus&amp;country=united-states&amp;urlHash=zcl2", "https://www.hackajob.com/job/83843393-ee24-11f0-9e38-0a05e249917d-data-engineer-aws-iii?utm_source=LinkedIn&amp;utm_medium=JobAds&amp;utm_term=Automated&amp;utm_campaign=jp-morgan-data-engineer-aws-iii&amp;job_name=data-engineer-aws-iii&amp;company=jp-morgan&amp;workplace_type=on-site&amp;city=columbus&amp;country=united-states&amp;urlHash=zcl2")</f>
        <v/>
      </c>
      <c r="G44" t="inlineStr">
        <is>
          <t>Columbus, OH</t>
        </is>
      </c>
      <c r="H44" t="inlineStr"/>
      <c r="I44" t="inlineStr">
        <is>
          <t>***hackajob** 
 is collaborating with
 **J.P. Morgan** 
 to connect them with exceptional tech professionals for this role.*
**Job Description**
 Job responsibilities
* Provide direction, oversight, and coaching for a team of entry\-level to mid\-level engineers working on basic to moderately complex tasks.
* Executes solutions, design, development, and technical troubleshooting with ability to think beyond routine or conventional approaches to build solutions or break down technical problems
* Collaborate with data analysts, data scientists, and business stakeholders to understand data requirements and translate them into effective visual solutions.
* Work in an Agile development environment with team members, including Product Managers,SRE Engineers.
* Develop secure, high\-quality production code, review and debug code written by others, and drive decisions influencing product design, application functionality, and technical operations.
* Serve as a subject matter expert in one or more areas of focus and actively contribute to the engineering community as an advocate of firmwide frameworks, tools, and practices of the end to end Development Life Cycle.
* Influence peers and project decision\-makers to consider the use and application of leading\-edge technologies.
* Stay current with industry trends and emerging technologies in Data Management, Artificial Intelligence and Machine Learning.
**Required Qualifications, Capabilities, And Skills**
* 5\+ years applied experience in data engineering. In addition, demonstrated coaching and mentoring experience.
* Hands\-on experience in writing code using Python libraries such as Pandas, Boto3, PySpark, and Jupyter Notebooks, along with AWS services including Glue, S3, Kafka, and Kubernetes
* Hands\-on practical experience delivering system design, application development, testing, and operational stability.
* Collaborate with various stakeholders and independently tackle design and functionality challenges with minimal oversight
* Proficient in automation and continuous delivery methods.
* Skilled in resolving code issues and proficient in Git for managing repositories and team collaboration.
* Experience and proficiency across the data lifecycle
* Evaluates and reports on access control processes to determine effectiveness of data asset security with minimal supervision
* Advanced understanding of agile methodologies, Application Resiliency, and Security
* Bachelor’s degree in data science, Computer Science, Information Systems, Statistics, or a related field.
**Preferred Qualifications, Capabilities, And Skills**
* Strong Python experience, especially in the context of developing solutions for large financial platforms.
* Strong experience in AWS serverless services: This includes expertise in using AWS Step functions, Lambda , Dynamodb and NoSQL database services
* Experience using AWS Lake Formation service.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5">
      <c r="A45" t="inlineStr">
        <is>
          <t>li-4345324971</t>
        </is>
      </c>
      <c r="B45" t="inlineStr">
        <is>
          <t>Senior Lead Data Engineer</t>
        </is>
      </c>
      <c r="C45" t="inlineStr">
        <is>
          <t>hackajob</t>
        </is>
      </c>
      <c r="D45" t="inlineStr">
        <is>
          <t>linkedin</t>
        </is>
      </c>
      <c r="E45">
        <f>HYPERLINK("https://www.linkedin.com/jobs/view/4345324971", "https://www.linkedin.com/jobs/view/4345324971")</f>
        <v/>
      </c>
      <c r="F45" t="inlineStr"/>
      <c r="G45" t="inlineStr">
        <is>
          <t>Wilmington, DE</t>
        </is>
      </c>
      <c r="H45" t="inlineStr"/>
      <c r="I45" t="inlineStr">
        <is>
          <t>***hackajob** 
 is collaborating with
 **J.P. Morgan** 
 to connect them with exceptional tech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 Engineer at JPMorgan Chase within the Consumer Community Banking Data Center Management team, you are an integral part of an agile team that works to enhance, build, and deliver data collection, storage, access, and analytics in a secure, stable, and scalable way. You will leverage your deep technical expertise and problem solving capabilities to drive significant business impact and tackle a diverse array of challenges that span multiple data pipelines, data architectures, and other data consumers. You will work effectively across multiple teams to evaluate requirements and develop a data proposal that unifies all teams and aligns to enterprise standards. This role requires detailed understanding of modern data engineering solutions for large and complex data sets as well as the ability to develop a strategic plan, present it to senior management, and drive the implementation.
**Job Responsibilities**
* Develops and implements a comprehensive data strategy aligned with departmental and organizational goals
* Collaborates with stakeholders to understand data requirements and translate them into technical solutions
* Establishes data governance and quality standards to ensure data integrity and compliance
* Evaluates and selects appropriate data technologies (databases, ETL tools, cloud platforms) to meet current and future needs
* Optimizes data architecture and infrastructure for performance, reliability, and cost\-effectiveness
* Provides recommendations and insight on data management, governance procedures, and intricacies applicable to the acquisition, maintenance, validation, and utilization of data
* Designs and delivers trusted data collection, storage, access, and analytics data platform solutions in a secure, stable, and scalable way
* Defines database back\-up, recovery, and archiving strategy
* Generates advanced data models for one or more teams using firmwide tooling, linear algebra, statistics, and geometrical algorithms
* Creates functional and technical documentation supporting best practices
* Adds to team culture of diversity, opportunity, inclusion, and respect
**Required Qualifications, Capabilities, And Skills**
* Formal training or certification on Data Engineering concepts and 5\+ years applied experience
* Working experience with both relational and NoSQL databases
* Advanced understanding of database back\-up, recovery, and archiving strategies
* Advanced knowledge of linear algebra, statistics, and geometrical algorithms
* Experience presenting and delivering visual data
* Hands on experience with ETL tools and data integration frameworks
* Ability to communicate complex technical concepts to non\-technical stakeholders.
* Programming skills for data processing and automation
* Knowledge of data governance, data quality, and security best practices
* Experience with complex data models and data lakes
* Strong Project Management skills, deals well with ambiguity; can shape and define the future, take an idea and turn it into execution
**Preferred qualifications, capabilities, and skills**
* Experience with business intelligence tools (e.g., Tableau, Qlik) and enabling self\-service analytics
* Experience with cloud data platforms (e.g., AWS) and cloud\-native data engineering tools
* 7\+ years of related Data Engineering experience including designing and building data pipelines and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6">
      <c r="A46" t="inlineStr">
        <is>
          <t>li-4360626497</t>
        </is>
      </c>
      <c r="B46" t="inlineStr">
        <is>
          <t>MH-53K Data Engineer and Analysis Liaison (DEAL)</t>
        </is>
      </c>
      <c r="C46" t="inlineStr">
        <is>
          <t>Tekla Research, Inc.</t>
        </is>
      </c>
      <c r="D46" t="inlineStr">
        <is>
          <t>linkedin</t>
        </is>
      </c>
      <c r="E46">
        <f>HYPERLINK("https://www.linkedin.com/jobs/view/4360626497", "https://www.linkedin.com/jobs/view/4360626497")</f>
        <v/>
      </c>
      <c r="F46" t="inlineStr"/>
      <c r="G46" t="inlineStr">
        <is>
          <t>Lexington Park, MD</t>
        </is>
      </c>
      <c r="H46" t="inlineStr"/>
      <c r="I46" t="inlineStr">
        <is>
          <t>**Must be a U.S. Citizen
 Clearance Required:** 
 Active Secret
 Desired Functions: Data Engineer and Analysis Liaison, Computer/Data Scientist, System Analyst, or Engineer, Junior level.
 Works for the Data Division under the NAVAIR Mission Systems Test and Evaluation Department (MSTED), supporting the MH\-53K program, gathering, collating, formatting, filtering, analyzing, reporting, and storing flight test related data sets. Analysis tool development.
**Computer Scientist/Junior Level**
 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
**Data Scientist/Junior Level**
 Identifying the methods, processes, algorithms, tools, and systems to extract and interpret findings from varied structured and unstructured data sets related to the data science lifecycle. Work also involves the development of algorithms and/or tools to support data manipulation and processing as well as the use of data visualization techniques to articulate findings. The primary requirements of the work are applying
 professional knowledge of computer science and mathematical and statistical theories, techniques, and methods to gather, analyze, design and construct new processes for modeling, interpret, and/or report quantitative information, trends, relationships and
 correlations among or within data sets.
**System Analyst/Junior Level**
 Applies knowledge of analytical methodologies, management principles, hardware and software systems structures and operation, and aircraft systems or requirements to solve project problems. Addresses scientific, engineering or business objectives and interfaces with project teams to address project objectives. Independently uses mathematical and programmatic approaches to define, plan, organize, design, develop, modify, test, and integrate systems.
 Directly researches unconventional applications for designing and developing new methodologies, modifications, or adaptations of standardized techniques. Directly develops project plans, guidelines, and controls. May manage and supervise contractor personnel providing this function.
**Engineer/Junior Level**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 Possible Functional Descriptions Aerospace, Chemical, Electrical, Electronics, Industrial, Materials, Mechanical Engineers and All Others
**Benefits**
 Medical, Dental, \&amp; Vision Plan, short\- and long\-term disability, accidental death \&amp; dismemberment, 401K retirement \&amp; matching, Tuition assistance program, direct deposit, leave package and 11 paid federal holidays.
**Salary**
 The projected salary range for this position is $85,000\-$115,000; however, this is not a guarantee of salary. Salary will be set based on experience and contractual requirements.</t>
        </is>
      </c>
    </row>
    <row r="47">
      <c r="A47" t="inlineStr">
        <is>
          <t>li-4309809401</t>
        </is>
      </c>
      <c r="B47" t="inlineStr">
        <is>
          <t>Data Engineer - Indefinite US Work Authorization Required</t>
        </is>
      </c>
      <c r="C47" t="inlineStr">
        <is>
          <t>Crown Equipment Corporation</t>
        </is>
      </c>
      <c r="D47" t="inlineStr">
        <is>
          <t>linkedin</t>
        </is>
      </c>
      <c r="E47">
        <f>HYPERLINK("https://www.linkedin.com/jobs/view/4309809401", "https://www.linkedin.com/jobs/view/4309809401")</f>
        <v/>
      </c>
      <c r="F47" t="inlineStr"/>
      <c r="G47" t="inlineStr">
        <is>
          <t>New Bremen, OH</t>
        </is>
      </c>
      <c r="H47" t="inlineStr"/>
      <c r="I47"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**Primary Responsibilities**
* Design, build and optimize scalable data pipelines and stores.
* Clean, prepare and optimize data for consumption in applications and analytics platforms.
* Participate in peer code reviews to uphold internal standards.
* Ensure procedures are thoroughly tested before release.
* Write unit tests and record test results.
* Detect, define and debug programs whenever problems arise.
* Provide training to users and knowledge transfer to support personnel and other staff members as required.
* Prepare system and programming documentation in accordance with internal standards.
* Interface with users to extract functional needs and determine requirements.
* Conduct detailed systems analysis to define scope and objectives and design solutions.
* Work with Business Analyst to help develop and write system requirements.
* Establish project plans and schedules and monitor progress providing status reports as required.
**Qualifications**
* Bachelor’s degree in Computer Science, Software/Computer Engineering, Information Systems, or related field is required.
* Experience in SQL, ETL, and SAP Data Services is preferred.
* Good written, verbal, analytical and interpersonal skills are necessary.
*Remote Work: Crown offers hybrid remote work for this position. A reasonable commute is necessary as some onsite work is required. Relocation assistance is available.*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Forklift, Warehouse, Computer Science, Systems Analyst, Database, Manufacturing, Technology</t>
        </is>
      </c>
    </row>
    <row r="48">
      <c r="A48" t="inlineStr">
        <is>
          <t>li-4360665229</t>
        </is>
      </c>
      <c r="B48" t="inlineStr">
        <is>
          <t>Integration Data Engineer, Mulesoft</t>
        </is>
      </c>
      <c r="C48" t="inlineStr">
        <is>
          <t>Annexus Health</t>
        </is>
      </c>
      <c r="D48" t="inlineStr">
        <is>
          <t>linkedin</t>
        </is>
      </c>
      <c r="E48">
        <f>HYPERLINK("https://www.linkedin.com/jobs/view/4360665229", "https://www.linkedin.com/jobs/view/4360665229")</f>
        <v/>
      </c>
      <c r="F48">
        <f>HYPERLINK("https://www.adzuna.com/details/5578566272?v=B99C20405AA5A68BFECD942FBA9A1B21E3A8B17F&amp;ccd=9502b6b9cdf34f45d660c1439955bbec&amp;r=21037952&amp;frd=a08e4716c3a87e0015b49f8bd221ed7a&amp;utm_source=linkedin7&amp;utm_medium=organic&amp;chnlid=1931&amp;title=Integration%20Data%20Engineer%2C%20Mulesoft&amp;a=e&amp;urlHash=9W6j", "https://www.adzuna.com/details/5578566272?v=B99C20405AA5A68BFECD942FBA9A1B21E3A8B17F&amp;ccd=9502b6b9cdf34f45d660c1439955bbec&amp;r=21037952&amp;frd=a08e4716c3a87e0015b49f8bd221ed7a&amp;utm_source=linkedin7&amp;utm_medium=organic&amp;chnlid=1931&amp;title=Integration%20Data%20Engineer%2C%20Mulesoft&amp;a=e&amp;urlHash=9W6j")</f>
        <v/>
      </c>
      <c r="G48" t="inlineStr">
        <is>
          <t>Philadelphia, PA</t>
        </is>
      </c>
      <c r="H48" t="inlineStr"/>
      <c r="I48" t="inlineStr">
        <is>
          <t>**Diverse Experiences. A Shared Passion.**
 At Annexus Health, we are a team of dedicated professionals with backgrounds in life sciences, healthcare software technology development, and the healthcare provider setting. While we approach our work from different angles, we are united by our commitment to reducing financial and administrative burdens across the patient access journey to improve access to care and combat financial toxicity at both the patient level and the healthcare provider level.
**Integration Data Engineer**
 We are seeking a highly driven Integration Data Engineer to join our Data Engineering team and contribute to building our customer\-facing web application as a key member of the cross\-functional development team. Our ideal candidate is looking for a role in a dynamic, fast\-paced environment, is motivated by challenges, and loves to see innovative ideas transform through technology into tangible, finished products.
 If the Annexus Health mission resonates with you, and you believe your work is ultimately about helping solve larger problems in the wider community, we’d love to talk with you!
**What You Will Do**
* Implement the layer of data APIs that loads data into the data lake in real time to support streaming pipelines
* Develop and maintain several interfaces that allow patient ingestion into our application
* Discuss our approach to interfacing with vendors, existing customers, and customers still in the sales cycle
* Work with a variety of vendors using modern technologies to receive, transmit, and ingest data
* Work in cross\-functional teams in collaboration with data analysts and data product owners to build healthcare data product solutions
* Build and deliver great software while maintaining a clear understanding and vision of the customers’ needs
* Collaborate with team members toward effective solutions during all stages of the project
* Maintain the project momentum through timely communication and problem\-solving with all stakeholders
* Help your team, the customer, and the company constantly get better
**About You**
* 2\-7 years of experience with building and supporting streaming pipelines and API framework development
* 2\-3 years of experience with cloud\-hosted solutions, Azure (preferred) or AWS
* Healthcare integration experience and knowledge of HL7 is a big plus
* A passion for great outcomes, software development, and learning
* Excellent problem\-solving skills
* Effective communication skills
* Experience with Mirth, MuleSoft, or similar integration tools
* Experience with development technologies (Python, Spark, SQL Server, JavaScript, DataWeave, etc)
* Familiarity with DevOps practices and CI/CD best practices
* Databricks and DLT pipelines experience is a plus
* Experience building cloud\-hosted solutions
* Ability/desire to thrive in a service\-oriented culture
* Quick and deep learner
* Driven to make a difference
* Love to have fun!
 Annexus Health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Read more about the Annexus Health culture at annexushealth.com/about/.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2026-01-11T21:03:05Z</dcterms:created>
  <dcterms:modified xsi:type="dcterms:W3CDTF">2026-01-11T21:03:05Z</dcterms:modified>
</cp:coreProperties>
</file>