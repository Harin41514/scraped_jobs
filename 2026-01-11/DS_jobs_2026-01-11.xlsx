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in-a12e2b9274bc47e1</t>
        </is>
      </c>
      <c r="B2" t="inlineStr">
        <is>
          <t>Senior Applied Scientist, Sponsored Products and Brands</t>
        </is>
      </c>
      <c r="C2" t="inlineStr">
        <is>
          <t>Amazon.com</t>
        </is>
      </c>
      <c r="D2" t="inlineStr">
        <is>
          <t>indeed</t>
        </is>
      </c>
      <c r="E2" t="inlineStr"/>
      <c r="F2" t="inlineStr"/>
      <c r="G2" t="inlineStr">
        <is>
          <t>New York, NY, US</t>
        </is>
      </c>
      <c r="H2" s="2" t="n">
        <v>45979</v>
      </c>
      <c r="I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in-e07bd28fe30c0aef</t>
        </is>
      </c>
      <c r="B3" t="inlineStr">
        <is>
          <t>Senior Applied Scientist, Sponsored Products and Brands</t>
        </is>
      </c>
      <c r="C3" t="inlineStr">
        <is>
          <t>Amazon.com</t>
        </is>
      </c>
      <c r="D3" t="inlineStr">
        <is>
          <t>indeed</t>
        </is>
      </c>
      <c r="E3" t="inlineStr"/>
      <c r="F3" t="inlineStr"/>
      <c r="G3" t="inlineStr">
        <is>
          <t>Seattle, WA, US</t>
        </is>
      </c>
      <c r="H3" s="2" t="n">
        <v>45979</v>
      </c>
      <c r="I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in-9b0655285e56dea5</t>
        </is>
      </c>
      <c r="B4" t="inlineStr">
        <is>
          <t>Sr. Applied Scientist, AGI Foundations</t>
        </is>
      </c>
      <c r="C4" t="inlineStr">
        <is>
          <t>Amazon.com</t>
        </is>
      </c>
      <c r="D4" t="inlineStr">
        <is>
          <t>indeed</t>
        </is>
      </c>
      <c r="E4" t="inlineStr"/>
      <c r="F4" t="inlineStr"/>
      <c r="G4" t="inlineStr">
        <is>
          <t>Sunnyvale, CA,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in-0d108524b87f5f3c</t>
        </is>
      </c>
      <c r="B5" t="inlineStr">
        <is>
          <t>Sr. Applied Scientist, AGI Foundations</t>
        </is>
      </c>
      <c r="C5" t="inlineStr">
        <is>
          <t>Amazon.com</t>
        </is>
      </c>
      <c r="D5" t="inlineStr">
        <is>
          <t>indeed</t>
        </is>
      </c>
      <c r="E5" t="inlineStr"/>
      <c r="F5" t="inlineStr"/>
      <c r="G5" t="inlineStr">
        <is>
          <t>Bellevue, WA,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in-450f77082fdcdbee</t>
        </is>
      </c>
      <c r="B6" t="inlineStr">
        <is>
          <t>Sr. Applied Scientist, AGI Foundations</t>
        </is>
      </c>
      <c r="C6" t="inlineStr">
        <is>
          <t>Amazon.com</t>
        </is>
      </c>
      <c r="D6" t="inlineStr">
        <is>
          <t>indeed</t>
        </is>
      </c>
      <c r="E6" t="inlineStr"/>
      <c r="F6" t="inlineStr"/>
      <c r="G6" t="inlineStr">
        <is>
          <t>Boston, MA,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in-371b57266b8e6de9</t>
        </is>
      </c>
      <c r="B7" t="inlineStr">
        <is>
          <t>Sr. Applied Scientist, AGI Foundations</t>
        </is>
      </c>
      <c r="C7" t="inlineStr">
        <is>
          <t>Amazon.com</t>
        </is>
      </c>
      <c r="D7" t="inlineStr">
        <is>
          <t>indeed</t>
        </is>
      </c>
      <c r="E7" t="inlineStr"/>
      <c r="F7" t="inlineStr"/>
      <c r="G7" t="inlineStr">
        <is>
          <t>New York, NY,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in-1e3f67e24e55316f</t>
        </is>
      </c>
      <c r="B8" t="inlineStr">
        <is>
          <t>Applied Scientist II, Prime Video Personalization and Discovery Science</t>
        </is>
      </c>
      <c r="C8" t="inlineStr">
        <is>
          <t>Amazon.com</t>
        </is>
      </c>
      <c r="D8" t="inlineStr">
        <is>
          <t>indeed</t>
        </is>
      </c>
      <c r="E8" t="inlineStr"/>
      <c r="F8" t="inlineStr"/>
      <c r="G8" t="inlineStr">
        <is>
          <t>Seattle, WA, US</t>
        </is>
      </c>
      <c r="H8" s="2" t="n">
        <v>45978</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in-c387ad4b667a47b4</t>
        </is>
      </c>
      <c r="B9" t="inlineStr">
        <is>
          <t>Applied Scientist II, Prime Video Personalization and Discovery Science</t>
        </is>
      </c>
      <c r="C9" t="inlineStr">
        <is>
          <t>Amazon.com</t>
        </is>
      </c>
      <c r="D9" t="inlineStr">
        <is>
          <t>indeed</t>
        </is>
      </c>
      <c r="E9" t="inlineStr"/>
      <c r="F9" t="inlineStr"/>
      <c r="G9" t="inlineStr">
        <is>
          <t>Sunnyvale, CA, US</t>
        </is>
      </c>
      <c r="H9" s="2" t="n">
        <v>45978</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in-ae4d15e0380105e6</t>
        </is>
      </c>
      <c r="B10" t="inlineStr">
        <is>
          <t>Applied Scientist II, Prime Video Personalization and Discovery Science</t>
        </is>
      </c>
      <c r="C10" t="inlineStr">
        <is>
          <t>Amazon.com</t>
        </is>
      </c>
      <c r="D10" t="inlineStr">
        <is>
          <t>indeed</t>
        </is>
      </c>
      <c r="E10" t="inlineStr"/>
      <c r="F10" t="inlineStr"/>
      <c r="G10" t="inlineStr">
        <is>
          <t>New York, NY, US</t>
        </is>
      </c>
      <c r="H10" s="2" t="n">
        <v>45978</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in-aeb438ad5afb1015</t>
        </is>
      </c>
      <c r="B11" t="inlineStr">
        <is>
          <t>Sr. Applied Scientist, AGI Foundations</t>
        </is>
      </c>
      <c r="C11" t="inlineStr">
        <is>
          <t>Amazon.com</t>
        </is>
      </c>
      <c r="D11" t="inlineStr">
        <is>
          <t>indeed</t>
        </is>
      </c>
      <c r="E11" t="inlineStr"/>
      <c r="F11" t="inlineStr"/>
      <c r="G11" t="inlineStr">
        <is>
          <t>New York, NY, US</t>
        </is>
      </c>
      <c r="H11" s="2" t="n">
        <v>45963</v>
      </c>
      <c r="I1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in-adba847e4eb1c039</t>
        </is>
      </c>
      <c r="B12" t="inlineStr">
        <is>
          <t>Sr. Applied Scientist, AGI Foundations</t>
        </is>
      </c>
      <c r="C12" t="inlineStr">
        <is>
          <t>Amazon.com</t>
        </is>
      </c>
      <c r="D12" t="inlineStr">
        <is>
          <t>indeed</t>
        </is>
      </c>
      <c r="E12" t="inlineStr"/>
      <c r="F12" t="inlineStr"/>
      <c r="G12" t="inlineStr">
        <is>
          <t>Bellevue, WA, US</t>
        </is>
      </c>
      <c r="H12" s="2" t="n">
        <v>45963</v>
      </c>
      <c r="I1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in-b1c24b2e50bd1f78</t>
        </is>
      </c>
      <c r="B13" t="inlineStr">
        <is>
          <t>Sr. Applied Scientist, AGI Foundations</t>
        </is>
      </c>
      <c r="C13" t="inlineStr">
        <is>
          <t>Amazon.com</t>
        </is>
      </c>
      <c r="D13" t="inlineStr">
        <is>
          <t>indeed</t>
        </is>
      </c>
      <c r="E13" t="inlineStr"/>
      <c r="F13" t="inlineStr"/>
      <c r="G13" t="inlineStr">
        <is>
          <t>Boston, MA, US</t>
        </is>
      </c>
      <c r="H13" s="2" t="n">
        <v>45963</v>
      </c>
      <c r="I1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in-956abfbf5adf1a9e</t>
        </is>
      </c>
      <c r="B14" t="inlineStr">
        <is>
          <t>Applied Scientist II, Prime Video - Personalization and Discovery Science, Personalization and Discovery Science</t>
        </is>
      </c>
      <c r="C14" t="inlineStr">
        <is>
          <t>Amazon.com</t>
        </is>
      </c>
      <c r="D14" t="inlineStr">
        <is>
          <t>indeed</t>
        </is>
      </c>
      <c r="E14" t="inlineStr"/>
      <c r="F14" t="inlineStr"/>
      <c r="G14" t="inlineStr">
        <is>
          <t>New York, NY, US</t>
        </is>
      </c>
      <c r="H14" s="2"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in-56673de75426b345</t>
        </is>
      </c>
      <c r="B15" t="inlineStr">
        <is>
          <t>Applied Scientist II, Prime Video - Personalization and Discovery Science, Personalization and Discovery Science</t>
        </is>
      </c>
      <c r="C15" t="inlineStr">
        <is>
          <t>Amazon.com</t>
        </is>
      </c>
      <c r="D15" t="inlineStr">
        <is>
          <t>indeed</t>
        </is>
      </c>
      <c r="E15" t="inlineStr"/>
      <c r="F15" t="inlineStr"/>
      <c r="G15" t="inlineStr">
        <is>
          <t>Seattle, WA, US</t>
        </is>
      </c>
      <c r="H15" s="2"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in-9c9e01c66b5a40e3</t>
        </is>
      </c>
      <c r="B16" t="inlineStr">
        <is>
          <t>Applied Scientist II, Prime Video - Personalization and Discovery Science, Personalization and Discovery Science</t>
        </is>
      </c>
      <c r="C16" t="inlineStr">
        <is>
          <t>Amazon.com</t>
        </is>
      </c>
      <c r="D16" t="inlineStr">
        <is>
          <t>indeed</t>
        </is>
      </c>
      <c r="E16" t="inlineStr"/>
      <c r="F16" t="inlineStr"/>
      <c r="G16" t="inlineStr">
        <is>
          <t>Sunnyvale, CA, US</t>
        </is>
      </c>
      <c r="H16" s="2"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in-aeb64c39c3e884c2</t>
        </is>
      </c>
      <c r="B17" t="inlineStr">
        <is>
          <t>Applied Scientist II, Prime Video - Personalization and Discovery Science</t>
        </is>
      </c>
      <c r="C17" t="inlineStr">
        <is>
          <t>Amazon.com</t>
        </is>
      </c>
      <c r="D17" t="inlineStr">
        <is>
          <t>indeed</t>
        </is>
      </c>
      <c r="E17" t="inlineStr"/>
      <c r="F17" t="inlineStr"/>
      <c r="G17" t="inlineStr">
        <is>
          <t>New York, NY, US</t>
        </is>
      </c>
      <c r="H17" s="2" t="n">
        <v>45915</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in-f6c6037ca9c0519b</t>
        </is>
      </c>
      <c r="B18" t="inlineStr">
        <is>
          <t>Applied Scientist II, Prime Video - Personalization and Discovery Science</t>
        </is>
      </c>
      <c r="C18" t="inlineStr">
        <is>
          <t>Amazon.com</t>
        </is>
      </c>
      <c r="D18" t="inlineStr">
        <is>
          <t>indeed</t>
        </is>
      </c>
      <c r="E18" t="inlineStr"/>
      <c r="F18" t="inlineStr"/>
      <c r="G18" t="inlineStr">
        <is>
          <t>Sunnyvale, CA, US</t>
        </is>
      </c>
      <c r="H18" s="2" t="n">
        <v>45915</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in-c096d8a6b19366e9</t>
        </is>
      </c>
      <c r="B19" t="inlineStr">
        <is>
          <t>Applied Scientist II, Prime Video - Personalization and Discovery Science</t>
        </is>
      </c>
      <c r="C19" t="inlineStr">
        <is>
          <t>Amazon.com</t>
        </is>
      </c>
      <c r="D19" t="inlineStr">
        <is>
          <t>indeed</t>
        </is>
      </c>
      <c r="E19" t="inlineStr"/>
      <c r="F19" t="inlineStr"/>
      <c r="G19" t="inlineStr">
        <is>
          <t>Seattle, WA, US</t>
        </is>
      </c>
      <c r="H19" s="2" t="n">
        <v>45915</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in-d6b39f7afe4b6183</t>
        </is>
      </c>
      <c r="B20" t="inlineStr">
        <is>
          <t>Sr. Applied Scientist, Prime Video - Personalization and Discovery Science</t>
        </is>
      </c>
      <c r="C20" t="inlineStr">
        <is>
          <t>Amazon.com</t>
        </is>
      </c>
      <c r="D20" t="inlineStr">
        <is>
          <t>indeed</t>
        </is>
      </c>
      <c r="E20" t="inlineStr"/>
      <c r="F20" t="inlineStr"/>
      <c r="G20" t="inlineStr">
        <is>
          <t>Sunnyvale, CA, US</t>
        </is>
      </c>
      <c r="H20" s="2" t="n">
        <v>45914</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in-901ed127d7f50257</t>
        </is>
      </c>
      <c r="B21" t="inlineStr">
        <is>
          <t>Sr. Applied Scientist, Prime Video - Personalization and Discovery Science</t>
        </is>
      </c>
      <c r="C21" t="inlineStr">
        <is>
          <t>Amazon.com</t>
        </is>
      </c>
      <c r="D21" t="inlineStr">
        <is>
          <t>indeed</t>
        </is>
      </c>
      <c r="E21" t="inlineStr"/>
      <c r="F21" t="inlineStr"/>
      <c r="G21" t="inlineStr">
        <is>
          <t>New York, NY, US</t>
        </is>
      </c>
      <c r="H21" s="2" t="n">
        <v>45914</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in-3c9a76580a7b0e81</t>
        </is>
      </c>
      <c r="B22" t="inlineStr">
        <is>
          <t>Sr. Applied Scientist, Prime Video - Personalization and Discovery Science</t>
        </is>
      </c>
      <c r="C22" t="inlineStr">
        <is>
          <t>Amazon.com</t>
        </is>
      </c>
      <c r="D22" t="inlineStr">
        <is>
          <t>indeed</t>
        </is>
      </c>
      <c r="E22" t="inlineStr"/>
      <c r="F22" t="inlineStr"/>
      <c r="G22" t="inlineStr">
        <is>
          <t>Seattle, WA, US</t>
        </is>
      </c>
      <c r="H22" s="2" t="n">
        <v>45914</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in-79e1af8c9a79d77b</t>
        </is>
      </c>
      <c r="B23" t="inlineStr">
        <is>
          <t>Senior Applied Scientist, Artificial General Intelligence</t>
        </is>
      </c>
      <c r="C23" t="inlineStr">
        <is>
          <t>Amazon.com</t>
        </is>
      </c>
      <c r="D23" t="inlineStr">
        <is>
          <t>indeed</t>
        </is>
      </c>
      <c r="E23" t="inlineStr"/>
      <c r="F23" t="inlineStr"/>
      <c r="G23" t="inlineStr">
        <is>
          <t>New York, NY, US</t>
        </is>
      </c>
      <c r="H23" s="2" t="n">
        <v>45907</v>
      </c>
      <c r="I2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in-79e3c62e9671615f</t>
        </is>
      </c>
      <c r="B24" t="inlineStr">
        <is>
          <t>Senior Applied Scientist, Artificial General Intelligence</t>
        </is>
      </c>
      <c r="C24" t="inlineStr">
        <is>
          <t>Amazon.com</t>
        </is>
      </c>
      <c r="D24" t="inlineStr">
        <is>
          <t>indeed</t>
        </is>
      </c>
      <c r="E24" t="inlineStr"/>
      <c r="F24" t="inlineStr"/>
      <c r="G24" t="inlineStr">
        <is>
          <t>Sunnyvale, CA, US</t>
        </is>
      </c>
      <c r="H24" s="2" t="n">
        <v>45907</v>
      </c>
      <c r="I2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in-581e92406602bd00</t>
        </is>
      </c>
      <c r="B25" t="inlineStr">
        <is>
          <t>Senior Applied Scientist, Artificial General Intelligence</t>
        </is>
      </c>
      <c r="C25" t="inlineStr">
        <is>
          <t>Amazon.com</t>
        </is>
      </c>
      <c r="D25" t="inlineStr">
        <is>
          <t>indeed</t>
        </is>
      </c>
      <c r="E25" t="inlineStr"/>
      <c r="F25" t="inlineStr"/>
      <c r="G25" t="inlineStr">
        <is>
          <t>Bellevue, WA, US</t>
        </is>
      </c>
      <c r="H25" s="2" t="n">
        <v>45907</v>
      </c>
      <c r="I2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in-a803248db3a3ea88</t>
        </is>
      </c>
      <c r="B26" t="inlineStr">
        <is>
          <t>Senior Applied Scientist, Artificial General Intelligence</t>
        </is>
      </c>
      <c r="C26" t="inlineStr">
        <is>
          <t>Amazon.com</t>
        </is>
      </c>
      <c r="D26" t="inlineStr">
        <is>
          <t>indeed</t>
        </is>
      </c>
      <c r="E26" t="inlineStr"/>
      <c r="F26" t="inlineStr"/>
      <c r="G26" t="inlineStr">
        <is>
          <t>Cambridge, MA, US</t>
        </is>
      </c>
      <c r="H26" s="2" t="n">
        <v>45907</v>
      </c>
      <c r="I2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in-db75f1319e9150f8</t>
        </is>
      </c>
      <c r="B27" t="inlineStr">
        <is>
          <t>Sr. Applied Scientist, Prime Video - Personalization and Discovery Science</t>
        </is>
      </c>
      <c r="C27" t="inlineStr">
        <is>
          <t>Amazon.com</t>
        </is>
      </c>
      <c r="D27" t="inlineStr">
        <is>
          <t>indeed</t>
        </is>
      </c>
      <c r="E27" t="inlineStr"/>
      <c r="F27" t="inlineStr"/>
      <c r="G27" t="inlineStr">
        <is>
          <t>Seattle, WA, US</t>
        </is>
      </c>
      <c r="H27" s="2" t="n">
        <v>45896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in-fbdb64d6df7b9eef</t>
        </is>
      </c>
      <c r="B28" t="inlineStr">
        <is>
          <t>Sr. Applied Scientist, Prime Video - Personalization and Discovery Science</t>
        </is>
      </c>
      <c r="C28" t="inlineStr">
        <is>
          <t>Amazon.com</t>
        </is>
      </c>
      <c r="D28" t="inlineStr">
        <is>
          <t>indeed</t>
        </is>
      </c>
      <c r="E28" t="inlineStr"/>
      <c r="F28" t="inlineStr"/>
      <c r="G28" t="inlineStr">
        <is>
          <t>Sunnyvale, CA, US</t>
        </is>
      </c>
      <c r="H28" s="2" t="n">
        <v>45896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in-e3dccd5023d66179</t>
        </is>
      </c>
      <c r="B29" t="inlineStr">
        <is>
          <t>Sr. Applied Scientist, Prime Video - Personalization and Discovery Science</t>
        </is>
      </c>
      <c r="C29" t="inlineStr">
        <is>
          <t>Amazon.com</t>
        </is>
      </c>
      <c r="D29" t="inlineStr">
        <is>
          <t>indeed</t>
        </is>
      </c>
      <c r="E29" t="inlineStr"/>
      <c r="F29" t="inlineStr"/>
      <c r="G29" t="inlineStr">
        <is>
          <t>New York, NY, US</t>
        </is>
      </c>
      <c r="H29" s="2" t="n">
        <v>45896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in-0f9023d0b9ef0b4b</t>
        </is>
      </c>
      <c r="B30" t="inlineStr">
        <is>
          <t>Sr. Applied Scientist, Prime Video - Personalization and Discovery Science</t>
        </is>
      </c>
      <c r="C30" t="inlineStr">
        <is>
          <t>Amazon.com</t>
        </is>
      </c>
      <c r="D30" t="inlineStr">
        <is>
          <t>indeed</t>
        </is>
      </c>
      <c r="E30" t="inlineStr"/>
      <c r="F30" t="inlineStr"/>
      <c r="G30" t="inlineStr">
        <is>
          <t>Seattle, WA,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in-966ce63030359e0b</t>
        </is>
      </c>
      <c r="B31" t="inlineStr">
        <is>
          <t>Sr. Applied Scientist, Prime Video - Personalization and Discovery Science</t>
        </is>
      </c>
      <c r="C31" t="inlineStr">
        <is>
          <t>Amazon.com</t>
        </is>
      </c>
      <c r="D31" t="inlineStr">
        <is>
          <t>indeed</t>
        </is>
      </c>
      <c r="E31" t="inlineStr"/>
      <c r="F31" t="inlineStr"/>
      <c r="G31" t="inlineStr">
        <is>
          <t>New York, NY,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in-92a24cd82a1bfc6d</t>
        </is>
      </c>
      <c r="B32" t="inlineStr">
        <is>
          <t>Applied Scientist II, Prime Video - Personalization and Discovery Science, Personalization and Discovery Science</t>
        </is>
      </c>
      <c r="C32" t="inlineStr">
        <is>
          <t>Amazon.com</t>
        </is>
      </c>
      <c r="D32" t="inlineStr">
        <is>
          <t>indeed</t>
        </is>
      </c>
      <c r="E32" t="inlineStr"/>
      <c r="F32" t="inlineStr"/>
      <c r="G32" t="inlineStr">
        <is>
          <t>Seattle, WA,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in-0db6f3d1d3f7cde1</t>
        </is>
      </c>
      <c r="B33" t="inlineStr">
        <is>
          <t>Applied Scientist II, Prime Video - Personalization and Discovery Science, Personalization and Discovery Science</t>
        </is>
      </c>
      <c r="C33" t="inlineStr">
        <is>
          <t>Amazon.com</t>
        </is>
      </c>
      <c r="D33" t="inlineStr">
        <is>
          <t>indeed</t>
        </is>
      </c>
      <c r="E33" t="inlineStr"/>
      <c r="F33" t="inlineStr"/>
      <c r="G33" t="inlineStr">
        <is>
          <t>New York, NY,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in-647b50f90a0dd5b1</t>
        </is>
      </c>
      <c r="B34" t="inlineStr">
        <is>
          <t>Applied Scientist II, Prime Video - Personalization and Discovery Science, Personalization and Discovery Science</t>
        </is>
      </c>
      <c r="C34" t="inlineStr">
        <is>
          <t>Amazon.com</t>
        </is>
      </c>
      <c r="D34" t="inlineStr">
        <is>
          <t>indeed</t>
        </is>
      </c>
      <c r="E34" t="inlineStr"/>
      <c r="F34" t="inlineStr"/>
      <c r="G34" t="inlineStr">
        <is>
          <t>Sunnyvale, CA, US</t>
        </is>
      </c>
      <c r="H34" s="2" t="n">
        <v>45886</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in-d20dfb6f903f4e9a</t>
        </is>
      </c>
      <c r="B35" t="inlineStr">
        <is>
          <t>Sr. Applied Scientist, Prime Video - Personalization and Discovery Science</t>
        </is>
      </c>
      <c r="C35" t="inlineStr">
        <is>
          <t>Amazon.com</t>
        </is>
      </c>
      <c r="D35" t="inlineStr">
        <is>
          <t>indeed</t>
        </is>
      </c>
      <c r="E35" t="inlineStr"/>
      <c r="F35" t="inlineStr"/>
      <c r="G35" t="inlineStr">
        <is>
          <t>Sunnyvale, CA, US</t>
        </is>
      </c>
      <c r="H35" s="2" t="n">
        <v>45886</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in-b9b11ff724ad46c9</t>
        </is>
      </c>
      <c r="B36" t="inlineStr">
        <is>
          <t>Sr. Applied Scientist, Prime Video - Personalization and Discovery Science</t>
        </is>
      </c>
      <c r="C36" t="inlineStr">
        <is>
          <t>Amazon.com</t>
        </is>
      </c>
      <c r="D36" t="inlineStr">
        <is>
          <t>indeed</t>
        </is>
      </c>
      <c r="E36" t="inlineStr"/>
      <c r="F36" t="inlineStr"/>
      <c r="G36" t="inlineStr">
        <is>
          <t>Seattle, WA,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in-5bfc4d129bfef1dd</t>
        </is>
      </c>
      <c r="B37" t="inlineStr">
        <is>
          <t>Sr. Applied Scientist, Prime Video - Personalization and Discovery Science</t>
        </is>
      </c>
      <c r="C37" t="inlineStr">
        <is>
          <t>Amazon.com</t>
        </is>
      </c>
      <c r="D37" t="inlineStr">
        <is>
          <t>indeed</t>
        </is>
      </c>
      <c r="E37" t="inlineStr"/>
      <c r="F37" t="inlineStr"/>
      <c r="G37" t="inlineStr">
        <is>
          <t>Sunnyvale, CA,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in-78b33151d2bd616a</t>
        </is>
      </c>
      <c r="B38" t="inlineStr">
        <is>
          <t>Sr. Applied Scientist, Prime Video - Personalization and Discovery Science</t>
        </is>
      </c>
      <c r="C38" t="inlineStr">
        <is>
          <t>Amazon.com</t>
        </is>
      </c>
      <c r="D38" t="inlineStr">
        <is>
          <t>indeed</t>
        </is>
      </c>
      <c r="E38" t="inlineStr"/>
      <c r="F38" t="inlineStr"/>
      <c r="G38" t="inlineStr">
        <is>
          <t>New York, NY,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in-3fd731962ed36c45</t>
        </is>
      </c>
      <c r="B39" t="inlineStr">
        <is>
          <t>Applied Scientist II, Prime Video - Personalization and Discovery Science</t>
        </is>
      </c>
      <c r="C39" t="inlineStr">
        <is>
          <t>Amazon.com</t>
        </is>
      </c>
      <c r="D39" t="inlineStr">
        <is>
          <t>indeed</t>
        </is>
      </c>
      <c r="E39" t="inlineStr"/>
      <c r="F39" t="inlineStr"/>
      <c r="G39" t="inlineStr">
        <is>
          <t>New York, NY,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in-c06336c10a4317b8</t>
        </is>
      </c>
      <c r="B40" t="inlineStr">
        <is>
          <t>Applied Scientist II, Prime Video - Personalization and Discovery Science</t>
        </is>
      </c>
      <c r="C40" t="inlineStr">
        <is>
          <t>Amazon.com</t>
        </is>
      </c>
      <c r="D40" t="inlineStr">
        <is>
          <t>indeed</t>
        </is>
      </c>
      <c r="E40" t="inlineStr"/>
      <c r="F40" t="inlineStr"/>
      <c r="G40" t="inlineStr">
        <is>
          <t>Sunnyvale, CA,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in-9ae4798d9a28c83f</t>
        </is>
      </c>
      <c r="B41" t="inlineStr">
        <is>
          <t>Applied Scientist II, Prime Video - Personalization and Discovery Science</t>
        </is>
      </c>
      <c r="C41" t="inlineStr">
        <is>
          <t>Amazon.com</t>
        </is>
      </c>
      <c r="D41" t="inlineStr">
        <is>
          <t>indeed</t>
        </is>
      </c>
      <c r="E41" t="inlineStr"/>
      <c r="F41" t="inlineStr"/>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in-e810096f2a7b7ebe</t>
        </is>
      </c>
      <c r="B42" t="inlineStr">
        <is>
          <t>Applied Scientist II, Prime Video Personalization and Discovery Science</t>
        </is>
      </c>
      <c r="C42" t="inlineStr">
        <is>
          <t>Amazon.com</t>
        </is>
      </c>
      <c r="D42" t="inlineStr">
        <is>
          <t>indeed</t>
        </is>
      </c>
      <c r="E42" t="inlineStr"/>
      <c r="F42" t="inlineStr"/>
      <c r="G42" t="inlineStr">
        <is>
          <t>Sunnyvale, CA,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in-29aa83d365b68fa8</t>
        </is>
      </c>
      <c r="B43" t="inlineStr">
        <is>
          <t>Applied Scientist II, Prime Video Personalization and Discovery Science</t>
        </is>
      </c>
      <c r="C43" t="inlineStr">
        <is>
          <t>Amazon.com</t>
        </is>
      </c>
      <c r="D43" t="inlineStr">
        <is>
          <t>indeed</t>
        </is>
      </c>
      <c r="E43" t="inlineStr"/>
      <c r="F43" t="inlineStr"/>
      <c r="G43" t="inlineStr">
        <is>
          <t>New York, NY,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in-137dac00296866f6</t>
        </is>
      </c>
      <c r="B44" t="inlineStr">
        <is>
          <t>Applied Scientist II, Prime Video Personalization and Discovery Science</t>
        </is>
      </c>
      <c r="C44" t="inlineStr">
        <is>
          <t>Amazon.com</t>
        </is>
      </c>
      <c r="D44" t="inlineStr">
        <is>
          <t>indeed</t>
        </is>
      </c>
      <c r="E44" t="inlineStr"/>
      <c r="F44" t="inlineStr"/>
      <c r="G44" t="inlineStr">
        <is>
          <t>Seattle, WA,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in-fd5efec70df0a487</t>
        </is>
      </c>
      <c r="B45" t="inlineStr">
        <is>
          <t>Applied Scientist, Prime Video - Personalization and Discovery Science</t>
        </is>
      </c>
      <c r="C45" t="inlineStr">
        <is>
          <t>Amazon.com</t>
        </is>
      </c>
      <c r="D45" t="inlineStr">
        <is>
          <t>indeed</t>
        </is>
      </c>
      <c r="E45" t="inlineStr"/>
      <c r="F45" t="inlineStr"/>
      <c r="G45" t="inlineStr">
        <is>
          <t>Seattle, WA,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in-44a240f9e371dd98</t>
        </is>
      </c>
      <c r="B46" t="inlineStr">
        <is>
          <t>Applied Scientist, Prime Video - Personalization and Discovery Science</t>
        </is>
      </c>
      <c r="C46" t="inlineStr">
        <is>
          <t>Amazon.com</t>
        </is>
      </c>
      <c r="D46" t="inlineStr">
        <is>
          <t>indeed</t>
        </is>
      </c>
      <c r="E46" t="inlineStr"/>
      <c r="F46" t="inlineStr"/>
      <c r="G46" t="inlineStr">
        <is>
          <t>New York, NY,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in-78b77bb34ee25457</t>
        </is>
      </c>
      <c r="B47" t="inlineStr">
        <is>
          <t>Applied Scientist, Prime Video - Personalization and Discovery Science</t>
        </is>
      </c>
      <c r="C47" t="inlineStr">
        <is>
          <t>Amazon.com</t>
        </is>
      </c>
      <c r="D47" t="inlineStr">
        <is>
          <t>indeed</t>
        </is>
      </c>
      <c r="E47" t="inlineStr"/>
      <c r="F47" t="inlineStr"/>
      <c r="G47" t="inlineStr">
        <is>
          <t>Sunnyvale, CA,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in-18c33f56d0458b55</t>
        </is>
      </c>
      <c r="B48" t="inlineStr">
        <is>
          <t>Sr. Data Scientist, Amazon Leo Global Planning, Amazon Leo</t>
        </is>
      </c>
      <c r="C48" t="inlineStr">
        <is>
          <t>Amazon.com</t>
        </is>
      </c>
      <c r="D48" t="inlineStr">
        <is>
          <t>indeed</t>
        </is>
      </c>
      <c r="E48" t="inlineStr"/>
      <c r="F48" t="inlineStr"/>
      <c r="G48" t="inlineStr">
        <is>
          <t>Redmond, WA, US</t>
        </is>
      </c>
      <c r="H48" s="2" t="n">
        <v>45830</v>
      </c>
      <c r="I4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in-610f699bbdb3012c</t>
        </is>
      </c>
      <c r="B49" t="inlineStr">
        <is>
          <t>Sr. Data Scientist, Amazon Leo Global Planning, Amazon Leo</t>
        </is>
      </c>
      <c r="C49" t="inlineStr">
        <is>
          <t>Amazon.com</t>
        </is>
      </c>
      <c r="D49" t="inlineStr">
        <is>
          <t>indeed</t>
        </is>
      </c>
      <c r="E49" t="inlineStr"/>
      <c r="F49" t="inlineStr"/>
      <c r="G49" t="inlineStr">
        <is>
          <t>Bellevue, WA, US</t>
        </is>
      </c>
      <c r="H49" s="2" t="n">
        <v>45830</v>
      </c>
      <c r="I4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in-eab6c5db9d13c6eb</t>
        </is>
      </c>
      <c r="B50" t="inlineStr">
        <is>
          <t>Sr. Applied Scientist, Prime Video - Personalization and Discovery Science</t>
        </is>
      </c>
      <c r="C50" t="inlineStr">
        <is>
          <t>Amazon.com</t>
        </is>
      </c>
      <c r="D50" t="inlineStr">
        <is>
          <t>indeed</t>
        </is>
      </c>
      <c r="E50" t="inlineStr"/>
      <c r="F50" t="inlineStr"/>
      <c r="G50" t="inlineStr">
        <is>
          <t>Sunnyvale, CA, US</t>
        </is>
      </c>
      <c r="H50" s="2" t="n">
        <v>45819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in-584afe32da6619ca</t>
        </is>
      </c>
      <c r="B51" t="inlineStr">
        <is>
          <t>Sr. Applied Scientist, Prime Video - Personalization and Discovery Science</t>
        </is>
      </c>
      <c r="C51" t="inlineStr">
        <is>
          <t>Amazon.com</t>
        </is>
      </c>
      <c r="D51" t="inlineStr">
        <is>
          <t>indeed</t>
        </is>
      </c>
      <c r="E51" t="inlineStr"/>
      <c r="F51" t="inlineStr"/>
      <c r="G51" t="inlineStr">
        <is>
          <t>Seattle, WA, US</t>
        </is>
      </c>
      <c r="H51" s="2" t="n">
        <v>45819</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in-656958ba42e2054e</t>
        </is>
      </c>
      <c r="B52" t="inlineStr">
        <is>
          <t>Applied Scientist, Skill Builder, AWS Training and Certifications</t>
        </is>
      </c>
      <c r="C52" t="inlineStr">
        <is>
          <t>Amazon Web Services</t>
        </is>
      </c>
      <c r="D52" t="inlineStr">
        <is>
          <t>indeed</t>
        </is>
      </c>
      <c r="E52" t="inlineStr"/>
      <c r="F52" t="inlineStr"/>
      <c r="G52" t="inlineStr">
        <is>
          <t>Arlington, VA, US</t>
        </is>
      </c>
      <c r="H52" s="2" t="n">
        <v>46000</v>
      </c>
      <c r="I5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in-a8b3e1e4e2a32ea8</t>
        </is>
      </c>
      <c r="B53" t="inlineStr">
        <is>
          <t>Applied Scientist, Skill Builder, AWS Training and Certifications</t>
        </is>
      </c>
      <c r="C53" t="inlineStr">
        <is>
          <t>Amazon Web Services</t>
        </is>
      </c>
      <c r="D53" t="inlineStr">
        <is>
          <t>indeed</t>
        </is>
      </c>
      <c r="E53" t="inlineStr"/>
      <c r="F53" t="inlineStr"/>
      <c r="G53" t="inlineStr">
        <is>
          <t>Seattle, WA,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in-378b1db4768e5350</t>
        </is>
      </c>
      <c r="B54" t="inlineStr">
        <is>
          <t>Applied Scientist, Skill Builder, AWS Training and Certifications</t>
        </is>
      </c>
      <c r="C54" t="inlineStr">
        <is>
          <t>Amazon Web Services</t>
        </is>
      </c>
      <c r="D54" t="inlineStr">
        <is>
          <t>indeed</t>
        </is>
      </c>
      <c r="E54" t="inlineStr"/>
      <c r="F54" t="inlineStr"/>
      <c r="G54" t="inlineStr">
        <is>
          <t>Bellevue, WA,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in-afb1907c11ee437e</t>
        </is>
      </c>
      <c r="B55" t="inlineStr">
        <is>
          <t>Senior Applied Scientist, Artificial General Intelligence</t>
        </is>
      </c>
      <c r="C55" t="inlineStr">
        <is>
          <t>Amazon.com</t>
        </is>
      </c>
      <c r="D55" t="inlineStr">
        <is>
          <t>indeed</t>
        </is>
      </c>
      <c r="E55" t="inlineStr"/>
      <c r="F55" t="inlineStr"/>
      <c r="G55" t="inlineStr">
        <is>
          <t>New York, NY, US</t>
        </is>
      </c>
      <c r="H55" s="2" t="n">
        <v>45980</v>
      </c>
      <c r="I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in-6cc4cdeec3e7d70c</t>
        </is>
      </c>
      <c r="B56" t="inlineStr">
        <is>
          <t>Senior Applied Scientist, Artificial General Intelligence</t>
        </is>
      </c>
      <c r="C56" t="inlineStr">
        <is>
          <t>Amazon.com</t>
        </is>
      </c>
      <c r="D56" t="inlineStr">
        <is>
          <t>indeed</t>
        </is>
      </c>
      <c r="E56" t="inlineStr"/>
      <c r="F56" t="inlineStr"/>
      <c r="G56" t="inlineStr">
        <is>
          <t>Sunnyvale, CA, US</t>
        </is>
      </c>
      <c r="H56" s="2" t="n">
        <v>45980</v>
      </c>
      <c r="I5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in-f07985406f6b3540</t>
        </is>
      </c>
      <c r="B57" t="inlineStr">
        <is>
          <t>Principal Applied Scientist, AGI Foundations, AGI Foundations</t>
        </is>
      </c>
      <c r="C57" t="inlineStr">
        <is>
          <t>Amazon.com</t>
        </is>
      </c>
      <c r="D57" t="inlineStr">
        <is>
          <t>indeed</t>
        </is>
      </c>
      <c r="E57" t="inlineStr"/>
      <c r="F57" t="inlineStr"/>
      <c r="G57" t="inlineStr">
        <is>
          <t>New York, NY,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in-c5b8ac28343c9254</t>
        </is>
      </c>
      <c r="B58" t="inlineStr">
        <is>
          <t>Principal Applied Scientist, AGI Foundations, AGI Foundations</t>
        </is>
      </c>
      <c r="C58" t="inlineStr">
        <is>
          <t>Amazon.com</t>
        </is>
      </c>
      <c r="D58" t="inlineStr">
        <is>
          <t>indeed</t>
        </is>
      </c>
      <c r="E58" t="inlineStr"/>
      <c r="F58" t="inlineStr"/>
      <c r="G58" t="inlineStr">
        <is>
          <t>Boston, MA,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in-dcc169015d3bf193</t>
        </is>
      </c>
      <c r="B59" t="inlineStr">
        <is>
          <t>Principal Applied Scientist, AGI Foundations, AGI Foundations</t>
        </is>
      </c>
      <c r="C59" t="inlineStr">
        <is>
          <t>Amazon.com</t>
        </is>
      </c>
      <c r="D59" t="inlineStr">
        <is>
          <t>indeed</t>
        </is>
      </c>
      <c r="E59" t="inlineStr"/>
      <c r="F59" t="inlineStr"/>
      <c r="G59" t="inlineStr">
        <is>
          <t>Sunnyvale, CA, US</t>
        </is>
      </c>
      <c r="H59" s="2" t="n">
        <v>45978</v>
      </c>
      <c r="I5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in-96461263b05c3561</t>
        </is>
      </c>
      <c r="B60" t="inlineStr">
        <is>
          <t>Principal Applied Scientist, AGI Foundations, AGI Foundations</t>
        </is>
      </c>
      <c r="C60" t="inlineStr">
        <is>
          <t>Amazon.com</t>
        </is>
      </c>
      <c r="D60" t="inlineStr">
        <is>
          <t>indeed</t>
        </is>
      </c>
      <c r="E60" t="inlineStr"/>
      <c r="F60" t="inlineStr"/>
      <c r="G60" t="inlineStr">
        <is>
          <t>Bellevue, WA, US</t>
        </is>
      </c>
      <c r="H60" s="2"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in-5403d9f7332c7c72</t>
        </is>
      </c>
      <c r="B61" t="inlineStr">
        <is>
          <t>Principal Applied Scientist, Artificial General Intelligence</t>
        </is>
      </c>
      <c r="C61" t="inlineStr">
        <is>
          <t>Amazon.com</t>
        </is>
      </c>
      <c r="D61" t="inlineStr">
        <is>
          <t>indeed</t>
        </is>
      </c>
      <c r="E61" t="inlineStr"/>
      <c r="F61" t="inlineStr"/>
      <c r="G61" t="inlineStr">
        <is>
          <t>Bellevue, WA, US</t>
        </is>
      </c>
      <c r="H61" s="2" t="n">
        <v>45978</v>
      </c>
      <c r="I6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in-dcd66c49d3158cb8</t>
        </is>
      </c>
      <c r="B62" t="inlineStr">
        <is>
          <t>Principal Applied Scientist, Artificial General Intelligence</t>
        </is>
      </c>
      <c r="C62" t="inlineStr">
        <is>
          <t>Amazon.com</t>
        </is>
      </c>
      <c r="D62" t="inlineStr">
        <is>
          <t>indeed</t>
        </is>
      </c>
      <c r="E62" t="inlineStr"/>
      <c r="F62" t="inlineStr"/>
      <c r="G62" t="inlineStr">
        <is>
          <t>Seattle, WA, US</t>
        </is>
      </c>
      <c r="H62" s="2" t="n">
        <v>45978</v>
      </c>
      <c r="I6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in-3ca45b7e42b37cae</t>
        </is>
      </c>
      <c r="B63" t="inlineStr">
        <is>
          <t>Principal Applied Scientist, Artificial General Intelligence</t>
        </is>
      </c>
      <c r="C63" t="inlineStr">
        <is>
          <t>Amazon.com</t>
        </is>
      </c>
      <c r="D63" t="inlineStr">
        <is>
          <t>indeed</t>
        </is>
      </c>
      <c r="E63" t="inlineStr"/>
      <c r="F63" t="inlineStr"/>
      <c r="G63" t="inlineStr">
        <is>
          <t>Sunnyvale, CA, US</t>
        </is>
      </c>
      <c r="H63" s="2" t="n">
        <v>45978</v>
      </c>
      <c r="I6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in-4b2a8e1b7ea7f18d</t>
        </is>
      </c>
      <c r="B64" t="inlineStr">
        <is>
          <t>Principal Applied Scientist, Artificial General Intelligence</t>
        </is>
      </c>
      <c r="C64" t="inlineStr">
        <is>
          <t>Amazon.com</t>
        </is>
      </c>
      <c r="D64" t="inlineStr">
        <is>
          <t>indeed</t>
        </is>
      </c>
      <c r="E64" t="inlineStr"/>
      <c r="F64" t="inlineStr"/>
      <c r="G64" t="inlineStr">
        <is>
          <t>San Francisco, CA, US</t>
        </is>
      </c>
      <c r="H64" s="2" t="n">
        <v>45978</v>
      </c>
      <c r="I64"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in-132e0d8f566fee55</t>
        </is>
      </c>
      <c r="B65" t="inlineStr">
        <is>
          <t>Applied Scientist, Artificial General Intelligence</t>
        </is>
      </c>
      <c r="C65" t="inlineStr">
        <is>
          <t>Amazon.com</t>
        </is>
      </c>
      <c r="D65" t="inlineStr">
        <is>
          <t>indeed</t>
        </is>
      </c>
      <c r="E65" t="inlineStr"/>
      <c r="F65" t="inlineStr"/>
      <c r="G65" t="inlineStr">
        <is>
          <t>Seattle, WA, US</t>
        </is>
      </c>
      <c r="H65" s="2"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in-2d12c501f16fab86</t>
        </is>
      </c>
      <c r="B66" t="inlineStr">
        <is>
          <t>Applied Scientist, Artificial General Intelligence</t>
        </is>
      </c>
      <c r="C66" t="inlineStr">
        <is>
          <t>Amazon.com</t>
        </is>
      </c>
      <c r="D66" t="inlineStr">
        <is>
          <t>indeed</t>
        </is>
      </c>
      <c r="E66" t="inlineStr"/>
      <c r="F66" t="inlineStr"/>
      <c r="G66" t="inlineStr">
        <is>
          <t>Sunnyvale, CA, US</t>
        </is>
      </c>
      <c r="H66" s="2" t="n">
        <v>45974</v>
      </c>
      <c r="I6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in-872d5b4d4c965455</t>
        </is>
      </c>
      <c r="B67" t="inlineStr">
        <is>
          <t>Applied Scientist, Artificial General Intelligence</t>
        </is>
      </c>
      <c r="C67" t="inlineStr">
        <is>
          <t>Amazon.com</t>
        </is>
      </c>
      <c r="D67" t="inlineStr">
        <is>
          <t>indeed</t>
        </is>
      </c>
      <c r="E67" t="inlineStr"/>
      <c r="F67" t="inlineStr"/>
      <c r="G67" t="inlineStr">
        <is>
          <t>Boston, MA, US</t>
        </is>
      </c>
      <c r="H67" s="2" t="n">
        <v>45974</v>
      </c>
      <c r="I6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in-730595470a841209</t>
        </is>
      </c>
      <c r="B68" t="inlineStr">
        <is>
          <t>Senior Data Scientist, AWS Professional Services</t>
        </is>
      </c>
      <c r="C68" t="inlineStr">
        <is>
          <t>Amazon Web Services</t>
        </is>
      </c>
      <c r="D68" t="inlineStr">
        <is>
          <t>indeed</t>
        </is>
      </c>
      <c r="E68" t="inlineStr"/>
      <c r="F68" t="inlineStr"/>
      <c r="G68" t="inlineStr">
        <is>
          <t>Arlington, VA,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in-bf00be7ac52f683c</t>
        </is>
      </c>
      <c r="B69" t="inlineStr">
        <is>
          <t>Senior Data Scientist, AWS Professional Services</t>
        </is>
      </c>
      <c r="C69" t="inlineStr">
        <is>
          <t>Amazon Web Services</t>
        </is>
      </c>
      <c r="D69" t="inlineStr">
        <is>
          <t>indeed</t>
        </is>
      </c>
      <c r="E69" t="inlineStr"/>
      <c r="F69" t="inlineStr"/>
      <c r="G69" t="inlineStr">
        <is>
          <t>Irvine, CA,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in-65450ce1fa32f58e</t>
        </is>
      </c>
      <c r="B70" t="inlineStr">
        <is>
          <t>Senior Data Scientist, AWS Professional Services</t>
        </is>
      </c>
      <c r="C70" t="inlineStr">
        <is>
          <t>Amazon Web Services</t>
        </is>
      </c>
      <c r="D70" t="inlineStr">
        <is>
          <t>indeed</t>
        </is>
      </c>
      <c r="E70" t="inlineStr"/>
      <c r="F70" t="inlineStr"/>
      <c r="G70" t="inlineStr">
        <is>
          <t>Atlanta, GA,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in-5e091f35b9fa50ac</t>
        </is>
      </c>
      <c r="B71" t="inlineStr">
        <is>
          <t>Senior Data Scientist, AWS Professional Services</t>
        </is>
      </c>
      <c r="C71" t="inlineStr">
        <is>
          <t>Amazon Web Services</t>
        </is>
      </c>
      <c r="D71" t="inlineStr">
        <is>
          <t>indeed</t>
        </is>
      </c>
      <c r="E71" t="inlineStr"/>
      <c r="F71" t="inlineStr"/>
      <c r="G71" t="inlineStr">
        <is>
          <t>Dallas, TX, US</t>
        </is>
      </c>
      <c r="H71" s="2"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in-ecf096b001d66d01</t>
        </is>
      </c>
      <c r="B72" t="inlineStr">
        <is>
          <t>Senior Data Scientist, AWS Professional Services</t>
        </is>
      </c>
      <c r="C72" t="inlineStr">
        <is>
          <t>Amazon Web Services</t>
        </is>
      </c>
      <c r="D72" t="inlineStr">
        <is>
          <t>indeed</t>
        </is>
      </c>
      <c r="E72" t="inlineStr"/>
      <c r="F72" t="inlineStr"/>
      <c r="G72" t="inlineStr">
        <is>
          <t>Seattle, WA,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in-102de34690e35ae2</t>
        </is>
      </c>
      <c r="B73" t="inlineStr">
        <is>
          <t>Senior Data Scientist, AWS Professional Services</t>
        </is>
      </c>
      <c r="C73" t="inlineStr">
        <is>
          <t>Amazon Web Services</t>
        </is>
      </c>
      <c r="D73" t="inlineStr">
        <is>
          <t>indeed</t>
        </is>
      </c>
      <c r="E73" t="inlineStr"/>
      <c r="F73" t="inlineStr"/>
      <c r="G73" t="inlineStr">
        <is>
          <t>New York, NY, US</t>
        </is>
      </c>
      <c r="H73" s="2" t="n">
        <v>45972</v>
      </c>
      <c r="I7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in-99d159a3f416e5e4</t>
        </is>
      </c>
      <c r="B74" t="inlineStr">
        <is>
          <t>Senior Data Scientist, AWS Professional Services</t>
        </is>
      </c>
      <c r="C74" t="inlineStr">
        <is>
          <t>Amazon Web Services</t>
        </is>
      </c>
      <c r="D74" t="inlineStr">
        <is>
          <t>indeed</t>
        </is>
      </c>
      <c r="E74" t="inlineStr"/>
      <c r="F74" t="inlineStr"/>
      <c r="G74" t="inlineStr">
        <is>
          <t>Boston, MA, US</t>
        </is>
      </c>
      <c r="H74" s="2" t="n">
        <v>45972</v>
      </c>
      <c r="I7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in-c1c0d00657ed7184</t>
        </is>
      </c>
      <c r="B75" t="inlineStr">
        <is>
          <t>Senior Data Scientist, AWS Professional Services</t>
        </is>
      </c>
      <c r="C75" t="inlineStr">
        <is>
          <t>Amazon Web Services</t>
        </is>
      </c>
      <c r="D75" t="inlineStr">
        <is>
          <t>indeed</t>
        </is>
      </c>
      <c r="E75" t="inlineStr"/>
      <c r="F75" t="inlineStr"/>
      <c r="G75" t="inlineStr">
        <is>
          <t>Chicago, IL, US</t>
        </is>
      </c>
      <c r="H75" s="2" t="n">
        <v>45972</v>
      </c>
      <c r="I7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in-b84bbe13d7f5d62f</t>
        </is>
      </c>
      <c r="B76" t="inlineStr">
        <is>
          <t>Senior Data Scientist, AWS Professional Services</t>
        </is>
      </c>
      <c r="C76" t="inlineStr">
        <is>
          <t>Amazon Web Services</t>
        </is>
      </c>
      <c r="D76" t="inlineStr">
        <is>
          <t>indeed</t>
        </is>
      </c>
      <c r="E76" t="inlineStr"/>
      <c r="F76" t="inlineStr"/>
      <c r="G76" t="inlineStr">
        <is>
          <t>Santa Monica, CA, US</t>
        </is>
      </c>
      <c r="H76" s="2" t="n">
        <v>45972</v>
      </c>
      <c r="I7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in-fd493371ddb09920</t>
        </is>
      </c>
      <c r="B77" t="inlineStr">
        <is>
          <t>Senior Applied Scientist, Creative X - RAPID</t>
        </is>
      </c>
      <c r="C77" t="inlineStr">
        <is>
          <t>Amazon.com</t>
        </is>
      </c>
      <c r="D77" t="inlineStr">
        <is>
          <t>indeed</t>
        </is>
      </c>
      <c r="E77" t="inlineStr"/>
      <c r="F77" t="inlineStr"/>
      <c r="G77" t="inlineStr">
        <is>
          <t>Seattle, WA, US</t>
        </is>
      </c>
      <c r="H77" s="2" t="n">
        <v>45971</v>
      </c>
      <c r="I7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in-f48358a2cefdb9b8</t>
        </is>
      </c>
      <c r="B78" t="inlineStr">
        <is>
          <t>Senior Applied Scientist, Creative X - RAPID</t>
        </is>
      </c>
      <c r="C78" t="inlineStr">
        <is>
          <t>Amazon.com</t>
        </is>
      </c>
      <c r="D78" t="inlineStr">
        <is>
          <t>indeed</t>
        </is>
      </c>
      <c r="E78" t="inlineStr"/>
      <c r="F78" t="inlineStr"/>
      <c r="G78" t="inlineStr">
        <is>
          <t>New York, NY, US</t>
        </is>
      </c>
      <c r="H78" s="2" t="n">
        <v>45971</v>
      </c>
      <c r="I7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The role will focus on developing predictive creative recommendations along with insights to improve campaign performance and creative generation process. Every member of the team is expected to build customer (advertiser) facing features, contribute to the collaborative spirit within the team, publish, patent, and bring state\-of\-the\-art research to raise the bar within the team.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in-1359f663cf8350e1</t>
        </is>
      </c>
      <c r="B79" t="inlineStr">
        <is>
          <t>Applied Scientist, Sponsored Products and Brands</t>
        </is>
      </c>
      <c r="C79" t="inlineStr">
        <is>
          <t>Amazon.com</t>
        </is>
      </c>
      <c r="D79" t="inlineStr">
        <is>
          <t>indeed</t>
        </is>
      </c>
      <c r="E79" t="inlineStr"/>
      <c r="F79" t="inlineStr"/>
      <c r="G79" t="inlineStr">
        <is>
          <t>New York, NY, US</t>
        </is>
      </c>
      <c r="H79" s="2" t="n">
        <v>45965</v>
      </c>
      <c r="I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in-995f80bdb0eeea80</t>
        </is>
      </c>
      <c r="B80" t="inlineStr">
        <is>
          <t>Applied Scientist, Sponsored Products and Brands</t>
        </is>
      </c>
      <c r="C80" t="inlineStr">
        <is>
          <t>Amazon.com</t>
        </is>
      </c>
      <c r="D80" t="inlineStr">
        <is>
          <t>indeed</t>
        </is>
      </c>
      <c r="E80" t="inlineStr"/>
      <c r="F80" t="inlineStr"/>
      <c r="G80" t="inlineStr">
        <is>
          <t>Seattle, WA, US</t>
        </is>
      </c>
      <c r="H80" s="2" t="n">
        <v>45965</v>
      </c>
      <c r="I8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in-c0963b96e007dbe7</t>
        </is>
      </c>
      <c r="B81" t="inlineStr">
        <is>
          <t>Principal Applied Scientist, Amazon AGI</t>
        </is>
      </c>
      <c r="C81" t="inlineStr">
        <is>
          <t>Amazon.com</t>
        </is>
      </c>
      <c r="D81" t="inlineStr">
        <is>
          <t>indeed</t>
        </is>
      </c>
      <c r="E81" t="inlineStr"/>
      <c r="F81" t="inlineStr"/>
      <c r="G81" t="inlineStr">
        <is>
          <t>San Francisco, CA, US</t>
        </is>
      </c>
      <c r="H81" s="2" t="n">
        <v>45964</v>
      </c>
      <c r="I8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in-1f0b8d9283d74487</t>
        </is>
      </c>
      <c r="B82" t="inlineStr">
        <is>
          <t>Principal Applied Scientist, Amazon AGI</t>
        </is>
      </c>
      <c r="C82" t="inlineStr">
        <is>
          <t>Amazon.com</t>
        </is>
      </c>
      <c r="D82" t="inlineStr">
        <is>
          <t>indeed</t>
        </is>
      </c>
      <c r="E82" t="inlineStr"/>
      <c r="F82" t="inlineStr"/>
      <c r="G82" t="inlineStr">
        <is>
          <t>Boston, MA, US</t>
        </is>
      </c>
      <c r="H82" s="2" t="n">
        <v>45964</v>
      </c>
      <c r="I8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in-de9c45b7b63481c9</t>
        </is>
      </c>
      <c r="B83" t="inlineStr">
        <is>
          <t>Principal Applied Scientist, Advertiser Growth, Amazon Sponsored Products &amp; Brands</t>
        </is>
      </c>
      <c r="C83" t="inlineStr">
        <is>
          <t>Amazon.com</t>
        </is>
      </c>
      <c r="D83" t="inlineStr">
        <is>
          <t>indeed</t>
        </is>
      </c>
      <c r="E83" t="inlineStr"/>
      <c r="F83" t="inlineStr"/>
      <c r="G83" t="inlineStr">
        <is>
          <t>New York, NY, US</t>
        </is>
      </c>
      <c r="H83" s="2"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in-09d14a1e7031a4d7</t>
        </is>
      </c>
      <c r="B84" t="inlineStr">
        <is>
          <t>Principal Applied Scientist, Advertiser Growth, Amazon Sponsored Products &amp; Brands</t>
        </is>
      </c>
      <c r="C84" t="inlineStr">
        <is>
          <t>Amazon.com</t>
        </is>
      </c>
      <c r="D84" t="inlineStr">
        <is>
          <t>indeed</t>
        </is>
      </c>
      <c r="E84" t="inlineStr"/>
      <c r="F84" t="inlineStr"/>
      <c r="G84" t="inlineStr">
        <is>
          <t>Palo Alto, CA, US</t>
        </is>
      </c>
      <c r="H84" s="2" t="n">
        <v>45942</v>
      </c>
      <c r="I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in-c2133dd6ad83b46c</t>
        </is>
      </c>
      <c r="B85" t="inlineStr">
        <is>
          <t>Principal Applied Scientist, Advertiser Growth, Amazon Sponsored Products &amp; Brands</t>
        </is>
      </c>
      <c r="C85" t="inlineStr">
        <is>
          <t>Amazon.com</t>
        </is>
      </c>
      <c r="D85" t="inlineStr">
        <is>
          <t>indeed</t>
        </is>
      </c>
      <c r="E85" t="inlineStr"/>
      <c r="F85" t="inlineStr"/>
      <c r="G85" t="inlineStr">
        <is>
          <t>Seattle, WA, US</t>
        </is>
      </c>
      <c r="H85" s="2"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in-db8988d87c0f9e1b</t>
        </is>
      </c>
      <c r="B86" t="inlineStr">
        <is>
          <t>Applied Scientist, Artificial General Intelligence</t>
        </is>
      </c>
      <c r="C86" t="inlineStr">
        <is>
          <t>Amazon.com</t>
        </is>
      </c>
      <c r="D86" t="inlineStr">
        <is>
          <t>indeed</t>
        </is>
      </c>
      <c r="E86" t="inlineStr"/>
      <c r="F86" t="inlineStr"/>
      <c r="G86" t="inlineStr">
        <is>
          <t>Seattle, WA, US</t>
        </is>
      </c>
      <c r="H86" s="2" t="n">
        <v>45937</v>
      </c>
      <c r="I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in-75a70882dfd6d448</t>
        </is>
      </c>
      <c r="B87" t="inlineStr">
        <is>
          <t>Applied Scientist, Artificial General Intelligence</t>
        </is>
      </c>
      <c r="C87" t="inlineStr">
        <is>
          <t>Amazon.com</t>
        </is>
      </c>
      <c r="D87" t="inlineStr">
        <is>
          <t>indeed</t>
        </is>
      </c>
      <c r="E87" t="inlineStr"/>
      <c r="F87" t="inlineStr"/>
      <c r="G87" t="inlineStr">
        <is>
          <t>New York, NY, US</t>
        </is>
      </c>
      <c r="H87" s="2" t="n">
        <v>45937</v>
      </c>
      <c r="I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in-9e488f2e8dc2efb7</t>
        </is>
      </c>
      <c r="B88" t="inlineStr">
        <is>
          <t>Applied Scientist, Artificial General Intelligence</t>
        </is>
      </c>
      <c r="C88" t="inlineStr">
        <is>
          <t>Amazon.com</t>
        </is>
      </c>
      <c r="D88" t="inlineStr">
        <is>
          <t>indeed</t>
        </is>
      </c>
      <c r="E88" t="inlineStr"/>
      <c r="F88" t="inlineStr"/>
      <c r="G88" t="inlineStr">
        <is>
          <t>Bellevue, WA, US</t>
        </is>
      </c>
      <c r="H88" s="2" t="n">
        <v>45937</v>
      </c>
      <c r="I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in-152a623583089016</t>
        </is>
      </c>
      <c r="B89" t="inlineStr">
        <is>
          <t>Applied Scientist, Artificial General Intelligence</t>
        </is>
      </c>
      <c r="C89" t="inlineStr">
        <is>
          <t>Amazon.com</t>
        </is>
      </c>
      <c r="D89" t="inlineStr">
        <is>
          <t>indeed</t>
        </is>
      </c>
      <c r="E89" t="inlineStr"/>
      <c r="F89" t="inlineStr"/>
      <c r="G89" t="inlineStr">
        <is>
          <t>Sunnyvale, CA, US</t>
        </is>
      </c>
      <c r="H89" s="2" t="n">
        <v>45937</v>
      </c>
      <c r="I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in-6376da37595237cb</t>
        </is>
      </c>
      <c r="B90" t="inlineStr">
        <is>
          <t>Principal Applied Scientist, Artificial General Intelligence</t>
        </is>
      </c>
      <c r="C90" t="inlineStr">
        <is>
          <t>Amazon.com</t>
        </is>
      </c>
      <c r="D90" t="inlineStr">
        <is>
          <t>indeed</t>
        </is>
      </c>
      <c r="E90" t="inlineStr"/>
      <c r="F90" t="inlineStr"/>
      <c r="G90" t="inlineStr">
        <is>
          <t>Boston, MA,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in-6be522dc387e63b8</t>
        </is>
      </c>
      <c r="B91" t="inlineStr">
        <is>
          <t>Principal Applied Scientist, Artificial General Intelligence</t>
        </is>
      </c>
      <c r="C91" t="inlineStr">
        <is>
          <t>Amazon.com</t>
        </is>
      </c>
      <c r="D91" t="inlineStr">
        <is>
          <t>indeed</t>
        </is>
      </c>
      <c r="E91" t="inlineStr"/>
      <c r="F91" t="inlineStr"/>
      <c r="G91" t="inlineStr">
        <is>
          <t>New York, NY, US</t>
        </is>
      </c>
      <c r="H91" s="2" t="n">
        <v>45923</v>
      </c>
      <c r="I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in-d4bb92ece1037223</t>
        </is>
      </c>
      <c r="B92" t="inlineStr">
        <is>
          <t>Principal Applied Scientist, Artificial General Intelligence</t>
        </is>
      </c>
      <c r="C92" t="inlineStr">
        <is>
          <t>Amazon.com</t>
        </is>
      </c>
      <c r="D92" t="inlineStr">
        <is>
          <t>indeed</t>
        </is>
      </c>
      <c r="E92" t="inlineStr"/>
      <c r="F92" t="inlineStr"/>
      <c r="G92" t="inlineStr">
        <is>
          <t>Sunnyvale, CA, US</t>
        </is>
      </c>
      <c r="H92" s="2" t="n">
        <v>45923</v>
      </c>
      <c r="I9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in-2aac2ef66576aa33</t>
        </is>
      </c>
      <c r="B93" t="inlineStr">
        <is>
          <t>Principal Applied Scientist, Artificial General Intelligence</t>
        </is>
      </c>
      <c r="C93" t="inlineStr">
        <is>
          <t>Amazon.com</t>
        </is>
      </c>
      <c r="D93" t="inlineStr">
        <is>
          <t>indeed</t>
        </is>
      </c>
      <c r="E93" t="inlineStr"/>
      <c r="F93" t="inlineStr"/>
      <c r="G93" t="inlineStr">
        <is>
          <t>Bellevue, WA, US</t>
        </is>
      </c>
      <c r="H93" s="2" t="n">
        <v>45923</v>
      </c>
      <c r="I9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in-b8b7865ce305e6a5</t>
        </is>
      </c>
      <c r="B94" t="inlineStr">
        <is>
          <t>Senior Applied Scientist, Artificial General Intelligence</t>
        </is>
      </c>
      <c r="C94" t="inlineStr">
        <is>
          <t>Amazon.com</t>
        </is>
      </c>
      <c r="D94" t="inlineStr">
        <is>
          <t>indeed</t>
        </is>
      </c>
      <c r="E94" t="inlineStr"/>
      <c r="F94" t="inlineStr"/>
      <c r="G94" t="inlineStr">
        <is>
          <t>Boston, MA, US</t>
        </is>
      </c>
      <c r="H94" s="2" t="n">
        <v>45922</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in-823aa6c6d4cc68ad</t>
        </is>
      </c>
      <c r="B95" t="inlineStr">
        <is>
          <t>Senior Applied Scientist, Artificial General Intelligence</t>
        </is>
      </c>
      <c r="C95" t="inlineStr">
        <is>
          <t>Amazon.com</t>
        </is>
      </c>
      <c r="D95" t="inlineStr">
        <is>
          <t>indeed</t>
        </is>
      </c>
      <c r="E95" t="inlineStr"/>
      <c r="F95" t="inlineStr"/>
      <c r="G95" t="inlineStr">
        <is>
          <t>Sunnyvale, CA, US</t>
        </is>
      </c>
      <c r="H95" s="2" t="n">
        <v>45922</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in-22ab6eb871e4205d</t>
        </is>
      </c>
      <c r="B96" t="inlineStr">
        <is>
          <t>Senior Applied Scientist, Artificial General Intelligence</t>
        </is>
      </c>
      <c r="C96" t="inlineStr">
        <is>
          <t>Amazon.com</t>
        </is>
      </c>
      <c r="D96" t="inlineStr">
        <is>
          <t>indeed</t>
        </is>
      </c>
      <c r="E96" t="inlineStr"/>
      <c r="F96" t="inlineStr"/>
      <c r="G96" t="inlineStr">
        <is>
          <t>Seattle, WA, US</t>
        </is>
      </c>
      <c r="H96" s="2" t="n">
        <v>45922</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in-d4a63c82ebeb11ff</t>
        </is>
      </c>
      <c r="B97" t="inlineStr">
        <is>
          <t>Applied Scientist, Artificial General Intelligence</t>
        </is>
      </c>
      <c r="C97" t="inlineStr">
        <is>
          <t>Amazon.com</t>
        </is>
      </c>
      <c r="D97" t="inlineStr">
        <is>
          <t>indeed</t>
        </is>
      </c>
      <c r="E97" t="inlineStr"/>
      <c r="F97" t="inlineStr"/>
      <c r="G97" t="inlineStr">
        <is>
          <t>New York, NY,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in-fa8cc3f746c23903</t>
        </is>
      </c>
      <c r="B98" t="inlineStr">
        <is>
          <t>Applied Scientist, Artificial General Intelligence</t>
        </is>
      </c>
      <c r="C98" t="inlineStr">
        <is>
          <t>Amazon.com</t>
        </is>
      </c>
      <c r="D98" t="inlineStr">
        <is>
          <t>indeed</t>
        </is>
      </c>
      <c r="E98" t="inlineStr"/>
      <c r="F98" t="inlineStr"/>
      <c r="G98" t="inlineStr">
        <is>
          <t>Seattle, WA, US</t>
        </is>
      </c>
      <c r="H98" s="2" t="n">
        <v>45921</v>
      </c>
      <c r="I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in-66bfcc0ecbc27e10</t>
        </is>
      </c>
      <c r="B99" t="inlineStr">
        <is>
          <t>Applied Scientist, Artificial General Intelligence</t>
        </is>
      </c>
      <c r="C99" t="inlineStr">
        <is>
          <t>Amazon.com</t>
        </is>
      </c>
      <c r="D99" t="inlineStr">
        <is>
          <t>indeed</t>
        </is>
      </c>
      <c r="E99" t="inlineStr"/>
      <c r="F99" t="inlineStr"/>
      <c r="G99" t="inlineStr">
        <is>
          <t>Boston, MA, US</t>
        </is>
      </c>
      <c r="H99" s="2" t="n">
        <v>45921</v>
      </c>
      <c r="I9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in-4edeafe2bb2eb158</t>
        </is>
      </c>
      <c r="B100" t="inlineStr">
        <is>
          <t>Applied Scientist, Artificial General Intelligence</t>
        </is>
      </c>
      <c r="C100" t="inlineStr">
        <is>
          <t>Amazon.com</t>
        </is>
      </c>
      <c r="D100" t="inlineStr">
        <is>
          <t>indeed</t>
        </is>
      </c>
      <c r="E100" t="inlineStr"/>
      <c r="F100" t="inlineStr"/>
      <c r="G100" t="inlineStr">
        <is>
          <t>Bellevue, WA, US</t>
        </is>
      </c>
      <c r="H100" s="2" t="n">
        <v>45921</v>
      </c>
      <c r="I10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in-607df7744aaf64ce</t>
        </is>
      </c>
      <c r="B101" t="inlineStr">
        <is>
          <t>Senior Applied Scientist, Model Customization, Generative AI Innovation Center</t>
        </is>
      </c>
      <c r="C101" t="inlineStr">
        <is>
          <t>Amazon Web Services</t>
        </is>
      </c>
      <c r="D101" t="inlineStr">
        <is>
          <t>indeed</t>
        </is>
      </c>
      <c r="E101" t="inlineStr"/>
      <c r="F101" t="inlineStr"/>
      <c r="G101" t="inlineStr">
        <is>
          <t>Arlington, VA,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in-eef61607a360e993</t>
        </is>
      </c>
      <c r="B102" t="inlineStr">
        <is>
          <t>Senior Applied Scientist, Model Customization, Generative AI Innovation Center</t>
        </is>
      </c>
      <c r="C102" t="inlineStr">
        <is>
          <t>Amazon Web Services</t>
        </is>
      </c>
      <c r="D102" t="inlineStr">
        <is>
          <t>indeed</t>
        </is>
      </c>
      <c r="E102" t="inlineStr"/>
      <c r="F102" t="inlineStr"/>
      <c r="G102" t="inlineStr">
        <is>
          <t>New York, NY, US</t>
        </is>
      </c>
      <c r="H102" s="2" t="n">
        <v>45908</v>
      </c>
      <c r="I10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in-a40a936ba0b4d1b1</t>
        </is>
      </c>
      <c r="B103" t="inlineStr">
        <is>
          <t>Senior Applied Scientist, Model Customization, Generative AI Innovation Center</t>
        </is>
      </c>
      <c r="C103" t="inlineStr">
        <is>
          <t>Amazon Web Services</t>
        </is>
      </c>
      <c r="D103" t="inlineStr">
        <is>
          <t>indeed</t>
        </is>
      </c>
      <c r="E103" t="inlineStr"/>
      <c r="F103" t="inlineStr"/>
      <c r="G103" t="inlineStr">
        <is>
          <t>Bellevue, WA, US</t>
        </is>
      </c>
      <c r="H103" s="2" t="n">
        <v>45908</v>
      </c>
      <c r="I10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in-a02058d3fdc27e95</t>
        </is>
      </c>
      <c r="B104" t="inlineStr">
        <is>
          <t>Senior Applied Scientist, Model Customization, Generative AI Innovation Center</t>
        </is>
      </c>
      <c r="C104" t="inlineStr">
        <is>
          <t>Amazon Web Services</t>
        </is>
      </c>
      <c r="D104" t="inlineStr">
        <is>
          <t>indeed</t>
        </is>
      </c>
      <c r="E104" t="inlineStr"/>
      <c r="F104" t="inlineStr"/>
      <c r="G104" t="inlineStr">
        <is>
          <t>Seattle, WA, US</t>
        </is>
      </c>
      <c r="H104" s="2" t="n">
        <v>45908</v>
      </c>
      <c r="I10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in-b9c7b7911316fb26</t>
        </is>
      </c>
      <c r="B105" t="inlineStr">
        <is>
          <t>Applied Scientist II, Creative X - RAPID</t>
        </is>
      </c>
      <c r="C105" t="inlineStr">
        <is>
          <t>Amazon.com</t>
        </is>
      </c>
      <c r="D105" t="inlineStr">
        <is>
          <t>indeed</t>
        </is>
      </c>
      <c r="E105" t="inlineStr"/>
      <c r="F105" t="inlineStr"/>
      <c r="G105" t="inlineStr">
        <is>
          <t>Seattle, WA, US</t>
        </is>
      </c>
      <c r="H105" s="2" t="n">
        <v>45908</v>
      </c>
      <c r="I10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in-7346be4f4a59a9af</t>
        </is>
      </c>
      <c r="B106" t="inlineStr">
        <is>
          <t>Applied Scientist II, Creative X - RAPID</t>
        </is>
      </c>
      <c r="C106" t="inlineStr">
        <is>
          <t>Amazon.com</t>
        </is>
      </c>
      <c r="D106" t="inlineStr">
        <is>
          <t>indeed</t>
        </is>
      </c>
      <c r="E106" t="inlineStr"/>
      <c r="F106" t="inlineStr"/>
      <c r="G106" t="inlineStr">
        <is>
          <t>New York, NY, US</t>
        </is>
      </c>
      <c r="H106" s="2" t="n">
        <v>45908</v>
      </c>
      <c r="I10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in-eb071807d67964e6</t>
        </is>
      </c>
      <c r="B107" t="inlineStr">
        <is>
          <t>Senior Applied Scientist, Artificial General Intelligence</t>
        </is>
      </c>
      <c r="C107" t="inlineStr">
        <is>
          <t>Amazon.com</t>
        </is>
      </c>
      <c r="D107" t="inlineStr">
        <is>
          <t>indeed</t>
        </is>
      </c>
      <c r="E107" t="inlineStr"/>
      <c r="F107" t="inlineStr"/>
      <c r="G107" t="inlineStr">
        <is>
          <t>New York, NY, US</t>
        </is>
      </c>
      <c r="H107" s="2" t="n">
        <v>45907</v>
      </c>
      <c r="I10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in-ad9e0511f6b3f2b2</t>
        </is>
      </c>
      <c r="B108" t="inlineStr">
        <is>
          <t>Senior Applied Scientist, Artificial General Intelligence</t>
        </is>
      </c>
      <c r="C108" t="inlineStr">
        <is>
          <t>Amazon.com</t>
        </is>
      </c>
      <c r="D108" t="inlineStr">
        <is>
          <t>indeed</t>
        </is>
      </c>
      <c r="E108" t="inlineStr"/>
      <c r="F108" t="inlineStr"/>
      <c r="G108" t="inlineStr">
        <is>
          <t>Bellevue, WA, US</t>
        </is>
      </c>
      <c r="H108" s="2" t="n">
        <v>45907</v>
      </c>
      <c r="I10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in-4d78b6544d917414</t>
        </is>
      </c>
      <c r="B109" t="inlineStr">
        <is>
          <t>Senior Applied Scientist, Artificial General Intelligence</t>
        </is>
      </c>
      <c r="C109" t="inlineStr">
        <is>
          <t>Amazon.com</t>
        </is>
      </c>
      <c r="D109" t="inlineStr">
        <is>
          <t>indeed</t>
        </is>
      </c>
      <c r="E109" t="inlineStr"/>
      <c r="F109" t="inlineStr"/>
      <c r="G109" t="inlineStr">
        <is>
          <t>Sunnyvale, CA, US</t>
        </is>
      </c>
      <c r="H109" s="2" t="n">
        <v>45907</v>
      </c>
      <c r="I10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in-700a9e25f803c0ad</t>
        </is>
      </c>
      <c r="B110" t="inlineStr">
        <is>
          <t>Senior Applied Scientist, Artificial General Intelligence</t>
        </is>
      </c>
      <c r="C110" t="inlineStr">
        <is>
          <t>Amazon.com</t>
        </is>
      </c>
      <c r="D110" t="inlineStr">
        <is>
          <t>indeed</t>
        </is>
      </c>
      <c r="E110" t="inlineStr"/>
      <c r="F110" t="inlineStr"/>
      <c r="G110" t="inlineStr">
        <is>
          <t>Seattle, WA, US</t>
        </is>
      </c>
      <c r="H110" s="2" t="n">
        <v>45907</v>
      </c>
      <c r="I11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in-3af5550d86290562</t>
        </is>
      </c>
      <c r="B111" t="inlineStr">
        <is>
          <t>Senior Data Scientist, Data and Machine Learning, WWPS US Federal</t>
        </is>
      </c>
      <c r="C111" t="inlineStr">
        <is>
          <t>Amazon Web Services</t>
        </is>
      </c>
      <c r="D111" t="inlineStr">
        <is>
          <t>indeed</t>
        </is>
      </c>
      <c r="E111" t="inlineStr"/>
      <c r="F111" t="inlineStr"/>
      <c r="G111" t="inlineStr">
        <is>
          <t>Arlington, VA, US</t>
        </is>
      </c>
      <c r="H111" s="2" t="n">
        <v>45872</v>
      </c>
      <c r="I11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in-c24230ba54d0961c</t>
        </is>
      </c>
      <c r="B112" t="inlineStr">
        <is>
          <t>Senior Data Scientist, Data and Machine Learning, WWPS US Federal</t>
        </is>
      </c>
      <c r="C112" t="inlineStr">
        <is>
          <t>Amazon Web Services</t>
        </is>
      </c>
      <c r="D112" t="inlineStr">
        <is>
          <t>indeed</t>
        </is>
      </c>
      <c r="E112" t="inlineStr"/>
      <c r="F112" t="inlineStr"/>
      <c r="G112" t="inlineStr">
        <is>
          <t>Jessup, MD, US</t>
        </is>
      </c>
      <c r="H112" s="2" t="n">
        <v>45872</v>
      </c>
      <c r="I11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in-0f812d9f9213e59d</t>
        </is>
      </c>
      <c r="B113" t="inlineStr">
        <is>
          <t>Senior Data Scientist, Data and Machine Learning, WWPS US Federal</t>
        </is>
      </c>
      <c r="C113" t="inlineStr">
        <is>
          <t>Amazon Web Services</t>
        </is>
      </c>
      <c r="D113" t="inlineStr">
        <is>
          <t>indeed</t>
        </is>
      </c>
      <c r="E113" t="inlineStr"/>
      <c r="F113" t="inlineStr"/>
      <c r="G113" t="inlineStr">
        <is>
          <t>Herndon, VA, US</t>
        </is>
      </c>
      <c r="H113" s="2" t="n">
        <v>45872</v>
      </c>
      <c r="I11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in-8e97b36ef075db64</t>
        </is>
      </c>
      <c r="B114" t="inlineStr">
        <is>
          <t>Principal Applied Scientist, AGI Foundations, AGI Foundations</t>
        </is>
      </c>
      <c r="C114" t="inlineStr">
        <is>
          <t>Amazon.com</t>
        </is>
      </c>
      <c r="D114" t="inlineStr">
        <is>
          <t>indeed</t>
        </is>
      </c>
      <c r="E114" t="inlineStr"/>
      <c r="F114" t="inlineStr"/>
      <c r="G114" t="inlineStr">
        <is>
          <t>Bellevue, WA, US</t>
        </is>
      </c>
      <c r="H114" s="2" t="n">
        <v>45856</v>
      </c>
      <c r="I11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in-5f8c81ca8b7fcf2a</t>
        </is>
      </c>
      <c r="B115" t="inlineStr">
        <is>
          <t>Principal Applied Scientist, AGI Foundations, AGI Foundations</t>
        </is>
      </c>
      <c r="C115" t="inlineStr">
        <is>
          <t>Amazon.com</t>
        </is>
      </c>
      <c r="D115" t="inlineStr">
        <is>
          <t>indeed</t>
        </is>
      </c>
      <c r="E115" t="inlineStr"/>
      <c r="F115" t="inlineStr"/>
      <c r="G115" t="inlineStr">
        <is>
          <t>Boston, MA, US</t>
        </is>
      </c>
      <c r="H115" s="2" t="n">
        <v>45856</v>
      </c>
      <c r="I11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in-4a93f6a011be3b3a</t>
        </is>
      </c>
      <c r="B116" t="inlineStr">
        <is>
          <t>Principal Applied Scientist, AGI Foundations, AGI Foundations</t>
        </is>
      </c>
      <c r="C116" t="inlineStr">
        <is>
          <t>Amazon.com</t>
        </is>
      </c>
      <c r="D116" t="inlineStr">
        <is>
          <t>indeed</t>
        </is>
      </c>
      <c r="E116" t="inlineStr"/>
      <c r="F116" t="inlineStr"/>
      <c r="G116" t="inlineStr">
        <is>
          <t>Sunnyvale, CA, US</t>
        </is>
      </c>
      <c r="H116" s="2" t="n">
        <v>45856</v>
      </c>
      <c r="I11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in-9dbd85a0860a77c1</t>
        </is>
      </c>
      <c r="B117" t="inlineStr">
        <is>
          <t>Principal Applied Scientist, AGI Foundations, AGI Foundations</t>
        </is>
      </c>
      <c r="C117" t="inlineStr">
        <is>
          <t>Amazon.com</t>
        </is>
      </c>
      <c r="D117" t="inlineStr">
        <is>
          <t>indeed</t>
        </is>
      </c>
      <c r="E117" t="inlineStr"/>
      <c r="F117" t="inlineStr"/>
      <c r="G117" t="inlineStr">
        <is>
          <t>New York, NY, US</t>
        </is>
      </c>
      <c r="H117" s="2" t="n">
        <v>45856</v>
      </c>
      <c r="I11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in-1bdf30afd9a03bf9</t>
        </is>
      </c>
      <c r="B118" t="inlineStr">
        <is>
          <t>Sr. Applied Scientist, Amazon Advertising</t>
        </is>
      </c>
      <c r="C118" t="inlineStr">
        <is>
          <t>Amazon.com</t>
        </is>
      </c>
      <c r="D118" t="inlineStr">
        <is>
          <t>indeed</t>
        </is>
      </c>
      <c r="E118" t="inlineStr"/>
      <c r="F118" t="inlineStr"/>
      <c r="G118" t="inlineStr">
        <is>
          <t>Arlington, VA,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in-34d9d969ff7fab1c</t>
        </is>
      </c>
      <c r="B119" t="inlineStr">
        <is>
          <t>Sr. Applied Scientist, Amazon Advertising</t>
        </is>
      </c>
      <c r="C119" t="inlineStr">
        <is>
          <t>Amazon.com</t>
        </is>
      </c>
      <c r="D119" t="inlineStr">
        <is>
          <t>indeed</t>
        </is>
      </c>
      <c r="E119" t="inlineStr"/>
      <c r="F119" t="inlineStr"/>
      <c r="G119" t="inlineStr">
        <is>
          <t>Palo Alto, CA, US</t>
        </is>
      </c>
      <c r="H119" s="2"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in-f987d34ba2654892</t>
        </is>
      </c>
      <c r="B120" t="inlineStr">
        <is>
          <t>Sr. Applied Scientist, Amazon Advertising</t>
        </is>
      </c>
      <c r="C120" t="inlineStr">
        <is>
          <t>Amazon.com</t>
        </is>
      </c>
      <c r="D120" t="inlineStr">
        <is>
          <t>indeed</t>
        </is>
      </c>
      <c r="E120" t="inlineStr"/>
      <c r="F120" t="inlineStr"/>
      <c r="G120" t="inlineStr">
        <is>
          <t>Seattle, WA, US</t>
        </is>
      </c>
      <c r="H120" s="2"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in-abf8956c66a389c4</t>
        </is>
      </c>
      <c r="B121" t="inlineStr">
        <is>
          <t>Sr. Applied Scientist, Amazon Advertising</t>
        </is>
      </c>
      <c r="C121" t="inlineStr">
        <is>
          <t>Amazon.com</t>
        </is>
      </c>
      <c r="D121" t="inlineStr">
        <is>
          <t>indeed</t>
        </is>
      </c>
      <c r="E121" t="inlineStr"/>
      <c r="F121" t="inlineStr"/>
      <c r="G121" t="inlineStr">
        <is>
          <t>West Hollywood, CA, US</t>
        </is>
      </c>
      <c r="H121" s="2"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in-25d69c9f5c0ec00c</t>
        </is>
      </c>
      <c r="B122" t="inlineStr">
        <is>
          <t>Sr. Applied Scientist, Amazon Advertising</t>
        </is>
      </c>
      <c r="C122" t="inlineStr">
        <is>
          <t>Amazon.com</t>
        </is>
      </c>
      <c r="D122" t="inlineStr">
        <is>
          <t>indeed</t>
        </is>
      </c>
      <c r="E122" t="inlineStr"/>
      <c r="F122" t="inlineStr"/>
      <c r="G122" t="inlineStr">
        <is>
          <t>New York, NY, US</t>
        </is>
      </c>
      <c r="H122" s="2" t="n">
        <v>45851</v>
      </c>
      <c r="I1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in-9d020ed49511980f</t>
        </is>
      </c>
      <c r="B123" t="inlineStr">
        <is>
          <t>Sr. Applied Scientist, Amazon Advertising</t>
        </is>
      </c>
      <c r="C123" t="inlineStr">
        <is>
          <t>Amazon.com</t>
        </is>
      </c>
      <c r="D123" t="inlineStr">
        <is>
          <t>indeed</t>
        </is>
      </c>
      <c r="E123" t="inlineStr"/>
      <c r="F123" t="inlineStr"/>
      <c r="G123" t="inlineStr">
        <is>
          <t>Los Angeles, CA, US</t>
        </is>
      </c>
      <c r="H123" s="2" t="n">
        <v>45851</v>
      </c>
      <c r="I1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in-cbee85b9ea3e921c</t>
        </is>
      </c>
      <c r="B124" t="inlineStr">
        <is>
          <t>Sr. Applied Scientist, Amazon Advertising</t>
        </is>
      </c>
      <c r="C124" t="inlineStr">
        <is>
          <t>Amazon.com</t>
        </is>
      </c>
      <c r="D124" t="inlineStr">
        <is>
          <t>indeed</t>
        </is>
      </c>
      <c r="E124" t="inlineStr"/>
      <c r="F124" t="inlineStr"/>
      <c r="G124" t="inlineStr">
        <is>
          <t>Austin, TX, US</t>
        </is>
      </c>
      <c r="H124" s="2" t="n">
        <v>45851</v>
      </c>
      <c r="I1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in-da15f20611419869</t>
        </is>
      </c>
      <c r="B125" t="inlineStr">
        <is>
          <t>Sr. Applied Scientist, Amazon Advertising</t>
        </is>
      </c>
      <c r="C125" t="inlineStr">
        <is>
          <t>Amazon.com</t>
        </is>
      </c>
      <c r="D125" t="inlineStr">
        <is>
          <t>indeed</t>
        </is>
      </c>
      <c r="E125" t="inlineStr"/>
      <c r="F125" t="inlineStr"/>
      <c r="G125" t="inlineStr">
        <is>
          <t>Simi Valley, CA, US</t>
        </is>
      </c>
      <c r="H125" s="2" t="n">
        <v>45851</v>
      </c>
      <c r="I1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in-437d5712768ac929</t>
        </is>
      </c>
      <c r="B126" t="inlineStr">
        <is>
          <t>Senior Applied Scientist, Artificial General Intelligence</t>
        </is>
      </c>
      <c r="C126" t="inlineStr">
        <is>
          <t>Amazon.com</t>
        </is>
      </c>
      <c r="D126" t="inlineStr">
        <is>
          <t>indeed</t>
        </is>
      </c>
      <c r="E126" t="inlineStr"/>
      <c r="F126" t="inlineStr"/>
      <c r="G126" t="inlineStr">
        <is>
          <t>Boston, MA, US</t>
        </is>
      </c>
      <c r="H126" s="2" t="n">
        <v>45846</v>
      </c>
      <c r="I12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in-f5d030cca726afa6</t>
        </is>
      </c>
      <c r="B127" t="inlineStr">
        <is>
          <t>Senior Applied Scientist, Artificial General Intelligence</t>
        </is>
      </c>
      <c r="C127" t="inlineStr">
        <is>
          <t>Amazon.com</t>
        </is>
      </c>
      <c r="D127" t="inlineStr">
        <is>
          <t>indeed</t>
        </is>
      </c>
      <c r="E127" t="inlineStr"/>
      <c r="F127" t="inlineStr"/>
      <c r="G127" t="inlineStr">
        <is>
          <t>Seattle, WA, US</t>
        </is>
      </c>
      <c r="H127" s="2" t="n">
        <v>45846</v>
      </c>
      <c r="I12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in-b0ed270f0a0ef57f</t>
        </is>
      </c>
      <c r="B128" t="inlineStr">
        <is>
          <t>Senior Applied Scientist, Artificial General Intelligence</t>
        </is>
      </c>
      <c r="C128" t="inlineStr">
        <is>
          <t>Amazon.com</t>
        </is>
      </c>
      <c r="D128" t="inlineStr">
        <is>
          <t>indeed</t>
        </is>
      </c>
      <c r="E128" t="inlineStr"/>
      <c r="F128" t="inlineStr"/>
      <c r="G128" t="inlineStr">
        <is>
          <t>Sunnyvale, CA, US</t>
        </is>
      </c>
      <c r="H128" s="2" t="n">
        <v>45846</v>
      </c>
      <c r="I12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in-a9e8694fe19c1d18</t>
        </is>
      </c>
      <c r="B129" t="inlineStr">
        <is>
          <t>Sr. Applied Scientist, AGI Info</t>
        </is>
      </c>
      <c r="C129" t="inlineStr">
        <is>
          <t>Amazon.com</t>
        </is>
      </c>
      <c r="D129" t="inlineStr">
        <is>
          <t>indeed</t>
        </is>
      </c>
      <c r="E129" t="inlineStr"/>
      <c r="F129" t="inlineStr"/>
      <c r="G129" t="inlineStr">
        <is>
          <t>Sunnyvale, CA, US</t>
        </is>
      </c>
      <c r="H129" s="2" t="n">
        <v>45811</v>
      </c>
      <c r="I12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in-d08e08d3ebab66ff</t>
        </is>
      </c>
      <c r="B130" t="inlineStr">
        <is>
          <t>Sr. Applied Scientist, AGI Info</t>
        </is>
      </c>
      <c r="C130" t="inlineStr">
        <is>
          <t>Amazon.com</t>
        </is>
      </c>
      <c r="D130" t="inlineStr">
        <is>
          <t>indeed</t>
        </is>
      </c>
      <c r="E130" t="inlineStr"/>
      <c r="F130" t="inlineStr"/>
      <c r="G130" t="inlineStr">
        <is>
          <t>Bellevue, WA, US</t>
        </is>
      </c>
      <c r="H130" s="2" t="n">
        <v>45811</v>
      </c>
      <c r="I130"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in-cbb232191bb62ede</t>
        </is>
      </c>
      <c r="B131" t="inlineStr">
        <is>
          <t>Principal Applied Scientist, FAR (Frontier AI &amp; Robotics)</t>
        </is>
      </c>
      <c r="C131" t="inlineStr">
        <is>
          <t>Amazon.com</t>
        </is>
      </c>
      <c r="D131" t="inlineStr">
        <is>
          <t>indeed</t>
        </is>
      </c>
      <c r="E131" t="inlineStr"/>
      <c r="F131" t="inlineStr"/>
      <c r="G131" t="inlineStr">
        <is>
          <t>San Francisco, CA, US</t>
        </is>
      </c>
      <c r="H131" s="2" t="n">
        <v>45740</v>
      </c>
      <c r="I13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in-47cb4c8113a365f8</t>
        </is>
      </c>
      <c r="B132" t="inlineStr">
        <is>
          <t>Principal Applied Scientist, FAR (Frontier AI &amp; Robotics)</t>
        </is>
      </c>
      <c r="C132" t="inlineStr">
        <is>
          <t>Amazon.com</t>
        </is>
      </c>
      <c r="D132" t="inlineStr">
        <is>
          <t>indeed</t>
        </is>
      </c>
      <c r="E132" t="inlineStr"/>
      <c r="F132" t="inlineStr"/>
      <c r="G132" t="inlineStr">
        <is>
          <t>Seattle, WA, US</t>
        </is>
      </c>
      <c r="H132" s="2" t="n">
        <v>45740</v>
      </c>
      <c r="I13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in-93e571153f99413f</t>
        </is>
      </c>
      <c r="B133" t="inlineStr">
        <is>
          <t>Machine Learning - Data Scientist</t>
        </is>
      </c>
      <c r="C133" t="inlineStr">
        <is>
          <t>Apple</t>
        </is>
      </c>
      <c r="D133" t="inlineStr">
        <is>
          <t>indeed</t>
        </is>
      </c>
      <c r="E133" t="inlineStr"/>
      <c r="F133" t="inlineStr"/>
      <c r="G133" t="inlineStr">
        <is>
          <t>Boulder, CO, US</t>
        </is>
      </c>
      <c r="H133" s="2" t="n">
        <v>46032</v>
      </c>
      <c r="I133" t="inlineStr">
        <is>
          <t>Do you have a passion for computer vision and solving deep learning problems? The Video Engineering Data Analytics and Quality group is seeking an expert in evaluating machine learning and deep learning models, including foundation models and multimodal systems.  
This role will play a critical part in crafting robust evaluation frameworks, using both traditional statistical methods and modern techniques like LLM\-as\-a\-Judge! The ideal candidate combines strong analytical thinking, expertise in Python, and advanced knowledge of statistical methodologies and data quality standards.  
This role involves collaboration with teams at Apple passionate about developing foundation models, including ML engineers, data scientists, and ML Infrastructure engineers to deliver amazing user experiences!  
**Description**  
Develop robust methodologies to assess the performance of foundation models (e.g., LLMs, vision\-language models, etc.) across diverse tasks.  
Leverage LLMs as judges to perform subjective and open\-ended model evaluations (e.g., for summarization, reasoning, or multimodal generation tasks).  
Build, curate, and lead evaluation datasets and benchmarks.  
Advanced proficiency in at least one scripting language, preferably Python.  
Collaborate with research, engineering, and product teams to define evaluation goals aligned with user experience and product quality.  
Conduct failure analysis and uncover edge cases to improve model robustness.  
Contribute to our tools and infrastructure to automate and scale evaluation processes.  
**Preferred Qualifications**  
Experience working with open\-source evaluation tools like OpenEval, ELO\-based ranking, or LLM\-as\-a\-Judge frameworks.  
Familiarity with prompt engineering, few\-shot or zero\-shot evaluation techniques.  
Experience evaluating generative models (e.g., text generation, image generation).  
Prior contributions to ML benchmarks or public evaluations.  
Strong interpersonal skills.  
**Minimum Qualifications**  
BS and a minimum of 3 years relevant industry experience  
Strong experience in evaluating supervised, unsupervised, and deep learning models.  
Hands\-on experience evaluating LLMs and using them as scoring/judging mechanisms.  
Familiarity with multimodal models (e.g., image \+ text, video \+ audio) and related evaluation challenges.  
Proficiency in Python and libraries such as NumPy, pandas, scikit\-learn, PyTorch, or TensorFlow.  
Solid understanding of statistical testing, sampling, confidence intervals, and metrics (e.g., precision/recall, BLEU, ROUGE, FID, etc.).  
Strong documentation skills, including the ability to write technical reports and present to non\-technical audiences.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4">
      <c r="A134" t="inlineStr">
        <is>
          <t>in-3f243729de6f16f5</t>
        </is>
      </c>
      <c r="B134" t="inlineStr">
        <is>
          <t>Machine Learning - Data Scientist</t>
        </is>
      </c>
      <c r="C134" t="inlineStr">
        <is>
          <t>Apple</t>
        </is>
      </c>
      <c r="D134" t="inlineStr">
        <is>
          <t>indeed</t>
        </is>
      </c>
      <c r="E134" t="inlineStr"/>
      <c r="F134" t="inlineStr"/>
      <c r="G134" t="inlineStr">
        <is>
          <t>Boulder, CO, US</t>
        </is>
      </c>
      <c r="H134" s="2" t="n">
        <v>46032</v>
      </c>
      <c r="I134" t="inlineStr">
        <is>
          <t>Do you have a passion for computer vision and solving deep learning problems? The Video Engineering Data Analytics and Quality group is seeking an expert in evaluating machine learning and deep learning models, including foundation models and multimodal systems.  
This role will play a critical part in crafting robust evaluation frameworks, using both traditional statistical methods and modern techniques like LLM\-as\-a\-Judge! The ideal candidate combines strong analytical thinking, expertise in Python, and advanced knowledge of statistical methodologies and data quality standards.  
This role involves collaboration with teams at Apple passionate about developing foundation models, including ML engineers, data scientists, and ML Infrastructure engineers to deliver amazing user experiences!  
**Description**  
Develop robust methodologies to assess the performance of foundation models (e.g., LLMs, vision\-language models, etc.) across diverse tasks.  
Leverage LLMs as judges to perform subjective and open\-ended model evaluations (e.g., for summarization, reasoning, or multimodal generation tasks).  
Build, curate, and lead evaluation datasets and benchmarks.  
Advanced proficiency in at least one scripting language, preferably Python.  
Collaborate with research, engineering, and product teams to define evaluation goals aligned with user experience and product quality.  
Conduct failure analysis and uncover edge cases to improve model robustness.  
Contribute to our tools and infrastructure to automate and scale evaluation processes.  
**Preferred Qualifications**  
Experience working with open\-source evaluation tools like OpenEval, ELO\-based ranking, or LLM\-as\-a\-Judge frameworks.  
Familiarity with prompt engineering, few\-shot or zero\-shot evaluation techniques.  
Experience evaluating generative models (e.g., text generation, image generation).  
Prior contributions to ML benchmarks or public evaluations.  
Strong interpersonal skills.  
**Minimum Qualifications**  
BS and a minimum of 3 years relevant industry experience  
Strong experience in evaluating supervised, unsupervised, and deep learning models.  
Hands\-on experience evaluating LLMs and using them as scoring/judging mechanisms.  
Familiarity with multimodal models (e.g., image \+ text, video \+ audio) and related evaluation challenges.  
Proficiency in Python and libraries such as NumPy, pandas, scikit\-learn, PyTorch, or TensorFlow.  
Solid understanding of statistical testing, sampling, confidence intervals, and metrics (e.g., precision/recall, BLEU, ROUGE, FID, etc.).  
Strong documentation skills, including the ability to write technical reports and present to non\-technical audiences.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5">
      <c r="A135" t="inlineStr">
        <is>
          <t>in-3ac37c45f8ef23ea</t>
        </is>
      </c>
      <c r="B135" t="inlineStr">
        <is>
          <t>Applied Scientist, Personalization, DTx Science</t>
        </is>
      </c>
      <c r="C135" t="inlineStr">
        <is>
          <t>Amazon.com</t>
        </is>
      </c>
      <c r="D135" t="inlineStr">
        <is>
          <t>indeed</t>
        </is>
      </c>
      <c r="E135" t="inlineStr"/>
      <c r="F135" t="inlineStr"/>
      <c r="G135" t="inlineStr">
        <is>
          <t>New York, NY, US</t>
        </is>
      </c>
      <c r="H135" s="2" t="n">
        <v>45979</v>
      </c>
      <c r="I13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in-47946bb558a61d5a</t>
        </is>
      </c>
      <c r="B136" t="inlineStr">
        <is>
          <t>Applied Scientist, Personalization, DTx Science</t>
        </is>
      </c>
      <c r="C136" t="inlineStr">
        <is>
          <t>Amazon.com</t>
        </is>
      </c>
      <c r="D136" t="inlineStr">
        <is>
          <t>indeed</t>
        </is>
      </c>
      <c r="E136" t="inlineStr"/>
      <c r="F136" t="inlineStr"/>
      <c r="G136" t="inlineStr">
        <is>
          <t>Seattle, WA, US</t>
        </is>
      </c>
      <c r="H136" s="2" t="n">
        <v>45979</v>
      </c>
      <c r="I13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in-a6a23af7558b2d53</t>
        </is>
      </c>
      <c r="B137" t="inlineStr">
        <is>
          <t>Applied Scientist, Sponsored Products</t>
        </is>
      </c>
      <c r="C137" t="inlineStr">
        <is>
          <t>Amazon.com</t>
        </is>
      </c>
      <c r="D137" t="inlineStr">
        <is>
          <t>indeed</t>
        </is>
      </c>
      <c r="E137" t="inlineStr"/>
      <c r="F137" t="inlineStr"/>
      <c r="G137" t="inlineStr">
        <is>
          <t>Seattle, WA, US</t>
        </is>
      </c>
      <c r="H137" s="2" t="n">
        <v>45971</v>
      </c>
      <c r="I13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in-f4cd56c23cbb41ba</t>
        </is>
      </c>
      <c r="B138" t="inlineStr">
        <is>
          <t>Applied Scientist, Sponsored Products</t>
        </is>
      </c>
      <c r="C138" t="inlineStr">
        <is>
          <t>Amazon.com</t>
        </is>
      </c>
      <c r="D138" t="inlineStr">
        <is>
          <t>indeed</t>
        </is>
      </c>
      <c r="E138" t="inlineStr"/>
      <c r="F138" t="inlineStr"/>
      <c r="G138" t="inlineStr">
        <is>
          <t>Arlington, VA, US</t>
        </is>
      </c>
      <c r="H138" s="2" t="n">
        <v>45971</v>
      </c>
      <c r="I13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in-a08905569aefc6f7</t>
        </is>
      </c>
      <c r="B139" t="inlineStr">
        <is>
          <t>Applied Scientist, AWS Agentic AI</t>
        </is>
      </c>
      <c r="C139" t="inlineStr">
        <is>
          <t>Amazon Web Services</t>
        </is>
      </c>
      <c r="D139" t="inlineStr">
        <is>
          <t>indeed</t>
        </is>
      </c>
      <c r="E139" t="inlineStr"/>
      <c r="F139" t="inlineStr"/>
      <c r="G139" t="inlineStr">
        <is>
          <t>Santa Clara, CA, US</t>
        </is>
      </c>
      <c r="H139" s="2" t="n">
        <v>45962</v>
      </c>
      <c r="I13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in-5752bc192e676a22</t>
        </is>
      </c>
      <c r="B140" t="inlineStr">
        <is>
          <t>Applied Scientist, AWS Agentic AI</t>
        </is>
      </c>
      <c r="C140" t="inlineStr">
        <is>
          <t>Amazon Web Services</t>
        </is>
      </c>
      <c r="D140" t="inlineStr">
        <is>
          <t>indeed</t>
        </is>
      </c>
      <c r="E140" t="inlineStr"/>
      <c r="F140" t="inlineStr"/>
      <c r="G140" t="inlineStr">
        <is>
          <t>New York, NY, US</t>
        </is>
      </c>
      <c r="H140" s="2" t="n">
        <v>45962</v>
      </c>
      <c r="I14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in-4b9625e9bb0a33a3</t>
        </is>
      </c>
      <c r="B141" t="inlineStr">
        <is>
          <t>Applied Scientist, AWS Agentic AI</t>
        </is>
      </c>
      <c r="C141" t="inlineStr">
        <is>
          <t>Amazon Web Services</t>
        </is>
      </c>
      <c r="D141" t="inlineStr">
        <is>
          <t>indeed</t>
        </is>
      </c>
      <c r="E141" t="inlineStr"/>
      <c r="F141" t="inlineStr"/>
      <c r="G141" t="inlineStr">
        <is>
          <t>Seattle, WA, US</t>
        </is>
      </c>
      <c r="H141" s="2" t="n">
        <v>45962</v>
      </c>
      <c r="I14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in-1049279f94c4b2ab</t>
        </is>
      </c>
      <c r="B142" t="inlineStr">
        <is>
          <t>Applied Scientist, Workplace Health &amp; Safety</t>
        </is>
      </c>
      <c r="C142" t="inlineStr">
        <is>
          <t>Amazon.com</t>
        </is>
      </c>
      <c r="D142" t="inlineStr">
        <is>
          <t>indeed</t>
        </is>
      </c>
      <c r="E142" t="inlineStr"/>
      <c r="F142" t="inlineStr"/>
      <c r="G142" t="inlineStr">
        <is>
          <t>Nashville, TN, US</t>
        </is>
      </c>
      <c r="H142" s="2" t="n">
        <v>45917</v>
      </c>
      <c r="I14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in-e681bfb623e55c69</t>
        </is>
      </c>
      <c r="B143" t="inlineStr">
        <is>
          <t>Applied Scientist, Workplace Health &amp; Safety</t>
        </is>
      </c>
      <c r="C143" t="inlineStr">
        <is>
          <t>Amazon.com</t>
        </is>
      </c>
      <c r="D143" t="inlineStr">
        <is>
          <t>indeed</t>
        </is>
      </c>
      <c r="E143" t="inlineStr"/>
      <c r="F143" t="inlineStr"/>
      <c r="G143" t="inlineStr">
        <is>
          <t>Bellevue, WA, US</t>
        </is>
      </c>
      <c r="H143" s="2" t="n">
        <v>45917</v>
      </c>
      <c r="I14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in-d0e3833ce43c9191</t>
        </is>
      </c>
      <c r="B144" t="inlineStr">
        <is>
          <t>Sr. Applied Scientist, Sales AI</t>
        </is>
      </c>
      <c r="C144" t="inlineStr">
        <is>
          <t>Amazon.com</t>
        </is>
      </c>
      <c r="D144" t="inlineStr">
        <is>
          <t>indeed</t>
        </is>
      </c>
      <c r="E144" t="inlineStr"/>
      <c r="F144" t="inlineStr"/>
      <c r="G144" t="inlineStr">
        <is>
          <t>New York, NY, US</t>
        </is>
      </c>
      <c r="H144" s="2" t="n">
        <v>45830</v>
      </c>
      <c r="I14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in-50cbe69b3029b859</t>
        </is>
      </c>
      <c r="B145" t="inlineStr">
        <is>
          <t>Sr. Applied Scientist, Sales AI</t>
        </is>
      </c>
      <c r="C145" t="inlineStr">
        <is>
          <t>Amazon.com</t>
        </is>
      </c>
      <c r="D145" t="inlineStr">
        <is>
          <t>indeed</t>
        </is>
      </c>
      <c r="E145" t="inlineStr"/>
      <c r="F145" t="inlineStr"/>
      <c r="G145" t="inlineStr">
        <is>
          <t>Sunnyvale, CA, US</t>
        </is>
      </c>
      <c r="H145" s="2" t="n">
        <v>45830</v>
      </c>
      <c r="I14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in-3364533895d8196f</t>
        </is>
      </c>
      <c r="B146" t="inlineStr">
        <is>
          <t>Sr. Applied Scientist, Sales AI</t>
        </is>
      </c>
      <c r="C146" t="inlineStr">
        <is>
          <t>Amazon.com</t>
        </is>
      </c>
      <c r="D146" t="inlineStr">
        <is>
          <t>indeed</t>
        </is>
      </c>
      <c r="E146" t="inlineStr"/>
      <c r="F146" t="inlineStr"/>
      <c r="G146" t="inlineStr">
        <is>
          <t>Seattle, WA, US</t>
        </is>
      </c>
      <c r="H146" s="2" t="n">
        <v>45830</v>
      </c>
      <c r="I14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li-4313070387</t>
        </is>
      </c>
      <c r="B2" t="inlineStr">
        <is>
          <t>Senior Data Scientist</t>
        </is>
      </c>
      <c r="C2" t="inlineStr">
        <is>
          <t>Roku</t>
        </is>
      </c>
      <c r="D2" t="inlineStr">
        <is>
          <t>linkedin</t>
        </is>
      </c>
      <c r="E2" t="inlineStr"/>
      <c r="F2" t="inlineStr"/>
      <c r="G2" t="inlineStr">
        <is>
          <t>San Jose, CA</t>
        </is>
      </c>
      <c r="H2" t="inlineStr"/>
      <c r="I2"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**About the role** 
 Roku is looking for a Sr. Data scientist to join the Core Analytics team supporting recommendations and personalization products. In this role, you will leverage data analytics to support and improve our recommendations and personalization initiatives, identifying trends, mitigating risks, and providing actionable insights. You will work closely with product management and engineering to identify opportunities to create new features, drive their adoption, and generate value for Roku. This individual will investigate and develop solutions to track, monitor and improve our ecosystem. The successful candidate is quantitatively driven, detail\-focused, and possesses an elevated level of problem\-solving expertise.
 For California Only \- The estimated annual salary for this position is between $132,000\-$254,000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Roku will be accepting applications for this position until November 27, 2025 \[or until the position filled].
**What you'll be doing** 
* Collaborate with stakeholders to align data science initiatives with organizational goals and strategy design and execute AB tests
* Translate complex analyses into clear executive narratives and dashboards, driving consensus on priorities and accelerating delivery across the board.
* Develop and maintain dashboards, reports, and data visualizations to monitor key metrics for operational and systems health
* Analyze structured and unstructured data and communicate insights to help stakeholders solve business problems, identify trends and make data\-driven decisions
* Develop necessary data pipelines to power automation, validation and reporting
* Develop analytical tools (real\-time alerts, models, etc.) to understand what drives success for our mobile platform
* Perform exploratory data analysis on emerging trends and execute advanced analysis across the Roku Platform
* Collaborate with the Program Management and Engineering team to proactively seek and incorporate feedback
* Providing feedback directly to leadership on performance of various initiatives and untapped opportunities
**We're excited if you have** 
* 5\+ years of work experience with a bachelor's degree or master's degree in quantitative field (e.g., Statistics, Business Analytics, Data Science, Mathematics, Economics, Engineering or Computer Science)
* 5\+ years of experience across consumer product, digital media or entertainment industries
* Expertise in SQL, SAS, R, Python or other programming language to query data and perform analysis
* Hands on experience with visualization tools like Tableau or Looker
* Have a bias towards action in resolving issues and operate in a high\-energy, fast\-paced environment
* Hands on experience in A/B testing and statistical modeling/forecasting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3">
      <c r="A3" t="inlineStr">
        <is>
          <t>li-4321370170</t>
        </is>
      </c>
      <c r="B3" t="inlineStr">
        <is>
          <t>Product Data Scientist, Applied ML</t>
        </is>
      </c>
      <c r="C3" t="inlineStr">
        <is>
          <t>Adobe</t>
        </is>
      </c>
      <c r="D3" t="inlineStr">
        <is>
          <t>linkedin</t>
        </is>
      </c>
      <c r="E3" t="inlineStr"/>
      <c r="F3" t="inlineStr"/>
      <c r="G3" t="inlineStr">
        <is>
          <t>San Jose, CA</t>
        </is>
      </c>
      <c r="H3" t="inlineStr"/>
      <c r="I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**About the Role:**
 Do you enjoy solving business problems and uncovering insights from data? Join the Product Data Science team within Adobe Experience Cloud! We are a high\-impact group that applies machine learning and advanced analytics to help product, marketing, and engineering teams improve how customers realize value from Adobe’s enterprise products. This role is ideal for someone who’s curious, quantitative, and eager to grow as a data scientist while working on meaningful problems.
**In This Role, You Will:**
* Design, build and productionize machine\-learning models that generate insights, segment users, predict outcomes, and drive measurable business impact.
* Analyze product usage and customer datasets to uncover behavioral patterns, feature adoption trends, and growth opportunities.
* Build and maintain robust data workflows that clean, transform, and validate structured and unstructured data using scalable tools and platforms (such as Databricks, Spark or similar).
* Develop reproducible codebases, notebooks, and utilities that improve efficiency, consistency, and collaboration across analytics and ML projects.
* Practice and promote strong data practices, including transparency, version control, reproducibility, and compliance with governance and security requirements.
* Visualize and communicate analytical results clearly, presenting findings and recommendations that enable partners to make data\-driven decisions.
* Collaborate cross\-functionally with product managers, marketers, engineers, and other data scientists to define data science questions, develop solutions, validate outcomes, and translate results into actionable insights.
**You Will Thrive in This Role If You Have:**
* Proficiency in Python and SQL, with hands\-on experience in data manipulation and applied machine learning using libraries such as Pandas, NumPy, Scikit\-learn, and Matplotlib/Seaborn.
* Proven ability in designing and implementing scalable data and feature pipelines using distributed frameworks such as Spark or Databricks, ensuring data quality, performance, and reproducibility.
* Strong foundation in statistics and experimental design, including hypothesis testing, regression, and model evaluation.
* Ability to apply software\-engineering standards; modular, well\-documented code, version control (Git), reproducible workflows, and testing for model and data quality.
* Strong problem\-solving and critical\-thinking skills, with the ability to work rigorously through ambiguity and make sound technical decisions.
* Collaborative approach and effective communication skills, being able to translate complex technical results into clear insights and work closely with cross\-functional partners.
* 4\+ years of relevant experience in data science or related technical roles, preferably within applied machine learning or product data science environments
* Postgraduate degree or equivalent experience in a quantitative field (such as Statistics, Computer Science, Data Science, Engineering, or related field).
**You Could Be an Especially Great Fit If You Have:**
* Familiarity with NLP, LLMs or Generative AI, including embeddings, topic modeling, prompt engineering, or retrieval\-augmented generation (RAG).
* Exposure to MLOps and workflow practices that support scalable, reliable analytics and model deployment (model versioning, monitoring, automation).
 Our compensation reflects the cost of labor across several  U.S. geographic markets, and we pay differently based on those defined markets. The U.S. pay range for this position is $109,000 \-\- $200,700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$138,600 \- $200,700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
      <c r="A4" t="inlineStr">
        <is>
          <t>li-4359996125</t>
        </is>
      </c>
      <c r="B4" t="inlineStr">
        <is>
          <t>Data Scientist</t>
        </is>
      </c>
      <c r="C4" t="inlineStr">
        <is>
          <t>Hirenza</t>
        </is>
      </c>
      <c r="D4" t="inlineStr">
        <is>
          <t>linkedin</t>
        </is>
      </c>
      <c r="E4" t="inlineStr"/>
      <c r="F4" t="inlineStr"/>
      <c r="G4" t="inlineStr"/>
      <c r="H4" t="inlineStr"/>
      <c r="I4" t="inlineStr">
        <is>
          <t>**About The Company**
 Xperttech is a leading technology solutions provider dedicated to transforming manufacturing and industrial operations through innovative data\-driven approaches. With a focus on integrating advanced AI and machine learning techniques, Xperttech empowers organizations to optimize their processes, enhance product quality, and achieve operational excellence. Our commitment to innovation, excellence, and sustainability positions us as a trusted partner for industry leaders seeking to leverage cutting\-edge technology to stay competitive in a rapidly evolving market.
**About The Role**
 We are seeking an experienced AI / Machine Learning Engineer to join our dynamic team at Xperttech. In this pivotal role, you will be at the forefront of driving digital transformation within manufacturing environments by developing and deploying sophisticated machine learning solutions. Your primary focus will be collaborating with manufacturing, operations, and business teams to identify high\-impact use cases, design end\-to\-end ML models, and implement solutions that improve quality, operational efficiency, and decision\-making processes. This role offers a unique opportunity to work with large\-scale manufacturing data from systems such as MES, ERP, and IoT sensors, translating complex data into actionable insights that deliver measurable value across the organization.
**Qualifications**
 The ideal candidate will possess over three years of hands\-on experience in AI, machine learning, or data science, preferably within manufacturing or industrial settings. A strong technical foundation in Python and ML libraries like scikit\-learn, TensorFlow, and PyTorch is essential. Proficiency in SQL for data querying and transformation, along with experience using data visualization tools such as Power BI or Tableau, is required. Familiarity with MLOps practices, including model deployment and lifecycle management, is highly desirable. Candidates should demonstrate excellent analytical and problem\-solving skills, with the ability to communicate complex insights effectively to non\-technical stakeholders. Prior exposure to manufacturing data sources such as MES, ERP, and IoT systems, along with cloud platform experience (AWS, Azure, GCP), will be considered advantageous.
**Responsibilities**
* Identify and groom AI/ML use cases by collaborating with manufacturing, operations, and business stakeholders to pinpoint opportunities that solve real\-world problems and create measurable value.
* Define project scope, objectives, success metrics, and develop comprehensive project plans for AI/ML initiatives.
* Lead end\-to\-end machine learning projects from ideation through to deployment, including data collection, cleaning, feature engineering, model development, validation, and ongoing monitoring in production environments.
* Develop scalable, efficient, and clean code primarily using Python, build data pipelines, automate analytical workflows, and support model training and deployment processes.
* Utilize SQL extensively for data extraction, transformation, and analysis to support model development and insights generation.
* Analyze large and complex manufacturing datasets from systems such as MES, ERP, and IoT sensors to identify patterns and engineer features for predictive and prescriptive modeling.
* Develop models for use cases such as quality improvement, predictive maintenance, and process optimization to enhance operational efficiency and product quality.
* Translate complex technical analyses into clear, actionable insights and recommendations tailored for non\-technical stakeholders, facilitating data\-driven decision\-making across organizational levels.
* Collaborate with cross\-functional teams to implement solutions, monitor model performance, and iterate to improve outcomes.
**Benefits**
 Xperttech offers a competitive compensation package, comprehensive health benefits, and opportunities for professional growth and development. Employees will have access to cutting\-edge tools and technologies, a collaborative work environment, and the chance to work on impactful projects that drive real\-world change. We also promote work\-life balance and provide flexible working arrangements to support our team members' well\-being and productivity. Additionally, our culture encourages continuous learning, innovation, and recognition for outstanding contributions.
 Equal Opportunity
 Xperttech is an equal opportunity employer committed to fostering an inclusive workplace. We celebrate diversity and are dedicated to providing equal employment opportunities regardless of race, color, religion, gender, gender identity or expression, sexual orientation, national origin, age, disability, or any other protected status. We believe that diverse teams drive innovation and growth, and we are committed to creating an environment where everyone can thrive.</t>
        </is>
      </c>
    </row>
    <row r="5">
      <c r="A5" t="inlineStr">
        <is>
          <t>li-4203560508</t>
        </is>
      </c>
      <c r="B5" t="inlineStr">
        <is>
          <t>Senior Data Scientist</t>
        </is>
      </c>
      <c r="C5" t="inlineStr">
        <is>
          <t>Coinbase</t>
        </is>
      </c>
      <c r="D5" t="inlineStr">
        <is>
          <t>linkedin</t>
        </is>
      </c>
      <c r="E5" t="inlineStr"/>
      <c r="F5" t="inlineStr"/>
      <c r="G5" t="inlineStr"/>
      <c r="H5" t="inlineStr"/>
      <c r="I5"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***What you'll be doing:***
* Conduct analysis and deep dives on ambiguous problems for our business. Your work will result in insights and recommendations that guide the team’s decision making.
* Act as owner for a broad scope of data and metrics, from core logging to presentation of data visualizations.
* Guide code reviews, provide SQL and Python expertise, and create well\-maintained ETL jobs.
* Maintain a high bar for statistical rigor on your team. Ensure that we’re conducting experimentation and causal analyses that build confidence with your stakeholders.
***What we look for in you:***
* A BA/BS in a quantitative field (ex Math, Stats, Physics, or Computer Science) with ≥5\+ years of relevant experience or a PhD in a quantitative field with with ≥3\+ years of relevant experience
* Demonstrated experience in driving impactful data science projects that tackle ambiguous problem spaces.
* Ability to influence external stakeholders by synthesizing data learnings into compelling stories.
* Practical expertise in applying complex modeling frameworks to practical business problems.
* Professional experience using SQL and Python.
* Experience working with digital products in an iterative development cycle.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G2462
 Pay Transparency Notice: Depending on your work location, the target annual salary for this position can range as detailed below. Full time offers from Coinbase also include target bonus \+ target equity \+ benefits (including medical, dental, vision and 401(k)).
 Pay Range: :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6">
      <c r="A6" t="inlineStr">
        <is>
          <t>li-4334758147</t>
        </is>
      </c>
      <c r="B6" t="inlineStr">
        <is>
          <t>Lead, Data Scientist</t>
        </is>
      </c>
      <c r="C6" t="inlineStr">
        <is>
          <t>Petco</t>
        </is>
      </c>
      <c r="D6" t="inlineStr">
        <is>
          <t>linkedin</t>
        </is>
      </c>
      <c r="E6" t="inlineStr"/>
      <c r="F6" t="inlineStr"/>
      <c r="G6" t="inlineStr">
        <is>
          <t>San Diego, CA</t>
        </is>
      </c>
      <c r="H6" t="inlineStr"/>
      <c r="I6"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**Position Purpose**
 As Lead Data Scientist on Petco’s Enterprise Analytics and Data Science team, you will spearhead the development and deployment of scalable, production\-grade machine learning models that enable personalized membership and digital experiences. You will partner closely with stakeholders in the membership and digital teams to plan and execute data science initiatives that support customer engagement, loyalty growth, and digital performance.
**Essential Job Functions:** 
*The incumbent must be able to perform all of the following duties and responsibilities* 
 w
 *ith or without a reasonable accommodation.*
* Build, maintain, optimize, and productionize machine learning models and advanced algorithms that enhance membership and digital customer experiences.
* Generate and test hypotheses and analyze and interpret results of experiments.
* Communicate insights and recommendations through clear written reports and verbal presentations to audiences of varying technical sophistication.
* Improve upon existing methodologies by developing new data sources, testing model enhancements, and refining model parameters.
* Define requirements and collaborate with engineering teams to develop analytic capabilities, platforms, and pipelines that enable scalable modeling.
* Develop and monitor KPIs across multiple business areas, ensuring accurate tracking and performance measurement.
* Provide leadership, including guiding and training, to more junior data scientists.
**Education And Experience**
* MS or PhD in Statistics, Math, Engineering, Economics, or a related quantitative field.
* 8\+ years of experience in business analytics and data science.
* Previous experience working with machine learning/deep learning for real\-world problems in a corporate environment is a must.
* Demonstrable track record of dealing well with ambiguity, prioritizing needs, and delivering results in a dynamic environment.
* Proficiency with SQL and Python required; proficiency in R is a strong plus.
* Ability to explain/present complicated/advanced analytical methodology and results to non\-technical audiences.
* Advanced quantitative modeling, statistical analysis, and critical thinking skills.
* Related experience in a retail organization is a strong plus.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$142,100\.00 \- $213,100\.00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7">
      <c r="A7" t="inlineStr">
        <is>
          <t>li-4359796699</t>
        </is>
      </c>
      <c r="B7" t="inlineStr">
        <is>
          <t>Data Scientist</t>
        </is>
      </c>
      <c r="C7" t="inlineStr">
        <is>
          <t>Wiraa</t>
        </is>
      </c>
      <c r="D7" t="inlineStr">
        <is>
          <t>linkedin</t>
        </is>
      </c>
      <c r="E7" t="inlineStr"/>
      <c r="F7" t="inlineStr"/>
      <c r="G7" t="inlineStr"/>
      <c r="H7" t="inlineStr"/>
      <c r="I7" t="inlineStr">
        <is>
          <t>**About The Company**
 Joining Target means becoming part of a company dedicated to helping families discover the joy of everyday life. With a strong culture rooted in values of inclusivity, innovation, and community engagement, Target strives to deliver exceptional experiences to its guests through a seamless blend of physical and digital channels. As a leading retailer, Target offers a dynamic environment where employees are empowered to make a meaningful impact, foster continuous growth, and contribute to a brand that values diversity and sustainability. The company's commitment to innovation and operational excellence positions it as a pioneer in retail, leveraging cutting\-edge technology and data\-driven strategies to enhance customer satisfaction and streamline supply chain operations.
**About The Role**
 The Lead Data Scientist \- Last Mile Operations Design at Target plays a pivotal role in driving the company's supply chain optimization and last mile delivery strategies. This position involves developing and managing advanced predictive and prescriptive algorithms that utilize data to automate and optimize decision\-making processes at scale. The successful candidate will work closely with cross\-functional teams, including Product, Business Operations, and Engineering, to foster a culture of continuous innovation. The role focuses on accelerating omni\-channel experimentation, improving guest and carrier experiences, and leveraging data as a strategic asset to enhance operational efficiency. This is an excellent opportunity for a data\-driven leader passionate about solving complex problems through innovative analytics, machine learning, and operations research techniques.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 Proficiency in programming languages such as Python, R, Kotlin, or Java
* Experience deploying high\-performance algorithms in production environments
* Strong knowledge of predictive and prescriptive modeling, including ML Ops practices
* Experience working with large, event\-driven distributed systems and multi\-threaded applications
* Hands\-on experience with SQL, Hive, or similar data querying and management tools
* Background in application/software architecture and process modeling
* Proven ability to analyze complex datasets and derive actionable insights
* Excellent communication skills with the ability to tell compelling data stories through visualizations and narratives
* Self\-motivated, results\-oriented, and capable of working effectively across teams and time zones
**Responsibilities**
* Serve as an advocate for a data\-driven culture across Product, Business Operations, and Engineering teams
* Develop solutions to complex business problems using data analysis, mining, forecasting, optimization, and machine learning techniques
* Formulate clear problem statements, synthesize findings, and communicate insights to stakeholders effectively
* Collaborate with product managers to design in\-product experiments, analyze results, and provide strategic recommendations
* Partner with business teams to identify gaps in product offerings and enhance analytics maturity in key areas
* Define KPIs and data collection strategies to measure the success of new features and strategies
* Optimize queries on large datasets to support operations research and decision\-making
* Design and build self\-service dashboards to enable stakeholders to access actionable insights quickly
* Democratize data and insights by delivering user\-friendly tools and resources for decision\-making
* Continuously explore and improve analytical models to support supply chain and last mile delivery initiatives
* Stay updated with industry best practices and incorporate innovative techniques into the analytics framework
**Benefits**
* Competitive salary and performance\-based incentives
* Comprehensive health, dental, and vision insurance plans
* Retirement savings plans with company matching
* Paid time off and holiday leave
* Opportunities for professional development and continuous learning
* Flexible work arrangements including hybrid and remote options
* Employee discounts and wellness programs
* Inclusive and collaborative work environment that fosters innovation
 Equal Opportunity
 Target is an equal opportunity employer committed to creating an inclusive environment for all employees. We celebrate diversity and are dedicated to ensuring fair treatment regardless of race, color, religion, gender, gender identity or expression, sexual orientation, national origin, genetics, disability, age, or veteran status. We believe that a diverse workforce enhances our ability to serve our guests and drive business success. All employment decisions are made based on qualifications, merit, and business needs.</t>
        </is>
      </c>
    </row>
    <row r="8">
      <c r="A8" t="inlineStr">
        <is>
          <t>li-4360674596</t>
        </is>
      </c>
      <c r="B8" t="inlineStr">
        <is>
          <t>Senior Data Scientist</t>
        </is>
      </c>
      <c r="C8" t="inlineStr">
        <is>
          <t>James Search Group</t>
        </is>
      </c>
      <c r="D8" t="inlineStr">
        <is>
          <t>linkedin</t>
        </is>
      </c>
      <c r="E8" t="inlineStr"/>
      <c r="F8" t="inlineStr"/>
      <c r="G8" t="inlineStr"/>
      <c r="H8" t="inlineStr"/>
      <c r="I8" t="inlineStr">
        <is>
          <t>**Senior / Lead Data Scientist (P\&amp;C Insurance)** 
*Fully Remote \| Full\-Time* 
**Partnering with a Leading P\&amp;C Insurance Carrier** 
 James Search Group is proud to partner with a high\-performing Property \&amp; Casualty insurance carrier that is deeply investing in Data Science, Machine Learning (ML), and Artificial Intelligence (AI) to transform how insurance is priced, underwritten, and serviced. We’re seeking a
 **Senior / Lead Data Scientist** 
 to join their centralized Data \&amp; ML/AI department and take a key role in building scalable, production\-grade models that drive enterprise decision\-making.
 This is a hands\-on and strategic role where you'll help shape the carrier’s approach to predictive modeling, optimization, and data\-driven automation. You’ll collaborate across actuarial, underwriting, product, claims, and data engineering teams to identify high\-impact problems and bring elegant ML solutions to life.
**Office Locations (Optional Hybrid):** 
 This is a remote\-first position, but you can also work from one of the carrier’s multiple U.S. office locations
**What You’ll Do:** 
* Lead the design, development, and deployment of predictive models and machine learning pipelines across the insurance value chain.
* Partner with stakeholders to scope high\-value use cases in pricing, risk segmentation, underwriting automation, claims triage, fraud, retention, and more.
* Own model lifecycle management from ideation through to deployment and monitoring in production.
* Mentor junior data scientists, establish coding and modeling best practices, and participate in peer reviews.
* Collaborate with data engineers and ML engineers to scale models using a modern MLOps stack.
* Translate technical results into actionable insights for non\-technical stakeholders.
**What You Bring:** 
* 5–8\+ years of hands\-on experience in Data Science or ML Engineering, with a strong portfolio of deployed models.
* Deep understanding of statistical modeling, machine learning algorithms (e.g., tree\-based models, ensemble methods, NLP, deep learning), and model evaluation techniques.
* Advanced programming skills in
 **Python** 
 , and experience with data manipulation libraries (e.g., pandas, NumPy), machine learning frameworks (e.g., scikit\-learn, XGBoost, LightGBM), and deep learning tools (e.g., TensorFlow, PyTorch).
* Experience with
 **Databricks, MLflow, GitHub** 
 , and MLOps practices for productionization of models.
* Strong SQL skills and ability to work with large, complex datasets.
* Ability to communicate technical results clearly to cross\-functional teams and business stakeholders.
* Bachelor’s, Master’s, or Ph.D. in Data Science, Statistics, Computer Science, Mathematics, or a related field.
**Bonus Points For:** 
* Prior experience in the insurance industry, particularly P\&amp;C, working with claims, pricing, or underwriting data.
* Familiarity with regulatory modeling standards (e.g., explainability, fairness).
* Exposure to Hex, Arize, or similar tools for monitoring and visualization.
* Experience with time series forecasting or geospatial modeling.
**What’s In It for You:** 
* **$120,000\-$170,000 base salary**
* **Performance\-based bonus/variable compensation**
* **Comprehensive benefits** 
 , including:
* Medical, dental, and vision insurance
* 401(k) with company match
* Generous PTO
* Wellness and mental health support programs
 This is a rare opportunity to lead cutting\-edge Data Science work at a modern insurance organization where innovation is a priority.
 If you’re excited to build models that go into production and directly shape customer and business outcomes — we’d love to connect.</t>
        </is>
      </c>
    </row>
    <row r="9">
      <c r="A9" t="inlineStr">
        <is>
          <t>li-4345384489</t>
        </is>
      </c>
      <c r="B9" t="inlineStr">
        <is>
          <t>Data Scientist</t>
        </is>
      </c>
      <c r="C9" t="inlineStr">
        <is>
          <t>RemoteHunter</t>
        </is>
      </c>
      <c r="D9" t="inlineStr">
        <is>
          <t>linkedin</t>
        </is>
      </c>
      <c r="E9" t="inlineStr"/>
      <c r="F9" t="inlineStr"/>
      <c r="G9" t="inlineStr"/>
      <c r="H9" t="inlineStr"/>
      <c r="I9" t="inlineStr">
        <is>
          <t>About the Opportunity:
 A growing team is seeking a Data Scientist to support data\-driven decisions across critical business initiatives such as carrier growth and new product development. The organization has achieved profitability and aims to scale from 5 million to 50 million customers with a goal to become a $10 billion business. The role involves leveraging advanced machine learning models to analyze data and inform growth strategies within a super app that simplifies car ownership—including insurance, loans, repairs, and more—in a $2 trillion U.S. market.
 Responsibilities:
 • Collaborate with marketing, product, and business development teams to apply customer insights to acquisition strategies
 • Lead design, execution, and analysis of A/B tests on new and existing features to extract actionable insights
 • Define and test levers to drive profitable and scalable user acquisition and partnership growth
 • Identify opportunities to automate processes and improve operational efficiency
 Requirements:
 • Bachelor’s degree in a quantitatively or intellectually rigorous discipline
 • Minimum 1 year experience at a top\-tier economic consulting firm (e.g., Analysis Group, Cornerstone Research, Charles River Associates), management consulting firm (e.g., McKinsey, Bain, Boston Consulting Group), or relevant data science/business analysis experience
 • Proficient in SQL or Python
 • Strong problem\-solving framework based on first principles
 • Effective communication skills across all organizational levels, from front\-line employees to C\-suite executives
 • High standards for personal and team performance, with a commitment to continual improvement
 Benefits \&amp; Perks:
 • Health, dental, and vision insurance
 • Paid time off and paid parental leave
 • 401(k) plan with employer matching
 • Wellness benefits
 • Equity opportunities as part of total rewards package
 Compensation:
 • Starting pay determined by job\-related factors including skills, experience, qualifications, work location, and market conditions
 • Compensation may include base salary and equity grants
 • Pay ranges are market\-dependent and subject to future modification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
      <c r="A10" t="inlineStr">
        <is>
          <t>li-4345334327</t>
        </is>
      </c>
      <c r="B10" t="inlineStr">
        <is>
          <t>Data Scientist</t>
        </is>
      </c>
      <c r="C10" t="inlineStr">
        <is>
          <t>RemoteHunter</t>
        </is>
      </c>
      <c r="D10" t="inlineStr">
        <is>
          <t>linkedin</t>
        </is>
      </c>
      <c r="E10" t="inlineStr"/>
      <c r="F10" t="inlineStr"/>
      <c r="G10" t="inlineStr"/>
      <c r="H10" t="inlineStr"/>
      <c r="I10" t="inlineStr">
        <is>
          <t>About the Organization:
 The organization is building the first super app to simplify car ownership by integrating services such as insurance, buy/sell, registration, loans, safety, repairs, and parking within a $2 trillion U.S. market. Founded in 2019, the company has expanded from insurance to loan refinancing, driving insights, repair marketplace, car diagnostics, and a GenAI\-powered chatbot and voicebot. It has grown to over 5 million customers, raised $240 million in funding, achieved 60X revenue growth, and scaled its team to 225 employees across six countries. The data scientist role supports critical business initiatives and growth strategies by leveraging advanced machine learning and data\-driven decision\-making.
 Responsibilities:
 • Partner with marketing, product, and business development teams to integrate customer performance insights into acquisition strategies
 • Lead the design, execution, and analysis of A/B experiments on new and existing features
 • Define, test, and optimize levers to drive profitable and scalable user acquisition and partnership growth
 • Identify opportunities to automate manual processes and improve operational efficiency
 Requirements:
 • Bachelor’s degree in a quantitatively or intellectually rigorous discipline
 • Minimum 1 year of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Proficient in SQL or Python
 • Strong problem\-solving skills using first principles
 • Effective communication skills across all organizational levels
 • High standards for personal and team performance
 Benefits \&amp; Perks:
 • Health, dental, and vision coverage
 • Paid time off and paid parental leave
 • 401(k) plan with employer matching
 • Wellness benefits
 • Equity opportunities as part of total rewards package
 Compensation:
 • Starting pay will fall within the stated pay range for the role, based on skills, experience, qualifications, work location, and market conditions
 • Compensation may include base salary and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
      <c r="A11" t="inlineStr">
        <is>
          <t>li-4334739023</t>
        </is>
      </c>
      <c r="B11" t="inlineStr">
        <is>
          <t>Data Scientist - IT&amp;D</t>
        </is>
      </c>
      <c r="C11" t="inlineStr">
        <is>
          <t>McLane Company, Inc.</t>
        </is>
      </c>
      <c r="D11" t="inlineStr">
        <is>
          <t>linkedin</t>
        </is>
      </c>
      <c r="E11" t="inlineStr"/>
      <c r="F11" t="inlineStr"/>
      <c r="G11" t="inlineStr">
        <is>
          <t>Temple, TX</t>
        </is>
      </c>
      <c r="H11" t="inlineStr"/>
      <c r="I11" t="inlineStr">
        <is>
          <t>**Take your career further with McLane!**
 McLane teammates, the driving force behind our success, are diverse professionals who work together seamlessly to keep our operations running smoothly. As a teammate, you will pair your dedication, expertise, and collaborative spirit with your fellow teammates to serve America’s most beloved brands. McLane leaders think long\-term, act with purpose, and inspire high performance. They lead with accountability, communicate clearly, and drive results through collaboration, innovation, and continuous growth. They empower each teammate to learn from industry leaders, develop their skills, and build lasting connections nationwide.
 Build predictive models based on business data, including data preparation, feature engineering, model selection, and model evaluation techniques and measures. Coordinate with data engineering team to scale and deploy models and their related data pipelines into production within our Azure/Databricks environment.
 This is a hybrid position which will require the candidate to report and work from the office three days a week. Therefore, interested candidates should be within a 50\-minute radius from Temple, TX.
**Benefits You Can Count On**
* Day 1 Benefits: medical, dental, and vision insurance, FSA/HSA, and company\-paid life insurance
* Paid time off begins day one.
* 401(k) Profit Sharing Plan after 90 days.
* Additional benefits: pet insurance, maternity/paternity leave, employee assistance programs, discount programs, tuition reimbursement program, and more!
**What You’ll Do As a Data Scientist**
* Perform data mining, exploration, and analysis.
* Design, train, evaluate and implement machine learning algorithms and predictive models.
* Work with stakeholders to identify opportunities for improving business processes and addressing current pain points, using data insights, forecasts, and analytics.
* Develop and implement analytics\-enabled solutions to improve business process, generate insights, and support business goals.
* Develop Key Performance Indicators (KPIs), metrics, trend tracking, prediction, and forecasting models.
* Evaluate and understand complex issues from business partners and recommend solutions.
* Generate visualizations using tools like Tableau to provide business insights.
* Work closely with team throughout all phases of projects: requirements definition, design, development, test and evaluation, demonstration, and deployment.
* Perform other duties as assigned.
**Qualifications You’ll Bring As a Data Scientist**
* Bachelor's degree in data science, data analytics, or related field; or comparable job experience.
* Two years’ experience in predictive modeling and machine learning.
* Proficiency in Python and SQL.
* Knowledge of data science toolkits such as NumPy, Pandas and MatLab.
* Experience with Azure and Databricks platforms.
* Ability to work closely with team throughout all phases of projects: requirements definition, design, development, test and evaluation, demonstration, and deployment.
* Availability to work majority of shift during United States hours (overlapping with 8am\-5pm central time zone).
* This position requires the ability to read, write, and understand English at a level sufficient to perform job\-related tasks effectively and safely. This includes understanding work instructions, safety protocols, and communications essential to the role. The requirement is directly related to the nature of the job and ensures compliance with workplace safety and operational standards.
**Fit the following? We want you here!**
* Teamwork oriented
* Organized
* Problem solver
* Detailed
**Our roadmap. Our story.**
 We’ve been forging our path as a leader in the distribution industry since 1894\. Building an expansive nationwide network of team members for 130\+ years has allowed us to stay agile for our clients across the restaurant, retail, and e\-commerce industries. We look to the future and are ready to continue making industry\-defining moves by embracing the newest technology into our practices, continuing team member training, and emphasizing our people\-centered culture.
 Candidates may be subject to a background check and drug screen, in accordance with applicable laws.
 All applicants will receive consideration for employment without regard to race, color, religion, sex, sexual orientation, gender identity, national origin, disability, or status as a protected veteran.
 For our complete EEO and Pay Transparency statement, please visit https://www.mclaneco.com/legal/employment/
**Primary Location** 
 United States\-Texas\-Temple
**Work Locations** 
 North Campus
**Business Unit**
 IS970
**Job** 
 Information Technology
**Schedule** 
 Full\-time
**Shift** 
 1st \- Day
**Employee Status** 
 Regular</t>
        </is>
      </c>
    </row>
    <row r="12">
      <c r="A12" t="inlineStr">
        <is>
          <t>li-4345384488</t>
        </is>
      </c>
      <c r="B12" t="inlineStr">
        <is>
          <t>Data Scientist</t>
        </is>
      </c>
      <c r="C12" t="inlineStr">
        <is>
          <t>RemoteHunter</t>
        </is>
      </c>
      <c r="D12" t="inlineStr">
        <is>
          <t>linkedin</t>
        </is>
      </c>
      <c r="E12" t="inlineStr"/>
      <c r="F12" t="inlineStr"/>
      <c r="G12" t="inlineStr"/>
      <c r="H12" t="inlineStr"/>
      <c r="I12" t="inlineStr">
        <is>
          <t>About the Opportunity:
 The organization is seeking a Data Scientist to join a growing team that recently achieved profitability and aims to scale from 5 million to 50 million customers while targeting a $10 billion valuation. The role involves championing data\-driven decisions across critical business initiatives such as carrier growth and new product development. The team uses advanced machine learning models to conduct in\-depth analyses that shape growth strategies. The organization is developing a super app to simplify car ownership by integrating services including insurance, vehicle buying and selling, registration, loans, safety, repairs, and parking, addressing a $2 trillion market in the U.S. It has launched multiple features since 2019 and grown to over 5 million customers with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tests on new and existing features to inform product and business decisions
 • Define and test factors driving profitable, scalable user acquisition and partnership growth
 • Identify opportunities to automate manual processes and improve operational efficiency
 Requirements:
 • Bachelor’s degree in a quantitatively or intellectually rigorous discipline
 • Minimum 1 year experience at a top\-tier economic consulting firm (e.g., Analysis Group, Cornerstone Research, Charles River Associates) or management consulting firm (e.g., McKinsey, Bain, Boston Consulting Group) or relevant data science/business analysis experience
 • Proficiency in SQL or Python
 • Strong problem\-solving framework with a first principles approach
 • Effective communication skills for audiences ranging from front\-line employees to C\-suite executives
 • High personal and team standards with a drive for excellence
 Benefits \&amp; Perks:
 • Health, dental, and vision insurance
 • Paid time off and paid parental leave
 • 401(k) plan with employer matching
 • Wellness benefits
 • Equity opportunities may be included in total rewards package
 • Note: Part\-time, contract, or freelance roles may not qualify for all benefits
 Compensation:
 • Starting pay within a market\-dependent range based on job\-related factors including skills, experience, qualifications, and work location
 • Potential equity grants as part of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
      <c r="A13" t="inlineStr">
        <is>
          <t>li-4315374094</t>
        </is>
      </c>
      <c r="B13" t="inlineStr">
        <is>
          <t>Forward-Deployed Data Scientist, AI Deployment</t>
        </is>
      </c>
      <c r="C13" t="inlineStr">
        <is>
          <t>Braze</t>
        </is>
      </c>
      <c r="D13" t="inlineStr">
        <is>
          <t>linkedin</t>
        </is>
      </c>
      <c r="E13" t="inlineStr"/>
      <c r="F13" t="inlineStr"/>
      <c r="G13" t="inlineStr">
        <is>
          <t>Austin, TX</t>
        </is>
      </c>
      <c r="H13" t="inlineStr"/>
      <c r="I13"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14">
      <c r="A14" t="inlineStr">
        <is>
          <t>li-4334652957</t>
        </is>
      </c>
      <c r="B14" t="inlineStr">
        <is>
          <t>Senior Data Scientist</t>
        </is>
      </c>
      <c r="C14" t="inlineStr">
        <is>
          <t>Ford Motor Company</t>
        </is>
      </c>
      <c r="D14" t="inlineStr">
        <is>
          <t>linkedin</t>
        </is>
      </c>
      <c r="E14" t="inlineStr"/>
      <c r="F14" t="inlineStr"/>
      <c r="G14" t="inlineStr">
        <is>
          <t>Dearborn, MI</t>
        </is>
      </c>
      <c r="H14" t="inlineStr"/>
      <c r="I14" t="inlineStr">
        <is>
          <t>**Job Description**
 Senior Data Scientist
 We are the movers of the world and the makers of the future. We get up every day, roll up our sleeves and build a better world \-\- together. At Ford, we’re all a part of something bigger than ourselves. Are you ready to change the way the world moves?
 Do you believe data tells the real story? We do! Redefining mobility requires quality data, metrics and analytics, as well as insightful interpreters and analysts. That's where Global Data Insight \&amp; Analytics makes an impact. We advise leadership on business conditions, customer needs and the competitive landscape. With our support, key decision makers can act in meaningful, positive ways. Join us and use your data expertise and analytical skills to drive evidence\-based, timely decision making.
 In this position...
 We are looking for a Senior Data Scientist to support Design Cost and Complexity Analytics. A successful candidate must have experience in statistics and machine learning and be a proven communicator who effectively interfaces between technical and business teams. The ideal candidate will also have knowledge of cost modeling, product design (hardware), manufacturing, mechanical engineering or similar.
 This job is a good fit for you if you have strong critical thinking skills and enjoy working with users and deeply understanding the data. – We value being Smart. Nice. Curious. Communicative.
**Responsibilities**
**What you’ll do** 
 :
* Acquire deep understanding of vehicle engineering problems and translate them into appropriate mathematical representations
* Work with large and small, complex data sets using tools such as SQL, BigQuery, and Python
* Contribute and review code for our code base in GitHub
* Make sense of, clean, and assess validity and completeness of data samples from Ford’s products, services, and supply chain.
* Deliver insights, models, and tools using statistical analysis, sample validation, machine learning, algorithm design, and feature engineering
* Interpret modeling results and communicate them to technical and non\-technical audiences, cross\-functional teams and leadership
* Interact and work cross\-functionally with a variety of hardware engineers, software engineers, and product designers
* Develop trust with stakeholders and peers by delivering results on time
* Ensure overall quality of the data \&amp; solutions throughout the development process
* Provide training and maintenance of implemented tools to business partners
* Collect feedback from business users and continuously improve analytic products
* Mentor more junior data scientists by being a role model and advisor on the above tasks
* Find areas to lead and innovate as a Senior Data Scientist on the team
**Qualifications**
**You'll have..** 
 .
**The minimum requirements we seek** 
 :
* Bachelor’s degree in engineering, Statistics, Data Science, Computer Science, Engineering, Economics, Mathematics, Data Science, Operations Research or similar technical field or a related quantitative discipline.
* 5\+ years of experience using statistics, machine learning, and other advanced mathematical techniques for gaining insights from data
* 5\+ years of experience using Python, SQL or BigQuery for acquiring and transforming data
* 5\+ years of experience with real\-world data, data cleaning, data collection or other data wrangling challenges
* Experience with sampling and sample assessment techniques when data are not ideal, especially in structured data with data gaps (e.g. statistical design of experiments, factorial experimental design, Latin hypercube sampling, and others)
* Comfortable working in an environment where problems are not always well\-defined
* Well\-organized, a self\-starter, independent and ready to work with minimal supervision
* A respectful and committed teammate, willing to excel and work with talented people
* Inquisitive, proactive, and interested in learning new tools and techniques
* Proven quantitative modeling and statistical analysis skills
**Even better, you may have...**
**Additional preferred requirements:**
* Masters or PhD in quantitative field, such as (but not limited to) Statistics, Computer Science, Engineering, Economics, Mathematics, Data Science, Operations Research or similar technical field.
* K nowledge of cost modeling, product design (hardware), mechanical engineering or similar
* Experience deploying Machine Learning in production (ideally MLOps) for internal or external use
* Experience with Google Cloud Platform (GCP) or other cloud systems
* Strong oral, written and interpersonal communication skills
* Ability to effectively advocate technical solutions to peer, management and business audiences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**About Us**
 At Ford Motor Company, we believe freedom of movement drives human progress. With our incredible plans for the future of mobility, we have a wide variety of opportunities for you to accelerate your career and help us define tomorrow’s transportation.
**About The Team**
 We are trusted advisers enabling Ford to see our business, know our customers and act in a meaningful way. We drive evidence\-based decision making by providing timely, actionable and forward\-looking insights to our One Ford business partners. We seek to provide the thought leadership essential to achieving Ford’s strategic objectives. We translate insight into action by driving toward robust points of view, timely decisions and responsible allocation of enterprise resources.</t>
        </is>
      </c>
    </row>
    <row r="15">
      <c r="A15" t="inlineStr">
        <is>
          <t>li-4328307611</t>
        </is>
      </c>
      <c r="B15" t="inlineStr">
        <is>
          <t>Data Scientist II</t>
        </is>
      </c>
      <c r="C15" t="inlineStr">
        <is>
          <t>Microsoft</t>
        </is>
      </c>
      <c r="D15" t="inlineStr">
        <is>
          <t>linkedin</t>
        </is>
      </c>
      <c r="E15" t="inlineStr"/>
      <c r="F15" t="inlineStr"/>
      <c r="G15" t="inlineStr">
        <is>
          <t>Redmond, WA</t>
        </is>
      </c>
      <c r="H15" t="inlineStr"/>
      <c r="I15" t="inlineStr">
        <is>
          <t>**Overview**
 Microsoft is a company where innovators come to collaborate. This is a world of more possibilities, more innovation, more openness in a cloud\-enabled world. The Business and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and work on something highly strategic to Microsoft. Microsoft Dataverse and the Power Platform Managed Platform provide secure, scalable, and cost\-efficient foundations for building AI\-powered, governed, and compliant applications at global scale. This team builds platform capabilities and microservices that deliver global scale, security, governance, and managed runtime for customers across Power Platform. You will be part of a team of engineers who thrive on solving complex problems at scale with impeccable quality.
 We are looking for a
 **Data Scientist II** 
 to join the Managed Platform team, which provides the foundation for global scale, security, governance, and compliance across Power Platform and Dataverse. In this role, you will apply data science techniques to improve platform reliability, optimize performance, and enable AI\-driven insights that shape the future of enterprise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and deploy machine learning models and statistical analyses to improve platform performance, reliability, and cost efficiency.
* Partner with engineering teams to integrate predictive insights into distributed systems and services.
* Design and analyze experiments (e.g., A/B tests) to validate hypotheses and measure impact on customer experience and platform health.
* Develop dashboards and metrics to monitor model performance and service health.
* Communicate findings and recommendations to technical and business stakeholders through clear, actionable insights.
* Collaborate with cross\-functional teams to ensure data quality and effective use of analytics in decision\-making.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 2\+ years of experience in data science, analytics, or related areas.
* 2\+ years of experience in applied machine learning, statistical modeling, and experimentation.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Proficiency in Python for data analysis and model development.
* Experience with SQL and working with large datasets.
 Additional Details
 \#BICJobs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
      <c r="A16" t="inlineStr">
        <is>
          <t>li-4315361389</t>
        </is>
      </c>
      <c r="B16" t="inlineStr">
        <is>
          <t>Forward-Deployed Data Scientist, AI Deployment</t>
        </is>
      </c>
      <c r="C16" t="inlineStr">
        <is>
          <t>Braze</t>
        </is>
      </c>
      <c r="D16" t="inlineStr">
        <is>
          <t>linkedin</t>
        </is>
      </c>
      <c r="E16" t="inlineStr"/>
      <c r="F16" t="inlineStr"/>
      <c r="G16" t="inlineStr">
        <is>
          <t>Chicago, IL</t>
        </is>
      </c>
      <c r="H16" t="inlineStr"/>
      <c r="I16"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 Collaborate with customer Analytics/BI teams and Braze colleagues on implementations, including use case definition, data integration, pipeline setup, and ML model configuration
* Extend product capabilities by improving architecture and developing reusable data pipelines, APIs, and components
* Work closely with the RL pipeline development team to refine and advance our reinforcement learning (self\-learning) algorithms
* Contribute to shaping OfferFit’s product strategy and roadmap through customer\-facing insights and technical expertise
* Provide ongoing technical expertise to ensure successful adoption, measurable outcomes, and long\-term customer success
**Who You Are**
* Education: Bachelor’s degree in Computer Science, Data Science, Mathematics, Engineering, or a related field required; Master’s or PhD in a relevant technical discipline preferred
* Experience: 3–5\+ years of hands\-on experience as a Data Scientist, Machine Learning Engineer, or similar role working with large\-scale data and production environments. Experience in customer\-facing or consulting roles is strongly preferred
* Strong technical expertise: Proficient in Python (Pandas) and core ML libraries (TensorFlow, Keras, scikit\-learn, CatBoost, XGBoost). Skilled in SQL for querying/manipulating datasets, with experience in machine learning pipelines and model deployment
* Engineering best practices: You write well\-structured, modular, documented code; follow strong development practices (Git, CI/CD, testing frameworks, type\-hinting, code reviews); and can build scalable, maintainable solutions
* Nice\-to\-have skills: Experience with DevOps tools (Airflow, Kubernetes, Terraform, GCP), data integration/ETL and pipeline optimization, or reinforcement learning algorithms
* Customer collaborator: Comfortable working directly with clients and cross\-functional teams, aligning stakeholders, and translating technical concepts into clear business value
* Entrepreneurial problem\-solver: You identify opportunities and risks early, troubleshoot obstacles, and drive creative solutions
* Continuous learner: You stay current with industry trends, explore new tools/technologies, and thrive in environments that push you to grow
* Clear communicator: Able to explain complex technical ideas persuasively to both technical and non\-technical audiences
 For candidates based in the United States, the pay range for this position at the start of employment is expected to be between $145,800 \- $217,8000/year with an expected On Target Earnings (OTE) between $162,000 \- $242,000/year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17">
      <c r="A17" t="inlineStr">
        <is>
          <t>li-4359916825</t>
        </is>
      </c>
      <c r="B17" t="inlineStr">
        <is>
          <t>Data Scientist, Marketing</t>
        </is>
      </c>
      <c r="C17" t="inlineStr">
        <is>
          <t>Thumbtack</t>
        </is>
      </c>
      <c r="D17" t="inlineStr">
        <is>
          <t>linkedin</t>
        </is>
      </c>
      <c r="E17" t="inlineStr"/>
      <c r="F17" t="inlineStr"/>
      <c r="G17" t="inlineStr"/>
      <c r="H17" t="inlineStr"/>
      <c r="I17" t="inlineStr">
        <is>
          <t>**About The Company** 
 Thumbtack is a leading platform dedicated to helping millions of individuals confidently care for and improve their homes. By providing a comprehensive app, Thumbtack offers personalized guidance, AI\-powered tools, and a seamless hiring experience to connect homeowners with local service professionals. Every day, in every county across the United States, users turn to Thumbtack to address urgent repairs, seasonal maintenance, and larger home improvement projects. With a community of over 300,000 local service businesses, Thumbtack empowers homeowners to make informed decisions about their projects, from selecting the right services to understanding the optimal timing for execution. The company's mission is to build a trusted ecosystem where people can confidently manage their home care needs, fostering growth, innovation, and positive impact in the home services industry.
**About The Role** 
 As a Staff Marketing Data Scientist at Thumbtack, you will play a pivotal role in advancing the company's data\-driven growth initiatives. You will be entrusted with combining rigorous analytical thinking, technical expertise, and business acumen to develop innovative measurement methodologies that evaluate marketing effectiveness across various channels. Your primary focus will be to design scalable frameworks, tools, and processes that enable the Marketing and Data Science teams to operate with agility, precision, and confidence. You will lead efforts to enhance channel measurement capabilities, explore cutting\-edge analytical approaches, and contribute to strategic decision\-making processes. This senior role requires a proactive mindset, strong leadership skills, and a passion for leveraging data to drive impactful business outcomes. You will collaborate closely with cross\-functional teams, mentor junior analysts, and set the long\-term direction for measurement practices within the organization.
**Qualifications** 
* 4\+ years of experience in data science, analytics, or economics
* Bachelor’s, Master’s, or Doctoral degree in Statistics, Engineering, Analytics, Math, Computer Science, Economics, or related technical field
* Proficiency with analytical tools such as Python and SQL
* Experience working in fast\-paced business environments
* Strong communication skills with the ability to build cross\-functional relationships
* Experience in developing and evolving measurement methodologies and models
* Ability to identify new analytical opportunities and implement innovative solutions
* Experience mentoring team members and influencing organizational data practices
* Applicants with more extensive experience, including mid\-career professionals, are encouraged to apply
**Responsibilities** 
* Lead the development and enhancement of measurement frameworks that evaluate marketing effectiveness across multiple channels
* Create scalable tools, processes, and methodologies to improve the consistency and efficiency of marketing measurement
* Advance existing modeling approaches to produce robust, actionable insights that inform marketing strategies
* Iterate and refine measurement techniques for key marketing challenges such as channel incrementality and return on ad spend
* Collaborate with cross\-functional teams including marketing, data science, and product to align measurement insights with business objectives
* Mentor junior team members, elevate analytical standards, and shape the strategic direction of measurement initiatives
* Identify opportunities where advanced analytics or innovative methodologies can unlock additional business impact
* Communicate complex analytical findings clearly to stakeholders and influence data\-driven decision making
**Benefits** 
* Competitive salary aligned with experience and location
* Health, dental, and vision insurance plans
* Flexible work arrangements, including remote work options
* Generous paid time off and holidays
* Professional development opportunities and continuous learning
* Inclusive and diverse workplace culture
* Employee wellness programs and resources
 Equal Opportunity
 Thumbtack is committed to fostering an inclusive environment and is proud to be an equal opportunity employer. We do not discriminate based on sex, race, color, age, pregnancy, sexual orientation, gender identity or expression, religion, national origin, ancestry, citizenship, marital status, military or veteran status, genetic information, disability, or any other characteristic protected by applicable law.</t>
        </is>
      </c>
    </row>
    <row r="18">
      <c r="A18" t="inlineStr">
        <is>
          <t>li-4334661005</t>
        </is>
      </c>
      <c r="B18" t="inlineStr">
        <is>
          <t>Data Scientist</t>
        </is>
      </c>
      <c r="C18" t="inlineStr">
        <is>
          <t>Northern Tool + Equipment</t>
        </is>
      </c>
      <c r="D18" t="inlineStr">
        <is>
          <t>linkedin</t>
        </is>
      </c>
      <c r="E18" t="inlineStr"/>
      <c r="F18" t="inlineStr"/>
      <c r="G18" t="inlineStr">
        <is>
          <t>Burnsville, MN</t>
        </is>
      </c>
      <c r="H18" t="inlineStr"/>
      <c r="I18" t="inlineStr">
        <is>
          <t>**Description**
 At Northern Tool \+ Equipment we get up every day to serve the tradespeople who keep our country running strong and the weekend warriors who want to work like them. It’s our mission to make sure they have the right tools for the job, and an easy, hassle\-free experience at our store so they can get in, get out and get on with the job at hand. Your top priority as a Data Scientist is to design and implement modeling solutions that address business needs, using statistical and machine learning methods. Translates business questions into structured analyses and delivers actionable insights. Your positive, professional, roll\-up\-your\-sleeves\-to\-help attitude contributes to our winning culture and makes sure we leave a lasting impression.
 Key Responsibilities:
* Designs and implements predictive, causal, and forecasting models.
* Builds ML models (e.g., XGBoost, scikit\-learn) and tunes for accuracy and interpretability.
* Connects predictive outputs to dashboards for operational use.
* Selects appropriate methods based on problem, data, and output needs.
* Delivers insights aligned to stakeholder goals, framing recommendations as business decisions.
* Mentor junior analysts in technical skills and project approach.
 What you will bring to the table:
* Bachelor’s or master’s degree in a quantitative field.
* 3\+ years in data science or analytics.
* Proficiency in Python/R, SQL, and ML libraries.
* Thorough knowledge of Company policies and procedures as they relate to network setup and administration.
* Demonstrated ability to develop, write and test programs.
* Ability to communicate effectively, both orally and in writing, with a wide variety of customers, Company personnel and others.
* Demonstrates Northern Tool \+ Equipment’s 12 Core Competencies.
**About Us**
 Northern Tool \+ Equipment is a family business with roots stretching back three generations to Minnesota’s Iron Range, where our blue\-collar work ethic and commitment to serving the people who do the tough jobs was born. Our mission is to be the best in the world at serving the professional tradespeople and those who want to work like them. With over 130 retail stores across 24 states, top national brands and global manufacturing operations designed to create our own specialized tools and equipment, we are busting our knuckles to deliver the products, prices and advice our customers need to succeed. We’re looking for people who share our blue\-collar work ethic. If you’re the kind of person who likes to put your nose to the grindstone to help your customers and company succeed, we’d love to talk to you about becoming a member of our team.
 Northern Tool \+ Equipment is proud to be recognized by Forbes as a Top Midsize Employer in 2023\. We are committed to creating a workplace where your contributions are valued, and your professional growth is encouraged. When you join our team, you’ll enjoy a comprehensive and competitive compensation package that includes:
* Competitive Pay: Earn $80,600 to $115,000 annually, with your exact compensation personalized based on your skills, experience, and location. We believe in rewarding top talent with pay that reflects your value.
* Flexible Work Schedule: Achieve the work\-life balance you deserve with our full\-time, 8\-hour shifts, Monday – Friday, complemented by a hybrid work schedule that allows you to work both remotely and in the office.
* Comprehensive Benefits Package: Your health and well\-being are our priority. We offer a variety of health plans, so you can choose what best fits your needs. Employees working 30\+ hours per week enjoy a robust benefits package, including medical, dental, vision, and a 401(k) plan with an enhanced company match to support your financial future.
* Generous Employee Discount: Love our products? So do we! Enjoy a significant discount on the quality tools and equipment we offer, helping you save on the items you love to use.
* Get Paid on Your Terms: With our Daily Pay option, you don’t have to wait for payday—access your earnings whenever you need them for added financial flexibility.
* Paid Holidays: Take time to relax and recharge with 7 paid federal holidays, because we know how important it is to have time for yourself and your loved ones.
* Incentives: Be rewarded for eligible incentive programs.
 When you join Northern Tool \+ Equipment, you're not just starting a job—you're joining a community that supports your success. Come be a part of a team where your skills, dedication, and passion are recognized and celebrated. Your future starts here!</t>
        </is>
      </c>
    </row>
    <row r="19">
      <c r="A19" t="inlineStr">
        <is>
          <t>li-4332544328</t>
        </is>
      </c>
      <c r="B19" t="inlineStr">
        <is>
          <t>Data Scientist</t>
        </is>
      </c>
      <c r="C19" t="inlineStr">
        <is>
          <t>Haystack</t>
        </is>
      </c>
      <c r="D19" t="inlineStr">
        <is>
          <t>linkedin</t>
        </is>
      </c>
      <c r="E19" t="inlineStr"/>
      <c r="F19" t="inlineStr"/>
      <c r="G19" t="inlineStr"/>
      <c r="H19" t="inlineStr"/>
      <c r="I19" t="inlineStr">
        <is>
          <t>**Associate Director, Data Science \&amp; AI** 
 We're working with CSL Behring on this exciting opportunity.
 Shape the future of healthcare! As an Associate Director, you'll spearhead the application of cutting\-edge AI and machine learning solutions, driving CSL Behring's commercial strategy and impacting patient outcomes globally. If you're passionate about leveraging Generative AI, predictive modeling, and advanced analytics to transform the biopharma landscape, this is your chance to shine.
**The Role** 
 • Lead development and deployment of advanced analytics and AI models for critical commercial challenges, including patient identification in rare diseases.
 • Partner with Commercial, Medical Affairs, and Market Access teams to align AI solutions with strategic business needs.
 • Translate complex business problems into data science use cases, guiding them from proof\-of\-concept to production.
 • Drive the adoption of AI\-enabled tools across the commercial organization, ensuring measurable business impact.
 • Innovate in the field, leading to high\-visibility publications and patents in areas like Generative AI and multi\-agent systems.
**What You'll Need** 
 • 10\+ years of experience in advanced analytics, data science, or (Gen)AI within pharma/biotech or healthcare, with a strong commercial analytics background.
 • Proven track record of developing and deploying machine learning models in commercial or clinical settings.
 • Expertise in cloud environments (AWS, Snowflake) and modern ML frameworks (TensorFlow, PyTorch, scikit\-learn), including no\-code data science SaaS tools.
 • Deep understanding of the pharmaceutical industry, regulatory requirements, and emerging AI technologies.
 • Experience leading cross\-functional AI/ML initiatives from concept through deployment and building evaluation frameworks for LLMs.
**What's On Offer** 
 • Work on groundbreaking AI and data science initiatives to make a tangible impact on global health.
 • Collaborate with a passionate team at a global biotherapeutics leader, CSL Behring.
 • Comprehensive benefits package designed to support your well\-being, from healthcare to financial planning.
 • Opportunities for continuous learning and career development in a rapidly evolving technological landscape.
**Apply via Haystack today!**</t>
        </is>
      </c>
    </row>
    <row r="20">
      <c r="A20" t="inlineStr">
        <is>
          <t>li-4332594438</t>
        </is>
      </c>
      <c r="B20" t="inlineStr">
        <is>
          <t>Data Scientist</t>
        </is>
      </c>
      <c r="C20" t="inlineStr">
        <is>
          <t>Haystack</t>
        </is>
      </c>
      <c r="D20" t="inlineStr">
        <is>
          <t>linkedin</t>
        </is>
      </c>
      <c r="E20" t="inlineStr"/>
      <c r="F20" t="inlineStr"/>
      <c r="G20" t="inlineStr"/>
      <c r="H20" t="inlineStr"/>
      <c r="I20" t="inlineStr">
        <is>
          <t>**Associate Director, Data Science \&amp; AI** 
 We're working with CSL Behring on this exciting opportunity.
 Shape the future of healthcare! As an Associate Director, you'll spearhead the application of cutting\-edge AI and machine learning solutions, driving CSL Behring's commercial strategy and impacting patient outcomes globally. If you're passionate about leveraging Generative AI, predictive modeling, and advanced analytics to transform the biopharma landscape, this is your chance to shine.
**The Role** 
 • Lead development and deployment of advanced analytics and AI models for critical commercial challenges, including patient identification in rare diseases.
 • Partner with Commercial, Medical Affairs, and Market Access teams to align AI solutions with strategic business needs.
 • Translate complex business problems into data science use cases, guiding them from proof\-of\-concept to production.
 • Drive the adoption of AI\-enabled tools across the commercial organization, ensuring measurable business impact.
 • Innovate in the field, leading to high\-visibility publications and patents in areas like Generative AI and multi\-agent systems.
**What You'll Need** 
 • 10\+ years of experience in advanced analytics, data science, or (Gen)AI within pharma/biotech or healthcare, with a strong commercial analytics background.
 • Proven track record of developing and deploying machine learning models in commercial or clinical settings.
 • Expertise in cloud environments (AWS, Snowflake) and modern ML frameworks (TensorFlow, PyTorch, scikit\-learn), including no\-code data science SaaS tools.
 • Deep understanding of the pharmaceutical industry, regulatory requirements, and emerging AI technologies.
 • Experience leading cross\-functional AI/ML initiatives from concept through deployment and building evaluation frameworks for LLMs.
**What's On Offer** 
 • Work on groundbreaking AI and data science initiatives to make a tangible impact on global health.
 • Collaborate with a passionate team at a global biotherapeutics leader, CSL Behring.
 • Comprehensive benefits package designed to support your well\-being, from healthcare to financial planning.
 • Opportunities for continuous learning and career development in a rapidly evolving technological landscape.
**Apply via Haystack today!**</t>
        </is>
      </c>
    </row>
    <row r="21">
      <c r="A21" t="inlineStr">
        <is>
          <t>li-4313067499</t>
        </is>
      </c>
      <c r="B21" t="inlineStr">
        <is>
          <t>Senior Data Scientist - Workforce Operations</t>
        </is>
      </c>
      <c r="C21" t="inlineStr">
        <is>
          <t>Equip</t>
        </is>
      </c>
      <c r="D21" t="inlineStr">
        <is>
          <t>linkedin</t>
        </is>
      </c>
      <c r="E21" t="inlineStr"/>
      <c r="F21" t="inlineStr"/>
      <c r="G21" t="inlineStr"/>
      <c r="H21" t="inlineStr"/>
      <c r="I21" t="inlineStr">
        <is>
          <t>**About Equip**
 Equip is the leading virtual, evidence\-based eating disorder treatment program on a mission to ensure that everyone with an eating disorder can access treatment that works. Created by clinical experts in the field and people with lived experience, Equip builds upon evidence\-based treatments to empower individuals to reach lasting recovery. All Equip patients receive a dedicated care team, including a therapist, dietitian, physician, and peer and family mentor. The company operates in all 50 states and is partnered with most major health insurance plans. Learn more about our strong outcomes and treatment approach at www.equip.health.
 Founded in 2019, Equip has been a fully virtual company since its inception and is proud of the highly\-engaged, passionate, and diverse Equisters that have created Equip’s culture. Recognized by Time as one of the most influential companies of 2023, along with awards from Linkedin and Lattice, we are grateful to Equipsters for building a sustainable treatment program that has served thousands of patients and families.
**About The Role**
 This Senior Data Scientist will be responsible for building and operationalizing statistical models, ML/AI solutions, and interactive dashboards to support strategic workforce planning and operational decision\-making in the telehealth space. This role focuses on using data science to optimize workforce resource allocation, capacity planning, and forecasting across a variety of business domains at Equip. You will help develop and implement data\-driven solutions to problems such as optimizing clinical staffing, predicting employee attrition, and proactively identifying shortages and gaps in various resources. The data scientist will partner with the Operations, People, and Finance teams to translate business needs into actionable insights and analytic solutions.
 As part of the Data and Insights team, the Senior Data Scientist will collaborate with a diverse group of data scientists, analysts, engineers, and product managers to work on exciting projects and contribute to the growth of Equip.
**Responsibilities**
* Develop and deploy analytic models for workforce demand forecasting, resource optimization, and capacity planning.
* Implement workforce allocation algorithms to optimize staffing and resource allocation.
* Design and develop models/algorithms based on predictive/descriptive statistical modeling, machine learning, and LLMs/AI to glean insights from large datasets.
* Continuously monitor and implement data quality processes to ensure accuracy, consistency, and reliability.
* Clean, transform, and optimize data for analysis.
* Utilize CI/CD pipelines and APIs to deploy models and algorithms to target environments.
* Work with cross\-functional teams to understand needs and identify how data science can support operational, workforce planning, and business goals.
* Perform analyses, visualize data, and present data science work to stakeholders.
* Perform other duties as assigned.
**Qualifications**
* Bachelors or Masters degree in statistics, data science, or related field.
* 5\+ years of demonstrated work experience in data science, machine learning, or statistics.
* Strong theoretical and practical understanding of statistical analyses (e.g., hypothesis testing, regression, A/B testing), machine learning techniques (e.g., time series forecasting, supervised/unsupervised learning, etc.) and large language/AI models.
* Proficient in Python (pandas, numpy, scikit\-learn, etc.) and SQL for data extraction, modeling, preparation, analysis, and model building.
* Experience in workforce optimization, workforce planning, or HR analytics.
* Experience using data visualization software (e.g., Power BI, Tableau) for report creation and dashboard design.
* Ability to write clear, maintainable, extensible, and testable code.
* Experience with Git / GitHub.
* Independent, organized, and solutions\-driven.
* Comfortable in a fast\-paced environment that is subject to rapid change and innovation.
**Benefits**
**Time Off:**
* Flex PTO policy (3\-5 wks/year recommended) \+ 11 paid company holidays.
**Medical Benefits**
* Competitive Medical, Dental, Vision, Life, and AD\&amp;D insurance.
* Equip pays for a significant percentage of benefits premiums for individuals and families.
* Maven, a company paid reproductive and family care benefit for all employees.
* Employee Assistance Program (EAP), a company paid resource for mental health, legal services, financial support, and more!
**Other Benefits**
**Work From Home Additional Perks:**
* $50/month stipend added directly to an employee’s paycheck to cover home internet expenses.
* One\-time work from home stipend of up to $500\.
**Physical Demands**
 Work is performed 100% from home with no requirement to travel. This is a stationary position that requires the ability to operate standard office equipment and keyboards as well as to talk or hear by telephone. Sit or stand as needed.
 At Equip, Diversity, Equity, Inclusion and Belonging (DEIB) are woven into everything we do. At the heart of Equip’s mission is a relentless dedication to making sure that everyone with an eating disorder has access to care that works regardless of race, gender, sexuality, ability, weight, socio\-economic status, and any marginalized identity. We also strive toward our providers and corporate team reflecting that same dedication both in bringing in
 *and* 
 retaining talented employees from all backgrounds and identities. We have an Equip DEIB council, Equip For All; also referred to as EFA.
 *EFA at Equip aims to be a space driven by mutual respect, and thoughtful, effective communication strategy \- enabling full participation of members who identify as marginalized or under\-represented and allies, amplifying diverse voices, creating opportunities for advocacy and contributing to the advancement of diversity, equity, inclusion, and belonging at Equip.*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weight, and/or any other legally protected classification protected by federal, state, or local law.
 Our dedication to equitable access, which is core to our mission, extends to how we build our "village." In line with our commitment to Diversity, Equity, Inclusion, and Belonging (DEIB), we are dedicated to an accessible hiring process where all candidates feel a true sense of belonging. If you require a reasonable accommodation to complete your application, interview, or perform the essential functions of a role, we invite you to reach out to our People team at accommodations@equip.health.</t>
        </is>
      </c>
    </row>
    <row r="22">
      <c r="A22" t="inlineStr">
        <is>
          <t>li-4328247858</t>
        </is>
      </c>
      <c r="B22" t="inlineStr">
        <is>
          <t>Applied Scientist II</t>
        </is>
      </c>
      <c r="C22" t="inlineStr">
        <is>
          <t>Microsoft</t>
        </is>
      </c>
      <c r="D22" t="inlineStr">
        <is>
          <t>linkedin</t>
        </is>
      </c>
      <c r="E22" t="inlineStr"/>
      <c r="F22" t="inlineStr"/>
      <c r="G22" t="inlineStr">
        <is>
          <t>Redmond, WA</t>
        </is>
      </c>
      <c r="H22" t="inlineStr"/>
      <c r="I22" t="inlineStr">
        <is>
          <t>**Overview**
 We are building a large\-scale, Azure\-based intelligence platform that turns complex data into high\-quality, actionable insights for Microsoft Advertising. This platform combines advanced machine learning with emerging agentic capabilities powered by large language models (LLMs) to deliver smarter recommendations, automate analysis, generate contextual summaries, and streamline workflows across the ecosystem.
 We are looking for an Applied Scientist II to help advance this platform. In this role, you will design and develop scalable ML models, partner closely with engineering teams to productionize solutions, and integrate LLM\-driven reasoning and summarization into core workflows. This is an opportunity to work on cutting\-edge applied science challenges that directly influence advertiser experience and platform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Implement large scale ML models for advertiser recommendations, insights, and forecasting.
* Apply statistical and machine learning techniques to detect patterns, surface anomalies, and generate data\-driven insights.
* Collaborate with engineering and BI teams to operationalize models into dashboards and alerting systems.
* Support experimentation and contribute to model performance evaluation.
* Assist in prompt engineering for LLM calls and explore summarization techniques.
* Ensure Responsible AI practices and contribute to model governance.
**Qualifications**
**Required:**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Hands\-on experience developing and validating ML/statistical models (e.g., regressions, classifiers, clustering).
* Experience with large\-scale data processing or distributed computing (e.g., Spark, Azure Databricks).
* Familiarity with time\-series analysis and anomaly detection techniques (e.g., ARIMA, isolation forests).
* Exposure to LLMs and prompt engineering for summarization or domain adaptation.
* Domain knowledge in sales, marketing analytics, or business intelligence.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
      <c r="A23" t="inlineStr">
        <is>
          <t>li-4285602811</t>
        </is>
      </c>
      <c r="B23" t="inlineStr">
        <is>
          <t>Applied Scientist II, Prime Video - Personalization and Discovery Science</t>
        </is>
      </c>
      <c r="C23" t="inlineStr">
        <is>
          <t>Prime Video &amp; Amazon MGM Studios</t>
        </is>
      </c>
      <c r="D23" t="inlineStr">
        <is>
          <t>linkedin</t>
        </is>
      </c>
      <c r="E23" t="inlineStr"/>
      <c r="F23" t="inlineStr"/>
      <c r="G23" t="inlineStr">
        <is>
          <t>New York, United States</t>
        </is>
      </c>
      <c r="H23" t="inlineStr"/>
      <c r="I2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A3059253</t>
        </is>
      </c>
    </row>
    <row r="24">
      <c r="A24" t="inlineStr">
        <is>
          <t>li-4284530539</t>
        </is>
      </c>
      <c r="B24" t="inlineStr">
        <is>
          <t>Applied Scientist, Prime Video - Personalization and Discovery Science</t>
        </is>
      </c>
      <c r="C24" t="inlineStr">
        <is>
          <t>Prime Video &amp; Amazon MGM Studios</t>
        </is>
      </c>
      <c r="D24" t="inlineStr">
        <is>
          <t>linkedin</t>
        </is>
      </c>
      <c r="E24" t="inlineStr"/>
      <c r="F24" t="inlineStr"/>
      <c r="G24" t="inlineStr">
        <is>
          <t>Sunnyvale, CA</t>
        </is>
      </c>
      <c r="H24" t="inlineStr"/>
      <c r="I2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A3033050</t>
        </is>
      </c>
    </row>
    <row r="25">
      <c r="A25" t="inlineStr">
        <is>
          <t>li-4359778240</t>
        </is>
      </c>
      <c r="B25" t="inlineStr">
        <is>
          <t>Data Scientist</t>
        </is>
      </c>
      <c r="C25" t="inlineStr">
        <is>
          <t>Haystack</t>
        </is>
      </c>
      <c r="D25" t="inlineStr">
        <is>
          <t>linkedin</t>
        </is>
      </c>
      <c r="E25" t="inlineStr"/>
      <c r="F25" t="inlineStr"/>
      <c r="G25" t="inlineStr">
        <is>
          <t>Phoenix, AZ</t>
        </is>
      </c>
      <c r="H25" t="inlineStr"/>
      <c r="I25" t="inlineStr">
        <is>
          <t>**Senior Manager Data Science \| Phoenix, Arizona \| Hybrid**
 We're working with Sprouts Farmers Market on this exciting opportunity.
 Join Sprouts Farmers Market as a Senior Manager, Data Science and spearhead their personalization strategy! Lead a dynamic team to innovate with machine learning, Python, and Microsoft Azure, shaping customer experiences and driving business growth in a vibrant retail environment.
**The Role**
* Lead and develop a team of talented data scientists, fostering innovation and continuous improvement.
* Maintain and enhance Sprouts' proprietary personalization engine, leveraging cutting\-edge data science methodologies.
* Drive the adoption of emerging machine learning technologies and tools like Databricks and PowerBI to optimize customer experiences.
* Proactively identify and implement new opportunities for customer personalization through in\-depth data analysis.
* Collaborate cross\-functionally with marketing, merchandising, CRM, and IT partners to achieve strategic goals.
**What You'll Need**
* 8\+ years of experience in data science or machine learning with a strong track record of analytical problem\-solving.
* 5\+ years of experience in business/technical roles, delivering impactful development and business results.
* Advanced proficiency in databases, scripting (Python), and Business Intelligence tools (Microsoft Azure, PowerBI, Databricks).
* Bachelor's degree in Computer Science, Data Science, Machine Learning, or a related field (Master's/PhD preferred).
**What's On Offer**
* Competitive pay and opportunities for significant career growth within a rapidly expanding company.
* Comprehensive benefits including medical, dental, vision, 401(K) with company match, and paid parental leave.
* Generous 15% discount on all Sprouts purchases for you and a family member.
* DailyPay option, allowing instant access to your earned wages.
**Apply via Haystack today!**</t>
        </is>
      </c>
    </row>
    <row r="26">
      <c r="A26" t="inlineStr">
        <is>
          <t>li-4345324483</t>
        </is>
      </c>
      <c r="B26" t="inlineStr">
        <is>
          <t>Senior Data Scientist</t>
        </is>
      </c>
      <c r="C26" t="inlineStr">
        <is>
          <t>RemoteHunter</t>
        </is>
      </c>
      <c r="D26" t="inlineStr">
        <is>
          <t>linkedin</t>
        </is>
      </c>
      <c r="E26" t="inlineStr"/>
      <c r="F26" t="inlineStr"/>
      <c r="G26" t="inlineStr"/>
      <c r="H26" t="inlineStr"/>
      <c r="I26"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7">
      <c r="A27" t="inlineStr">
        <is>
          <t>li-4303793797</t>
        </is>
      </c>
      <c r="B27" t="inlineStr">
        <is>
          <t>Principal Applied Scientist - Gen AI</t>
        </is>
      </c>
      <c r="C27" t="inlineStr">
        <is>
          <t>Oracle</t>
        </is>
      </c>
      <c r="D27" t="inlineStr">
        <is>
          <t>linkedin</t>
        </is>
      </c>
      <c r="E27" t="inlineStr"/>
      <c r="F27" t="inlineStr"/>
      <c r="G27" t="inlineStr"/>
      <c r="H27" t="inlineStr"/>
      <c r="I27" t="inlineStr">
        <is>
          <t>**Job Description**
 Oracle Health Data Intelligence (HDI) is leading the charge in transforming healthcare with innovative data and AI solutions. We’re seeking a highly skilled individual contributor to join our team in the USA. This role focuses on leveraging advanced machine learning techniques, including generative AI, large language models (LLMs), and AI agents, to address complex healthcare challenges. At HDI, we aim to revolutionize patient care, optimize healthcare delivery, and drive operational excellence through data and technology.
 Career Level \- IC4
**Responsibilities**
**RESPONSIBILITIES**
* Technical Leadership:
* Serve as a key technical expert in designing, developing, and deploying AI/ML solutions with a focus on GenAI and LLM applications for healthcare.
* Architect and implement AI agents that automate complex workflows, such as generating real\-time clinical summaries and assisting in patient care management.
* Integrate LLM capabilities with healthcare datasets, ensuring robust performance, scalability, and adherence to compliance standards.
* Generative AI \&amp; LLM Innovation:
* Develop and fine\-tune LLMs for healthcare\-specific use cases, such as automated documentation, question answering, and predictive analytics.
* Apply generative AI to synthesize insights from multi\-modal healthcare data (e.g., EHRs, imaging, claims, and demographics) to enhance patient care and operational efficiency.
* Explore and implement reinforcement learning and human feedback (RLHF) approaches to improve model performance in real\-world healthcare settings.
* Solution Development:
* Design intelligent AI agents to automate tasks, such as chart reviews, care plan generation, and clinical quality analytics.
* Oversee the creation of scalable pipelines for integrating healthcare data into GenAI models while maintaining data privacy and security (e.g., HIPAA, HITRUST compliance).
* Strategic Collaboration:
* Work with cross\-functional teams, including healthcare providers and engineers, to align GenAI and LLM initiatives with business objectives and healthcare requirements.
* Serve as a bridge between technical teams and business stakeholders to drive adoption of AI solutions in clinical and operational workflows.
* Performance Optimization:
* Lead efforts to optimize LLM performance for real\-time, high accuracy use cases in healthcare environments.
* Implement monitoring frameworks to ensure AI/ML solutions meet quality benchmarks and provide actionable insights efficiently.
* Thought Leadership:
* Stay at the cutting edge of GenAI, LLM, and AI agent advancements, contributing to Oracle’s leadership in intelligent healthcare innovation.
* Publish findings, present at industry conferences, and mentor junior team members on best practices for generative AI and LLM development.
**Qualifications**
* Education: Master’s degree in computer science, Machine Learning, Artificial Intelligence, or a related field. Ph.D. preferred.
* Experience:
* 8\+ years of hands\-on experience in AI/ML, with a strong focus on GenAI, LLMs, or AI agent development.
* Proven track record of deploying and scaling AI/ML solutions in production, especially in healthcare or regulated industries.
* Technical Skills:
* Expertise in GenAI and LLM frameworks, including OpenAI GPT, BERT, or similar transformer architectures.
* Proficiency in fine\-tuning LLMs for specific domains and integrating them with enterprise\-grade applications.
* Experience with cloud platforms (e.g., OCI, AWS, Azure, or GCP) and distributed computing.
* Strong programming skills in Python and familiarity with libraries such as Hugging Face Transformers, TensorFlow, or PyTorch.
* Knowledge of multi\-modal data integration (text, imaging, structured data) and analytics.
* Domain Knowledge:
* Deep understanding of healthcare systems, EHR standards (e.g., FHIR, HL7\), and value\-based care metrics.
* Familiarity with regulatory requirements (e.g., HIPAA, HITRUST) and compliance frameworks.
* Leadership \&amp; Communication Skills:
* Ability to engage with technical and non\-technical stakeholders to drive AI adoption and ensure business alignment.
* Strong problem\-solving skills and ability to deliver results in ambiguous, high\-impact environments.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8">
      <c r="A28" t="inlineStr">
        <is>
          <t>li-4360690462</t>
        </is>
      </c>
      <c r="B28" t="inlineStr">
        <is>
          <t>Data Scientist</t>
        </is>
      </c>
      <c r="C28" t="inlineStr">
        <is>
          <t>Haystack</t>
        </is>
      </c>
      <c r="D28" t="inlineStr">
        <is>
          <t>linkedin</t>
        </is>
      </c>
      <c r="E28" t="inlineStr"/>
      <c r="F28" t="inlineStr"/>
      <c r="G28" t="inlineStr">
        <is>
          <t>San Antonio, TX</t>
        </is>
      </c>
      <c r="H28" t="inlineStr"/>
      <c r="I28" t="inlineStr">
        <is>
          <t>**Cyber Data Scientist, Senior \| San Antonio, TX \| Hybrid \| $86,800 \- $198,000**
 We're working with Booz Allen Hamilton on this exciting opportunity.
 Join our elite team as a Senior Cyber Data Scientist and architect cutting\-edge software solutions for cyber data analytics. Leverage your expertise in Python, R, and SQL to develop innovative, large\-scale data environments and complex ETL processes within cloud\-based platforms.
**The Role**
* Architect and operationalize software solutions for cyber data analytics at scale.
* Apply advanced technical expertise to develop innovative solutions to complex problems.
* Design and implement data architectures for large\-scale intelligence data environments.
* Build, optimize, and monitor end\-to\-end data pipelines, including robust ETL processes.
* Mentor and potentially supervise team members, guiding them in advanced data science applications.
**What You'll Need**
* 5\+ years of experience designing and implementing data architectures and models for intelligence data.
* Proficiency in multiple database technologies, including SQL, NoSQL, and HPC.
* Expertise in Python, R, and SQL for scripting, automation, and advanced data science.
* Hands\-on experience with cloud\-based data platforms, data lakes, and data warehouses.
* Current Top Secret/SCI clearance required, along with a DoD 8140 baseline certification (e.g., Security\+, CySA\+, CISSP).
**What's On Offer**
* Engage in groundbreaking cyber data analytics projects with significant impact.
* Excellent compensation package, including comprehensive health, life, and disability benefits.
* Opportunities for continuous professional development, tuition assistance, and work\-life programs.
* Be part of a people\-first culture that values flexibility and collaboration in a hybrid work environment.
**Apply via Haystack today!**</t>
        </is>
      </c>
    </row>
    <row r="29">
      <c r="A29" t="inlineStr">
        <is>
          <t>li-4359916505</t>
        </is>
      </c>
      <c r="B29" t="inlineStr">
        <is>
          <t>Data Scientist, Stanford Law School</t>
        </is>
      </c>
      <c r="C29" t="inlineStr">
        <is>
          <t>Inside Higher Ed</t>
        </is>
      </c>
      <c r="D29" t="inlineStr">
        <is>
          <t>linkedin</t>
        </is>
      </c>
      <c r="E29" t="inlineStr"/>
      <c r="F29" t="inlineStr"/>
      <c r="G29" t="inlineStr">
        <is>
          <t>Stanford, CA</t>
        </is>
      </c>
      <c r="H29" t="inlineStr"/>
      <c r="I29" t="inlineStr">
        <is>
          <t>🔍School of Law, Stanford, California, United States📁Research📅Mar 10, 2025 Post Date📅102373 Requisition \#NOTE: This position has been deemed critical/has specific funding, has been approved by the Law School for posting, and is exempt from the hiring freeze.
 The Regulation, Evaluation, and Governance Lab (RegLab) at Stanford University is looking for a Data Scientist to work across our research programs. This role will collaborate closely with teams of research fellows and students on projects related to machine learning and the public sector. We are looking for someone who is a self\-learner, research\-oriented, and excited by the mission of the Lab.
 About us: Stanford RegLab is a social impact lab that partners with government and nonprofits to use machine learning and data science to modernize the public sector. We are an interdisciplinary team of lawyers, data scientists, social scientists, and engineers who are passionate about building high impact demonstration projects for the future of governance. Some of our partners include the EPA, IRS, DOL, and Santa Clara County Public Health.
**As a Data Scientist, You Will**
 Support collecting, managing, and cleaning of data sets from regulatory agencies, understand discrepancies and build out and document a data dictionary to improve knowledge of different systems and how to manage discrepancies.
 Produce reports and publications on findings to our government partners and for academic publications, based on extensive data analysis.
 Work with PI and Research Director to ensure data management/collection is clear, secure, and robust; improve processes for collecting and managing data.
 Support training of research fellows on best practices and technical skills
**Core Duties**
 Identify and select usable data from subtle and complex data patterns. Assess and produce relevant, standard, or custom information (reports, charts, graphs and tables) from structured data sources by querying data repositories and generating the associated information.
 Design methods to validate data to ensure high quality product. Explore creative approach to using data based on technical expertise of available data. Distribute reports to applicable agencies, researchers, management and other internal end\-users and provide interpretation of data when needed.
 Collect, manage and clean datasets using an extraction and reporting programming language to ensure data integrity.
 Research and reconcile data discrepancies occurring among various information systems and reports.
 Collaborate with data managers to define and implement data standards and common data elements for data collection.
 Identify new sources of data and methods to improve data collection, analysis and reporting.
 May test prototype software and participate in approval and release process for new software.
 Other duties as assigned.
**Minimum Requirements**
**This is a one\-year fixed term position, with the option of renewal.**
**Education \&amp; Experience**
**Bachelor's degree or a combination of education and relevant experience. Experience in a quantitative discipline such as economics, finance, statistics, mathematics or engineering.**
**Knowledge, Skills And Abilities**
**Basic knowledge and demonstrated experience using and applying analytical software, database management system software, database reporting software, database user interface and query software, and data mining software.**
**Basic knowledge of software engineering principles and strong knowledge of at least one programming language, such as Python, R, and/or SQL); basic statistical ability.**
**Ability to collect data using a variety of methods, such as data mining and hardcopy or electronic documentation study, to improve or expand databases.**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stakeholders.**
**Consistent with its obligations under the law, the University will provide reasonable accommodation to any employee with a disability who requires accommodation to perform the essential functions of the job.**
**Application Instructions**
**We invite you to apply by clicking on the "Apply for Job" button. To be considered, please submit the following items along with your online application:**
 CV
 Cover Letter
 Project and code samples or Github
 Transcript (if graduated within 3 years)
***The expected pay range for this position is $82,468 to $106,256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
***https://cardinalatwork.stanford.edu/benefits\-rewards***
***) provides detailed information on Stanford’s extensive range of benefits and rewards offered to employees. Specifics about the rewards package for this position may be discussed during the hiring process.***
***Note: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Law School seeks to hire the best talent and to promote a safe and secure environment for all members of the university community and its property. To that end, new staff hires must successfully pass a background check prior to starting work at Stanford University.**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 Schedule: Full\-time
* Job Code: 4744
* Employee Status: Fixed\-Term
* Grade: G
* Requisition ID: 102373
* Work Arrangement : Hybrid Eligible, On Site</t>
        </is>
      </c>
    </row>
    <row r="30">
      <c r="A30" t="inlineStr">
        <is>
          <t>li-4338070271</t>
        </is>
      </c>
      <c r="B30" t="inlineStr">
        <is>
          <t>Senior Data Scientist</t>
        </is>
      </c>
      <c r="C30" t="inlineStr">
        <is>
          <t>Nexon America</t>
        </is>
      </c>
      <c r="D30" t="inlineStr">
        <is>
          <t>linkedin</t>
        </is>
      </c>
      <c r="E30" t="inlineStr"/>
      <c r="F30" t="inlineStr"/>
      <c r="G30" t="inlineStr">
        <is>
          <t>El Segundo, CA</t>
        </is>
      </c>
      <c r="H30" t="inlineStr"/>
      <c r="I30" t="inlineStr">
        <is>
          <t>**About Nexon**
 Nexon America is a branch of Nexon Co., Ltd., a global video game publisher and leading developer of online virtual worlds for PCs, consoles, and mobile devices. Nexon proudly offers celebrated franchises like MapleStory and Mabinogi that have been enjoyed by millions of players for over two decades. When we founded our Nexon America branch in 2006, we made it our goal to bring those unique games to western players using a player\-first approach. We achieve that goal by applying our team’s outstanding free\-to\-play expertise and live game support to every decision, every day.
 But we’re committed to more than our games! Here at Nexon America, we’re all about open communication, diversity, mutual respect, and collaboration, so we can bring out the best in each other. Nexies find support, friendship, and career growth all in one place! And because we know a healthy work\-life balance is the key to happiness, Nexies also enjoy flexible hours, a hybrid work model, and extra perks like food trucks, happy hours, and team events. It’s why we’ve earned the Great Place to Work certification for 5 years running!
 We’re looking to expand our team with passionate individuals who want to learn, play, and grow with us. Ready for a new challenge?
**Summary Of Position**
 Nexon America is looking for a talented Sr. Data Scientist to help Nexon’s game business through data\-driven insights and solve critical business problems by developing advanced machine learning algorithms. The Sr. Data Scientist is passionate about games, analytics, and applying advanced data science techniques to improve player experience, retention, and monetization. The Sr. Data Scientist collaborates with our Data teams, Business teams, Security team, and other stakeholders to implement data science models into live production systems. The Sr. Data Scientist brings fresh perspectives to inform decision\-making toward better player experience by translating player voice into insights.
 We are currently working in the office 2\-3x a week in a hybrid work model.
**Job Responsibilities**
* Apply your expertise in quantitative analysis, data visualization and data mining to tell the story behind numbers and find relevant insights for partners and leadership
* Build and evaluate the ML models and statistical methods to provide Insight \&amp; Recommendation and solve the business problems
* Establish scalable, automated processes for large scale data extraction, model development, model validation, model deployment, and its monitoring
* Research and develop state\-of\-the\-art machine learning, data mining, statistical modeling solutions, and language models to understand game business and key business behaviors, such as player acquisition, retention, and monetization
* Maintain clear and comprehensive documentation of the models and analysis results, and present the results to the stakeholders clearly and effectively
* Work closely with other data scientists, data analysts, data engineers, and other stakeholders to understand project requirements, provide valuable insights, and advanced solutions.
* Mentor other engineers and scientists and contribute to their growth by providing guidance and advice.
* Lead the improvement of the team’s process.
* Other duties as assigned
**Work Experience**
* 5\+ years of proven professional working experience as a Data Scientist or related field (Advanced degrees may substitute for part of the required experience.)
**Education, Professional Training, Technical Training or Certification**
* BS (MS/PhD Preferred) in quantitative discipline (e.g. Computer Science, Statistics, Applied Mathematics, or a related field)
**Knowledge/Skills**
* Expertise in machine learning and statistical analysis approaches such as classification, clustering, regression, statistical inference, collaborative filtering, natural language processing, experimental design, social networking analysis, etc.
* Experience managing advanced analytics projects which solve complex analytical problems using data exploration and analysis skills
* Experience working with unstructured data (e.g., text, logs, JSON, images)
* Expertise in evaluating, automating, deploying, and monitoring models in production systems
* A true passion for understanding customer behavior on\-platform and in\-game
* Expert analytical and problem\-solving skills, plus the ability to innovate and work with strong initiative
* Strong skills in statistical methods (e.g. hypothesis testing, time series modeling)
* Strong SQL skills and strong Python skills; familiarity with Jupyter Notebook
* Familiar with modern data platforms, and cloud systems (e.g. Snowflake, AWS)
* Professional large language models and MLOps experience is a plus.
* Online gaming experience is a BIG PLUS!
 Management has the right to add or change duties and job requirements at any time.
**Nexon’s Benefits And Perks**
 We offer medical, dental and vision plans for you, your spouse or domestic partner and your children. Employees who enroll in the high deductible health plan receive an annual employer contribution to a health savings account and company paid hospital indemnity benefits. We also provide company paid life, AD\&amp;D, short\-term and long\-term disability benefits as well as access to voluntary life and AD\&amp;D for yourself and your dependents, flexible spending accounts, a 401(k) savings plan with a company match, and pet insurance. Nexies are encouraged to take advantage of our monthly wellness credit, participate in lunchtime yoga, and enroll in language classes. We host bi\-monthly catered lunches, monthly happy hours, and maintain a well\-stocked snack bar. To help you maintain a good work life balance, we offer paid time off, sick days, company holidays, and a year\-end break.
 Nexon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**Compensation Description For Pay Transparency (annually)**
 The base salary range for this position in El Segundo, CA is $140,000 \- $180,000 annually.
 Our salary ranges are determined by market data based on position and level. The range displayed on each job posting reflects the minimum and maximum salaries for that position. An individual’s pay is determined by factors including, but not limited to, a candidate’s qualifications, skills, experiences, relevant education or training, and location.
 Base pay is one part of the Total Rewards package that is provided to compensate and recognize employees for their work. This role may be eligible for additional discretionary bonuses/incentives, however the salary range listed in this job posting reflects the base salary only.
**Beware of Recruitment Scams**
 We have been made aware of fraudulent recruitment activities by individuals falsely claiming to represent Nexon America. Our recruiters will only contact you from official company email addresses ending in @nexon.com and will follow a formal interview process.
 **We will never** 
 request for payment or personal financial information such as photos of government\-issued identification during the recruitment process or offer a job without a formal interview process. If you receive suspicious email, we advise you to mark the email as junk or spam, so your email provider will block future messages from the sender.</t>
        </is>
      </c>
    </row>
    <row r="31">
      <c r="A31" t="inlineStr">
        <is>
          <t>li-4359796699</t>
        </is>
      </c>
      <c r="B31" t="inlineStr">
        <is>
          <t>Data Scientist</t>
        </is>
      </c>
      <c r="C31" t="inlineStr">
        <is>
          <t>Target</t>
        </is>
      </c>
      <c r="D31" t="inlineStr">
        <is>
          <t>linkedin</t>
        </is>
      </c>
      <c r="E31">
        <f>HYPERLINK("https://www.linkedin.com/jobs/view/4359796699", "https://www.linkedin.com/jobs/view/4359796699")</f>
        <v/>
      </c>
      <c r="F31" t="inlineStr"/>
      <c r="G31" t="inlineStr"/>
      <c r="H31" t="inlineStr"/>
      <c r="I31" t="inlineStr">
        <is>
          <t>**About The Company**
 Joining Target means becoming part of a company dedicated to helping families discover the joy of everyday life. With a strong culture rooted in values of inclusivity, innovation, and community engagement, Target strives to deliver exceptional experiences to its guests through a seamless blend of physical and digital channels. As a leading retailer, Target offers a dynamic environment where employees are empowered to make a meaningful impact, foster continuous growth, and contribute to a brand that values diversity and sustainability. The company's commitment to innovation and operational excellence positions it as a pioneer in retail, leveraging cutting\-edge technology and data\-driven strategies to enhance customer satisfaction and streamline supply chain operations.
**About The Role**
 The Lead Data Scientist \- Last Mile Operations Design at Target plays a pivotal role in driving the company's supply chain optimization and last mile delivery strategies. This position involves developing and managing advanced predictive and prescriptive algorithms that utilize data to automate and optimize decision\-making processes at scale. The successful candidate will work closely with cross\-functional teams, including Product, Business Operations, and Engineering, to foster a culture of continuous innovation. The role focuses on accelerating omni\-channel experimentation, improving guest and carrier experiences, and leveraging data as a strategic asset to enhance operational efficiency. This is an excellent opportunity for a data\-driven leader passionate about solving complex problems through innovative analytics, machine learning, and operations research techniques.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 Proficiency in programming languages such as Python, R, Kotlin, or Java
* Experience deploying high\-performance algorithms in production environments
* Strong knowledge of predictive and prescriptive modeling, including ML Ops practices
* Experience working with large, event\-driven distributed systems and multi\-threaded applications
* Hands\-on experience with SQL, Hive, or similar data querying and management tools
* Background in application/software architecture and process modeling
* Proven ability to analyze complex datasets and derive actionable insights
* Excellent communication skills with the ability to tell compelling data stories through visualizations and narratives
* Self\-motivated, results\-oriented, and capable of working effectively across teams and time zones
**Responsibilities**
* Serve as an advocate for a data\-driven culture across Product, Business Operations, and Engineering teams
* Develop solutions to complex business problems using data analysis, mining, forecasting, optimization, and machine learning techniques
* Formulate clear problem statements, synthesize findings, and communicate insights to stakeholders effectively
* Collaborate with product managers to design in\-product experiments, analyze results, and provide strategic recommendations
* Partner with business teams to identify gaps in product offerings and enhance analytics maturity in key areas
* Define KPIs and data collection strategies to measure the success of new features and strategies
* Optimize queries on large datasets to support operations research and decision\-making
* Design and build self\-service dashboards to enable stakeholders to access actionable insights quickly
* Democratize data and insights by delivering user\-friendly tools and resources for decision\-making
* Continuously explore and improve analytical models to support supply chain and last mile delivery initiatives
* Stay updated with industry best practices and incorporate innovative techniques into the analytics framework
**Benefits**
* Competitive salary and performance\-based incentives
* Comprehensive health, dental, and vision insurance plans
* Retirement savings plans with company matching
* Paid time off and holiday leave
* Opportunities for professional development and continuous learning
* Flexible work arrangements including hybrid and remote options
* Employee discounts and wellness programs
* Inclusive and collaborative work environment that fosters innovation
 Equal Opportunity
 Target is an equal opportunity employer committed to creating an inclusive environment for all employees. We celebrate diversity and are dedicated to ensuring fair treatment regardless of race, color, religion, gender, gender identity or expression, sexual orientation, national origin, genetics, disability, age, or veteran status. We believe that a diverse workforce enhances our ability to serve our guests and drive business success. All employment decisions are made based on qualifications, merit, and business needs.</t>
        </is>
      </c>
    </row>
    <row r="32">
      <c r="A32" t="inlineStr">
        <is>
          <t>li-4351864933</t>
        </is>
      </c>
      <c r="B32" t="inlineStr">
        <is>
          <t>Data Scientist</t>
        </is>
      </c>
      <c r="C32" t="inlineStr">
        <is>
          <t>RemoteHunter</t>
        </is>
      </c>
      <c r="D32" t="inlineStr">
        <is>
          <t>linkedin</t>
        </is>
      </c>
      <c r="E32">
        <f>HYPERLINK("https://www.linkedin.com/jobs/view/4351864933", "https://www.linkedin.com/jobs/view/4351864933")</f>
        <v/>
      </c>
      <c r="F32">
        <f>HYPERLINK("https://www.remotehunter.com/apply-with-ai/3f78cc09-f633-4cf2-acb2-29ad493568ea?utm_medium=job_posting&amp;utm_source=linkedin&amp;utm_campaign=data_scientist_remote&amp;utm_category=data_scientist&amp;utm_term=data_scientist&amp;urlHash=hD4M", "https://www.remotehunter.com/apply-with-ai/3f78cc09-f633-4cf2-acb2-29ad493568ea?utm_medium=job_posting&amp;utm_source=linkedin&amp;utm_campaign=data_scientist_remote&amp;utm_category=data_scientist&amp;utm_term=data_scientist&amp;urlHash=hD4M")</f>
        <v/>
      </c>
      <c r="G32" t="inlineStr"/>
      <c r="H32" t="inlineStr"/>
      <c r="I32" t="inlineStr">
        <is>
          <t>About the Opportunity:
 A growing team is seeking a Data Scientist to support data\-driven decisions across critical business initiatives such as carrier growth and new product development. The organization has achieved profitability and aims to scale from 5 million to 50 million customers with a goal to become a $10 billion business. The role involves leveraging advanced machine learning models to analyze data and inform growth strategies within a super app that simplifies car ownership—including insurance, loans, repairs, and more—in a $2 trillion U.S. market.
 Responsibilities:
 • Collaborate with marketing, product, and business development teams to apply customer insights to acquisition strategies
 • Lead design, execution, and analysis of A/B tests on new and existing features to extract actionable insights
 • Define and test levers to drive profitable and scalable user acquisition and partnership growth
 • Identify opportunities to automate processes and improve operational efficiency
 Requirements:
 • Bachelor’s degree in a quantitatively or intellectually rigorous discipline
 • Minimum 1 year experience at a top\-tier economic consulting firm (e.g., Analysis Group, Cornerstone Research, Charles River Associates), management consulting firm (e.g., McKinsey, Bain, Boston Consulting Group), or relevant data science/business analysis experience
 • Proficient in SQL or Python
 • Strong problem\-solving framework based on first principles
 • Effective communication skills across all organizational levels, from front\-line employees to C\-suite executives
 • High standards for personal and team performance, with a commitment to continual improvement
 Benefits \&amp; Perks:
 • Health, dental, and vision insurance
 • Paid time off and paid parental leave
 • 401(k) plan with employer matching
 • Wellness benefits
 • Equity opportunities as part of total rewards package
 Compensation:
 • Starting pay determined by job\-related factors including skills, experience, qualifications, work location, and market conditions
 • Compensation may include base salary and equity grants
 • Pay ranges are market\-dependent and subject to future modification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
      <c r="A33" t="inlineStr">
        <is>
          <t>li-4351864974</t>
        </is>
      </c>
      <c r="B33" t="inlineStr">
        <is>
          <t>Data Scientist</t>
        </is>
      </c>
      <c r="C33" t="inlineStr">
        <is>
          <t>GovWell</t>
        </is>
      </c>
      <c r="D33" t="inlineStr">
        <is>
          <t>linkedin</t>
        </is>
      </c>
      <c r="E33">
        <f>HYPERLINK("https://www.linkedin.com/jobs/view/4351864974", "https://www.linkedin.com/jobs/view/4351864974")</f>
        <v/>
      </c>
      <c r="F33" t="inlineStr"/>
      <c r="G33" t="inlineStr">
        <is>
          <t>New York, NY</t>
        </is>
      </c>
      <c r="H33" t="inlineStr"/>
      <c r="I33" t="inlineStr">
        <is>
          <t>**🏛️ About GovWell**
 We the people (and the taxpayers) deserve good government — but today, interacting with government services is often frustrating and inefficient. GovWell is building the AI\-powered platform that transforms how governments serve communities, starting with local agencies.
 Our first product helps municipal and county governments modernize complex services like permitting and licensing. GovWell combines a highly configurable SaaS system of record with generative AI that automates work for staff, guides residents through services, and is radically simple to deploy.
 Founded in 2023, GovWell powers 3,000\+ critical processes for agencies in 29 states serving millions of residents. We’ve raised $9\.5M in seed funding from Work\-Bench and Bienville Capital, and work in person at our HQ in New York City. Read more about our founding story in TechCrunch.
**☀️ Why GovWell?**
* A mission that matters: Building AI\-powered products to fix outdated government systems isn’t just a technical challenge—it’s a historic opportunity to improve our foundational relationship with government and ensure trillions of tax dollars result in high quality services. WATCH: Mission \&amp; Vision with CEO \&amp; Co\-Founder Troy LeCaire
* Real\-world impact: GovWell’s product is the system of record for government services that affect millions of Americans. From streamlining permitting for small businesses to accelerating affordable housing development, your work will make an immediate difference.
* Join a startup in hyper\-growth: We’ve found product\-market fit and are scaling the business very quickly (4X ARR growth in the last year). As an early team member, you’ll learn what it takes to build a successful startup. You’ll work closely with the founders while enjoying exceptional autonomy and ownership over your work.
**🌟 Role Overview**
 GovWell is hiring a Data Scientist to play a critical role in how governments transition to modern systems. You’ll sit at the intersection of data engineering, analytics, and customer experience — leading migrations from legacy software, building scalable data workflows, and ensuring that agencies can quickly unlock value from GovWell’s platform. This role reports directly to Ben Cohen, Co\-Founder and CTO, and offers the chance to shape the foundations of GovWell’s data function while working closely with Product, Engineering, and Deployment teams.
 We have a hybrid work culture that combines regular in\-person collaboration at our New York City office (3\+ days per week) with flexibility to work remotely.
**💻 What You’ll Do**
* Lead high\-impact customer data migrations, ensuring smooth, accurate transitions from legacy systems into GovWell’s modern platform.
* Build and maintain scalable data onboarding workflows using Python, SQL, and tools like Airflow and Hex to automate transformation, validation, and loading.
* Collaborate with Product, Engineering, and Deployment teams to design and improve data processes that accelerate customer onboarding and adoption.
* Partner directly with government staff to understand their data models, map schemas, and resolve edge cases that impact migration success.
* Develop internal tools and templates that standardize and speed up data migration as GovWell scales.
* Contribute to post\-migration analytics by ensuring clean, structured datasets are available for reporting and decision\-making.
 🧠
 **Who you are**
* 3\+ years of experience in data science, analytics, or data engineering, ideally in SaaS or B2B environments
* Proficient in SQL and Python, with experience designing ETL/ELT pipelines (Airflow a plus) and working with large, messy datasets
* Strong grasp of data validation, transformation, and QA, able to turn ambiguous challenges into clear, repeatable workflows
* Comfortable collaborating with customers and cross\-functional teams, translating complex findings into plain language
* Detail\-oriented, outcome\-driven, and motivated by the impact that clean, reliable data has on solving real problems
**🖥️ Our tech stack**
* Airflow – for managing data migration pipelines
* PostgreSQL – our core database
* Python \+ SQL – your core languages
* Hex \- your general\-purpose data tool for loading, transforming, and QAing data
* RedwoodJS, GraphQL, TypeScript, AWS – the broader software engineering environment you’ll interact with
**💸 Compensation And Benefits**
 Compensation within the posted salary band will be commensurate with experience. All offers will include:
* Competitive base salary.
* Equity / stock options.
* Medical, dental, and vision insurance.
* 401(k) program.</t>
        </is>
      </c>
    </row>
    <row r="34">
      <c r="A34" t="inlineStr">
        <is>
          <t>li-4360674596</t>
        </is>
      </c>
      <c r="B34" t="inlineStr">
        <is>
          <t>Senior Data Scientist</t>
        </is>
      </c>
      <c r="C34" t="inlineStr">
        <is>
          <t>James Search Group</t>
        </is>
      </c>
      <c r="D34" t="inlineStr">
        <is>
          <t>linkedin</t>
        </is>
      </c>
      <c r="E34">
        <f>HYPERLINK("https://www.linkedin.com/jobs/view/4360674596", "https://www.linkedin.com/jobs/view/4360674596")</f>
        <v/>
      </c>
      <c r="F34" t="inlineStr"/>
      <c r="G34" t="inlineStr"/>
      <c r="H34" t="inlineStr"/>
      <c r="I34" t="inlineStr">
        <is>
          <t>**Senior / Lead Data Scientist (P\&amp;C Insurance)** 
*Fully Remote \| Full\-Time* 
**Partnering with a Leading P\&amp;C Insurance Carrier** 
 James Search Group is proud to partner with a high\-performing Property \&amp; Casualty insurance carrier that is deeply investing in Data Science, Machine Learning (ML), and Artificial Intelligence (AI) to transform how insurance is priced, underwritten, and serviced. We’re seeking a
 **Senior / Lead Data Scientist** 
 to join their centralized Data \&amp; ML/AI department and take a key role in building scalable, production\-grade models that drive enterprise decision\-making.
 This is a hands\-on and strategic role where you'll help shape the carrier’s approach to predictive modeling, optimization, and data\-driven automation. You’ll collaborate across actuarial, underwriting, product, claims, and data engineering teams to identify high\-impact problems and bring elegant ML solutions to life.
**Office Locations (Optional Hybrid):** 
 This is a remote\-first position, but you can also work from one of the carrier’s multiple U.S. office locations
**What You’ll Do:** 
* Lead the design, development, and deployment of predictive models and machine learning pipelines across the insurance value chain.
* Partner with stakeholders to scope high\-value use cases in pricing, risk segmentation, underwriting automation, claims triage, fraud, retention, and more.
* Own model lifecycle management from ideation through to deployment and monitoring in production.
* Mentor junior data scientists, establish coding and modeling best practices, and participate in peer reviews.
* Collaborate with data engineers and ML engineers to scale models using a modern MLOps stack.
* Translate technical results into actionable insights for non\-technical stakeholders.
**What You Bring:** 
* 5–8\+ years of hands\-on experience in Data Science or ML Engineering, with a strong portfolio of deployed models.
* Deep understanding of statistical modeling, machine learning algorithms (e.g., tree\-based models, ensemble methods, NLP, deep learning), and model evaluation techniques.
* Advanced programming skills in
 **Python** 
 , and experience with data manipulation libraries (e.g., pandas, NumPy), machine learning frameworks (e.g., scikit\-learn, XGBoost, LightGBM), and deep learning tools (e.g., TensorFlow, PyTorch).
* Experience with
 **Databricks, MLflow, GitHub** 
 , and MLOps practices for productionization of models.
* Strong SQL skills and ability to work with large, complex datasets.
* Ability to communicate technical results clearly to cross\-functional teams and business stakeholders.
* Bachelor’s, Master’s, or Ph.D. in Data Science, Statistics, Computer Science, Mathematics, or a related field.
**Bonus Points For:** 
* Prior experience in the insurance industry, particularly P\&amp;C, working with claims, pricing, or underwriting data.
* Familiarity with regulatory modeling standards (e.g., explainability, fairness).
* Exposure to Hex, Arize, or similar tools for monitoring and visualization.
* Experience with time series forecasting or geospatial modeling.
**What’s In It for You:** 
* **$120,000\-$170,000 base salary**
* **Performance\-based bonus/variable compensation**
* **Comprehensive benefits** 
 , including:
* Medical, dental, and vision insurance
* 401(k) with company match
* Generous PTO
* Wellness and mental health support programs
 This is a rare opportunity to lead cutting\-edge Data Science work at a modern insurance organization where innovation is a priority.
 If you’re excited to build models that go into production and directly shape customer and business outcomes — we’d love to connect.</t>
        </is>
      </c>
    </row>
    <row r="35">
      <c r="A35" t="inlineStr">
        <is>
          <t>li-4359916825</t>
        </is>
      </c>
      <c r="B35" t="inlineStr">
        <is>
          <t>Data Scientist, Marketing</t>
        </is>
      </c>
      <c r="C35" t="inlineStr">
        <is>
          <t>Thumbtack</t>
        </is>
      </c>
      <c r="D35" t="inlineStr">
        <is>
          <t>linkedin</t>
        </is>
      </c>
      <c r="E35">
        <f>HYPERLINK("https://www.linkedin.com/jobs/view/4359916825", "https://www.linkedin.com/jobs/view/4359916825")</f>
        <v/>
      </c>
      <c r="F35">
        <f>HYPERLINK("https://www.wiraa.com/job-description/us0450C75A95FA1053B1B856D71867A9CC?source=Linkedin&amp;urlHash=8co3", "https://www.wiraa.com/job-description/us0450C75A95FA1053B1B856D71867A9CC?source=Linkedin&amp;urlHash=8co3")</f>
        <v/>
      </c>
      <c r="G35" t="inlineStr"/>
      <c r="H35" t="inlineStr"/>
      <c r="I35" t="inlineStr">
        <is>
          <t>**About The Company** 
 Thumbtack is a leading platform dedicated to helping millions of individuals confidently care for and improve their homes. By providing a comprehensive app, Thumbtack offers personalized guidance, AI\-powered tools, and a seamless hiring experience to connect homeowners with local service professionals. Every day, in every county across the United States, users turn to Thumbtack to address urgent repairs, seasonal maintenance, and larger home improvement projects. With a community of over 300,000 local service businesses, Thumbtack empowers homeowners to make informed decisions about their projects, from selecting the right services to understanding the optimal timing for execution. The company's mission is to build a trusted ecosystem where people can confidently manage their home care needs, fostering growth, innovation, and positive impact in the home services industry.
**About The Role** 
 As a Staff Marketing Data Scientist at Thumbtack, you will play a pivotal role in advancing the company's data\-driven growth initiatives. You will be entrusted with combining rigorous analytical thinking, technical expertise, and business acumen to develop innovative measurement methodologies that evaluate marketing effectiveness across various channels. Your primary focus will be to design scalable frameworks, tools, and processes that enable the Marketing and Data Science teams to operate with agility, precision, and confidence. You will lead efforts to enhance channel measurement capabilities, explore cutting\-edge analytical approaches, and contribute to strategic decision\-making processes. This senior role requires a proactive mindset, strong leadership skills, and a passion for leveraging data to drive impactful business outcomes. You will collaborate closely with cross\-functional teams, mentor junior analysts, and set the long\-term direction for measurement practices within the organization.
**Qualifications** 
* 4\+ years of experience in data science, analytics, or economics
* Bachelor’s, Master’s, or Doctoral degree in Statistics, Engineering, Analytics, Math, Computer Science, Economics, or related technical field
* Proficiency with analytical tools such as Python and SQL
* Experience working in fast\-paced business environments
* Strong communication skills with the ability to build cross\-functional relationships
* Experience in developing and evolving measurement methodologies and models
* Ability to identify new analytical opportunities and implement innovative solutions
* Experience mentoring team members and influencing organizational data practices
* Applicants with more extensive experience, including mid\-career professionals, are encouraged to apply
**Responsibilities** 
* Lead the development and enhancement of measurement frameworks that evaluate marketing effectiveness across multiple channels
* Create scalable tools, processes, and methodologies to improve the consistency and efficiency of marketing measurement
* Advance existing modeling approaches to produce robust, actionable insights that inform marketing strategies
* Iterate and refine measurement techniques for key marketing challenges such as channel incrementality and return on ad spend
* Collaborate with cross\-functional teams including marketing, data science, and product to align measurement insights with business objectives
* Mentor junior team members, elevate analytical standards, and shape the strategic direction of measurement initiatives
* Identify opportunities where advanced analytics or innovative methodologies can unlock additional business impact
* Communicate complex analytical findings clearly to stakeholders and influence data\-driven decision making
**Benefits** 
* Competitive salary aligned with experience and location
* Health, dental, and vision insurance plans
* Flexible work arrangements, including remote work options
* Generous paid time off and holidays
* Professional development opportunities and continuous learning
* Inclusive and diverse workplace culture
* Employee wellness programs and resources
 Equal Opportunity
 Thumbtack is committed to fostering an inclusive environment and is proud to be an equal opportunity employer. We do not discriminate based on sex, race, color, age, pregnancy, sexual orientation, gender identity or expression, religion, national origin, ancestry, citizenship, marital status, military or veteran status, genetic information, disability, or any other characteristic protected by applicable law.</t>
        </is>
      </c>
    </row>
    <row r="36">
      <c r="A36" t="inlineStr">
        <is>
          <t>li-4332544839</t>
        </is>
      </c>
      <c r="B36" t="inlineStr">
        <is>
          <t>Data Scientist</t>
        </is>
      </c>
      <c r="C36" t="inlineStr">
        <is>
          <t>RemoteHunter</t>
        </is>
      </c>
      <c r="D36" t="inlineStr">
        <is>
          <t>linkedin</t>
        </is>
      </c>
      <c r="E36">
        <f>HYPERLINK("https://www.linkedin.com/jobs/view/4332544839", "https://www.linkedin.com/jobs/view/4332544839")</f>
        <v/>
      </c>
      <c r="F36" t="inlineStr"/>
      <c r="G36" t="inlineStr"/>
      <c r="H36" t="inlineStr"/>
      <c r="I36" t="inlineStr">
        <is>
          <t>About the Opportunity:
 The organization is seeking a Data Scientist to join a growing team that recently achieved profitability and aims to scale from 5 million to 50 million customers while targeting a $10 billion valuation. The role involves championing data\-driven decisions across critical business initiatives such as carrier growth and new product development. The team uses advanced machine learning models to conduct in\-depth analyses that shape growth strategies. The organization is developing a super app to simplify car ownership by integrating services including insurance, vehicle buying and selling, registration, loans, safety, repairs, and parking, addressing a $2 trillion market in the U.S. It has launched multiple features since 2019 and grown to over 5 million customers with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tests on new and existing features to inform product and business decisions
 • Define and test factors driving profitable, scalable user acquisition and partnership growth
 • Identify opportunities to automate manual processes and improve operational efficiency
 Requirements:
 • Bachelor’s degree in a quantitatively or intellectually rigorous discipline
 • Minimum 1 year experience at a top\-tier economic consulting firm (e.g., Analysis Group, Cornerstone Research, Charles River Associates) or management consulting firm (e.g., McKinsey, Bain, Boston Consulting Group) or relevant data science/business analysis experience
 • Proficiency in SQL or Python
 • Strong problem\-solving framework with a first principles approach
 • Effective communication skills for audiences ranging from front\-line employees to C\-suite executives
 • High personal and team standards with a drive for excellence
 Benefits \&amp; Perks:
 • Health, dental, and vision insurance
 • Paid time off and paid parental leave
 • 401(k) plan with employer matching
 • Wellness benefits
 • Equity opportunities may be included in total rewards package
 • Note: Part\-time, contract, or freelance roles may not qualify for all benefits
 Compensation:
 • Starting pay within a market\-dependent range based on job\-related factors including skills, experience, qualifications, and work location
 • Potential equity grants as part of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
      <c r="A37" t="inlineStr">
        <is>
          <t>li-4345324880</t>
        </is>
      </c>
      <c r="B37" t="inlineStr">
        <is>
          <t>Data Scientist</t>
        </is>
      </c>
      <c r="C37" t="inlineStr">
        <is>
          <t>RemoteHunter</t>
        </is>
      </c>
      <c r="D37" t="inlineStr">
        <is>
          <t>linkedin</t>
        </is>
      </c>
      <c r="E37">
        <f>HYPERLINK("https://www.linkedin.com/jobs/view/4345324880", "https://www.linkedin.com/jobs/view/4345324880")</f>
        <v/>
      </c>
      <c r="F37" t="inlineStr"/>
      <c r="G37" t="inlineStr"/>
      <c r="H37" t="inlineStr"/>
      <c r="I37" t="inlineStr">
        <is>
          <t>About the Organization:
 The organization is building the first super app to simplify car ownership by integrating services such as insurance, buy/sell, registration, loans, safety, repairs, and parking within a $2 trillion U.S. market. Founded in 2019, the company has expanded from insurance to loan refinancing, driving insights, repair marketplace, car diagnostics, and a GenAI\-powered chatbot and voicebot. It has grown to over 5 million customers, raised $240 million in funding, achieved 60X revenue growth, and scaled its team to 225 employees across six countries. The data scientist role supports critical business initiatives and growth strategies by leveraging advanced machine learning and data\-driven decision\-making.
 Responsibilities:
 • Partner with marketing, product, and business development teams to integrate customer performance insights into acquisition strategies
 • Lead the design, execution, and analysis of A/B experiments on new and existing features
 • Define, test, and optimize levers to drive profitable and scalable user acquisition and partnership growth
 • Identify opportunities to automate manual processes and improve operational efficiency
 Requirements:
 • Bachelor’s degree in a quantitatively or intellectually rigorous discipline
 • Minimum 1 year of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Proficient in SQL or Python
 • Strong problem\-solving skills using first principles
 • Effective communication skills across all organizational levels
 • High standards for personal and team performance
 Benefits \&amp; Perks:
 • Health, dental, and vision coverage
 • Paid time off and paid parental leave
 • 401(k) plan with employer matching
 • Wellness benefits
 • Equity opportunities as part of total rewards package
 Compensation:
 • Starting pay will fall within the stated pay range for the role, based on skills, experience, qualifications, work location, and market conditions
 • Compensation may include base salary and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li-4359917094</t>
        </is>
      </c>
      <c r="B38" t="inlineStr">
        <is>
          <t>Data Scientist</t>
        </is>
      </c>
      <c r="C38" t="inlineStr">
        <is>
          <t>OASYS, INC.</t>
        </is>
      </c>
      <c r="D38" t="inlineStr">
        <is>
          <t>linkedin</t>
        </is>
      </c>
      <c r="E38">
        <f>HYPERLINK("https://www.linkedin.com/jobs/view/4359917094", "https://www.linkedin.com/jobs/view/4359917094")</f>
        <v/>
      </c>
      <c r="F38" t="inlineStr"/>
      <c r="G38" t="inlineStr">
        <is>
          <t>Huntsville, AL</t>
        </is>
      </c>
      <c r="H38" t="inlineStr"/>
      <c r="I38" t="inlineStr">
        <is>
          <t>**OASYS, INC.,** 
 a Leading Edge Government contractor in Huntsville Alabama, is seeking applicants for a Data Scientist.
 Main duties for the Data Scientist: Under general direction, apply knowledge of mathematics, statistics, modeling, business analysis, and technology to transform high volumes of complex data into analytic solutions. Develop and maintain data visualizations using Tableau. Evaluate accuracy and quality of data sources as well as the designed models. Evaluate new and existing data sources, processes, and architecture to develop recommendations. May use expertise to design, develop code, test, and debug software in multiple programming languages. May work in one or several areas such as equipment or software design, engineering evaluation, or test configuration management procedures, statistical analysis, and modeling.
**Minimum Requirements**
* 3\+ years' of data scientist experience
* 12 total years of experience and the 12 years can be any type of paid experience
* Strong Tableau visualization development skills
* Strong Oracle data analysis skills and ability to write/read SQL
* Experience in data analytics, predictive analytics, mathematics, statistics, or similar field
* Experience developing predictive or statistical models such as regressions, decision trees, neural networks, developing simulations, or performing optimizations using ILOG CPLEX, AnyLogic, or similar software package
* Demonstrated skill and experience in analyzing data using Excel or other methods
* Experience using SQL or other programming language to write complex queries, perform data analysis, extract data, and manipulate data
* Experience in data preparation, manipulation, and cleansing for large datasets
* Exhibit leadership, training, communication, and organization
**Required Education:** 
 A Bachelor's degree is required, preferably in a technical discipline (STEM, computer science, or computer engineering, etc.).
 E
 **ligibility:** 
 Only US citizens are eligible for this position. Candidates must have the ability to obtain Secret Clearance. An Active Secret Clearance is highly desired.
**About OASYS, INC.:** 
 Located in Huntsville, Alabama, OASYS, INC. is a technology services and products company dedicated to delivering the right solutions to our government and commercial clients. Our innovative solutions combined with today's technology and our subject matter expertise help to provide full lifecycle support for our client's needs.
**Benefits:** 
 OASYS, INC. offers a robust benefit plan to include: BC/BS of Alabama Heath \&amp; Dental, VSP Vision, Employee Stock Ownership Plan (ESOP), 401\-K with Matching, Flexible Spending Account, Tuition Reimbursement, Holidays, Vacation, Short\-term/Long\-term Disability.
 www.oasys\-incorporated.com
 EOE AA M/F/Vet/Disability Equal Employment Opportunity is the Law: http://www1\.eeoc.gov/employers/upload/eeoc\_self\_print\_poster.pdf
***Job Posted by ApplicantPro***</t>
        </is>
      </c>
    </row>
    <row r="39">
      <c r="A39" t="inlineStr">
        <is>
          <t>li-4351814815</t>
        </is>
      </c>
      <c r="B39" t="inlineStr">
        <is>
          <t>Senior Data Scientist</t>
        </is>
      </c>
      <c r="C39" t="inlineStr">
        <is>
          <t>RemoteHunter</t>
        </is>
      </c>
      <c r="D39" t="inlineStr">
        <is>
          <t>linkedin</t>
        </is>
      </c>
      <c r="E39">
        <f>HYPERLINK("https://www.linkedin.com/jobs/view/4351814815", "https://www.linkedin.com/jobs/view/4351814815")</f>
        <v/>
      </c>
      <c r="F39">
        <f>HYPERLINK("https://www.remotehunter.com/apply-with-ai/2e9c3ebf-e908-4af0-8262-a1f42e022aa8?utm_medium=job_posting&amp;utm_source=linkedin&amp;utm_campaign=data_scientist_remote&amp;utm_category=data_scientist&amp;utm_term=senior_data_scientist&amp;urlHash=UD5P", "https://www.remotehunter.com/apply-with-ai/2e9c3ebf-e908-4af0-8262-a1f42e022aa8?utm_medium=job_posting&amp;utm_source=linkedin&amp;utm_campaign=data_scientist_remote&amp;utm_category=data_scientist&amp;utm_term=senior_data_scientist&amp;urlHash=UD5P")</f>
        <v/>
      </c>
      <c r="G39" t="inlineStr"/>
      <c r="H39" t="inlineStr"/>
      <c r="I39"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0">
      <c r="A40" t="inlineStr">
        <is>
          <t>li-4345394956</t>
        </is>
      </c>
      <c r="B40" t="inlineStr">
        <is>
          <t>Data Scientist Senior Associate - Regulatory Operations</t>
        </is>
      </c>
      <c r="C40" t="inlineStr">
        <is>
          <t>hackajob</t>
        </is>
      </c>
      <c r="D40" t="inlineStr">
        <is>
          <t>linkedin</t>
        </is>
      </c>
      <c r="E40">
        <f>HYPERLINK("https://www.linkedin.com/jobs/view/4345394956", "https://www.linkedin.com/jobs/view/4345394956")</f>
        <v/>
      </c>
      <c r="F40" t="inlineStr"/>
      <c r="G40" t="inlineStr">
        <is>
          <t>New York, NY</t>
        </is>
      </c>
      <c r="H40" t="inlineStr"/>
      <c r="I40" t="inlineStr">
        <is>
          <t>***hackajob** 
 is collaborating with
 **J.P. Morgan** 
 to connect them with exceptional tech professionals for this role.*
**Job Description**
 Join our Regulatory Services Reporting \&amp; Analytics team as a Data Scientist Associate Senior and help shape the future of data\-driven decision making at JPMorgan Chase.
 As a Data Scientist Senior Associate in Regulatory Services Reporting \&amp; Analytics team, you will spearhead data\-driven initiatives by designing and implementing advanced analytics solutions including AI, machine learning, and large language models to achieve operational efficiency. You will require a deep expertise in statistical analysis, data science, and automation, along with strong proficiency in Python, and data visualization tools. You will work collaboratively with stakeholders across multiple functions and lines of business, leveraging consulting skills and analytical expertise to deliver actionable insights and drive process improvements.
**Job Responsibilities**
* Apply strategic, data science and quantitative skills within Regulatory Operations.
* Engage stakeholders and consolidate partnerships to continuously understand business drivers, goals, priorities and opportunities.
* Develop knowledge of operational processes managed within the pillar and help uncover opportunities using advanced analytics (AI/ML/LLM), research, and automation.
* Partner with subject matter experts and management to deliver automation solutions from idea conception through implementation.
* Manage data science and analytics strategies including recommendations on analytical products, services, protocols, and standards across the firm.
* Invent creative and innovative ways to answer key business questions by leveraging advanced analytics (AI/ML/LLM) \&amp; automation ; to improve efficiency and productivity of business user through automation and self\-service.
* Decrease the analytics development lifecycle and increase the velocity at which analysts can disseminate insights.
* Socialize, promote and support the implementation of the analytic solutions, working with teams across all business units to identify and recommend ways to leverage it for specific deliverables, including automation solutions, dashboards, reports, Ad\-hoc requests, deep dives, Industry study research etc.
* Be a storyteller capable of delivering practical data insights in a compelling manner actionable by senior leadership using presentations, discussions, and visualizations.
**Required Qualifications, Capabilities, And Skills**
* Bachelor’s degree in relevant quantitative field (e.g., Statistics, Economics, Applied Math, Operations Research, Physics, Data Science fields).
* Strong understanding of math behind machine learning algos.
* Demonstrated experience in modern data mining, quantitative research, and data science techniques (e.g., machine learning, behavioral analytics).
* Able to work in large and medium sized project teams, as self\-directed contributor with a proven track record of being detail orientated, innovative, creative, and strategic.
* Be a team player who can help build around other people’s work and can be a strong collaborator.
* Experience working across multiple database platforms, both on premises, such as Teradata, Oracle, Hadoop, as well as on Cloud solutions such as AWS and Snowflake
* Demonstrated experience with process automation using tools such as Alteryx, Python, R, Tableau, SAS, SQL/PLSQL, VBA, SharePoint and other Business Intelligence tools.
* Demonstrated experience conducting data analysis with ability to tell compelling stories using data.
**Preferred Qualifications, Capabilities, And Skills**
* Financial services background
* M.S. equivalent
* Bachelor’s degree in a relevant quantitative field
* 4\+ years of data analytics experience or advanced degree in an analytical field
* Experience in recommendation systems
**This role is not eligible for visa sponsorship. This role is 5 days a week fully in\-office.**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41">
      <c r="A41" t="inlineStr">
        <is>
          <t>li-4359906881</t>
        </is>
      </c>
      <c r="B41" t="inlineStr">
        <is>
          <t>Data Scientist II for Published Clinical Evidence &amp; Competitive Intelligence Insights</t>
        </is>
      </c>
      <c r="C41" t="inlineStr">
        <is>
          <t>BioSpace</t>
        </is>
      </c>
      <c r="D41" t="inlineStr">
        <is>
          <t>linkedin</t>
        </is>
      </c>
      <c r="E41">
        <f>HYPERLINK("https://www.linkedin.com/jobs/view/4359906881", "https://www.linkedin.com/jobs/view/4359906881")</f>
        <v/>
      </c>
      <c r="F41" t="inlineStr"/>
      <c r="G41" t="inlineStr">
        <is>
          <t>South San Francisco, CA</t>
        </is>
      </c>
      <c r="H41" t="inlineStr"/>
      <c r="I41"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AbbViesglobalInformation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thatimpactadvancement in our pipeline. The team is a global organization, with presences at the Lake County, Illinois headquarters and Boston, Massachusetts areas (US), as well as the Ludwigshafen site (Germany). Leveragingcutting\-edgetechnologies and scientificexpertise, we deliver industry\-leading capabilities to harness insights from published content for high\-impact decision\-making.Our teampossessesthe scientific and technicalexpertisetoutilizeand provide guidance on a wide range of knowledge sources, ensuring high\-quality answers for our clients.
 The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literature,patent,conference, news, clinicaltrial, and competitive intelligence data such as competitor pipelines.
 The Data Scientist should have sufficiently strong background in both science and technology to fulfil this role anddemonstratehigh motivation to expand their knowledge in a pharma context and as SME for key client groups. The role is expected to collaborate effectively within SPICE, EKA, and the larger IR organization, driving impactful results for all of AbbVie. Responsibilities include developing novel AI\-based capabilities for extracting, harmonizing, andmonitoringpublished clinical trial data, real\-world evidence, and other competitive insights. They will closely collaborate with internal expert teams to define requirements and integrate manually curated data and insights, thereby supporting pipeline strategy, corporate strategy, and commercial teams with essential intelligence for advancing AbbVies pipeline.
**Responsibilities**
* Leverage scientific domain and technical knowledge to support clients across AbbVie with the most relevant information and published insights for decision\-making. Key focus: Competitive Intelligence, Corporate and Pipeline Strategy groups and data.
* Build and design new methods and automated workflows to systematicallyidentify, extract, normalize and database key insights and evidence from publications as well as other published sources using GenAI and otherstate\-of\-the\-arttechnology and data science solutions
* Work with key stakeholders and expert teams toidentifynovel sources for manually curated competitive intelligence and clinical trial data and integrate in existing workflows to democratize access across AbbVie
* Support efforts for streamlining AbbVies systematic literature review process and knowledge extraction from (full\-text) publication resources
* Provide unique scientific insights andexpertiseby designing and developing solutions for finding, extracting, curating, and visualizing knowledge from published and internal data
* Monitor and be attuned tonewtechnologytrends relevant for knowledge analysis and insights discovery
* Achievegreat results,while overwhelminglydemonstratingkey AbbVie values and behaviors.
**Qualifications**
 Required:
* Bachelors degree (with 5 years of experience), Masters (4years), or Ph.D. (0\-2 years) in life sciences, medicine, pharmacy, bioinformatics, biomedical/clinical data science, or related field
* Solid scientific domain knowledge in late\-stage pharmaceutical developmentMedical Affairs, Clinical Development, Pharmacovigilance, HEOR, Epidemiologyproven by education or work experience
* Solid programming and informatics/data science/computer science background. Proficiency in Python.
* Experience analyzing publications, especially scientific literature
* Proven ability to translate complex scientific or clinical questions into actionable solutions and insights
* Initial experience with data consolidation, standardization, optimization, or exploratory data analysis
* Experience with relational databases and SQL (e.g., Oracle, Apache Hadoop)
* Strong analytical skills to process, analyze, visualize, and present results
* Systematic problem\-solving mindset, reliability, superior attention to detail
* Good communication skills for interdisciplinary teams and various audiences
* Good organizational skills: balance taking direction (from sponsors, partners, clients) with initiative for multiple projects
* Comfortable working in a dynamic, collaborative, fast\-paced environment with constantly shifting priorities
* Innate scientific curiosity, technical creativity, and innovative thinking. Motivated to break new ground in the field of information analysis and insights generation.
* Fluency in English
**Beneficial**
* Pharmaceutical industry experience.
* Experience with front\-end technologies (HTML, JavaScript, CSS, React)
* Basic working experience with Linux/Unix\-based OS and Docker
* Experience with GenAI models for knowledge extraction, their pitfalls, prompting and embedding them within Python workflows
* Basic understanding of agents/agentic workflows (MCP, A2A)
* Experience with drug pipeline or trial competitive intelligence databases (e.g., Clarivates Cortellis, Citelines Trialtrove, Pharmaprojects)
* Experience with data pipeline frameworks, text mining, NLP, semantic enrichment, ontologies, or data mining
* Knowledge of technologies for retrieval, analysis, and visualization (e.g., REST APIs, XML, JSON, Python libraries like Pydantic)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andwemayultimatelypaymore or less than the posted range. This range may bemodifiedin thefuture.
* We offer a comprehensive package of benefits including paid time off (vacation, holidays, sick),medical/dental/visioninsurance and 401(k) to eligibleemployees.
* This job is eligible toparticipatein our short\-term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employeeremainsin the Company's sole andabsolutediscretion unless and until paid andmay bemodifiedat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42">
      <c r="A42" t="inlineStr">
        <is>
          <t>li-4359906882</t>
        </is>
      </c>
      <c r="B42" t="inlineStr">
        <is>
          <t>Data Scientist II for Published Clinical Evidence &amp; Competitive Intelligence Insights</t>
        </is>
      </c>
      <c r="C42" t="inlineStr">
        <is>
          <t>BioSpace</t>
        </is>
      </c>
      <c r="D42" t="inlineStr">
        <is>
          <t>linkedin</t>
        </is>
      </c>
      <c r="E42">
        <f>HYPERLINK("https://www.linkedin.com/jobs/view/4359906882", "https://www.linkedin.com/jobs/view/4359906882")</f>
        <v/>
      </c>
      <c r="F42">
        <f>HYPERLINK("https://jobs.biospace.com/job/3025175/?TrackID=433984&amp;utm_source=Partner_JS&amp;utm_medium=Aggregator_Paid&amp;utm_campaign=LinkedIn-Slots&amp;urlHash=S145", "https://jobs.biospace.com/job/3025175/?TrackID=433984&amp;utm_source=Partner_JS&amp;utm_medium=Aggregator_Paid&amp;utm_campaign=LinkedIn-Slots&amp;urlHash=S145")</f>
        <v/>
      </c>
      <c r="G42" t="inlineStr">
        <is>
          <t>Cambridge, MA</t>
        </is>
      </c>
      <c r="H42" t="inlineStr"/>
      <c r="I42"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AbbViesglobalInformation Research (IR) group has a mission to unlock information that makes cures possible. Within IR, the Enterprise Knowledge Accelerator (EKA) team is the trusted knowledge partner for clients in R\&amp;D and the Corporate Business \&amp; Strategy Office (CBSO). EKA drives innovation and enhances knowledge\-sharing across the value chain, for better and faster decisions thatimpactadvancement in our pipeline. The team is a global organization, with presences at the Lake County, Illinois headquarters and Boston, Massachusetts areas (US), as well as the Ludwigshafen site (Germany). Leveragingcutting\-edgetechnologies and scientificexpertise, we deliver industry\-leading capabilities to harness insights from published content for high\-impact decision\-making.Our teampossessesthe scientific and technicalexpertisetoutilizeand provide guidance on a wide range of knowledge sources, ensuring high\-quality answers for our clients.
 The Data Scientist will join the Solutions for Published Insights and Client Enablement (SPICE) team, supporting AbbVies R\&amp;D, CBSO and other business functions enterprise wide. SPICE provides business partnership, resource consultancy, ad\-hoc research support for business\-critical questions, knowledge and insights mining and analysis, as well as designing and building innovative self\-service solutions for insights generation from published resources and internal knowledge. This includes literature,patent,conference, news, clinicaltrial, and competitive intelligence data such as competitor pipelines.
 The Data Scientist should have sufficiently strong background in both science and technology to fulfil this role anddemonstratehigh motivation to expand their knowledge in a pharma context and as SME for key client groups. The role is expected to collaborate effectively within SPICE, EKA, and the larger IR organization, driving impactful results for all of AbbVie. Responsibilities include developing novel AI\-based capabilities for extracting, harmonizing, andmonitoringpublished clinical trial data, real\-world evidence, and other competitive insights. They will closely collaborate with internal expert teams to define requirements and integrate manually curated data and insights, thereby supporting pipeline strategy, corporate strategy, and commercial teams with essential intelligence for advancing AbbVies pipeline.
**Responsibilities**
* Leverage scientific domain and technical knowledge to support clients across AbbVie with the most relevant information and published insights for decision\-making. Key focus: Competitive Intelligence, Corporate and Pipeline Strategy groups and data.
* Build and design new methods and automated workflows to systematicallyidentify, extract, normalize and database key insights and evidence from publications as well as other published sources using GenAI and otherstate\-of\-the\-arttechnology and data science solutions
* Work with key stakeholders and expert teams toidentifynovel sources for manually curated competitive intelligence and clinical trial data and integrate in existing workflows to democratize access across AbbVie
* Support efforts for streamlining AbbVies systematic literature review process and knowledge extraction from (full\-text) publication resources
* Provide unique scientific insights andexpertiseby designing and developing solutions for finding, extracting, curating, and visualizing knowledge from published and internal data
* Monitor and be attuned tonewtechnologytrends relevant for knowledge analysis and insights discovery
* Achievegreat results,while overwhelminglydemonstratingkey AbbVie values and behaviors.
**Qualifications**
 Required:
* Bachelors degree (with 5 years of experience), Masters (4years), or Ph.D. (0\-2 years) in life sciences, medicine, pharmacy, bioinformatics, biomedical/clinical data science, or related field
* Solid scientific domain knowledge in late\-stage pharmaceutical developmentMedical Affairs, Clinical Development, Pharmacovigilance, HEOR, Epidemiologyproven by education or work experience
* Solid programming and informatics/data science/computer science background. Proficiency in Python.
* Experience analyzing publications, especially scientific literature
* Proven ability to translate complex scientific or clinical questions into actionable solutions and insights
* Initial experience with data consolidation, standardization, optimization, or exploratory data analysis
* Experience with relational databases and SQL (e.g., Oracle, Apache Hadoop)
* Strong analytical skills to process, analyze, visualize, and present results
* Systematic problem\-solving mindset, reliability, superior attention to detail
* Good communication skills for interdisciplinary teams and various audiences
* Good organizational skills: balance taking direction (from sponsors, partners, clients) with initiative for multiple projects
* Comfortable working in a dynamic, collaborative, fast\-paced environment with constantly shifting priorities
* Innate scientific curiosity, technical creativity, and innovative thinking. Motivated to break new ground in the field of information analysis and insights generation.
* Fluency in English
**Beneficial**
* Pharmaceutical industry experience.
* Experience with front\-end technologies (HTML, JavaScript, CSS, React)
* Basic working experience with Linux/Unix\-based OS and Docker
* Experience with GenAI models for knowledge extraction, their pitfalls, prompting and embedding them within Python workflows
* Basic understanding of agents/agentic workflows (MCP, A2A)
* Experience with drug pipeline or trial competitive intelligence databases (e.g., Clarivates Cortellis, Citelines Trialtrove, Pharmaprojects)
* Experience with data pipeline frameworks, text mining, NLP, semantic enrichment, ontologies, or data mining
* Knowledge of technologies for retrieval, analysis, and visualization (e.g., REST APIs, XML, JSON, Python libraries like Pydantic)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andwemayultimatelypaymore or less than the posted range. This range may bemodifiedin thefuture.
* We offer a comprehensive package of benefits including paid time off (vacation, holidays, sick),medical/dental/visioninsurance and 401(k) to eligibleemployees.
* This job is eligible toparticipatein our short\-term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employeeremainsin the Company's sole andabsolutediscretion unless and until paid andmay bemodifiedat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2026-01-11T21:03:06Z</dcterms:created>
  <dcterms:modified xsi:type="dcterms:W3CDTF">2026-01-11T21:03:06Z</dcterms:modified>
</cp:coreProperties>
</file>