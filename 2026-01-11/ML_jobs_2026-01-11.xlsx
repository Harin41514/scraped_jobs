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in-a12e2b9274bc47e1</t>
        </is>
      </c>
      <c r="B2" t="inlineStr">
        <is>
          <t>Senior Applied Scientist, Sponsored Products and Brands</t>
        </is>
      </c>
      <c r="C2" t="inlineStr">
        <is>
          <t>Amazon.com</t>
        </is>
      </c>
      <c r="D2" t="inlineStr">
        <is>
          <t>indeed</t>
        </is>
      </c>
      <c r="E2" t="inlineStr"/>
      <c r="F2" t="inlineStr"/>
      <c r="G2" t="inlineStr">
        <is>
          <t>New York, NY, US</t>
        </is>
      </c>
      <c r="H2" s="2" t="n">
        <v>45979</v>
      </c>
      <c r="I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in-e07bd28fe30c0aef</t>
        </is>
      </c>
      <c r="B3" t="inlineStr">
        <is>
          <t>Senior Applied Scientist, Sponsored Products and Brands</t>
        </is>
      </c>
      <c r="C3" t="inlineStr">
        <is>
          <t>Amazon.com</t>
        </is>
      </c>
      <c r="D3" t="inlineStr">
        <is>
          <t>indeed</t>
        </is>
      </c>
      <c r="E3" t="inlineStr"/>
      <c r="F3" t="inlineStr"/>
      <c r="G3" t="inlineStr">
        <is>
          <t>Seattle, WA, US</t>
        </is>
      </c>
      <c r="H3" s="2" t="n">
        <v>45979</v>
      </c>
      <c r="I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in-9b0655285e56dea5</t>
        </is>
      </c>
      <c r="B4" t="inlineStr">
        <is>
          <t>Sr. Applied Scientist, AGI Foundations</t>
        </is>
      </c>
      <c r="C4" t="inlineStr">
        <is>
          <t>Amazon.com</t>
        </is>
      </c>
      <c r="D4" t="inlineStr">
        <is>
          <t>indeed</t>
        </is>
      </c>
      <c r="E4" t="inlineStr"/>
      <c r="F4" t="inlineStr"/>
      <c r="G4" t="inlineStr">
        <is>
          <t>Sunnyvale, CA, US</t>
        </is>
      </c>
      <c r="H4" s="2" t="n">
        <v>45978</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in-0d108524b87f5f3c</t>
        </is>
      </c>
      <c r="B5" t="inlineStr">
        <is>
          <t>Sr. Applied Scientist, AGI Foundations</t>
        </is>
      </c>
      <c r="C5" t="inlineStr">
        <is>
          <t>Amazon.com</t>
        </is>
      </c>
      <c r="D5" t="inlineStr">
        <is>
          <t>indeed</t>
        </is>
      </c>
      <c r="E5" t="inlineStr"/>
      <c r="F5" t="inlineStr"/>
      <c r="G5" t="inlineStr">
        <is>
          <t>Bellevue, WA, US</t>
        </is>
      </c>
      <c r="H5" s="2" t="n">
        <v>45978</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in-450f77082fdcdbee</t>
        </is>
      </c>
      <c r="B6" t="inlineStr">
        <is>
          <t>Sr. Applied Scientist, AGI Foundations</t>
        </is>
      </c>
      <c r="C6" t="inlineStr">
        <is>
          <t>Amazon.com</t>
        </is>
      </c>
      <c r="D6" t="inlineStr">
        <is>
          <t>indeed</t>
        </is>
      </c>
      <c r="E6" t="inlineStr"/>
      <c r="F6" t="inlineStr"/>
      <c r="G6" t="inlineStr">
        <is>
          <t>Boston, MA, US</t>
        </is>
      </c>
      <c r="H6" s="2" t="n">
        <v>45978</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in-371b57266b8e6de9</t>
        </is>
      </c>
      <c r="B7" t="inlineStr">
        <is>
          <t>Sr. Applied Scientist, AGI Foundations</t>
        </is>
      </c>
      <c r="C7" t="inlineStr">
        <is>
          <t>Amazon.com</t>
        </is>
      </c>
      <c r="D7" t="inlineStr">
        <is>
          <t>indeed</t>
        </is>
      </c>
      <c r="E7" t="inlineStr"/>
      <c r="F7" t="inlineStr"/>
      <c r="G7" t="inlineStr">
        <is>
          <t>New York, NY, US</t>
        </is>
      </c>
      <c r="H7" s="2" t="n">
        <v>45978</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in-1e3f67e24e55316f</t>
        </is>
      </c>
      <c r="B8" t="inlineStr">
        <is>
          <t>Applied Scientist II, Prime Video Personalization and Discovery Science</t>
        </is>
      </c>
      <c r="C8" t="inlineStr">
        <is>
          <t>Amazon.com</t>
        </is>
      </c>
      <c r="D8" t="inlineStr">
        <is>
          <t>indeed</t>
        </is>
      </c>
      <c r="E8" t="inlineStr"/>
      <c r="F8" t="inlineStr"/>
      <c r="G8" t="inlineStr">
        <is>
          <t>Seattle, WA, US</t>
        </is>
      </c>
      <c r="H8" s="2" t="n">
        <v>45978</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in-c387ad4b667a47b4</t>
        </is>
      </c>
      <c r="B9" t="inlineStr">
        <is>
          <t>Applied Scientist II, Prime Video Personalization and Discovery Science</t>
        </is>
      </c>
      <c r="C9" t="inlineStr">
        <is>
          <t>Amazon.com</t>
        </is>
      </c>
      <c r="D9" t="inlineStr">
        <is>
          <t>indeed</t>
        </is>
      </c>
      <c r="E9" t="inlineStr"/>
      <c r="F9" t="inlineStr"/>
      <c r="G9" t="inlineStr">
        <is>
          <t>Sunnyvale, CA, US</t>
        </is>
      </c>
      <c r="H9" s="2" t="n">
        <v>45978</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in-ae4d15e0380105e6</t>
        </is>
      </c>
      <c r="B10" t="inlineStr">
        <is>
          <t>Applied Scientist II, Prime Video Personalization and Discovery Science</t>
        </is>
      </c>
      <c r="C10" t="inlineStr">
        <is>
          <t>Amazon.com</t>
        </is>
      </c>
      <c r="D10" t="inlineStr">
        <is>
          <t>indeed</t>
        </is>
      </c>
      <c r="E10" t="inlineStr"/>
      <c r="F10" t="inlineStr"/>
      <c r="G10" t="inlineStr">
        <is>
          <t>New York, NY, US</t>
        </is>
      </c>
      <c r="H10" s="2" t="n">
        <v>45978</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in-aeb438ad5afb1015</t>
        </is>
      </c>
      <c r="B11" t="inlineStr">
        <is>
          <t>Sr. Applied Scientist, AGI Foundations</t>
        </is>
      </c>
      <c r="C11" t="inlineStr">
        <is>
          <t>Amazon.com</t>
        </is>
      </c>
      <c r="D11" t="inlineStr">
        <is>
          <t>indeed</t>
        </is>
      </c>
      <c r="E11" t="inlineStr"/>
      <c r="F11" t="inlineStr"/>
      <c r="G11" t="inlineStr">
        <is>
          <t>New York, NY, US</t>
        </is>
      </c>
      <c r="H11" s="2" t="n">
        <v>45963</v>
      </c>
      <c r="I1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in-adba847e4eb1c039</t>
        </is>
      </c>
      <c r="B12" t="inlineStr">
        <is>
          <t>Sr. Applied Scientist, AGI Foundations</t>
        </is>
      </c>
      <c r="C12" t="inlineStr">
        <is>
          <t>Amazon.com</t>
        </is>
      </c>
      <c r="D12" t="inlineStr">
        <is>
          <t>indeed</t>
        </is>
      </c>
      <c r="E12" t="inlineStr"/>
      <c r="F12" t="inlineStr"/>
      <c r="G12" t="inlineStr">
        <is>
          <t>Bellevue, WA, US</t>
        </is>
      </c>
      <c r="H12" s="2" t="n">
        <v>45963</v>
      </c>
      <c r="I1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in-b1c24b2e50bd1f78</t>
        </is>
      </c>
      <c r="B13" t="inlineStr">
        <is>
          <t>Sr. Applied Scientist, AGI Foundations</t>
        </is>
      </c>
      <c r="C13" t="inlineStr">
        <is>
          <t>Amazon.com</t>
        </is>
      </c>
      <c r="D13" t="inlineStr">
        <is>
          <t>indeed</t>
        </is>
      </c>
      <c r="E13" t="inlineStr"/>
      <c r="F13" t="inlineStr"/>
      <c r="G13" t="inlineStr">
        <is>
          <t>Boston, MA, US</t>
        </is>
      </c>
      <c r="H13" s="2" t="n">
        <v>45963</v>
      </c>
      <c r="I1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in-956abfbf5adf1a9e</t>
        </is>
      </c>
      <c r="B14" t="inlineStr">
        <is>
          <t>Applied Scientist II, Prime Video - Personalization and Discovery Science, Personalization and Discovery Science</t>
        </is>
      </c>
      <c r="C14" t="inlineStr">
        <is>
          <t>Amazon.com</t>
        </is>
      </c>
      <c r="D14" t="inlineStr">
        <is>
          <t>indeed</t>
        </is>
      </c>
      <c r="E14" t="inlineStr"/>
      <c r="F14" t="inlineStr"/>
      <c r="G14" t="inlineStr">
        <is>
          <t>New York, NY, US</t>
        </is>
      </c>
      <c r="H14" s="2"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in-56673de75426b345</t>
        </is>
      </c>
      <c r="B15" t="inlineStr">
        <is>
          <t>Applied Scientist II, Prime Video - Personalization and Discovery Science, Personalization and Discovery Science</t>
        </is>
      </c>
      <c r="C15" t="inlineStr">
        <is>
          <t>Amazon.com</t>
        </is>
      </c>
      <c r="D15" t="inlineStr">
        <is>
          <t>indeed</t>
        </is>
      </c>
      <c r="E15" t="inlineStr"/>
      <c r="F15" t="inlineStr"/>
      <c r="G15" t="inlineStr">
        <is>
          <t>Seattle, WA, US</t>
        </is>
      </c>
      <c r="H15" s="2" t="n">
        <v>45930</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in-9c9e01c66b5a40e3</t>
        </is>
      </c>
      <c r="B16" t="inlineStr">
        <is>
          <t>Applied Scientist II, Prime Video - Personalization and Discovery Science, Personalization and Discovery Science</t>
        </is>
      </c>
      <c r="C16" t="inlineStr">
        <is>
          <t>Amazon.com</t>
        </is>
      </c>
      <c r="D16" t="inlineStr">
        <is>
          <t>indeed</t>
        </is>
      </c>
      <c r="E16" t="inlineStr"/>
      <c r="F16" t="inlineStr"/>
      <c r="G16" t="inlineStr">
        <is>
          <t>Sunnyvale, CA, US</t>
        </is>
      </c>
      <c r="H16" s="2" t="n">
        <v>45930</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in-aeb64c39c3e884c2</t>
        </is>
      </c>
      <c r="B17" t="inlineStr">
        <is>
          <t>Applied Scientist II, Prime Video - Personalization and Discovery Science</t>
        </is>
      </c>
      <c r="C17" t="inlineStr">
        <is>
          <t>Amazon.com</t>
        </is>
      </c>
      <c r="D17" t="inlineStr">
        <is>
          <t>indeed</t>
        </is>
      </c>
      <c r="E17" t="inlineStr"/>
      <c r="F17" t="inlineStr"/>
      <c r="G17" t="inlineStr">
        <is>
          <t>New York, NY, US</t>
        </is>
      </c>
      <c r="H17" s="2" t="n">
        <v>45915</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in-f6c6037ca9c0519b</t>
        </is>
      </c>
      <c r="B18" t="inlineStr">
        <is>
          <t>Applied Scientist II, Prime Video - Personalization and Discovery Science</t>
        </is>
      </c>
      <c r="C18" t="inlineStr">
        <is>
          <t>Amazon.com</t>
        </is>
      </c>
      <c r="D18" t="inlineStr">
        <is>
          <t>indeed</t>
        </is>
      </c>
      <c r="E18" t="inlineStr"/>
      <c r="F18" t="inlineStr"/>
      <c r="G18" t="inlineStr">
        <is>
          <t>Sunnyvale, CA, US</t>
        </is>
      </c>
      <c r="H18" s="2" t="n">
        <v>45915</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in-c096d8a6b19366e9</t>
        </is>
      </c>
      <c r="B19" t="inlineStr">
        <is>
          <t>Applied Scientist II, Prime Video - Personalization and Discovery Science</t>
        </is>
      </c>
      <c r="C19" t="inlineStr">
        <is>
          <t>Amazon.com</t>
        </is>
      </c>
      <c r="D19" t="inlineStr">
        <is>
          <t>indeed</t>
        </is>
      </c>
      <c r="E19" t="inlineStr"/>
      <c r="F19" t="inlineStr"/>
      <c r="G19" t="inlineStr">
        <is>
          <t>Seattle, WA, US</t>
        </is>
      </c>
      <c r="H19" s="2" t="n">
        <v>45915</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in-d6b39f7afe4b6183</t>
        </is>
      </c>
      <c r="B20" t="inlineStr">
        <is>
          <t>Sr. Applied Scientist, Prime Video - Personalization and Discovery Science</t>
        </is>
      </c>
      <c r="C20" t="inlineStr">
        <is>
          <t>Amazon.com</t>
        </is>
      </c>
      <c r="D20" t="inlineStr">
        <is>
          <t>indeed</t>
        </is>
      </c>
      <c r="E20" t="inlineStr"/>
      <c r="F20" t="inlineStr"/>
      <c r="G20" t="inlineStr">
        <is>
          <t>Sunnyvale, CA, US</t>
        </is>
      </c>
      <c r="H20" s="2" t="n">
        <v>45914</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in-901ed127d7f50257</t>
        </is>
      </c>
      <c r="B21" t="inlineStr">
        <is>
          <t>Sr. Applied Scientist, Prime Video - Personalization and Discovery Science</t>
        </is>
      </c>
      <c r="C21" t="inlineStr">
        <is>
          <t>Amazon.com</t>
        </is>
      </c>
      <c r="D21" t="inlineStr">
        <is>
          <t>indeed</t>
        </is>
      </c>
      <c r="E21" t="inlineStr"/>
      <c r="F21" t="inlineStr"/>
      <c r="G21" t="inlineStr">
        <is>
          <t>New York, NY, US</t>
        </is>
      </c>
      <c r="H21" s="2" t="n">
        <v>45914</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in-3c9a76580a7b0e81</t>
        </is>
      </c>
      <c r="B22" t="inlineStr">
        <is>
          <t>Sr. Applied Scientist, Prime Video - Personalization and Discovery Science</t>
        </is>
      </c>
      <c r="C22" t="inlineStr">
        <is>
          <t>Amazon.com</t>
        </is>
      </c>
      <c r="D22" t="inlineStr">
        <is>
          <t>indeed</t>
        </is>
      </c>
      <c r="E22" t="inlineStr"/>
      <c r="F22" t="inlineStr"/>
      <c r="G22" t="inlineStr">
        <is>
          <t>Seattle, WA, US</t>
        </is>
      </c>
      <c r="H22" s="2" t="n">
        <v>45914</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in-79e1af8c9a79d77b</t>
        </is>
      </c>
      <c r="B23" t="inlineStr">
        <is>
          <t>Senior Applied Scientist, Artificial General Intelligence</t>
        </is>
      </c>
      <c r="C23" t="inlineStr">
        <is>
          <t>Amazon.com</t>
        </is>
      </c>
      <c r="D23" t="inlineStr">
        <is>
          <t>indeed</t>
        </is>
      </c>
      <c r="E23" t="inlineStr"/>
      <c r="F23" t="inlineStr"/>
      <c r="G23" t="inlineStr">
        <is>
          <t>New York, NY, US</t>
        </is>
      </c>
      <c r="H23" s="2" t="n">
        <v>45907</v>
      </c>
      <c r="I2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in-79e3c62e9671615f</t>
        </is>
      </c>
      <c r="B24" t="inlineStr">
        <is>
          <t>Senior Applied Scientist, Artificial General Intelligence</t>
        </is>
      </c>
      <c r="C24" t="inlineStr">
        <is>
          <t>Amazon.com</t>
        </is>
      </c>
      <c r="D24" t="inlineStr">
        <is>
          <t>indeed</t>
        </is>
      </c>
      <c r="E24" t="inlineStr"/>
      <c r="F24" t="inlineStr"/>
      <c r="G24" t="inlineStr">
        <is>
          <t>Sunnyvale, CA, US</t>
        </is>
      </c>
      <c r="H24" s="2" t="n">
        <v>45907</v>
      </c>
      <c r="I2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in-581e92406602bd00</t>
        </is>
      </c>
      <c r="B25" t="inlineStr">
        <is>
          <t>Senior Applied Scientist, Artificial General Intelligence</t>
        </is>
      </c>
      <c r="C25" t="inlineStr">
        <is>
          <t>Amazon.com</t>
        </is>
      </c>
      <c r="D25" t="inlineStr">
        <is>
          <t>indeed</t>
        </is>
      </c>
      <c r="E25" t="inlineStr"/>
      <c r="F25" t="inlineStr"/>
      <c r="G25" t="inlineStr">
        <is>
          <t>Bellevue, WA, US</t>
        </is>
      </c>
      <c r="H25" s="2" t="n">
        <v>45907</v>
      </c>
      <c r="I2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in-a803248db3a3ea88</t>
        </is>
      </c>
      <c r="B26" t="inlineStr">
        <is>
          <t>Senior Applied Scientist, Artificial General Intelligence</t>
        </is>
      </c>
      <c r="C26" t="inlineStr">
        <is>
          <t>Amazon.com</t>
        </is>
      </c>
      <c r="D26" t="inlineStr">
        <is>
          <t>indeed</t>
        </is>
      </c>
      <c r="E26" t="inlineStr"/>
      <c r="F26" t="inlineStr"/>
      <c r="G26" t="inlineStr">
        <is>
          <t>Cambridge, MA, US</t>
        </is>
      </c>
      <c r="H26" s="2" t="n">
        <v>45907</v>
      </c>
      <c r="I2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in-db75f1319e9150f8</t>
        </is>
      </c>
      <c r="B27" t="inlineStr">
        <is>
          <t>Sr. Applied Scientist, Prime Video - Personalization and Discovery Science</t>
        </is>
      </c>
      <c r="C27" t="inlineStr">
        <is>
          <t>Amazon.com</t>
        </is>
      </c>
      <c r="D27" t="inlineStr">
        <is>
          <t>indeed</t>
        </is>
      </c>
      <c r="E27" t="inlineStr"/>
      <c r="F27" t="inlineStr"/>
      <c r="G27" t="inlineStr">
        <is>
          <t>Seattle, WA, US</t>
        </is>
      </c>
      <c r="H27" s="2" t="n">
        <v>45896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in-fbdb64d6df7b9eef</t>
        </is>
      </c>
      <c r="B28" t="inlineStr">
        <is>
          <t>Sr. Applied Scientist, Prime Video - Personalization and Discovery Science</t>
        </is>
      </c>
      <c r="C28" t="inlineStr">
        <is>
          <t>Amazon.com</t>
        </is>
      </c>
      <c r="D28" t="inlineStr">
        <is>
          <t>indeed</t>
        </is>
      </c>
      <c r="E28" t="inlineStr"/>
      <c r="F28" t="inlineStr"/>
      <c r="G28" t="inlineStr">
        <is>
          <t>Sunnyvale, CA, US</t>
        </is>
      </c>
      <c r="H28" s="2" t="n">
        <v>45896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in-e3dccd5023d66179</t>
        </is>
      </c>
      <c r="B29" t="inlineStr">
        <is>
          <t>Sr. Applied Scientist, Prime Video - Personalization and Discovery Science</t>
        </is>
      </c>
      <c r="C29" t="inlineStr">
        <is>
          <t>Amazon.com</t>
        </is>
      </c>
      <c r="D29" t="inlineStr">
        <is>
          <t>indeed</t>
        </is>
      </c>
      <c r="E29" t="inlineStr"/>
      <c r="F29" t="inlineStr"/>
      <c r="G29" t="inlineStr">
        <is>
          <t>New York, NY, US</t>
        </is>
      </c>
      <c r="H29" s="2" t="n">
        <v>45896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in-0f9023d0b9ef0b4b</t>
        </is>
      </c>
      <c r="B30" t="inlineStr">
        <is>
          <t>Sr. Applied Scientist, Prime Video - Personalization and Discovery Science</t>
        </is>
      </c>
      <c r="C30" t="inlineStr">
        <is>
          <t>Amazon.com</t>
        </is>
      </c>
      <c r="D30" t="inlineStr">
        <is>
          <t>indeed</t>
        </is>
      </c>
      <c r="E30" t="inlineStr"/>
      <c r="F30" t="inlineStr"/>
      <c r="G30" t="inlineStr">
        <is>
          <t>Seattle, WA,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in-966ce63030359e0b</t>
        </is>
      </c>
      <c r="B31" t="inlineStr">
        <is>
          <t>Sr. Applied Scientist, Prime Video - Personalization and Discovery Science</t>
        </is>
      </c>
      <c r="C31" t="inlineStr">
        <is>
          <t>Amazon.com</t>
        </is>
      </c>
      <c r="D31" t="inlineStr">
        <is>
          <t>indeed</t>
        </is>
      </c>
      <c r="E31" t="inlineStr"/>
      <c r="F31" t="inlineStr"/>
      <c r="G31" t="inlineStr">
        <is>
          <t>New York, NY, US</t>
        </is>
      </c>
      <c r="H31" s="2" t="n">
        <v>45886</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in-92a24cd82a1bfc6d</t>
        </is>
      </c>
      <c r="B32" t="inlineStr">
        <is>
          <t>Applied Scientist II, Prime Video - Personalization and Discovery Science, Personalization and Discovery Science</t>
        </is>
      </c>
      <c r="C32" t="inlineStr">
        <is>
          <t>Amazon.com</t>
        </is>
      </c>
      <c r="D32" t="inlineStr">
        <is>
          <t>indeed</t>
        </is>
      </c>
      <c r="E32" t="inlineStr"/>
      <c r="F32" t="inlineStr"/>
      <c r="G32" t="inlineStr">
        <is>
          <t>Seattle, WA, US</t>
        </is>
      </c>
      <c r="H32" s="2" t="n">
        <v>45886</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in-0db6f3d1d3f7cde1</t>
        </is>
      </c>
      <c r="B33" t="inlineStr">
        <is>
          <t>Applied Scientist II, Prime Video - Personalization and Discovery Science, Personalization and Discovery Science</t>
        </is>
      </c>
      <c r="C33" t="inlineStr">
        <is>
          <t>Amazon.com</t>
        </is>
      </c>
      <c r="D33" t="inlineStr">
        <is>
          <t>indeed</t>
        </is>
      </c>
      <c r="E33" t="inlineStr"/>
      <c r="F33" t="inlineStr"/>
      <c r="G33" t="inlineStr">
        <is>
          <t>New York, NY, US</t>
        </is>
      </c>
      <c r="H33" s="2" t="n">
        <v>45886</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in-647b50f90a0dd5b1</t>
        </is>
      </c>
      <c r="B34" t="inlineStr">
        <is>
          <t>Applied Scientist II, Prime Video - Personalization and Discovery Science, Personalization and Discovery Science</t>
        </is>
      </c>
      <c r="C34" t="inlineStr">
        <is>
          <t>Amazon.com</t>
        </is>
      </c>
      <c r="D34" t="inlineStr">
        <is>
          <t>indeed</t>
        </is>
      </c>
      <c r="E34" t="inlineStr"/>
      <c r="F34" t="inlineStr"/>
      <c r="G34" t="inlineStr">
        <is>
          <t>Sunnyvale, CA, US</t>
        </is>
      </c>
      <c r="H34" s="2" t="n">
        <v>45886</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in-d20dfb6f903f4e9a</t>
        </is>
      </c>
      <c r="B35" t="inlineStr">
        <is>
          <t>Sr. Applied Scientist, Prime Video - Personalization and Discovery Science</t>
        </is>
      </c>
      <c r="C35" t="inlineStr">
        <is>
          <t>Amazon.com</t>
        </is>
      </c>
      <c r="D35" t="inlineStr">
        <is>
          <t>indeed</t>
        </is>
      </c>
      <c r="E35" t="inlineStr"/>
      <c r="F35" t="inlineStr"/>
      <c r="G35" t="inlineStr">
        <is>
          <t>Sunnyvale, CA, US</t>
        </is>
      </c>
      <c r="H35" s="2" t="n">
        <v>45886</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in-b9b11ff724ad46c9</t>
        </is>
      </c>
      <c r="B36" t="inlineStr">
        <is>
          <t>Sr. Applied Scientist, Prime Video - Personalization and Discovery Science</t>
        </is>
      </c>
      <c r="C36" t="inlineStr">
        <is>
          <t>Amazon.com</t>
        </is>
      </c>
      <c r="D36" t="inlineStr">
        <is>
          <t>indeed</t>
        </is>
      </c>
      <c r="E36" t="inlineStr"/>
      <c r="F36" t="inlineStr"/>
      <c r="G36" t="inlineStr">
        <is>
          <t>Seattle, WA,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in-5bfc4d129bfef1dd</t>
        </is>
      </c>
      <c r="B37" t="inlineStr">
        <is>
          <t>Sr. Applied Scientist, Prime Video - Personalization and Discovery Science</t>
        </is>
      </c>
      <c r="C37" t="inlineStr">
        <is>
          <t>Amazon.com</t>
        </is>
      </c>
      <c r="D37" t="inlineStr">
        <is>
          <t>indeed</t>
        </is>
      </c>
      <c r="E37" t="inlineStr"/>
      <c r="F37" t="inlineStr"/>
      <c r="G37" t="inlineStr">
        <is>
          <t>Sunnyvale, CA,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in-78b33151d2bd616a</t>
        </is>
      </c>
      <c r="B38" t="inlineStr">
        <is>
          <t>Sr. Applied Scientist, Prime Video - Personalization and Discovery Science</t>
        </is>
      </c>
      <c r="C38" t="inlineStr">
        <is>
          <t>Amazon.com</t>
        </is>
      </c>
      <c r="D38" t="inlineStr">
        <is>
          <t>indeed</t>
        </is>
      </c>
      <c r="E38" t="inlineStr"/>
      <c r="F38" t="inlineStr"/>
      <c r="G38" t="inlineStr">
        <is>
          <t>New York, NY,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in-3fd731962ed36c45</t>
        </is>
      </c>
      <c r="B39" t="inlineStr">
        <is>
          <t>Applied Scientist II, Prime Video - Personalization and Discovery Science</t>
        </is>
      </c>
      <c r="C39" t="inlineStr">
        <is>
          <t>Amazon.com</t>
        </is>
      </c>
      <c r="D39" t="inlineStr">
        <is>
          <t>indeed</t>
        </is>
      </c>
      <c r="E39" t="inlineStr"/>
      <c r="F39" t="inlineStr"/>
      <c r="G39" t="inlineStr">
        <is>
          <t>New York, NY,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in-c06336c10a4317b8</t>
        </is>
      </c>
      <c r="B40" t="inlineStr">
        <is>
          <t>Applied Scientist II, Prime Video - Personalization and Discovery Science</t>
        </is>
      </c>
      <c r="C40" t="inlineStr">
        <is>
          <t>Amazon.com</t>
        </is>
      </c>
      <c r="D40" t="inlineStr">
        <is>
          <t>indeed</t>
        </is>
      </c>
      <c r="E40" t="inlineStr"/>
      <c r="F40" t="inlineStr"/>
      <c r="G40" t="inlineStr">
        <is>
          <t>Sunnyvale, CA,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in-9ae4798d9a28c83f</t>
        </is>
      </c>
      <c r="B41" t="inlineStr">
        <is>
          <t>Applied Scientist II, Prime Video - Personalization and Discovery Science</t>
        </is>
      </c>
      <c r="C41" t="inlineStr">
        <is>
          <t>Amazon.com</t>
        </is>
      </c>
      <c r="D41" t="inlineStr">
        <is>
          <t>indeed</t>
        </is>
      </c>
      <c r="E41" t="inlineStr"/>
      <c r="F41" t="inlineStr"/>
      <c r="G41" t="inlineStr">
        <is>
          <t>Seattle, WA,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in-e810096f2a7b7ebe</t>
        </is>
      </c>
      <c r="B42" t="inlineStr">
        <is>
          <t>Applied Scientist II, Prime Video Personalization and Discovery Science</t>
        </is>
      </c>
      <c r="C42" t="inlineStr">
        <is>
          <t>Amazon.com</t>
        </is>
      </c>
      <c r="D42" t="inlineStr">
        <is>
          <t>indeed</t>
        </is>
      </c>
      <c r="E42" t="inlineStr"/>
      <c r="F42" t="inlineStr"/>
      <c r="G42" t="inlineStr">
        <is>
          <t>Sunnyvale, CA, US</t>
        </is>
      </c>
      <c r="H42" s="2" t="n">
        <v>45859</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in-29aa83d365b68fa8</t>
        </is>
      </c>
      <c r="B43" t="inlineStr">
        <is>
          <t>Applied Scientist II, Prime Video Personalization and Discovery Science</t>
        </is>
      </c>
      <c r="C43" t="inlineStr">
        <is>
          <t>Amazon.com</t>
        </is>
      </c>
      <c r="D43" t="inlineStr">
        <is>
          <t>indeed</t>
        </is>
      </c>
      <c r="E43" t="inlineStr"/>
      <c r="F43" t="inlineStr"/>
      <c r="G43" t="inlineStr">
        <is>
          <t>New York, NY,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in-137dac00296866f6</t>
        </is>
      </c>
      <c r="B44" t="inlineStr">
        <is>
          <t>Applied Scientist II, Prime Video Personalization and Discovery Science</t>
        </is>
      </c>
      <c r="C44" t="inlineStr">
        <is>
          <t>Amazon.com</t>
        </is>
      </c>
      <c r="D44" t="inlineStr">
        <is>
          <t>indeed</t>
        </is>
      </c>
      <c r="E44" t="inlineStr"/>
      <c r="F44" t="inlineStr"/>
      <c r="G44" t="inlineStr">
        <is>
          <t>Seattle, WA, US</t>
        </is>
      </c>
      <c r="H44" s="2" t="n">
        <v>45859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in-fd5efec70df0a487</t>
        </is>
      </c>
      <c r="B45" t="inlineStr">
        <is>
          <t>Applied Scientist, Prime Video - Personalization and Discovery Science</t>
        </is>
      </c>
      <c r="C45" t="inlineStr">
        <is>
          <t>Amazon.com</t>
        </is>
      </c>
      <c r="D45" t="inlineStr">
        <is>
          <t>indeed</t>
        </is>
      </c>
      <c r="E45" t="inlineStr"/>
      <c r="F45" t="inlineStr"/>
      <c r="G45" t="inlineStr">
        <is>
          <t>Seattle, WA, US</t>
        </is>
      </c>
      <c r="H45" s="2" t="n">
        <v>45845</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in-44a240f9e371dd98</t>
        </is>
      </c>
      <c r="B46" t="inlineStr">
        <is>
          <t>Applied Scientist, Prime Video - Personalization and Discovery Science</t>
        </is>
      </c>
      <c r="C46" t="inlineStr">
        <is>
          <t>Amazon.com</t>
        </is>
      </c>
      <c r="D46" t="inlineStr">
        <is>
          <t>indeed</t>
        </is>
      </c>
      <c r="E46" t="inlineStr"/>
      <c r="F46" t="inlineStr"/>
      <c r="G46" t="inlineStr">
        <is>
          <t>New York, NY,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in-78b77bb34ee25457</t>
        </is>
      </c>
      <c r="B47" t="inlineStr">
        <is>
          <t>Applied Scientist, Prime Video - Personalization and Discovery Science</t>
        </is>
      </c>
      <c r="C47" t="inlineStr">
        <is>
          <t>Amazon.com</t>
        </is>
      </c>
      <c r="D47" t="inlineStr">
        <is>
          <t>indeed</t>
        </is>
      </c>
      <c r="E47" t="inlineStr"/>
      <c r="F47" t="inlineStr"/>
      <c r="G47" t="inlineStr">
        <is>
          <t>Sunnyvale, CA, US</t>
        </is>
      </c>
      <c r="H47" s="2" t="n">
        <v>45845</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in-eab6c5db9d13c6eb</t>
        </is>
      </c>
      <c r="B48" t="inlineStr">
        <is>
          <t>Sr. Applied Scientist, Prime Video - Personalization and Discovery Science</t>
        </is>
      </c>
      <c r="C48" t="inlineStr">
        <is>
          <t>Amazon.com</t>
        </is>
      </c>
      <c r="D48" t="inlineStr">
        <is>
          <t>indeed</t>
        </is>
      </c>
      <c r="E48" t="inlineStr"/>
      <c r="F48" t="inlineStr"/>
      <c r="G48" t="inlineStr">
        <is>
          <t>Sunnyvale, CA, US</t>
        </is>
      </c>
      <c r="H48" s="2" t="n">
        <v>45819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in-584afe32da6619ca</t>
        </is>
      </c>
      <c r="B49" t="inlineStr">
        <is>
          <t>Sr. Applied Scientist, Prime Video - Personalization and Discovery Science</t>
        </is>
      </c>
      <c r="C49" t="inlineStr">
        <is>
          <t>Amazon.com</t>
        </is>
      </c>
      <c r="D49" t="inlineStr">
        <is>
          <t>indeed</t>
        </is>
      </c>
      <c r="E49" t="inlineStr"/>
      <c r="F49" t="inlineStr"/>
      <c r="G49" t="inlineStr">
        <is>
          <t>Seattle, WA, US</t>
        </is>
      </c>
      <c r="H49" s="2" t="n">
        <v>45819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in-656958ba42e2054e</t>
        </is>
      </c>
      <c r="B50" t="inlineStr">
        <is>
          <t>Applied Scientist, Skill Builder, AWS Training and Certifications</t>
        </is>
      </c>
      <c r="C50" t="inlineStr">
        <is>
          <t>Amazon Web Services</t>
        </is>
      </c>
      <c r="D50" t="inlineStr">
        <is>
          <t>indeed</t>
        </is>
      </c>
      <c r="E50" t="inlineStr"/>
      <c r="F50" t="inlineStr"/>
      <c r="G50" t="inlineStr">
        <is>
          <t>Arlington, VA, US</t>
        </is>
      </c>
      <c r="H50" s="2" t="n">
        <v>46000</v>
      </c>
      <c r="I50"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in-a8b3e1e4e2a32ea8</t>
        </is>
      </c>
      <c r="B51" t="inlineStr">
        <is>
          <t>Applied Scientist, Skill Builder, AWS Training and Certifications</t>
        </is>
      </c>
      <c r="C51" t="inlineStr">
        <is>
          <t>Amazon Web Services</t>
        </is>
      </c>
      <c r="D51" t="inlineStr">
        <is>
          <t>indeed</t>
        </is>
      </c>
      <c r="E51" t="inlineStr"/>
      <c r="F51" t="inlineStr"/>
      <c r="G51" t="inlineStr">
        <is>
          <t>Seattle, WA, US</t>
        </is>
      </c>
      <c r="H51" s="2" t="n">
        <v>46000</v>
      </c>
      <c r="I51"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in-378b1db4768e5350</t>
        </is>
      </c>
      <c r="B52" t="inlineStr">
        <is>
          <t>Applied Scientist, Skill Builder, AWS Training and Certifications</t>
        </is>
      </c>
      <c r="C52" t="inlineStr">
        <is>
          <t>Amazon Web Services</t>
        </is>
      </c>
      <c r="D52" t="inlineStr">
        <is>
          <t>indeed</t>
        </is>
      </c>
      <c r="E52" t="inlineStr"/>
      <c r="F52" t="inlineStr"/>
      <c r="G52" t="inlineStr">
        <is>
          <t>Bellevue, WA, US</t>
        </is>
      </c>
      <c r="H52" s="2" t="n">
        <v>46000</v>
      </c>
      <c r="I52"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in-afb1907c11ee437e</t>
        </is>
      </c>
      <c r="B53" t="inlineStr">
        <is>
          <t>Senior Applied Scientist, Artificial General Intelligence</t>
        </is>
      </c>
      <c r="C53" t="inlineStr">
        <is>
          <t>Amazon.com</t>
        </is>
      </c>
      <c r="D53" t="inlineStr">
        <is>
          <t>indeed</t>
        </is>
      </c>
      <c r="E53" t="inlineStr"/>
      <c r="F53" t="inlineStr"/>
      <c r="G53" t="inlineStr">
        <is>
          <t>New York, NY, US</t>
        </is>
      </c>
      <c r="H53" s="2" t="n">
        <v>45980</v>
      </c>
      <c r="I5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in-6cc4cdeec3e7d70c</t>
        </is>
      </c>
      <c r="B54" t="inlineStr">
        <is>
          <t>Senior Applied Scientist, Artificial General Intelligence</t>
        </is>
      </c>
      <c r="C54" t="inlineStr">
        <is>
          <t>Amazon.com</t>
        </is>
      </c>
      <c r="D54" t="inlineStr">
        <is>
          <t>indeed</t>
        </is>
      </c>
      <c r="E54" t="inlineStr"/>
      <c r="F54" t="inlineStr"/>
      <c r="G54" t="inlineStr">
        <is>
          <t>Sunnyvale, CA, US</t>
        </is>
      </c>
      <c r="H54" s="2" t="n">
        <v>45980</v>
      </c>
      <c r="I5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in-f07985406f6b3540</t>
        </is>
      </c>
      <c r="B55" t="inlineStr">
        <is>
          <t>Principal Applied Scientist, AGI Foundations, AGI Foundations</t>
        </is>
      </c>
      <c r="C55" t="inlineStr">
        <is>
          <t>Amazon.com</t>
        </is>
      </c>
      <c r="D55" t="inlineStr">
        <is>
          <t>indeed</t>
        </is>
      </c>
      <c r="E55" t="inlineStr"/>
      <c r="F55" t="inlineStr"/>
      <c r="G55" t="inlineStr">
        <is>
          <t>New York, NY, US</t>
        </is>
      </c>
      <c r="H55" s="2" t="n">
        <v>45978</v>
      </c>
      <c r="I5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in-c5b8ac28343c9254</t>
        </is>
      </c>
      <c r="B56" t="inlineStr">
        <is>
          <t>Principal Applied Scientist, AGI Foundations, AGI Foundations</t>
        </is>
      </c>
      <c r="C56" t="inlineStr">
        <is>
          <t>Amazon.com</t>
        </is>
      </c>
      <c r="D56" t="inlineStr">
        <is>
          <t>indeed</t>
        </is>
      </c>
      <c r="E56" t="inlineStr"/>
      <c r="F56" t="inlineStr"/>
      <c r="G56" t="inlineStr">
        <is>
          <t>Boston, MA, US</t>
        </is>
      </c>
      <c r="H56" s="2" t="n">
        <v>45978</v>
      </c>
      <c r="I5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in-dcc169015d3bf193</t>
        </is>
      </c>
      <c r="B57" t="inlineStr">
        <is>
          <t>Principal Applied Scientist, AGI Foundations, AGI Foundations</t>
        </is>
      </c>
      <c r="C57" t="inlineStr">
        <is>
          <t>Amazon.com</t>
        </is>
      </c>
      <c r="D57" t="inlineStr">
        <is>
          <t>indeed</t>
        </is>
      </c>
      <c r="E57" t="inlineStr"/>
      <c r="F57" t="inlineStr"/>
      <c r="G57" t="inlineStr">
        <is>
          <t>Sunnyvale, CA, US</t>
        </is>
      </c>
      <c r="H57" s="2" t="n">
        <v>45978</v>
      </c>
      <c r="I5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in-96461263b05c3561</t>
        </is>
      </c>
      <c r="B58" t="inlineStr">
        <is>
          <t>Principal Applied Scientist, AGI Foundations, AGI Foundations</t>
        </is>
      </c>
      <c r="C58" t="inlineStr">
        <is>
          <t>Amazon.com</t>
        </is>
      </c>
      <c r="D58" t="inlineStr">
        <is>
          <t>indeed</t>
        </is>
      </c>
      <c r="E58" t="inlineStr"/>
      <c r="F58" t="inlineStr"/>
      <c r="G58" t="inlineStr">
        <is>
          <t>Bellevue, WA, US</t>
        </is>
      </c>
      <c r="H58" s="2" t="n">
        <v>45978</v>
      </c>
      <c r="I5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in-5403d9f7332c7c72</t>
        </is>
      </c>
      <c r="B59" t="inlineStr">
        <is>
          <t>Principal Applied Scientist, Artificial General Intelligence</t>
        </is>
      </c>
      <c r="C59" t="inlineStr">
        <is>
          <t>Amazon.com</t>
        </is>
      </c>
      <c r="D59" t="inlineStr">
        <is>
          <t>indeed</t>
        </is>
      </c>
      <c r="E59" t="inlineStr"/>
      <c r="F59" t="inlineStr"/>
      <c r="G59" t="inlineStr">
        <is>
          <t>Bellevue, WA, US</t>
        </is>
      </c>
      <c r="H59" s="2" t="n">
        <v>45978</v>
      </c>
      <c r="I59"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in-dcd66c49d3158cb8</t>
        </is>
      </c>
      <c r="B60" t="inlineStr">
        <is>
          <t>Principal Applied Scientist, Artificial General Intelligence</t>
        </is>
      </c>
      <c r="C60" t="inlineStr">
        <is>
          <t>Amazon.com</t>
        </is>
      </c>
      <c r="D60" t="inlineStr">
        <is>
          <t>indeed</t>
        </is>
      </c>
      <c r="E60" t="inlineStr"/>
      <c r="F60" t="inlineStr"/>
      <c r="G60" t="inlineStr">
        <is>
          <t>Seattle, WA, US</t>
        </is>
      </c>
      <c r="H60" s="2" t="n">
        <v>45978</v>
      </c>
      <c r="I60"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in-3ca45b7e42b37cae</t>
        </is>
      </c>
      <c r="B61" t="inlineStr">
        <is>
          <t>Principal Applied Scientist, Artificial General Intelligence</t>
        </is>
      </c>
      <c r="C61" t="inlineStr">
        <is>
          <t>Amazon.com</t>
        </is>
      </c>
      <c r="D61" t="inlineStr">
        <is>
          <t>indeed</t>
        </is>
      </c>
      <c r="E61" t="inlineStr"/>
      <c r="F61" t="inlineStr"/>
      <c r="G61" t="inlineStr">
        <is>
          <t>Sunnyvale, CA, US</t>
        </is>
      </c>
      <c r="H61" s="2" t="n">
        <v>45978</v>
      </c>
      <c r="I61"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in-4b2a8e1b7ea7f18d</t>
        </is>
      </c>
      <c r="B62" t="inlineStr">
        <is>
          <t>Principal Applied Scientist, Artificial General Intelligence</t>
        </is>
      </c>
      <c r="C62" t="inlineStr">
        <is>
          <t>Amazon.com</t>
        </is>
      </c>
      <c r="D62" t="inlineStr">
        <is>
          <t>indeed</t>
        </is>
      </c>
      <c r="E62" t="inlineStr"/>
      <c r="F62" t="inlineStr"/>
      <c r="G62" t="inlineStr">
        <is>
          <t>San Francisco, CA, US</t>
        </is>
      </c>
      <c r="H62" s="2" t="n">
        <v>45978</v>
      </c>
      <c r="I62"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in-132e0d8f566fee55</t>
        </is>
      </c>
      <c r="B63" t="inlineStr">
        <is>
          <t>Applied Scientist, Artificial General Intelligence</t>
        </is>
      </c>
      <c r="C63" t="inlineStr">
        <is>
          <t>Amazon.com</t>
        </is>
      </c>
      <c r="D63" t="inlineStr">
        <is>
          <t>indeed</t>
        </is>
      </c>
      <c r="E63" t="inlineStr"/>
      <c r="F63" t="inlineStr"/>
      <c r="G63" t="inlineStr">
        <is>
          <t>Seattle, WA, US</t>
        </is>
      </c>
      <c r="H63" s="2" t="n">
        <v>45974</v>
      </c>
      <c r="I6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in-2d12c501f16fab86</t>
        </is>
      </c>
      <c r="B64" t="inlineStr">
        <is>
          <t>Applied Scientist, Artificial General Intelligence</t>
        </is>
      </c>
      <c r="C64" t="inlineStr">
        <is>
          <t>Amazon.com</t>
        </is>
      </c>
      <c r="D64" t="inlineStr">
        <is>
          <t>indeed</t>
        </is>
      </c>
      <c r="E64" t="inlineStr"/>
      <c r="F64" t="inlineStr"/>
      <c r="G64" t="inlineStr">
        <is>
          <t>Sunnyvale, CA, US</t>
        </is>
      </c>
      <c r="H64" s="2" t="n">
        <v>45974</v>
      </c>
      <c r="I6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in-872d5b4d4c965455</t>
        </is>
      </c>
      <c r="B65" t="inlineStr">
        <is>
          <t>Applied Scientist, Artificial General Intelligence</t>
        </is>
      </c>
      <c r="C65" t="inlineStr">
        <is>
          <t>Amazon.com</t>
        </is>
      </c>
      <c r="D65" t="inlineStr">
        <is>
          <t>indeed</t>
        </is>
      </c>
      <c r="E65" t="inlineStr"/>
      <c r="F65" t="inlineStr"/>
      <c r="G65" t="inlineStr">
        <is>
          <t>Boston, MA, US</t>
        </is>
      </c>
      <c r="H65" s="2" t="n">
        <v>45974</v>
      </c>
      <c r="I6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in-fd493371ddb09920</t>
        </is>
      </c>
      <c r="B66" t="inlineStr">
        <is>
          <t>Senior Applied Scientist, Creative X - RAPID</t>
        </is>
      </c>
      <c r="C66" t="inlineStr">
        <is>
          <t>Amazon.com</t>
        </is>
      </c>
      <c r="D66" t="inlineStr">
        <is>
          <t>indeed</t>
        </is>
      </c>
      <c r="E66" t="inlineStr"/>
      <c r="F66" t="inlineStr"/>
      <c r="G66" t="inlineStr">
        <is>
          <t>Seattle, WA, US</t>
        </is>
      </c>
      <c r="H66" s="2" t="n">
        <v>45971</v>
      </c>
      <c r="I66"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in-f48358a2cefdb9b8</t>
        </is>
      </c>
      <c r="B67" t="inlineStr">
        <is>
          <t>Senior Applied Scientist, Creative X - RAPID</t>
        </is>
      </c>
      <c r="C67" t="inlineStr">
        <is>
          <t>Amazon.com</t>
        </is>
      </c>
      <c r="D67" t="inlineStr">
        <is>
          <t>indeed</t>
        </is>
      </c>
      <c r="E67" t="inlineStr"/>
      <c r="F67" t="inlineStr"/>
      <c r="G67" t="inlineStr">
        <is>
          <t>New York, NY, US</t>
        </is>
      </c>
      <c r="H67" s="2" t="n">
        <v>45971</v>
      </c>
      <c r="I67"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in-1359f663cf8350e1</t>
        </is>
      </c>
      <c r="B68" t="inlineStr">
        <is>
          <t>Applied Scientist, Sponsored Products and Brands</t>
        </is>
      </c>
      <c r="C68" t="inlineStr">
        <is>
          <t>Amazon.com</t>
        </is>
      </c>
      <c r="D68" t="inlineStr">
        <is>
          <t>indeed</t>
        </is>
      </c>
      <c r="E68" t="inlineStr"/>
      <c r="F68" t="inlineStr"/>
      <c r="G68" t="inlineStr">
        <is>
          <t>New York, NY, US</t>
        </is>
      </c>
      <c r="H68" s="2" t="n">
        <v>45965</v>
      </c>
      <c r="I6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in-995f80bdb0eeea80</t>
        </is>
      </c>
      <c r="B69" t="inlineStr">
        <is>
          <t>Applied Scientist, Sponsored Products and Brands</t>
        </is>
      </c>
      <c r="C69" t="inlineStr">
        <is>
          <t>Amazon.com</t>
        </is>
      </c>
      <c r="D69" t="inlineStr">
        <is>
          <t>indeed</t>
        </is>
      </c>
      <c r="E69" t="inlineStr"/>
      <c r="F69" t="inlineStr"/>
      <c r="G69" t="inlineStr">
        <is>
          <t>Seattle, WA, US</t>
        </is>
      </c>
      <c r="H69" s="2" t="n">
        <v>45965</v>
      </c>
      <c r="I6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in-c0963b96e007dbe7</t>
        </is>
      </c>
      <c r="B70" t="inlineStr">
        <is>
          <t>Principal Applied Scientist, Amazon AGI</t>
        </is>
      </c>
      <c r="C70" t="inlineStr">
        <is>
          <t>Amazon.com</t>
        </is>
      </c>
      <c r="D70" t="inlineStr">
        <is>
          <t>indeed</t>
        </is>
      </c>
      <c r="E70" t="inlineStr"/>
      <c r="F70" t="inlineStr"/>
      <c r="G70" t="inlineStr">
        <is>
          <t>San Francisco, CA, US</t>
        </is>
      </c>
      <c r="H70" s="2" t="n">
        <v>45964</v>
      </c>
      <c r="I7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in-1f0b8d9283d74487</t>
        </is>
      </c>
      <c r="B71" t="inlineStr">
        <is>
          <t>Principal Applied Scientist, Amazon AGI</t>
        </is>
      </c>
      <c r="C71" t="inlineStr">
        <is>
          <t>Amazon.com</t>
        </is>
      </c>
      <c r="D71" t="inlineStr">
        <is>
          <t>indeed</t>
        </is>
      </c>
      <c r="E71" t="inlineStr"/>
      <c r="F71" t="inlineStr"/>
      <c r="G71" t="inlineStr">
        <is>
          <t>Boston, MA, US</t>
        </is>
      </c>
      <c r="H71" s="2" t="n">
        <v>45964</v>
      </c>
      <c r="I7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in-de9c45b7b63481c9</t>
        </is>
      </c>
      <c r="B72" t="inlineStr">
        <is>
          <t>Principal Applied Scientist, Advertiser Growth, Amazon Sponsored Products &amp; Brands</t>
        </is>
      </c>
      <c r="C72" t="inlineStr">
        <is>
          <t>Amazon.com</t>
        </is>
      </c>
      <c r="D72" t="inlineStr">
        <is>
          <t>indeed</t>
        </is>
      </c>
      <c r="E72" t="inlineStr"/>
      <c r="F72" t="inlineStr"/>
      <c r="G72" t="inlineStr">
        <is>
          <t>New York, NY, US</t>
        </is>
      </c>
      <c r="H72" s="2" t="n">
        <v>45942</v>
      </c>
      <c r="I7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in-09d14a1e7031a4d7</t>
        </is>
      </c>
      <c r="B73" t="inlineStr">
        <is>
          <t>Principal Applied Scientist, Advertiser Growth, Amazon Sponsored Products &amp; Brands</t>
        </is>
      </c>
      <c r="C73" t="inlineStr">
        <is>
          <t>Amazon.com</t>
        </is>
      </c>
      <c r="D73" t="inlineStr">
        <is>
          <t>indeed</t>
        </is>
      </c>
      <c r="E73" t="inlineStr"/>
      <c r="F73" t="inlineStr"/>
      <c r="G73" t="inlineStr">
        <is>
          <t>Palo Alto, CA, US</t>
        </is>
      </c>
      <c r="H73" s="2" t="n">
        <v>45942</v>
      </c>
      <c r="I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in-c2133dd6ad83b46c</t>
        </is>
      </c>
      <c r="B74" t="inlineStr">
        <is>
          <t>Principal Applied Scientist, Advertiser Growth, Amazon Sponsored Products &amp; Brands</t>
        </is>
      </c>
      <c r="C74" t="inlineStr">
        <is>
          <t>Amazon.com</t>
        </is>
      </c>
      <c r="D74" t="inlineStr">
        <is>
          <t>indeed</t>
        </is>
      </c>
      <c r="E74" t="inlineStr"/>
      <c r="F74" t="inlineStr"/>
      <c r="G74" t="inlineStr">
        <is>
          <t>Seattle, WA, US</t>
        </is>
      </c>
      <c r="H74" s="2" t="n">
        <v>45942</v>
      </c>
      <c r="I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in-db8988d87c0f9e1b</t>
        </is>
      </c>
      <c r="B75" t="inlineStr">
        <is>
          <t>Applied Scientist, Artificial General Intelligence</t>
        </is>
      </c>
      <c r="C75" t="inlineStr">
        <is>
          <t>Amazon.com</t>
        </is>
      </c>
      <c r="D75" t="inlineStr">
        <is>
          <t>indeed</t>
        </is>
      </c>
      <c r="E75" t="inlineStr"/>
      <c r="F75" t="inlineStr"/>
      <c r="G75" t="inlineStr">
        <is>
          <t>Seattle, WA, US</t>
        </is>
      </c>
      <c r="H75" s="2" t="n">
        <v>45937</v>
      </c>
      <c r="I7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in-75a70882dfd6d448</t>
        </is>
      </c>
      <c r="B76" t="inlineStr">
        <is>
          <t>Applied Scientist, Artificial General Intelligence</t>
        </is>
      </c>
      <c r="C76" t="inlineStr">
        <is>
          <t>Amazon.com</t>
        </is>
      </c>
      <c r="D76" t="inlineStr">
        <is>
          <t>indeed</t>
        </is>
      </c>
      <c r="E76" t="inlineStr"/>
      <c r="F76" t="inlineStr"/>
      <c r="G76" t="inlineStr">
        <is>
          <t>New York, NY, US</t>
        </is>
      </c>
      <c r="H76" s="2" t="n">
        <v>45937</v>
      </c>
      <c r="I7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in-9e488f2e8dc2efb7</t>
        </is>
      </c>
      <c r="B77" t="inlineStr">
        <is>
          <t>Applied Scientist, Artificial General Intelligence</t>
        </is>
      </c>
      <c r="C77" t="inlineStr">
        <is>
          <t>Amazon.com</t>
        </is>
      </c>
      <c r="D77" t="inlineStr">
        <is>
          <t>indeed</t>
        </is>
      </c>
      <c r="E77" t="inlineStr"/>
      <c r="F77" t="inlineStr"/>
      <c r="G77" t="inlineStr">
        <is>
          <t>Bellevue, WA, US</t>
        </is>
      </c>
      <c r="H77" s="2" t="n">
        <v>45937</v>
      </c>
      <c r="I7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in-152a623583089016</t>
        </is>
      </c>
      <c r="B78" t="inlineStr">
        <is>
          <t>Applied Scientist, Artificial General Intelligence</t>
        </is>
      </c>
      <c r="C78" t="inlineStr">
        <is>
          <t>Amazon.com</t>
        </is>
      </c>
      <c r="D78" t="inlineStr">
        <is>
          <t>indeed</t>
        </is>
      </c>
      <c r="E78" t="inlineStr"/>
      <c r="F78" t="inlineStr"/>
      <c r="G78" t="inlineStr">
        <is>
          <t>Sunnyvale, CA, US</t>
        </is>
      </c>
      <c r="H78" s="2" t="n">
        <v>45937</v>
      </c>
      <c r="I7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in-6376da37595237cb</t>
        </is>
      </c>
      <c r="B79" t="inlineStr">
        <is>
          <t>Principal Applied Scientist, Artificial General Intelligence</t>
        </is>
      </c>
      <c r="C79" t="inlineStr">
        <is>
          <t>Amazon.com</t>
        </is>
      </c>
      <c r="D79" t="inlineStr">
        <is>
          <t>indeed</t>
        </is>
      </c>
      <c r="E79" t="inlineStr"/>
      <c r="F79" t="inlineStr"/>
      <c r="G79" t="inlineStr">
        <is>
          <t>Boston, MA, US</t>
        </is>
      </c>
      <c r="H79" s="2" t="n">
        <v>45923</v>
      </c>
      <c r="I7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in-6be522dc387e63b8</t>
        </is>
      </c>
      <c r="B80" t="inlineStr">
        <is>
          <t>Principal Applied Scientist, Artificial General Intelligence</t>
        </is>
      </c>
      <c r="C80" t="inlineStr">
        <is>
          <t>Amazon.com</t>
        </is>
      </c>
      <c r="D80" t="inlineStr">
        <is>
          <t>indeed</t>
        </is>
      </c>
      <c r="E80" t="inlineStr"/>
      <c r="F80" t="inlineStr"/>
      <c r="G80" t="inlineStr">
        <is>
          <t>New York, NY, US</t>
        </is>
      </c>
      <c r="H80" s="2" t="n">
        <v>45923</v>
      </c>
      <c r="I8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in-d4bb92ece1037223</t>
        </is>
      </c>
      <c r="B81" t="inlineStr">
        <is>
          <t>Principal Applied Scientist, Artificial General Intelligence</t>
        </is>
      </c>
      <c r="C81" t="inlineStr">
        <is>
          <t>Amazon.com</t>
        </is>
      </c>
      <c r="D81" t="inlineStr">
        <is>
          <t>indeed</t>
        </is>
      </c>
      <c r="E81" t="inlineStr"/>
      <c r="F81" t="inlineStr"/>
      <c r="G81" t="inlineStr">
        <is>
          <t>Sunnyvale, CA, US</t>
        </is>
      </c>
      <c r="H81" s="2" t="n">
        <v>45923</v>
      </c>
      <c r="I8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in-2aac2ef66576aa33</t>
        </is>
      </c>
      <c r="B82" t="inlineStr">
        <is>
          <t>Principal Applied Scientist, Artificial General Intelligence</t>
        </is>
      </c>
      <c r="C82" t="inlineStr">
        <is>
          <t>Amazon.com</t>
        </is>
      </c>
      <c r="D82" t="inlineStr">
        <is>
          <t>indeed</t>
        </is>
      </c>
      <c r="E82" t="inlineStr"/>
      <c r="F82" t="inlineStr"/>
      <c r="G82" t="inlineStr">
        <is>
          <t>Bellevue, WA, US</t>
        </is>
      </c>
      <c r="H82" s="2" t="n">
        <v>45923</v>
      </c>
      <c r="I8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in-b8b7865ce305e6a5</t>
        </is>
      </c>
      <c r="B83" t="inlineStr">
        <is>
          <t>Senior Applied Scientist, Artificial General Intelligence</t>
        </is>
      </c>
      <c r="C83" t="inlineStr">
        <is>
          <t>Amazon.com</t>
        </is>
      </c>
      <c r="D83" t="inlineStr">
        <is>
          <t>indeed</t>
        </is>
      </c>
      <c r="E83" t="inlineStr"/>
      <c r="F83" t="inlineStr"/>
      <c r="G83" t="inlineStr">
        <is>
          <t>Boston, MA, US</t>
        </is>
      </c>
      <c r="H83" s="2" t="n">
        <v>45922</v>
      </c>
      <c r="I8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in-823aa6c6d4cc68ad</t>
        </is>
      </c>
      <c r="B84" t="inlineStr">
        <is>
          <t>Senior Applied Scientist, Artificial General Intelligence</t>
        </is>
      </c>
      <c r="C84" t="inlineStr">
        <is>
          <t>Amazon.com</t>
        </is>
      </c>
      <c r="D84" t="inlineStr">
        <is>
          <t>indeed</t>
        </is>
      </c>
      <c r="E84" t="inlineStr"/>
      <c r="F84" t="inlineStr"/>
      <c r="G84" t="inlineStr">
        <is>
          <t>Sunnyvale, CA, US</t>
        </is>
      </c>
      <c r="H84" s="2" t="n">
        <v>45922</v>
      </c>
      <c r="I8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in-22ab6eb871e4205d</t>
        </is>
      </c>
      <c r="B85" t="inlineStr">
        <is>
          <t>Senior Applied Scientist, Artificial General Intelligence</t>
        </is>
      </c>
      <c r="C85" t="inlineStr">
        <is>
          <t>Amazon.com</t>
        </is>
      </c>
      <c r="D85" t="inlineStr">
        <is>
          <t>indeed</t>
        </is>
      </c>
      <c r="E85" t="inlineStr"/>
      <c r="F85" t="inlineStr"/>
      <c r="G85" t="inlineStr">
        <is>
          <t>Seattle, WA, US</t>
        </is>
      </c>
      <c r="H85" s="2" t="n">
        <v>45922</v>
      </c>
      <c r="I8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in-d4a63c82ebeb11ff</t>
        </is>
      </c>
      <c r="B86" t="inlineStr">
        <is>
          <t>Applied Scientist, Artificial General Intelligence</t>
        </is>
      </c>
      <c r="C86" t="inlineStr">
        <is>
          <t>Amazon.com</t>
        </is>
      </c>
      <c r="D86" t="inlineStr">
        <is>
          <t>indeed</t>
        </is>
      </c>
      <c r="E86" t="inlineStr"/>
      <c r="F86" t="inlineStr"/>
      <c r="G86" t="inlineStr">
        <is>
          <t>New York, NY, US</t>
        </is>
      </c>
      <c r="H86" s="2" t="n">
        <v>45921</v>
      </c>
      <c r="I8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in-fa8cc3f746c23903</t>
        </is>
      </c>
      <c r="B87" t="inlineStr">
        <is>
          <t>Applied Scientist, Artificial General Intelligence</t>
        </is>
      </c>
      <c r="C87" t="inlineStr">
        <is>
          <t>Amazon.com</t>
        </is>
      </c>
      <c r="D87" t="inlineStr">
        <is>
          <t>indeed</t>
        </is>
      </c>
      <c r="E87" t="inlineStr"/>
      <c r="F87" t="inlineStr"/>
      <c r="G87" t="inlineStr">
        <is>
          <t>Seattle, WA, US</t>
        </is>
      </c>
      <c r="H87" s="2" t="n">
        <v>45921</v>
      </c>
      <c r="I8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in-66bfcc0ecbc27e10</t>
        </is>
      </c>
      <c r="B88" t="inlineStr">
        <is>
          <t>Applied Scientist, Artificial General Intelligence</t>
        </is>
      </c>
      <c r="C88" t="inlineStr">
        <is>
          <t>Amazon.com</t>
        </is>
      </c>
      <c r="D88" t="inlineStr">
        <is>
          <t>indeed</t>
        </is>
      </c>
      <c r="E88" t="inlineStr"/>
      <c r="F88" t="inlineStr"/>
      <c r="G88" t="inlineStr">
        <is>
          <t>Boston, MA, US</t>
        </is>
      </c>
      <c r="H88" s="2" t="n">
        <v>45921</v>
      </c>
      <c r="I8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in-4edeafe2bb2eb158</t>
        </is>
      </c>
      <c r="B89" t="inlineStr">
        <is>
          <t>Applied Scientist, Artificial General Intelligence</t>
        </is>
      </c>
      <c r="C89" t="inlineStr">
        <is>
          <t>Amazon.com</t>
        </is>
      </c>
      <c r="D89" t="inlineStr">
        <is>
          <t>indeed</t>
        </is>
      </c>
      <c r="E89" t="inlineStr"/>
      <c r="F89" t="inlineStr"/>
      <c r="G89" t="inlineStr">
        <is>
          <t>Bellevue, WA, US</t>
        </is>
      </c>
      <c r="H89" s="2" t="n">
        <v>45921</v>
      </c>
      <c r="I8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in-607df7744aaf64ce</t>
        </is>
      </c>
      <c r="B90" t="inlineStr">
        <is>
          <t>Senior Applied Scientist, Model Customization, Generative AI Innovation Center</t>
        </is>
      </c>
      <c r="C90" t="inlineStr">
        <is>
          <t>Amazon Web Services</t>
        </is>
      </c>
      <c r="D90" t="inlineStr">
        <is>
          <t>indeed</t>
        </is>
      </c>
      <c r="E90" t="inlineStr"/>
      <c r="F90" t="inlineStr"/>
      <c r="G90" t="inlineStr">
        <is>
          <t>Arlington, VA, US</t>
        </is>
      </c>
      <c r="H90" s="2" t="n">
        <v>45908</v>
      </c>
      <c r="I9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in-eef61607a360e993</t>
        </is>
      </c>
      <c r="B91" t="inlineStr">
        <is>
          <t>Senior Applied Scientist, Model Customization, Generative AI Innovation Center</t>
        </is>
      </c>
      <c r="C91" t="inlineStr">
        <is>
          <t>Amazon Web Services</t>
        </is>
      </c>
      <c r="D91" t="inlineStr">
        <is>
          <t>indeed</t>
        </is>
      </c>
      <c r="E91" t="inlineStr"/>
      <c r="F91" t="inlineStr"/>
      <c r="G91" t="inlineStr">
        <is>
          <t>New York, NY, US</t>
        </is>
      </c>
      <c r="H91" s="2" t="n">
        <v>45908</v>
      </c>
      <c r="I9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in-a40a936ba0b4d1b1</t>
        </is>
      </c>
      <c r="B92" t="inlineStr">
        <is>
          <t>Senior Applied Scientist, Model Customization, Generative AI Innovation Center</t>
        </is>
      </c>
      <c r="C92" t="inlineStr">
        <is>
          <t>Amazon Web Services</t>
        </is>
      </c>
      <c r="D92" t="inlineStr">
        <is>
          <t>indeed</t>
        </is>
      </c>
      <c r="E92" t="inlineStr"/>
      <c r="F92" t="inlineStr"/>
      <c r="G92" t="inlineStr">
        <is>
          <t>Bellevue, WA, US</t>
        </is>
      </c>
      <c r="H92" s="2" t="n">
        <v>45908</v>
      </c>
      <c r="I9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in-a02058d3fdc27e95</t>
        </is>
      </c>
      <c r="B93" t="inlineStr">
        <is>
          <t>Senior Applied Scientist, Model Customization, Generative AI Innovation Center</t>
        </is>
      </c>
      <c r="C93" t="inlineStr">
        <is>
          <t>Amazon Web Services</t>
        </is>
      </c>
      <c r="D93" t="inlineStr">
        <is>
          <t>indeed</t>
        </is>
      </c>
      <c r="E93" t="inlineStr"/>
      <c r="F93" t="inlineStr"/>
      <c r="G93" t="inlineStr">
        <is>
          <t>Seattle, WA, US</t>
        </is>
      </c>
      <c r="H93" s="2" t="n">
        <v>45908</v>
      </c>
      <c r="I9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in-b9c7b7911316fb26</t>
        </is>
      </c>
      <c r="B94" t="inlineStr">
        <is>
          <t>Applied Scientist II, Creative X - RAPID</t>
        </is>
      </c>
      <c r="C94" t="inlineStr">
        <is>
          <t>Amazon.com</t>
        </is>
      </c>
      <c r="D94" t="inlineStr">
        <is>
          <t>indeed</t>
        </is>
      </c>
      <c r="E94" t="inlineStr"/>
      <c r="F94" t="inlineStr"/>
      <c r="G94" t="inlineStr">
        <is>
          <t>Seattle, WA, US</t>
        </is>
      </c>
      <c r="H94" s="2" t="n">
        <v>45908</v>
      </c>
      <c r="I94"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in-7346be4f4a59a9af</t>
        </is>
      </c>
      <c r="B95" t="inlineStr">
        <is>
          <t>Applied Scientist II, Creative X - RAPID</t>
        </is>
      </c>
      <c r="C95" t="inlineStr">
        <is>
          <t>Amazon.com</t>
        </is>
      </c>
      <c r="D95" t="inlineStr">
        <is>
          <t>indeed</t>
        </is>
      </c>
      <c r="E95" t="inlineStr"/>
      <c r="F95" t="inlineStr"/>
      <c r="G95" t="inlineStr">
        <is>
          <t>New York, NY, US</t>
        </is>
      </c>
      <c r="H95" s="2" t="n">
        <v>45908</v>
      </c>
      <c r="I95"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in-eb071807d67964e6</t>
        </is>
      </c>
      <c r="B96" t="inlineStr">
        <is>
          <t>Senior Applied Scientist, Artificial General Intelligence</t>
        </is>
      </c>
      <c r="C96" t="inlineStr">
        <is>
          <t>Amazon.com</t>
        </is>
      </c>
      <c r="D96" t="inlineStr">
        <is>
          <t>indeed</t>
        </is>
      </c>
      <c r="E96" t="inlineStr"/>
      <c r="F96" t="inlineStr"/>
      <c r="G96" t="inlineStr">
        <is>
          <t>New York, NY, US</t>
        </is>
      </c>
      <c r="H96" s="2" t="n">
        <v>45907</v>
      </c>
      <c r="I9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in-ad9e0511f6b3f2b2</t>
        </is>
      </c>
      <c r="B97" t="inlineStr">
        <is>
          <t>Senior Applied Scientist, Artificial General Intelligence</t>
        </is>
      </c>
      <c r="C97" t="inlineStr">
        <is>
          <t>Amazon.com</t>
        </is>
      </c>
      <c r="D97" t="inlineStr">
        <is>
          <t>indeed</t>
        </is>
      </c>
      <c r="E97" t="inlineStr"/>
      <c r="F97" t="inlineStr"/>
      <c r="G97" t="inlineStr">
        <is>
          <t>Bellevue, WA, US</t>
        </is>
      </c>
      <c r="H97" s="2" t="n">
        <v>45907</v>
      </c>
      <c r="I9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in-4d78b6544d917414</t>
        </is>
      </c>
      <c r="B98" t="inlineStr">
        <is>
          <t>Senior Applied Scientist, Artificial General Intelligence</t>
        </is>
      </c>
      <c r="C98" t="inlineStr">
        <is>
          <t>Amazon.com</t>
        </is>
      </c>
      <c r="D98" t="inlineStr">
        <is>
          <t>indeed</t>
        </is>
      </c>
      <c r="E98" t="inlineStr"/>
      <c r="F98" t="inlineStr"/>
      <c r="G98" t="inlineStr">
        <is>
          <t>Sunnyvale, CA, US</t>
        </is>
      </c>
      <c r="H98" s="2" t="n">
        <v>45907</v>
      </c>
      <c r="I9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in-700a9e25f803c0ad</t>
        </is>
      </c>
      <c r="B99" t="inlineStr">
        <is>
          <t>Senior Applied Scientist, Artificial General Intelligence</t>
        </is>
      </c>
      <c r="C99" t="inlineStr">
        <is>
          <t>Amazon.com</t>
        </is>
      </c>
      <c r="D99" t="inlineStr">
        <is>
          <t>indeed</t>
        </is>
      </c>
      <c r="E99" t="inlineStr"/>
      <c r="F99" t="inlineStr"/>
      <c r="G99" t="inlineStr">
        <is>
          <t>Seattle, WA, US</t>
        </is>
      </c>
      <c r="H99" s="2" t="n">
        <v>45907</v>
      </c>
      <c r="I9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in-8e97b36ef075db64</t>
        </is>
      </c>
      <c r="B100" t="inlineStr">
        <is>
          <t>Principal Applied Scientist, AGI Foundations, AGI Foundations</t>
        </is>
      </c>
      <c r="C100" t="inlineStr">
        <is>
          <t>Amazon.com</t>
        </is>
      </c>
      <c r="D100" t="inlineStr">
        <is>
          <t>indeed</t>
        </is>
      </c>
      <c r="E100" t="inlineStr"/>
      <c r="F100" t="inlineStr"/>
      <c r="G100" t="inlineStr">
        <is>
          <t>Bellevue, WA, US</t>
        </is>
      </c>
      <c r="H100" s="2" t="n">
        <v>45856</v>
      </c>
      <c r="I10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in-5f8c81ca8b7fcf2a</t>
        </is>
      </c>
      <c r="B101" t="inlineStr">
        <is>
          <t>Principal Applied Scientist, AGI Foundations, AGI Foundations</t>
        </is>
      </c>
      <c r="C101" t="inlineStr">
        <is>
          <t>Amazon.com</t>
        </is>
      </c>
      <c r="D101" t="inlineStr">
        <is>
          <t>indeed</t>
        </is>
      </c>
      <c r="E101" t="inlineStr"/>
      <c r="F101" t="inlineStr"/>
      <c r="G101" t="inlineStr">
        <is>
          <t>Boston, MA, US</t>
        </is>
      </c>
      <c r="H101" s="2" t="n">
        <v>45856</v>
      </c>
      <c r="I10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in-4a93f6a011be3b3a</t>
        </is>
      </c>
      <c r="B102" t="inlineStr">
        <is>
          <t>Principal Applied Scientist, AGI Foundations, AGI Foundations</t>
        </is>
      </c>
      <c r="C102" t="inlineStr">
        <is>
          <t>Amazon.com</t>
        </is>
      </c>
      <c r="D102" t="inlineStr">
        <is>
          <t>indeed</t>
        </is>
      </c>
      <c r="E102" t="inlineStr"/>
      <c r="F102" t="inlineStr"/>
      <c r="G102" t="inlineStr">
        <is>
          <t>Sunnyvale, CA, US</t>
        </is>
      </c>
      <c r="H102" s="2" t="n">
        <v>45856</v>
      </c>
      <c r="I10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in-9dbd85a0860a77c1</t>
        </is>
      </c>
      <c r="B103" t="inlineStr">
        <is>
          <t>Principal Applied Scientist, AGI Foundations, AGI Foundations</t>
        </is>
      </c>
      <c r="C103" t="inlineStr">
        <is>
          <t>Amazon.com</t>
        </is>
      </c>
      <c r="D103" t="inlineStr">
        <is>
          <t>indeed</t>
        </is>
      </c>
      <c r="E103" t="inlineStr"/>
      <c r="F103" t="inlineStr"/>
      <c r="G103" t="inlineStr">
        <is>
          <t>New York, NY, US</t>
        </is>
      </c>
      <c r="H103" s="2" t="n">
        <v>45856</v>
      </c>
      <c r="I10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in-1bdf30afd9a03bf9</t>
        </is>
      </c>
      <c r="B104" t="inlineStr">
        <is>
          <t>Sr. Applied Scientist, Amazon Advertising</t>
        </is>
      </c>
      <c r="C104" t="inlineStr">
        <is>
          <t>Amazon.com</t>
        </is>
      </c>
      <c r="D104" t="inlineStr">
        <is>
          <t>indeed</t>
        </is>
      </c>
      <c r="E104" t="inlineStr"/>
      <c r="F104" t="inlineStr"/>
      <c r="G104" t="inlineStr">
        <is>
          <t>Arlington, VA, US</t>
        </is>
      </c>
      <c r="H104" s="2"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in-34d9d969ff7fab1c</t>
        </is>
      </c>
      <c r="B105" t="inlineStr">
        <is>
          <t>Sr. Applied Scientist, Amazon Advertising</t>
        </is>
      </c>
      <c r="C105" t="inlineStr">
        <is>
          <t>Amazon.com</t>
        </is>
      </c>
      <c r="D105" t="inlineStr">
        <is>
          <t>indeed</t>
        </is>
      </c>
      <c r="E105" t="inlineStr"/>
      <c r="F105" t="inlineStr"/>
      <c r="G105" t="inlineStr">
        <is>
          <t>Palo Alto, CA, US</t>
        </is>
      </c>
      <c r="H105" s="2"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in-f987d34ba2654892</t>
        </is>
      </c>
      <c r="B106" t="inlineStr">
        <is>
          <t>Sr. Applied Scientist, Amazon Advertising</t>
        </is>
      </c>
      <c r="C106" t="inlineStr">
        <is>
          <t>Amazon.com</t>
        </is>
      </c>
      <c r="D106" t="inlineStr">
        <is>
          <t>indeed</t>
        </is>
      </c>
      <c r="E106" t="inlineStr"/>
      <c r="F106" t="inlineStr"/>
      <c r="G106" t="inlineStr">
        <is>
          <t>Seattle, WA, US</t>
        </is>
      </c>
      <c r="H106" s="2"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in-abf8956c66a389c4</t>
        </is>
      </c>
      <c r="B107" t="inlineStr">
        <is>
          <t>Sr. Applied Scientist, Amazon Advertising</t>
        </is>
      </c>
      <c r="C107" t="inlineStr">
        <is>
          <t>Amazon.com</t>
        </is>
      </c>
      <c r="D107" t="inlineStr">
        <is>
          <t>indeed</t>
        </is>
      </c>
      <c r="E107" t="inlineStr"/>
      <c r="F107" t="inlineStr"/>
      <c r="G107" t="inlineStr">
        <is>
          <t>West Hollywood, CA, US</t>
        </is>
      </c>
      <c r="H107" s="2"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in-25d69c9f5c0ec00c</t>
        </is>
      </c>
      <c r="B108" t="inlineStr">
        <is>
          <t>Sr. Applied Scientist, Amazon Advertising</t>
        </is>
      </c>
      <c r="C108" t="inlineStr">
        <is>
          <t>Amazon.com</t>
        </is>
      </c>
      <c r="D108" t="inlineStr">
        <is>
          <t>indeed</t>
        </is>
      </c>
      <c r="E108" t="inlineStr"/>
      <c r="F108" t="inlineStr"/>
      <c r="G108" t="inlineStr">
        <is>
          <t>New York, NY, US</t>
        </is>
      </c>
      <c r="H108" s="2"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in-9d020ed49511980f</t>
        </is>
      </c>
      <c r="B109" t="inlineStr">
        <is>
          <t>Sr. Applied Scientist, Amazon Advertising</t>
        </is>
      </c>
      <c r="C109" t="inlineStr">
        <is>
          <t>Amazon.com</t>
        </is>
      </c>
      <c r="D109" t="inlineStr">
        <is>
          <t>indeed</t>
        </is>
      </c>
      <c r="E109" t="inlineStr"/>
      <c r="F109" t="inlineStr"/>
      <c r="G109" t="inlineStr">
        <is>
          <t>Los Angeles, CA, US</t>
        </is>
      </c>
      <c r="H109" s="2"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in-cbee85b9ea3e921c</t>
        </is>
      </c>
      <c r="B110" t="inlineStr">
        <is>
          <t>Sr. Applied Scientist, Amazon Advertising</t>
        </is>
      </c>
      <c r="C110" t="inlineStr">
        <is>
          <t>Amazon.com</t>
        </is>
      </c>
      <c r="D110" t="inlineStr">
        <is>
          <t>indeed</t>
        </is>
      </c>
      <c r="E110" t="inlineStr"/>
      <c r="F110" t="inlineStr"/>
      <c r="G110" t="inlineStr">
        <is>
          <t>Austin, TX, US</t>
        </is>
      </c>
      <c r="H110" s="2"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in-da15f20611419869</t>
        </is>
      </c>
      <c r="B111" t="inlineStr">
        <is>
          <t>Sr. Applied Scientist, Amazon Advertising</t>
        </is>
      </c>
      <c r="C111" t="inlineStr">
        <is>
          <t>Amazon.com</t>
        </is>
      </c>
      <c r="D111" t="inlineStr">
        <is>
          <t>indeed</t>
        </is>
      </c>
      <c r="E111" t="inlineStr"/>
      <c r="F111" t="inlineStr"/>
      <c r="G111" t="inlineStr">
        <is>
          <t>Simi Valley, CA, US</t>
        </is>
      </c>
      <c r="H111" s="2"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in-437d5712768ac929</t>
        </is>
      </c>
      <c r="B112" t="inlineStr">
        <is>
          <t>Senior Applied Scientist, Artificial General Intelligence</t>
        </is>
      </c>
      <c r="C112" t="inlineStr">
        <is>
          <t>Amazon.com</t>
        </is>
      </c>
      <c r="D112" t="inlineStr">
        <is>
          <t>indeed</t>
        </is>
      </c>
      <c r="E112" t="inlineStr"/>
      <c r="F112" t="inlineStr"/>
      <c r="G112" t="inlineStr">
        <is>
          <t>Boston, MA, US</t>
        </is>
      </c>
      <c r="H112" s="2" t="n">
        <v>45846</v>
      </c>
      <c r="I11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in-f5d030cca726afa6</t>
        </is>
      </c>
      <c r="B113" t="inlineStr">
        <is>
          <t>Senior Applied Scientist, Artificial General Intelligence</t>
        </is>
      </c>
      <c r="C113" t="inlineStr">
        <is>
          <t>Amazon.com</t>
        </is>
      </c>
      <c r="D113" t="inlineStr">
        <is>
          <t>indeed</t>
        </is>
      </c>
      <c r="E113" t="inlineStr"/>
      <c r="F113" t="inlineStr"/>
      <c r="G113" t="inlineStr">
        <is>
          <t>Seattle, WA, US</t>
        </is>
      </c>
      <c r="H113" s="2" t="n">
        <v>45846</v>
      </c>
      <c r="I11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in-b0ed270f0a0ef57f</t>
        </is>
      </c>
      <c r="B114" t="inlineStr">
        <is>
          <t>Senior Applied Scientist, Artificial General Intelligence</t>
        </is>
      </c>
      <c r="C114" t="inlineStr">
        <is>
          <t>Amazon.com</t>
        </is>
      </c>
      <c r="D114" t="inlineStr">
        <is>
          <t>indeed</t>
        </is>
      </c>
      <c r="E114" t="inlineStr"/>
      <c r="F114" t="inlineStr"/>
      <c r="G114" t="inlineStr">
        <is>
          <t>Sunnyvale, CA, US</t>
        </is>
      </c>
      <c r="H114" s="2" t="n">
        <v>45846</v>
      </c>
      <c r="I11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in-b587444185b069d6</t>
        </is>
      </c>
      <c r="B115" t="inlineStr">
        <is>
          <t>Machine Learning Engineer, Amazon General Intelligence (AGI)</t>
        </is>
      </c>
      <c r="C115" t="inlineStr">
        <is>
          <t>Amazon.com</t>
        </is>
      </c>
      <c r="D115" t="inlineStr">
        <is>
          <t>indeed</t>
        </is>
      </c>
      <c r="E115" t="inlineStr"/>
      <c r="F115" t="inlineStr"/>
      <c r="G115" t="inlineStr">
        <is>
          <t>Seattle, WA, US</t>
        </is>
      </c>
      <c r="H115" s="2" t="n">
        <v>45813</v>
      </c>
      <c r="I115"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in-a4e940aafee99ecc</t>
        </is>
      </c>
      <c r="B116" t="inlineStr">
        <is>
          <t>Machine Learning Engineer, Amazon General Intelligence (AGI)</t>
        </is>
      </c>
      <c r="C116" t="inlineStr">
        <is>
          <t>Amazon.com</t>
        </is>
      </c>
      <c r="D116" t="inlineStr">
        <is>
          <t>indeed</t>
        </is>
      </c>
      <c r="E116" t="inlineStr"/>
      <c r="F116" t="inlineStr"/>
      <c r="G116" t="inlineStr">
        <is>
          <t>Bellevue, WA, US</t>
        </is>
      </c>
      <c r="H116" s="2" t="n">
        <v>45813</v>
      </c>
      <c r="I116"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in-a9e8694fe19c1d18</t>
        </is>
      </c>
      <c r="B117" t="inlineStr">
        <is>
          <t>Sr. Applied Scientist, AGI Info</t>
        </is>
      </c>
      <c r="C117" t="inlineStr">
        <is>
          <t>Amazon.com</t>
        </is>
      </c>
      <c r="D117" t="inlineStr">
        <is>
          <t>indeed</t>
        </is>
      </c>
      <c r="E117" t="inlineStr"/>
      <c r="F117" t="inlineStr"/>
      <c r="G117" t="inlineStr">
        <is>
          <t>Sunnyvale, CA, US</t>
        </is>
      </c>
      <c r="H117" s="2" t="n">
        <v>45811</v>
      </c>
      <c r="I117"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in-d08e08d3ebab66ff</t>
        </is>
      </c>
      <c r="B118" t="inlineStr">
        <is>
          <t>Sr. Applied Scientist, AGI Info</t>
        </is>
      </c>
      <c r="C118" t="inlineStr">
        <is>
          <t>Amazon.com</t>
        </is>
      </c>
      <c r="D118" t="inlineStr">
        <is>
          <t>indeed</t>
        </is>
      </c>
      <c r="E118" t="inlineStr"/>
      <c r="F118" t="inlineStr"/>
      <c r="G118" t="inlineStr">
        <is>
          <t>Bellevue, WA, US</t>
        </is>
      </c>
      <c r="H118" s="2" t="n">
        <v>45811</v>
      </c>
      <c r="I118"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in-cbb232191bb62ede</t>
        </is>
      </c>
      <c r="B119" t="inlineStr">
        <is>
          <t>Principal Applied Scientist, FAR (Frontier AI &amp; Robotics)</t>
        </is>
      </c>
      <c r="C119" t="inlineStr">
        <is>
          <t>Amazon.com</t>
        </is>
      </c>
      <c r="D119" t="inlineStr">
        <is>
          <t>indeed</t>
        </is>
      </c>
      <c r="E119" t="inlineStr"/>
      <c r="F119" t="inlineStr"/>
      <c r="G119" t="inlineStr">
        <is>
          <t>San Francisco, CA, US</t>
        </is>
      </c>
      <c r="H119" s="2" t="n">
        <v>45740</v>
      </c>
      <c r="I11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in-47cb4c8113a365f8</t>
        </is>
      </c>
      <c r="B120" t="inlineStr">
        <is>
          <t>Principal Applied Scientist, FAR (Frontier AI &amp; Robotics)</t>
        </is>
      </c>
      <c r="C120" t="inlineStr">
        <is>
          <t>Amazon.com</t>
        </is>
      </c>
      <c r="D120" t="inlineStr">
        <is>
          <t>indeed</t>
        </is>
      </c>
      <c r="E120" t="inlineStr"/>
      <c r="F120" t="inlineStr"/>
      <c r="G120" t="inlineStr">
        <is>
          <t>Seattle, WA, US</t>
        </is>
      </c>
      <c r="H120" s="2" t="n">
        <v>45740</v>
      </c>
      <c r="I12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in-da7c4096314bbd01</t>
        </is>
      </c>
      <c r="B121" t="inlineStr">
        <is>
          <t>AI Engineer</t>
        </is>
      </c>
      <c r="C121" t="inlineStr">
        <is>
          <t>ELUTIONS Inc</t>
        </is>
      </c>
      <c r="D121" t="inlineStr">
        <is>
          <t>indeed</t>
        </is>
      </c>
      <c r="E121" t="inlineStr"/>
      <c r="F121" t="inlineStr"/>
      <c r="G121" t="inlineStr">
        <is>
          <t>Delafield, WI, US</t>
        </is>
      </c>
      <c r="H121" s="2" t="n">
        <v>46032</v>
      </c>
      <c r="I121" t="inlineStr">
        <is>
          <t>**Elutions**, a premier enterprise AI company, delivers transformative financial  
benefits to our client base utilizing our proprietary AI ecosystem, Maestro. The  
platform’s AI pipeline automates the understanding of our client’s domain, the  
identification of operational anomalies within their processes, the prescription of a  
root cause analysis for said anomalies, and issuance of the corrective/remedial  
actions in real\-time required to optimize said processes and track the financial  
improvement of their operations to provide a fully optimized, autonomous  
environment for our clients. Maestro AI is industry agnostic, with a current focus  
on large industrial companies within the oil \&amp; gas, chemical manufacturing, utility,  
and logistics verticals.  
Our AI Engineering team utilizes Maestro’s AI Pipeline to build scalable solutions  
addressing complex business challenges such as: Network Optimization, Yield  
Optimization, Throughput Optimization, Process Optimization, Utility Utilization,  
Predictive \&amp; Preventative Maintenance, Run\-plan Scheduling, Pricing Strategies,  
Logistics within Planning \&amp; Scheduling, among others. The Maestro ecosystem is  
designed to be industry agnostic where the AI engineering team can optimize any  
business challenge presented to them through the utilization of the platform.
Maestro’s AI pipeline applies a proprietary neural network, advanced machine  
learning techniques, generative AI, and large language model (LLM), all  
developed in\-house, to deliver financial and operational improvements, optimize  
our client’s operations, and drive innovation within their organizations and within  
Elutions’ forward development.
Our AI Engineering team represents the forefront of innovation at Elutions,  
delivering scalable AI solutions tailored to our clients’ domains while  
simultaneously incorporating lessons learned from previous deployments to  
preempt market trends and remain the world leader in operational AI applications.
 **Key Responsibilities for an AI Engineer**  
* Develop and maintain existing AI pipeline (neural network, machine
learning, LLM, etc.) to expand its capabilities, enable reliable knowledge  
retrieval \&amp; reasoning, and incorporate state\-of\-the\-art technologies to further  
automate tasks and expand on the clients’ overall operational improvements.  
o Specific focus on the machine learning and large language model  
disciplines is a requirement  
* Design and implement robust models, within the Maestro AI pipeline, and
experiment with new approaches to support performance and KPI  
optimization.  
* Design and implement agent\-based workflows to support KPI analysis,
performance monitoring, and multi\-step analytical reasoning across data and  
models.  
* Build and iterate\-on efficient, maintainable prototypes, rigorously evaluate
model performance from both statistical and business perspectives, and  
deploy scalable solutions to the production environment.  
* Collaborate closely with in\-house Domain Engineers to solve
industrial/business problems utilizing the Maestro AI pipeline.  
* Play a key role in communicating complex technical concepts clearly to non
technical stakeholders. **Ideal Candidate Profile**  
* Master's degree in Computer Science, Artificial Intelligence, Electrical
Engineering, Computer Engineering, Statistics, or a related field, with  
preferably 1\-3 years of experience developing AI or machine learning  
algorithms or technologies, but we will accept candidates who are newly  
graduated as well.  
* Proficiency in Python and SQL, with hands\-on experience using deep
learning frameworks such as PyTorch or TensorFlow.  
* Familiarity with MLOps processes supporting the full lifecycle from model
development to deployment in production environments.  
* Experience in data science with machine learning algorithms and applying
them in line with industry best practices.  
* Experience building or working with large language model (LLM)
applications, including retrieval\-augmented generation (RAG) systems, with  
proficiency in LLM frameworks such as LangChain and LlamaIndex. **Elutions Interview Process**  
There will be three interviews for the most qualified candidates:  
1\. Introduction – Candidates will interview with Department Leadership and  
AI Engineering team members to assess whether they are fits within  
Elutions’ culture and the AI Engineering Team;  
2\. Technical Assessment – AI Engineering leadership will administer an in  
person or virtual technical test to assess whether the candidate has the  
requisite technical knowledge and skills to be brought onto the team;  
a. Should Elutions’ Leadership not be satisfied with the outcome of the  
test then they can elect to administer a take home test for further  
assessment;  
3\. Offer Package Issuance – Following the first two interviews the candidate  
will be notified whether they are eligible for the position and will be issued  
an Offer Package for their consideration. Any questions will be directed to  
the Department Head for swift responses and execution of the agreement.</t>
        </is>
      </c>
    </row>
    <row r="122">
      <c r="A122" t="inlineStr">
        <is>
          <t>in-880910989d11345e</t>
        </is>
      </c>
      <c r="B122" t="inlineStr">
        <is>
          <t>AI Engineer</t>
        </is>
      </c>
      <c r="C122" t="inlineStr">
        <is>
          <t>ELUTIONS Inc</t>
        </is>
      </c>
      <c r="D122" t="inlineStr">
        <is>
          <t>indeed</t>
        </is>
      </c>
      <c r="E122" t="inlineStr"/>
      <c r="F122" t="inlineStr"/>
      <c r="G122" t="inlineStr">
        <is>
          <t>Tampa, FL, US</t>
        </is>
      </c>
      <c r="H122" s="2" t="n">
        <v>46032</v>
      </c>
      <c r="I122" t="inlineStr">
        <is>
          <t>**Elutions**, a premier enterprise AI company, delivers transformative financial  
benefits to our client base utilizing our proprietary AI ecosystem, Maestro. The  
platform’s AI pipeline automates the understanding of our client’s domain, the  
identification of operational anomalies within their processes, the prescription of a  
root cause analysis for said anomalies, and issuance of the corrective/remedial  
actions in real\-time required to optimize said processes and track the financial  
improvement of their operations to provide a fully optimized, autonomous  
environment for our clients. Maestro AI is industry agnostic, with a current focus  
on large industrial companies within the oil \&amp; gas, chemical manufacturing, utility,  
and logistics verticals.  
Our AI Engineering team utilizes Maestro’s AI Pipeline to build scalable solutions  
addressing complex business challenges such as: Network Optimization, Yield  
Optimization, Throughput Optimization, Process Optimization, Utility Utilization,  
Predictive \&amp; Preventative Maintenance, Run\-plan Scheduling, Pricing Strategies,  
Logistics within Planning \&amp; Scheduling, among others. The Maestro ecosystem is  
designed to be industry agnostic where the AI engineering team can optimize any  
business challenge presented to them through the utilization of the platform.
Maestro’s AI pipeline applies a proprietary neural network, advanced machine  
learning techniques, generative AI, and large language model (LLM), all  
developed in\-house, to deliver financial and operational improvements, optimize  
our client’s operations, and drive innovation within their organizations and within  
Elutions’ forward development.
Our AI Engineering team represents the forefront of innovation at Elutions,  
delivering scalable AI solutions tailored to our clients’ domains while  
simultaneously incorporating lessons learned from previous deployments to  
preempt market trends and remain the world leader in operational AI applications.
 **Key Responsibilities for an AI Engineer**  
* Develop and maintain existing AI pipeline (neural network, machine
learning, LLM, etc.) to expand its capabilities, enable reliable knowledge  
retrieval \&amp; reasoning, and incorporate state\-of\-the\-art technologies to further  
automate tasks and expand on the clients’ overall operational improvements.  
o Specific focus on the machine learning and large language model  
disciplines is a requirement  
* Design and implement robust models, within the Maestro AI pipeline, and
experiment with new approaches to support performance and KPI  
optimization.  
* Design and implement agent\-based workflows to support KPI analysis,
performance monitoring, and multi\-step analytical reasoning across data and  
models.  
* Build and iterate\-on efficient, maintainable prototypes, rigorously evaluate
model performance from both statistical and business perspectives, and  
deploy scalable solutions to the production environment.  
* Collaborate closely with in\-house Domain Engineers to solve
industrial/business problems utilizing the Maestro AI pipeline.  
* Play a key role in communicating complex technical concepts clearly to non
technical stakeholders. **Ideal Candidate Profile**  
* Master's degree in Computer Science, Artificial Intelligence, Electrical
Engineering, Computer Engineering, Statistics, or a related field, with  
preferably 1\-3 years of experience developing AI or machine learning  
algorithms or technologies, but we will accept candidates who are newly  
graduated as well.  
* Proficiency in Python and SQL, with hands\-on experience using deep
learning frameworks such as PyTorch or TensorFlow.  
* Familiarity with MLOps processes supporting the full lifecycle from model
development to deployment in production environments.  
* Experience in data science with machine learning algorithms and applying
them in line with industry best practices.  
* Experience building or working with large language model (LLM)
applications, including retrieval\-augmented generation (RAG) systems, with  
proficiency in LLM frameworks such as LangChain and LlamaIndex. **Elutions Interview Process**  
There will be three interviews for the most qualified candidates:  
1\. Introduction – Candidates will interview with Department Leadership and  
AI Engineering team members to assess whether they are fits within  
Elutions’ culture and the AI Engineering Team;  
2\. Technical Assessment – AI Engineering leadership will administer an in  
person or virtual technical test to assess whether the candidate has the  
requisite technical knowledge and skills to be brought onto the team;  
a. Should Elutions’ Leadership not be satisfied with the outcome of the  
test then they can elect to administer a take home test for further  
assessment;  
3\. Offer Package Issuance – Following the first two interviews the candidate  
will be notified whether they are eligible for the position and will be issued  
an Offer Package for their consideration. Any questions will be directed to  
the Department Head for swift responses and execution of the agreement.</t>
        </is>
      </c>
    </row>
    <row r="123">
      <c r="A123" t="inlineStr">
        <is>
          <t>in-6e34458ad4b825f9</t>
        </is>
      </c>
      <c r="B123" t="inlineStr">
        <is>
          <t>AI Engineer</t>
        </is>
      </c>
      <c r="C123" t="inlineStr">
        <is>
          <t>ELUTIONS Inc</t>
        </is>
      </c>
      <c r="D123" t="inlineStr">
        <is>
          <t>indeed</t>
        </is>
      </c>
      <c r="E123" t="inlineStr"/>
      <c r="F123" t="inlineStr"/>
      <c r="G123" t="inlineStr">
        <is>
          <t>Tampa, FL, US</t>
        </is>
      </c>
      <c r="H123" s="2" t="n">
        <v>46032</v>
      </c>
      <c r="I123" t="inlineStr">
        <is>
          <t>**Elutions** , a premier enterprise AI company, delivers transformative financial
benefits to our client base utilizing our proprietary AI ecosystem, Maestro. The
platform’s AI pipeline automates the understanding of our client’s domain, the
identification of operational anomalies within their processes, the prescription of a
root cause analysis for said anomalies, and issuance of the corrective/remedial
actions in real\-time required to optimize said processes and track the financial
improvement of their operations to provide a fully optimized, autonomous
environment for our clients. Maestro AI is industry agnostic, with a current focus
on large industrial companies within the oil \&amp; gas, chemical manufacturing, utility,
and logistics verticals.  
Our AI Engineering team utilizes Maestro’s AI Pipeline to build scalable solutions
addressing complex business challenges such as: Network Optimization, Yield
Optimization, Throughput Optimization, Process Optimization, Utility Utilization,
Predictive \&amp; Preventative Maintenance, Run\-plan Scheduling, Pricing Strategies,
Logistics within Planning \&amp; Scheduling, among others. The Maestro ecosystem is
designed to be industry agnostic where the AI engineering team can optimize any
business challenge presented to them through the utilization of the platform.  
Maestro’s AI pipeline applies a proprietary neural network, advanced machine
learning techniques, generative AI, and large language model (LLM), all
developed in\-house, to deliver financial and operational improvements, optimize
our client’s operations, and drive innovation within their organizations and within
Elutions’ forward development.  
Our AI Engineering team represents the forefront of innovation at Elutions,
delivering scalable AI solutions tailored to our clients’ domains while
simultaneously incorporating lessons learned from previous deployments to
preempt market trends and remain the world leader in operational AI applications.  
**Key Responsibilities for an AI Engineer**  
* Develop and maintain existing AI pipeline (neural network, machine
learning, LLM, etc.) to expand its capabilities, enable reliable knowledge
retrieval \&amp; reasoning, and incorporate state\-of\-the\-art technologies to further
automate tasks and expand on the clients’ overall operational improvements.
o Specific focus on the machine learning and large language model
disciplines is a requirement
* Design and implement robust models, within the Maestro AI pipeline, and
experiment with new approaches to support performance and KPI
optimization.
* Design and implement agent\-based workflows to support KPI analysis,
performance monitoring, and multi\-step analytical reasoning across data and
models.
* Build and iterate\-on efficient, maintainable prototypes, rigorously evaluate
model performance from both statistical and business perspectives, and
deploy scalable solutions to the production environment.
* Collaborate closely with in\-house Domain Engineers to solve
industrial/business problems utilizing the Maestro AI pipeline.
* Play a key role in communicating complex technical concepts clearly to non
technical stakeholders.  
**Ideal Candidate Profile**  
* Master's degree in Computer Science, Artificial Intelligence, Electrical
Engineering, Computer Engineering, Statistics, or a related field, with
preferably 1\-3 years of experience developing AI or machine learning
algorithms or technologies, but we will accept candidates who are newly
graduated as well.
* Proficiency in Python and SQL, with hands\-on experience using deep
learning frameworks such as PyTorch or TensorFlow.
* Familiarity with MLOps processes supporting the full lifecycle from model
development to deployment in production environments.
* Experience in data science with machine learning algorithms and applying
them in line with industry best practices.
* Experience building or working with large language model (LLM)
applications, including retrieval\-augmented generation (RAG) systems, with
proficiency in LLM frameworks such as LangChain and LlamaIndex.  
**Elutions Interview Process**  
There will be three interviews for the most qualified candidates:
1\. Introduction – Candidates will interview with Department Leadership and
AI Engineering team members to assess whether they are fits within
Elutions’ culture and the AI Engineering Team;
2\. Technical Assessment – AI Engineering leadership will administer an in
person or virtual technical test to assess whether the candidate has the
requisite technical knowledge and skills to be brought onto the team;
a. Should Elutions’ Leadership not be satisfied with the outcome of the
test then they can elect to administer a take home test for further
assessment;
3\. Offer Package Issuance – Following the first two interviews the candidate
will be notified whether they are eligible for the position and will be issued
an Offer Package for their consideration. Any questions will be directed to
the Department Head for swift responses and execution of the agreement.</t>
        </is>
      </c>
    </row>
    <row r="124">
      <c r="A124" t="inlineStr">
        <is>
          <t>in-90c4a19d1952874b</t>
        </is>
      </c>
      <c r="B124" t="inlineStr">
        <is>
          <t>AIML - Sr Machine Learning Engineer Answers, Knowledge &amp; Information (AKI)</t>
        </is>
      </c>
      <c r="C124" t="inlineStr">
        <is>
          <t>Apple</t>
        </is>
      </c>
      <c r="D124" t="inlineStr">
        <is>
          <t>indeed</t>
        </is>
      </c>
      <c r="E124" t="inlineStr"/>
      <c r="F124" t="inlineStr"/>
      <c r="G124" t="inlineStr">
        <is>
          <t>Santa Clara, CA, US</t>
        </is>
      </c>
      <c r="H124" s="2" t="n">
        <v>46032</v>
      </c>
      <c r="I124" t="inlineStr">
        <is>
          <t>Siri helps hundreds of millions of people find the information they are looking for. A critical part of that mission is helping them quickly find and discover local businesses, places of interest, and addresses. Users rely on us for relevant and easy access to local information like finding a favorite or romantic restaurant, business hours, nearby coffee shop addresses, and directions to prominent locations.  
The Geo domain team is redefining how hundreds of millions of people use their devices to navigate and explore the physical world around them. We are part of a wider effort to power search across a variety of Apple products \- including Siri, Spotlight, Safari, Messages, and more. As part of our team, you will be using innovative machine learning techniques and LLMs in order to understand queries, rank documents, and find useful answers to users’ questions.  
We are looking for an experienced ML engineer with hands\-on experience in search and recommendation and deploying powerful machine learning models at scale. You will join a team that combines strong technical skills, product vision, and a love of all things local to bring together the pieces needed to deliver an extraordinary Maps experience in Siri and Spotlight.  
**Description**  
As a member of our fast\-paced group, you’ll have the unique and rewarding opportunity to shape upcoming products from Apple. Our team includes a diversity of backgrounds from applied scientists with a focus in NLP to experienced distributed systems. We are looking for candidates with both applied machine learning experience and strong engineering skills.  
The role will have the following responsibilities:  
* Own the entire ML development cycle from opportunity analysis, exploration, and prototyping to data collection, feature engineering, training, evaluation, and deployment in production.
* Lead the development of machine learning models to improve search quality across retrieval, ranking, reranking, and query understanding.
* Improve search quality and experience by leveraging techniques such as learning\-to\-rank, embedding models, contrastive learning, multi\-task learning, and reinforcement learning where appropriate.
* Mentor junior engineers and provide technical leadership in architecting ML systems and designing ML models.
* Understand product requirements, then translate them into modeling tasks and engineering tasks.
**Preferred Qualifications**  
Advanced diploma in AI, Machine Learning, Computer Science, or Mathematics  
**Minimum Qualifications**  
You have 8\+ years of experience in information retrieval, natural language processing, machine learning, or deep learning.  
You have a deep understanding of machine learning theory, including supervised learning, ranking models, embeddings, representation learning, and evaluation metrics.  
You have proven ability to apply advanced ML techniques to improve search relevance and retrieval quality at scale.  
You are comfortable leading experimentation, offline evaluation, and online A/B testing for iterative improvements in search quality.  
You have excellent interpersonal skills, the ability to work independently as well as as part of a team.  
You have a Master’s Degree in Computer Science or equivalent experience in machine learning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5">
      <c r="A125" t="inlineStr">
        <is>
          <t>in-d72c1e03ecb85c6e</t>
        </is>
      </c>
      <c r="B125" t="inlineStr">
        <is>
          <t>Machine Learning Engineer, Model Customization, Generative AI Innovation Center</t>
        </is>
      </c>
      <c r="C125" t="inlineStr">
        <is>
          <t>Amazon Web Services</t>
        </is>
      </c>
      <c r="D125" t="inlineStr">
        <is>
          <t>indeed</t>
        </is>
      </c>
      <c r="E125" t="inlineStr"/>
      <c r="F125" t="inlineStr"/>
      <c r="G125" t="inlineStr">
        <is>
          <t>Mountain View, CA, US</t>
        </is>
      </c>
      <c r="H125" s="2" t="n">
        <v>46008</v>
      </c>
      <c r="I125"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in-d1b67c0f86c6875f</t>
        </is>
      </c>
      <c r="B126" t="inlineStr">
        <is>
          <t>Machine Learning Engineer, Model Customization, Generative AI Innovation Center</t>
        </is>
      </c>
      <c r="C126" t="inlineStr">
        <is>
          <t>Amazon Web Services</t>
        </is>
      </c>
      <c r="D126" t="inlineStr">
        <is>
          <t>indeed</t>
        </is>
      </c>
      <c r="E126" t="inlineStr"/>
      <c r="F126" t="inlineStr"/>
      <c r="G126" t="inlineStr">
        <is>
          <t>Seattle, WA, US</t>
        </is>
      </c>
      <c r="H126" s="2" t="n">
        <v>46008</v>
      </c>
      <c r="I126"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in-e63dbc237a53ae5b</t>
        </is>
      </c>
      <c r="B127" t="inlineStr">
        <is>
          <t>Sr. Machine Learning Engineer, AGIF | Finetuning</t>
        </is>
      </c>
      <c r="C127" t="inlineStr">
        <is>
          <t>Amazon.com</t>
        </is>
      </c>
      <c r="D127" t="inlineStr">
        <is>
          <t>indeed</t>
        </is>
      </c>
      <c r="E127" t="inlineStr"/>
      <c r="F127" t="inlineStr"/>
      <c r="G127" t="inlineStr">
        <is>
          <t>New York, NY, US</t>
        </is>
      </c>
      <c r="H127" s="2" t="n">
        <v>45984</v>
      </c>
      <c r="I12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in-98ccf7ab9840897b</t>
        </is>
      </c>
      <c r="B128" t="inlineStr">
        <is>
          <t>Sr. Machine Learning Engineer, AGIF | Finetuning</t>
        </is>
      </c>
      <c r="C128" t="inlineStr">
        <is>
          <t>Amazon.com</t>
        </is>
      </c>
      <c r="D128" t="inlineStr">
        <is>
          <t>indeed</t>
        </is>
      </c>
      <c r="E128" t="inlineStr"/>
      <c r="F128" t="inlineStr"/>
      <c r="G128" t="inlineStr">
        <is>
          <t>Sunnyvale, CA, US</t>
        </is>
      </c>
      <c r="H128" s="2" t="n">
        <v>45984</v>
      </c>
      <c r="I12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in-f6a4f8513dfefc1c</t>
        </is>
      </c>
      <c r="B129" t="inlineStr">
        <is>
          <t>Sr. Machine Learning Engineer, AGIF | Finetuning</t>
        </is>
      </c>
      <c r="C129" t="inlineStr">
        <is>
          <t>Amazon.com</t>
        </is>
      </c>
      <c r="D129" t="inlineStr">
        <is>
          <t>indeed</t>
        </is>
      </c>
      <c r="E129" t="inlineStr"/>
      <c r="F129" t="inlineStr"/>
      <c r="G129" t="inlineStr">
        <is>
          <t>Bellevue, WA, US</t>
        </is>
      </c>
      <c r="H129" s="2" t="n">
        <v>45984</v>
      </c>
      <c r="I12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in-7fcc83a84d4e1214</t>
        </is>
      </c>
      <c r="B130" t="inlineStr">
        <is>
          <t>Senior Delivery Consultant - Senior Machine Learning Engineer, AWS Professional Services, AWS Professional Services</t>
        </is>
      </c>
      <c r="C130" t="inlineStr">
        <is>
          <t>Amazon Web Services</t>
        </is>
      </c>
      <c r="D130" t="inlineStr">
        <is>
          <t>indeed</t>
        </is>
      </c>
      <c r="E130" t="inlineStr"/>
      <c r="F130" t="inlineStr"/>
      <c r="G130" t="inlineStr">
        <is>
          <t>Chicago, IL, US</t>
        </is>
      </c>
      <c r="H130" s="2" t="n">
        <v>45825</v>
      </c>
      <c r="I13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in-2503ae69e7389bc6</t>
        </is>
      </c>
      <c r="B131" t="inlineStr">
        <is>
          <t>Senior Delivery Consultant - Senior Machine Learning Engineer, AWS Professional Services, AWS Professional Services</t>
        </is>
      </c>
      <c r="C131" t="inlineStr">
        <is>
          <t>Amazon Web Services</t>
        </is>
      </c>
      <c r="D131" t="inlineStr">
        <is>
          <t>indeed</t>
        </is>
      </c>
      <c r="E131" t="inlineStr"/>
      <c r="F131" t="inlineStr"/>
      <c r="G131" t="inlineStr">
        <is>
          <t>Arlington, VA, US</t>
        </is>
      </c>
      <c r="H131" s="2" t="n">
        <v>45825</v>
      </c>
      <c r="I13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in-dbe3b533d0470806</t>
        </is>
      </c>
      <c r="B132" t="inlineStr">
        <is>
          <t>Senior Delivery Consultant - Senior Machine Learning Engineer, AWS Professional Services, AWS Professional Services</t>
        </is>
      </c>
      <c r="C132" t="inlineStr">
        <is>
          <t>Amazon Web Services</t>
        </is>
      </c>
      <c r="D132" t="inlineStr">
        <is>
          <t>indeed</t>
        </is>
      </c>
      <c r="E132" t="inlineStr"/>
      <c r="F132" t="inlineStr"/>
      <c r="G132" t="inlineStr">
        <is>
          <t>Seattle, WA, US</t>
        </is>
      </c>
      <c r="H132" s="2" t="n">
        <v>45825</v>
      </c>
      <c r="I13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in-65359d559c85ea08</t>
        </is>
      </c>
      <c r="B133" t="inlineStr">
        <is>
          <t>Senior Delivery Consultant - Senior Machine Learning Engineer, AWS Professional Services, AWS Professional Services</t>
        </is>
      </c>
      <c r="C133" t="inlineStr">
        <is>
          <t>Amazon Web Services</t>
        </is>
      </c>
      <c r="D133" t="inlineStr">
        <is>
          <t>indeed</t>
        </is>
      </c>
      <c r="E133" t="inlineStr"/>
      <c r="F133" t="inlineStr"/>
      <c r="G133" t="inlineStr">
        <is>
          <t>New York, NY, US</t>
        </is>
      </c>
      <c r="H133" s="2" t="n">
        <v>45825</v>
      </c>
      <c r="I13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in-9036f0c573b64c7b</t>
        </is>
      </c>
      <c r="B134" t="inlineStr">
        <is>
          <t>Senior Delivery Consultant - Senior Machine Learning Engineer, AWS Professional Services, AWS Professional Services</t>
        </is>
      </c>
      <c r="C134" t="inlineStr">
        <is>
          <t>Amazon Web Services</t>
        </is>
      </c>
      <c r="D134" t="inlineStr">
        <is>
          <t>indeed</t>
        </is>
      </c>
      <c r="E134" t="inlineStr"/>
      <c r="F134" t="inlineStr"/>
      <c r="G134" t="inlineStr">
        <is>
          <t>Dallas, TX, US</t>
        </is>
      </c>
      <c r="H134" s="2" t="n">
        <v>45825</v>
      </c>
      <c r="I13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in-7390c2795e367d6f</t>
        </is>
      </c>
      <c r="B135" t="inlineStr">
        <is>
          <t>Senior Delivery Consultant - Senior Machine Learning Engineer, AWS Professional Services, AWS Professional Services</t>
        </is>
      </c>
      <c r="C135" t="inlineStr">
        <is>
          <t>Amazon Web Services</t>
        </is>
      </c>
      <c r="D135" t="inlineStr">
        <is>
          <t>indeed</t>
        </is>
      </c>
      <c r="E135" t="inlineStr"/>
      <c r="F135" t="inlineStr"/>
      <c r="G135" t="inlineStr">
        <is>
          <t>Herndon, VA, US</t>
        </is>
      </c>
      <c r="H135" s="2" t="n">
        <v>45825</v>
      </c>
      <c r="I13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in-e9fa0a4b6802ebd9</t>
        </is>
      </c>
      <c r="B136" t="inlineStr">
        <is>
          <t>Senior Delivery Consultant - Senior Machine Learning Engineer, AWS Professional Services, AWS Professional Services</t>
        </is>
      </c>
      <c r="C136" t="inlineStr">
        <is>
          <t>Amazon Web Services</t>
        </is>
      </c>
      <c r="D136" t="inlineStr">
        <is>
          <t>indeed</t>
        </is>
      </c>
      <c r="E136" t="inlineStr"/>
      <c r="F136" t="inlineStr"/>
      <c r="G136" t="inlineStr">
        <is>
          <t>Boston, MA, US</t>
        </is>
      </c>
      <c r="H136" s="2" t="n">
        <v>45825</v>
      </c>
      <c r="I13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in-3de8313c233ffa6e</t>
        </is>
      </c>
      <c r="B137" t="inlineStr">
        <is>
          <t>Senior Delivery Consultant - Senior Machine Learning Engineer, AWS Professional Services, AWS Professional Services</t>
        </is>
      </c>
      <c r="C137" t="inlineStr">
        <is>
          <t>Amazon Web Services</t>
        </is>
      </c>
      <c r="D137" t="inlineStr">
        <is>
          <t>indeed</t>
        </is>
      </c>
      <c r="E137" t="inlineStr"/>
      <c r="F137" t="inlineStr"/>
      <c r="G137" t="inlineStr">
        <is>
          <t>Atlanta, GA, US</t>
        </is>
      </c>
      <c r="H137" s="2" t="n">
        <v>45825</v>
      </c>
      <c r="I13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in-371cf0aa2f050932</t>
        </is>
      </c>
      <c r="B138" t="inlineStr">
        <is>
          <t>Senior Delivery Consultant - Senior Machine Learning Engineer, AWS Professional Services, AWS Professional Services</t>
        </is>
      </c>
      <c r="C138" t="inlineStr">
        <is>
          <t>Amazon Web Services</t>
        </is>
      </c>
      <c r="D138" t="inlineStr">
        <is>
          <t>indeed</t>
        </is>
      </c>
      <c r="E138" t="inlineStr"/>
      <c r="F138" t="inlineStr"/>
      <c r="G138" t="inlineStr">
        <is>
          <t>Austin, TX, US</t>
        </is>
      </c>
      <c r="H138" s="2" t="n">
        <v>45825</v>
      </c>
      <c r="I13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in-985ac2fb49f0ef98</t>
        </is>
      </c>
      <c r="B139" t="inlineStr">
        <is>
          <t>Sr. Machine Learning Engineer, Amazon General Intelligence (AGI)</t>
        </is>
      </c>
      <c r="C139" t="inlineStr">
        <is>
          <t>Amazon.com</t>
        </is>
      </c>
      <c r="D139" t="inlineStr">
        <is>
          <t>indeed</t>
        </is>
      </c>
      <c r="E139" t="inlineStr"/>
      <c r="F139" t="inlineStr"/>
      <c r="G139" t="inlineStr">
        <is>
          <t>Seattle, WA, US</t>
        </is>
      </c>
      <c r="H139" s="2" t="n">
        <v>45813</v>
      </c>
      <c r="I139"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in-9c470d41d5d07f14</t>
        </is>
      </c>
      <c r="B140" t="inlineStr">
        <is>
          <t>Sr. Machine Learning Engineer, Amazon General Intelligence (AGI)</t>
        </is>
      </c>
      <c r="C140" t="inlineStr">
        <is>
          <t>Amazon.com</t>
        </is>
      </c>
      <c r="D140" t="inlineStr">
        <is>
          <t>indeed</t>
        </is>
      </c>
      <c r="E140" t="inlineStr"/>
      <c r="F140" t="inlineStr"/>
      <c r="G140" t="inlineStr">
        <is>
          <t>Bellevue, WA, US</t>
        </is>
      </c>
      <c r="H140" s="2" t="n">
        <v>45813</v>
      </c>
      <c r="I140"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in-3ac37c45f8ef23ea</t>
        </is>
      </c>
      <c r="B141" t="inlineStr">
        <is>
          <t>Applied Scientist, Personalization, DTx Science</t>
        </is>
      </c>
      <c r="C141" t="inlineStr">
        <is>
          <t>Amazon.com</t>
        </is>
      </c>
      <c r="D141" t="inlineStr">
        <is>
          <t>indeed</t>
        </is>
      </c>
      <c r="E141" t="inlineStr"/>
      <c r="F141" t="inlineStr"/>
      <c r="G141" t="inlineStr">
        <is>
          <t>New York, NY, US</t>
        </is>
      </c>
      <c r="H141" s="2" t="n">
        <v>45979</v>
      </c>
      <c r="I14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in-47946bb558a61d5a</t>
        </is>
      </c>
      <c r="B142" t="inlineStr">
        <is>
          <t>Applied Scientist, Personalization, DTx Science</t>
        </is>
      </c>
      <c r="C142" t="inlineStr">
        <is>
          <t>Amazon.com</t>
        </is>
      </c>
      <c r="D142" t="inlineStr">
        <is>
          <t>indeed</t>
        </is>
      </c>
      <c r="E142" t="inlineStr"/>
      <c r="F142" t="inlineStr"/>
      <c r="G142" t="inlineStr">
        <is>
          <t>Seattle, WA, US</t>
        </is>
      </c>
      <c r="H142" s="2" t="n">
        <v>45979</v>
      </c>
      <c r="I14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in-a6a23af7558b2d53</t>
        </is>
      </c>
      <c r="B143" t="inlineStr">
        <is>
          <t>Applied Scientist, Sponsored Products</t>
        </is>
      </c>
      <c r="C143" t="inlineStr">
        <is>
          <t>Amazon.com</t>
        </is>
      </c>
      <c r="D143" t="inlineStr">
        <is>
          <t>indeed</t>
        </is>
      </c>
      <c r="E143" t="inlineStr"/>
      <c r="F143" t="inlineStr"/>
      <c r="G143" t="inlineStr">
        <is>
          <t>Seattle, WA, US</t>
        </is>
      </c>
      <c r="H143" s="2" t="n">
        <v>45971</v>
      </c>
      <c r="I14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in-f4cd56c23cbb41ba</t>
        </is>
      </c>
      <c r="B144" t="inlineStr">
        <is>
          <t>Applied Scientist, Sponsored Products</t>
        </is>
      </c>
      <c r="C144" t="inlineStr">
        <is>
          <t>Amazon.com</t>
        </is>
      </c>
      <c r="D144" t="inlineStr">
        <is>
          <t>indeed</t>
        </is>
      </c>
      <c r="E144" t="inlineStr"/>
      <c r="F144" t="inlineStr"/>
      <c r="G144" t="inlineStr">
        <is>
          <t>Arlington, VA, US</t>
        </is>
      </c>
      <c r="H144" s="2" t="n">
        <v>45971</v>
      </c>
      <c r="I14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in-a08905569aefc6f7</t>
        </is>
      </c>
      <c r="B145" t="inlineStr">
        <is>
          <t>Applied Scientist, AWS Agentic AI</t>
        </is>
      </c>
      <c r="C145" t="inlineStr">
        <is>
          <t>Amazon Web Services</t>
        </is>
      </c>
      <c r="D145" t="inlineStr">
        <is>
          <t>indeed</t>
        </is>
      </c>
      <c r="E145" t="inlineStr"/>
      <c r="F145" t="inlineStr"/>
      <c r="G145" t="inlineStr">
        <is>
          <t>Santa Clara, CA, US</t>
        </is>
      </c>
      <c r="H145" s="2" t="n">
        <v>45962</v>
      </c>
      <c r="I14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in-5752bc192e676a22</t>
        </is>
      </c>
      <c r="B146" t="inlineStr">
        <is>
          <t>Applied Scientist, AWS Agentic AI</t>
        </is>
      </c>
      <c r="C146" t="inlineStr">
        <is>
          <t>Amazon Web Services</t>
        </is>
      </c>
      <c r="D146" t="inlineStr">
        <is>
          <t>indeed</t>
        </is>
      </c>
      <c r="E146" t="inlineStr"/>
      <c r="F146" t="inlineStr"/>
      <c r="G146" t="inlineStr">
        <is>
          <t>New York, NY, US</t>
        </is>
      </c>
      <c r="H146" s="2" t="n">
        <v>45962</v>
      </c>
      <c r="I14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in-4b9625e9bb0a33a3</t>
        </is>
      </c>
      <c r="B147" t="inlineStr">
        <is>
          <t>Applied Scientist, AWS Agentic AI</t>
        </is>
      </c>
      <c r="C147" t="inlineStr">
        <is>
          <t>Amazon Web Services</t>
        </is>
      </c>
      <c r="D147" t="inlineStr">
        <is>
          <t>indeed</t>
        </is>
      </c>
      <c r="E147" t="inlineStr"/>
      <c r="F147" t="inlineStr"/>
      <c r="G147" t="inlineStr">
        <is>
          <t>Seattle, WA, US</t>
        </is>
      </c>
      <c r="H147" s="2" t="n">
        <v>45962</v>
      </c>
      <c r="I14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in-1049279f94c4b2ab</t>
        </is>
      </c>
      <c r="B148" t="inlineStr">
        <is>
          <t>Applied Scientist, Workplace Health &amp; Safety</t>
        </is>
      </c>
      <c r="C148" t="inlineStr">
        <is>
          <t>Amazon.com</t>
        </is>
      </c>
      <c r="D148" t="inlineStr">
        <is>
          <t>indeed</t>
        </is>
      </c>
      <c r="E148" t="inlineStr"/>
      <c r="F148" t="inlineStr"/>
      <c r="G148" t="inlineStr">
        <is>
          <t>Nashville, TN, US</t>
        </is>
      </c>
      <c r="H148" s="2" t="n">
        <v>45917</v>
      </c>
      <c r="I14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in-e681bfb623e55c69</t>
        </is>
      </c>
      <c r="B149" t="inlineStr">
        <is>
          <t>Applied Scientist, Workplace Health &amp; Safety</t>
        </is>
      </c>
      <c r="C149" t="inlineStr">
        <is>
          <t>Amazon.com</t>
        </is>
      </c>
      <c r="D149" t="inlineStr">
        <is>
          <t>indeed</t>
        </is>
      </c>
      <c r="E149" t="inlineStr"/>
      <c r="F149" t="inlineStr"/>
      <c r="G149" t="inlineStr">
        <is>
          <t>Bellevue, WA, US</t>
        </is>
      </c>
      <c r="H149" s="2" t="n">
        <v>45917</v>
      </c>
      <c r="I14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in-d0e3833ce43c9191</t>
        </is>
      </c>
      <c r="B150" t="inlineStr">
        <is>
          <t>Sr. Applied Scientist, Sales AI</t>
        </is>
      </c>
      <c r="C150" t="inlineStr">
        <is>
          <t>Amazon.com</t>
        </is>
      </c>
      <c r="D150" t="inlineStr">
        <is>
          <t>indeed</t>
        </is>
      </c>
      <c r="E150" t="inlineStr"/>
      <c r="F150" t="inlineStr"/>
      <c r="G150" t="inlineStr">
        <is>
          <t>New York, NY, US</t>
        </is>
      </c>
      <c r="H150" s="2" t="n">
        <v>45830</v>
      </c>
      <c r="I15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in-50cbe69b3029b859</t>
        </is>
      </c>
      <c r="B151" t="inlineStr">
        <is>
          <t>Sr. Applied Scientist, Sales AI</t>
        </is>
      </c>
      <c r="C151" t="inlineStr">
        <is>
          <t>Amazon.com</t>
        </is>
      </c>
      <c r="D151" t="inlineStr">
        <is>
          <t>indeed</t>
        </is>
      </c>
      <c r="E151" t="inlineStr"/>
      <c r="F151" t="inlineStr"/>
      <c r="G151" t="inlineStr">
        <is>
          <t>Sunnyvale, CA, US</t>
        </is>
      </c>
      <c r="H151" s="2" t="n">
        <v>45830</v>
      </c>
      <c r="I15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in-3364533895d8196f</t>
        </is>
      </c>
      <c r="B152" t="inlineStr">
        <is>
          <t>Sr. Applied Scientist, Sales AI</t>
        </is>
      </c>
      <c r="C152" t="inlineStr">
        <is>
          <t>Amazon.com</t>
        </is>
      </c>
      <c r="D152" t="inlineStr">
        <is>
          <t>indeed</t>
        </is>
      </c>
      <c r="E152" t="inlineStr"/>
      <c r="F152" t="inlineStr"/>
      <c r="G152" t="inlineStr">
        <is>
          <t>Seattle, WA, US</t>
        </is>
      </c>
      <c r="H152" s="2" t="n">
        <v>45830</v>
      </c>
      <c r="I15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in-880910989d11345e</t>
        </is>
      </c>
      <c r="B153" t="inlineStr">
        <is>
          <t>AI Engineer</t>
        </is>
      </c>
      <c r="C153" t="inlineStr">
        <is>
          <t>ELUTIONS Inc</t>
        </is>
      </c>
      <c r="D153" t="inlineStr">
        <is>
          <t>indeed</t>
        </is>
      </c>
      <c r="E153">
        <f>HYPERLINK("https://www.indeed.com/viewjob?jk=880910989d11345e", "https://www.indeed.com/viewjob?jk=880910989d11345e")</f>
        <v/>
      </c>
      <c r="F153">
        <f>HYPERLINK("https://elutions.bamboohr.com/careers/175?source=indeed&amp;src=indeed&amp;postedDate=2026-01-11", "https://elutions.bamboohr.com/careers/175?source=indeed&amp;src=indeed&amp;postedDate=2026-01-11")</f>
        <v/>
      </c>
      <c r="G153" t="inlineStr">
        <is>
          <t>Tampa, FL, US</t>
        </is>
      </c>
      <c r="H153" s="3" t="n">
        <v>46032</v>
      </c>
      <c r="I153" t="inlineStr">
        <is>
          <t>**Elutions**, a premier enterprise AI company, delivers transformative financial  
benefits to our client base utilizing our proprietary AI ecosystem, Maestro. The  
platform’s AI pipeline automates the understanding of our client’s domain, the  
identification of operational anomalies within their processes, the prescription of a  
root cause analysis for said anomalies, and issuance of the corrective/remedial  
actions in real\-time required to optimize said processes and track the financial  
improvement of their operations to provide a fully optimized, autonomous  
environment for our clients. Maestro AI is industry agnostic, with a current focus  
on large industrial companies within the oil \&amp; gas, chemical manufacturing, utility,  
and logistics verticals.  
Our AI Engineering team utilizes Maestro’s AI Pipeline to build scalable solutions  
addressing complex business challenges such as: Network Optimization, Yield  
Optimization, Throughput Optimization, Process Optimization, Utility Utilization,  
Predictive \&amp; Preventative Maintenance, Run\-plan Scheduling, Pricing Strategies,  
Logistics within Planning \&amp; Scheduling, among others. The Maestro ecosystem is  
designed to be industry agnostic where the AI engineering team can optimize any  
business challenge presented to them through the utilization of the platform.
Maestro’s AI pipeline applies a proprietary neural network, advanced machine  
learning techniques, generative AI, and large language model (LLM), all  
developed in\-house, to deliver financial and operational improvements, optimize  
our client’s operations, and drive innovation within their organizations and within  
Elutions’ forward development.
Our AI Engineering team represents the forefront of innovation at Elutions,  
delivering scalable AI solutions tailored to our clients’ domains while  
simultaneously incorporating lessons learned from previous deployments to  
preempt market trends and remain the world leader in operational AI applications.
 **Key Responsibilities for an AI Engineer**  
* Develop and maintain existing AI pipeline (neural network, machine
learning, LLM, etc.) to expand its capabilities, enable reliable knowledge  
retrieval \&amp; reasoning, and incorporate state\-of\-the\-art technologies to further  
automate tasks and expand on the clients’ overall operational improvements.  
o Specific focus on the machine learning and large language model  
disciplines is a requirement  
* Design and implement robust models, within the Maestro AI pipeline, and
experiment with new approaches to support performance and KPI  
optimization.  
* Design and implement agent\-based workflows to support KPI analysis,
performance monitoring, and multi\-step analytical reasoning across data and  
models.  
* Build and iterate\-on efficient, maintainable prototypes, rigorously evaluate
model performance from both statistical and business perspectives, and  
deploy scalable solutions to the production environment.  
* Collaborate closely with in\-house Domain Engineers to solve
industrial/business problems utilizing the Maestro AI pipeline.  
* Play a key role in communicating complex technical concepts clearly to non
technical stakeholders. **Ideal Candidate Profile**  
* Master's degree in Computer Science, Artificial Intelligence, Electrical
Engineering, Computer Engineering, Statistics, or a related field, with  
preferably 1\-3 years of experience developing AI or machine learning  
algorithms or technologies, but we will accept candidates who are newly  
graduated as well.  
* Proficiency in Python and SQL, with hands\-on experience using deep
learning frameworks such as PyTorch or TensorFlow.  
* Familiarity with MLOps processes supporting the full lifecycle from model
development to deployment in production environments.  
* Experience in data science with machine learning algorithms and applying
them in line with industry best practices.  
* Experience building or working with large language model (LLM)
applications, including retrieval\-augmented generation (RAG) systems, with  
proficiency in LLM frameworks such as LangChain and LlamaIndex. **Elutions Interview Process**  
There will be three interviews for the most qualified candidates:  
1\. Introduction – Candidates will interview with Department Leadership and  
AI Engineering team members to assess whether they are fits within  
Elutions’ culture and the AI Engineering Team;  
2\. Technical Assessment – AI Engineering leadership will administer an in  
person or virtual technical test to assess whether the candidate has the  
requisite technical knowledge and skills to be brought onto the team;  
a. Should Elutions’ Leadership not be satisfied with the outcome of the  
test then they can elect to administer a take home test for further  
assessment;  
3\. Offer Package Issuance – Following the first two interviews the candidate  
will be notified whether they are eligible for the position and will be issued  
an Offer Package for their consideration. Any questions will be directed to  
the Department Head for swift responses and execution of the agreement.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li-4328247858</t>
        </is>
      </c>
      <c r="B2" t="inlineStr">
        <is>
          <t>Applied Scientist II</t>
        </is>
      </c>
      <c r="C2" t="inlineStr">
        <is>
          <t>Microsoft</t>
        </is>
      </c>
      <c r="D2" t="inlineStr">
        <is>
          <t>linkedin</t>
        </is>
      </c>
      <c r="E2" t="inlineStr"/>
      <c r="F2" t="inlineStr"/>
      <c r="G2" t="inlineStr">
        <is>
          <t>Redmond, WA</t>
        </is>
      </c>
      <c r="H2" t="inlineStr"/>
      <c r="I2" t="inlineStr">
        <is>
          <t>**Overview**
 We are building a large\-scale, Azure\-based intelligence platform that turns complex data into high\-quality, actionable insights for Microsoft Advertising. This platform combines advanced machine learning with emerging agentic capabilities powered by large language models (LLMs) to deliver smarter recommendations, automate analysis, generate contextual summaries, and streamline workflows across the ecosystem.
 We are looking for an Applied Scientist II to help advance this platform. In this role, you will design and develop scalable ML models, partner closely with engineering teams to productionize solutions, and integrate LLM\-driven reasoning and summarization into core workflows. This is an opportunity to work on cutting\-edge applied science challenges that directly influence advertiser experience and platform performance.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Implement large scale ML models for advertiser recommendations, insights, and forecasting.
* Apply statistical and machine learning techniques to detect patterns, surface anomalies, and generate data\-driven insights.
* Collaborate with engineering and BI teams to operationalize models into dashboards and alerting systems.
* Support experimentation and contribute to model performance evaluation.
* Assist in prompt engineering for LLM calls and explore summarization techniques.
* Ensure Responsible AI practices and contribute to model governance.
**Qualifications**
**Required:**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**Preferred Qualifications**
*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Hands\-on experience developing and validating ML/statistical models (e.g., regressions, classifiers, clustering).
* Experience with large\-scale data processing or distributed computing (e.g., Spark, Azure Databricks).
* Familiarity with time\-series analysis and anomaly detection techniques (e.g., ARIMA, isolation forests).
* Exposure to LLMs and prompt engineering for summarization or domain adaptation.
* Domain knowledge in sales, marketing analytics, or business intelligence.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
      <c r="A3" t="inlineStr">
        <is>
          <t>li-4285602811</t>
        </is>
      </c>
      <c r="B3" t="inlineStr">
        <is>
          <t>Applied Scientist II, Prime Video - Personalization and Discovery Science</t>
        </is>
      </c>
      <c r="C3" t="inlineStr">
        <is>
          <t>Prime Video &amp; Amazon MGM Studios</t>
        </is>
      </c>
      <c r="D3" t="inlineStr">
        <is>
          <t>linkedin</t>
        </is>
      </c>
      <c r="E3" t="inlineStr"/>
      <c r="F3" t="inlineStr"/>
      <c r="G3" t="inlineStr">
        <is>
          <t>New York, United States</t>
        </is>
      </c>
      <c r="H3" t="inlineStr"/>
      <c r="I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A3059253</t>
        </is>
      </c>
    </row>
    <row r="4">
      <c r="A4" t="inlineStr">
        <is>
          <t>li-4284530539</t>
        </is>
      </c>
      <c r="B4" t="inlineStr">
        <is>
          <t>Applied Scientist, Prime Video - Personalization and Discovery Science</t>
        </is>
      </c>
      <c r="C4" t="inlineStr">
        <is>
          <t>Prime Video &amp; Amazon MGM Studios</t>
        </is>
      </c>
      <c r="D4" t="inlineStr">
        <is>
          <t>linkedin</t>
        </is>
      </c>
      <c r="E4" t="inlineStr"/>
      <c r="F4" t="inlineStr"/>
      <c r="G4" t="inlineStr">
        <is>
          <t>Sunnyvale, CA</t>
        </is>
      </c>
      <c r="H4" t="inlineStr"/>
      <c r="I4"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A3033050</t>
        </is>
      </c>
    </row>
    <row r="5">
      <c r="A5" t="inlineStr">
        <is>
          <t>li-4303793797</t>
        </is>
      </c>
      <c r="B5" t="inlineStr">
        <is>
          <t>Principal Applied Scientist - Gen AI</t>
        </is>
      </c>
      <c r="C5" t="inlineStr">
        <is>
          <t>Oracle</t>
        </is>
      </c>
      <c r="D5" t="inlineStr">
        <is>
          <t>linkedin</t>
        </is>
      </c>
      <c r="E5" t="inlineStr"/>
      <c r="F5" t="inlineStr"/>
      <c r="G5" t="inlineStr"/>
      <c r="H5" t="inlineStr"/>
      <c r="I5" t="inlineStr">
        <is>
          <t>**Job Description**
 Oracle Health Data Intelligence (HDI) is leading the charge in transforming healthcare with innovative data and AI solutions. We’re seeking a highly skilled individual contributor to join our team in the USA. This role focuses on leveraging advanced machine learning techniques, including generative AI, large language models (LLMs), and AI agents, to address complex healthcare challenges. At HDI, we aim to revolutionize patient care, optimize healthcare delivery, and drive operational excellence through data and technology.
 Career Level \- IC4
**Responsibilities**
**RESPONSIBILITIES**
* Technical Leadership:
* Serve as a key technical expert in designing, developing, and deploying AI/ML solutions with a focus on GenAI and LLM applications for healthcare.
* Architect and implement AI agents that automate complex workflows, such as generating real\-time clinical summaries and assisting in patient care management.
* Integrate LLM capabilities with healthcare datasets, ensuring robust performance, scalability, and adherence to compliance standards.
* Generative AI \&amp; LLM Innovation:
* Develop and fine\-tune LLMs for healthcare\-specific use cases, such as automated documentation, question answering, and predictive analytics.
* Apply generative AI to synthesize insights from multi\-modal healthcare data (e.g., EHRs, imaging, claims, and demographics) to enhance patient care and operational efficiency.
* Explore and implement reinforcement learning and human feedback (RLHF) approaches to improve model performance in real\-world healthcare settings.
* Solution Development:
* Design intelligent AI agents to automate tasks, such as chart reviews, care plan generation, and clinical quality analytics.
* Oversee the creation of scalable pipelines for integrating healthcare data into GenAI models while maintaining data privacy and security (e.g., HIPAA, HITRUST compliance).
* Strategic Collaboration:
* Work with cross\-functional teams, including healthcare providers and engineers, to align GenAI and LLM initiatives with business objectives and healthcare requirements.
* Serve as a bridge between technical teams and business stakeholders to drive adoption of AI solutions in clinical and operational workflows.
* Performance Optimization:
* Lead efforts to optimize LLM performance for real\-time, high accuracy use cases in healthcare environments.
* Implement monitoring frameworks to ensure AI/ML solutions meet quality benchmarks and provide actionable insights efficiently.
* Thought Leadership:
* Stay at the cutting edge of GenAI, LLM, and AI agent advancements, contributing to Oracle’s leadership in intelligent healthcare innovation.
* Publish findings, present at industry conferences, and mentor junior team members on best practices for generative AI and LLM development.
**Qualifications**
* Education: Master’s degree in computer science, Machine Learning, Artificial Intelligence, or a related field. Ph.D. preferred.
* Experience:
* 8\+ years of hands\-on experience in AI/ML, with a strong focus on GenAI, LLMs, or AI agent development.
* Proven track record of deploying and scaling AI/ML solutions in production, especially in healthcare or regulated industries.
* Technical Skills:
* Expertise in GenAI and LLM frameworks, including OpenAI GPT, BERT, or similar transformer architectures.
* Proficiency in fine\-tuning LLMs for specific domains and integrating them with enterprise\-grade applications.
* Experience with cloud platforms (e.g., OCI, AWS, Azure, or GCP) and distributed computing.
* Strong programming skills in Python and familiarity with libraries such as Hugging Face Transformers, TensorFlow, or PyTorch.
* Knowledge of multi\-modal data integration (text, imaging, structured data) and analytics.
* Domain Knowledge:
* Deep understanding of healthcare systems, EHR standards (e.g., FHIR, HL7\), and value\-based care metrics.
* Familiarity with regulatory requirements (e.g., HIPAA, HITRUST) and compliance frameworks.
* Leadership \&amp; Communication Skills:
* Ability to engage with technical and non\-technical stakeholders to drive AI adoption and ensure business alignment.
* Strong problem\-solving skills and ability to deliver results in ambiguous, high\-impact environments.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
      <c r="A6" t="inlineStr">
        <is>
          <t>li-4360635084</t>
        </is>
      </c>
      <c r="B6" t="inlineStr">
        <is>
          <t>Machine Learning Engineer II - Membership</t>
        </is>
      </c>
      <c r="C6" t="inlineStr">
        <is>
          <t>Uber</t>
        </is>
      </c>
      <c r="D6" t="inlineStr">
        <is>
          <t>linkedin</t>
        </is>
      </c>
      <c r="E6" t="inlineStr"/>
      <c r="F6" t="inlineStr"/>
      <c r="G6" t="inlineStr">
        <is>
          <t>San Francisco, CA</t>
        </is>
      </c>
      <c r="H6" t="inlineStr"/>
      <c r="I6" t="inlineStr">
        <is>
          <t>**About The Role**
 Uber has evolved from a simple ride\-hailing service to a comprehensive platform that connects users with various on\-demand services in their cities. The Uber One Membership team is dedicated to enhancing the user experience by providing a convenient and engaging platform that caters to all their needs. Uber One Members enjoy exclusive benefits, including the best price, selection, priority, and perks, all in one place. With a growing membership base of over 30 million and expanding, Uber One has the potential to redefine the global membership landscape. Join us in shaping the future of Uber!
 As part of this team in the Membership Engagement organization you will work with a team of talented engineers contributing to cutting edge efforts developing optimization solutions using real\-time and machine learning signals to solve complex, strategically important challenges. You will participate in the full development cycle from ideation to architecture design, ML model development to implementation, to production release. You will collaborate closely with diverse stakeholders like data scientists, product managers and business in a results\-oriented environment delivering projects that directly impact Uber's top and bottom line \- impacting millions of people around the world.
**What You Will Do**
* Design and build Machine Learning models responsible for large\-scale applied machine learning in optimization and personalization.
* Build high throughput systems that process millions of datapoints each minute and serve hundreds of thousands of QPS
* Collaborate with Product, Science and cross\-functional teams to brainstorm new opportunities and solutions for model and product iteration.
* Write high\-quality code and uphold standards for testing and coverage.
* Align with the team on solutions to ambiguous problems and analyze the tradeoffs of different technical solutions
* Contribute to engineering cultivation in terms of quality, monitoring, and on\-call practices.
**Basic Qualifications**
* Bachelor's degree or equivalent in Computer Science, Engineering, Mathematics or related field, with 2\+ years of full\-time engineering experience.
* Experience with big\-data architecture, ETL frameworks, SQL and database systems such as Hive, Kafka, Cassandra, etc
* 1\+ years of experience in the development, training, productionization and monitoring of ML optimization solutions at scale.
* Experience working with multiple multi\-functional teams (product, science, product ops etc).
* Expertise in one or more object\-oriented programming languages (e.g. Python, Go, Java, C\+\+).
* Proven track records of being a fast learner and go\-getter, with willingness to get out of the comfort zone.
**Preferred Qualifications**
* Experience with taking on vague business problems, translating them into ML \+ Optimization formulation, identifying the right features, model structure and optimization constraints, and delivering business impact.
* Experience with the design and architecture of ML systems and workflows.
* Experience in modern deep learning architectures, probabilistic models and causal inference/personalization/ranking.
* Experience in optimization (RL / Bayes / Bandits) and online learning.
* Experience with optimizing Spark queries for better CPU and memory efficiency.
* Experience owning and delivering a technically challenging, multi\-quarter project end to end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7">
      <c r="A7" t="inlineStr">
        <is>
          <t>li-4328430090</t>
        </is>
      </c>
      <c r="B7" t="inlineStr">
        <is>
          <t>Machine Learning Engineer</t>
        </is>
      </c>
      <c r="C7" t="inlineStr">
        <is>
          <t>Microsoft</t>
        </is>
      </c>
      <c r="D7" t="inlineStr">
        <is>
          <t>linkedin</t>
        </is>
      </c>
      <c r="E7" t="inlineStr"/>
      <c r="F7" t="inlineStr"/>
      <c r="G7" t="inlineStr">
        <is>
          <t>Redmond, WA</t>
        </is>
      </c>
      <c r="H7" t="inlineStr"/>
      <c r="I7" t="inlineStr">
        <is>
          <t>**Overview**
 Come build community, explore your passions, and do your best work at Microsoft while helping a team deliver machine learning (ML) capabilities that are reliable, measurable, and ready to integrate into real products and services. This opportunity will allow you to bring your aspirations, talent, potential and excitement for the journey ahead.
 As a Machine Learning Engineer (MLE), you will contribute—under guidance and with support from teammates—to understand ML requirements for a feature, prepare data, train baseline models, and evaluate results using standard metrics. This opportunity will allow you to grow your skills in ML workflows, model integration, and engineering practices that support security, privacy, accessibility, and responsible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Implements data preprocessing steps, baseline models, and evaluation approaches under supervision.
* Contributes small, well\-defined components of ML workflows (e.g., dataset preparation, training utilities, evaluation scripts) with guidance.
* Supports integration of ML models into existing systems and services, coordinating with engineering partners as needed.
* Follows established practices for reproducibility, logging, monitoring, and secure development throughout the ML lifecycle.
* Collaborates with teammates and partner teams to validate end\-to\-end functionality prior to release.
* Learns and applies team processes related to security, privacy, accessibility, and responsible AI in day\-to\-day work.
**Qualifications**
**Required Qualifications**
* Bachelor's Degree in Computer Science, or related technical discipline with proven experience coding in languages including, but not limited to, C, C\+\+, C\#, Java, JavaScript, or Python OR equivalent experience.
**Preferred Qualifications**
* Master's Degree in Computer Science or related technical field with proven experience coding in languages including, but not limited to, C, C\+\+, C\#, Java, JavaScript, or Python OR Bachelor's Degree in Computer Science or related technical field AND 1\+ year(s) technical engineering experience with coding in languages including, but not limited to, C, C\+\+, C\#, Java, JavaScript, or Python OR equivalent experience.
* Proficiency in one programming language (Python preferred) and common ML libraries (e.g., scikit\-learn, PyTorch, TensorFlow).
* Understanding of ML and GenAI fundamentals (e.g., supervised learning, evaluation metrics, overfitting/underfitting, regularization, embeddings, tokenization, transformers).
* Ability to manipulate structured and unstructured data (e.g., pandas, SQL).
* Familiarity with Git, code reviews, testing, and debugging in a collaborative environment.
* Interest in learning deployment patterns, monitoring/observability, and responsible AI practices.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
      <c r="A8" t="inlineStr">
        <is>
          <t>li-4359986445</t>
        </is>
      </c>
      <c r="B8" t="inlineStr">
        <is>
          <t>Machine Learning Engineer II - Membership</t>
        </is>
      </c>
      <c r="C8" t="inlineStr">
        <is>
          <t>Uber</t>
        </is>
      </c>
      <c r="D8" t="inlineStr">
        <is>
          <t>linkedin</t>
        </is>
      </c>
      <c r="E8" t="inlineStr"/>
      <c r="F8" t="inlineStr"/>
      <c r="G8" t="inlineStr">
        <is>
          <t>Sunnyvale, CA</t>
        </is>
      </c>
      <c r="H8" t="inlineStr"/>
      <c r="I8" t="inlineStr">
        <is>
          <t>**About The Role**
 Uber has evolved from a simple ride\-hailing service to a comprehensive platform that connects users with various on\-demand services in their cities. The Uber One Membership team is dedicated to enhancing the user experience by providing a convenient and engaging platform that caters to all their needs. Uber One Members enjoy exclusive benefits, including the best price, selection, priority, and perks, all in one place. With a growing membership base of over 30 million and expanding, Uber One has the potential to redefine the global membership landscape. Join us in shaping the future of Uber!
 As part of this team in the Membership Engagement organization you will work with a team of talented engineers contributing to cutting edge efforts developing optimization solutions using real\-time and machine learning signals to solve complex, strategically important challenges. You will participate in the full development cycle from ideation to architecture design, ML model development to implementation, to production release. You will collaborate closely with diverse stakeholders like data scientists, product managers and business in a results\-oriented environment delivering projects that directly impact Uber's top and bottom line \- impacting millions of people around the world.
**What You Will Do**
* Design and build Machine Learning models responsible for large\-scale applied machine learning in optimization and personalization.
* Build high throughput systems that process millions of datapoints each minute and serve hundreds of thousands of QPS
* Collaborate with Product, Science and cross\-functional teams to brainstorm new opportunities and solutions for model and product iteration.
* Write high\-quality code and uphold standards for testing and coverage.
* Align with the team on solutions to ambiguous problems and analyze the tradeoffs of different technical solutions
* Contribute to engineering cultivation in terms of quality, monitoring, and on\-call practices.
**Basic Qualifications**
* Bachelor's degree or equivalent in Computer Science, Engineering, Mathematics or related field, with 2\+ years of full\-time engineering experience.
* Experience with big\-data architecture, ETL frameworks, SQL and database systems such as Hive, Kafka, Cassandra, etc
* 1\+ years of experience in the development, training, productionization and monitoring of ML optimization solutions at scale.
* Experience working with multiple multi\-functional teams (product, science, product ops etc).
* Expertise in one or more object\-oriented programming languages (e.g. Python, Go, Java, C\+\+).
* Proven track records of being a fast learner and go\-getter, with willingness to get out of the comfort zone.
**Preferred Qualifications**
* Experience with taking on vague business problems, translating them into ML \+ Optimization formulation, identifying the right features, model structure and optimization constraints, and delivering business impact.
* Experience with the design and architecture of ML systems and workflows.
* Experience in modern deep learning architectures, probabilistic models and causal inference/personalization/ranking.
* Experience in optimization (RL / Bayes / Bandits) and online learning.
* Experience with optimizing Spark queries for better CPU and memory efficiency.
* Experience owning and delivering a technically challenging, multi\-quarter project end to end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9">
      <c r="A9" t="inlineStr">
        <is>
          <t>li-4316044728</t>
        </is>
      </c>
      <c r="B9" t="inlineStr">
        <is>
          <t>Machine Learning Engineer - Data Foundation and AI</t>
        </is>
      </c>
      <c r="C9" t="inlineStr">
        <is>
          <t>Plaid</t>
        </is>
      </c>
      <c r="D9" t="inlineStr">
        <is>
          <t>linkedin</t>
        </is>
      </c>
      <c r="E9" t="inlineStr"/>
      <c r="F9" t="inlineStr"/>
      <c r="G9" t="inlineStr">
        <is>
          <t>San Francisco, CA</t>
        </is>
      </c>
      <c r="H9" t="inlineStr"/>
      <c r="I9"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Foundation \&amp; AI team builds advanced ML/AI models and applications that enable product teams to deliver intelligence at scale. We design infrastructure and abstractions that make AI development faster, more reliable, and more impactful. From embeddings and representation learning to applied AI systems, our work provides the building blocks for the next generation of financial services on Plaid.
 You’ll be a machine learning engineer on the Data Foundation \&amp; AI team. In this role, you will design, build, and scale advanced ML/AI systems that power Plaid products and applications. Your work may span developing reliable distributed training and serving systems, improving ML operations at scale, and building AI\-powered applications that enable new product experiences.
**Responsibilities**
* Building and scaling advanced ML/AI systems that power core Plaid products and applications used by millions of consumers.
* Driving impact at scale by improving distributed training, serving, and ML operations to make Plaid’s AI capabilities faster, more reliable, and more widely available.
* Developing new AI applications that enable innovative product experiences across fintech.
* Tackling 0 to 1 problems where you explore new approaches, as well as scaling 1 to 10 systems for reliability and efficiency.
* Collaborating with some of the strongest MLEs at Plaid in a high\-ownership, bottom\-up driven team.
* Experimenting with cutting\-edge ML and AI techniques while balancing practical productionization and measurable business impact.
**Qualifications**
* 1\-3 years of experience training, deploying, and scaling ML/AI models in production environments.
* Strong experience with distributed systems and ML operations — from large\-scale training to low\-latency serving and monitoring.
* Proficiency in Python and modern ML frameworks (e.g., PyTorch), with the ability to implement and optimize complex models.
* Hands\-on experience building or scaling ML/AI infrastructure, pipelines, or reusable platforms that support multiple teams.
* Curiosity and drive to experiment with advanced AI techniques (e.g., embeddings, retrieval, generative modeling) while staying grounded in production impact.
* Experience applying ML/AI in fintech or similarly regulated industries is a plus.
* Ability to thrive in a collaborative environment, working with both technical and non\-technical partners to drive measurable outcomes.
 $186,000 \- $236,400 a year
 The target base salary for this position ranges from $186,000/year to $236,400/year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0">
      <c r="A10" t="inlineStr">
        <is>
          <t>li-4283795561</t>
        </is>
      </c>
      <c r="B10" t="inlineStr">
        <is>
          <t>Machine Learning Engineer</t>
        </is>
      </c>
      <c r="C10" t="inlineStr">
        <is>
          <t>Arc Institute</t>
        </is>
      </c>
      <c r="D10" t="inlineStr">
        <is>
          <t>linkedin</t>
        </is>
      </c>
      <c r="E10" t="inlineStr"/>
      <c r="F10" t="inlineStr"/>
      <c r="G10" t="inlineStr">
        <is>
          <t>Palo Alto, CA</t>
        </is>
      </c>
      <c r="H10" t="inlineStr"/>
      <c r="I10" t="inlineStr">
        <is>
          <t>**About Arc Institute** 
 The Arc Institute is a new scientific institution that conducts curiosity\-driven basic science and technology development to understand and treat complex human diseases. Headquartered in Palo Alto, California, Arc is an independent research organization founded on the belief that many important research programs will be enabled by new institutional models. Arc operates in partnership with Stanford University, UCSF, and UC Berkeley.
 While the prevailing university research model has yielded many tremendous successes, we believe in the importance of institutional experimentation as a way to make progress. These include:
* ****Funding:****
 Arc will fully fund Core Investigators’ (PIs’) research groups, liberating scientists from the typical constraints of project\-based external grants.
* ****Technology:****
 Biomedical research has become increasingly dependent on complex tooling. Arc Technology Centers develop, optimize and deploy rapidly advancing experimental and computational technologies in collaboration with Core Investigators.
* ****Support:****
 Arc aims to provide first\-class support—operationally, financially and scientifically—that will enable scientists to pursue long\-term high risk, high reward research that can meaningfully advance progress in disease cures, including neurodegeneration, cancer, and immune dysfunction.
* ****Culture:****
 We believe that culture matters enormously in science and that excellence is difficult to sustain. We aim to create a culture that is focused on scientific curiosity, a deep commitment to truth, broad ambition, and selfless collaboration.
 Arc has scaled to nearly 200 people. With $650M\+ in committed funding and a state of the art new lab facility in Palo Alto, Arc will continue to grow quickly in the coming years.
**About the position** 
 We are searching for an experienced and collaborative machine learning research engineer focused on advancing the frontiers of biological foundation models. This role will contribute to the development and application of Arc’s Virtual Cell Initiative (State) focused on developing cell biological models capable of predicting the impact of perturbations and stimuli, frontier DNA foundation models (Evo), and other projects in the context of Institute\-wide machine learning efforts.
**About you** 
* You are an innovative machine learning engineer with a deep understanding of ML principles, enabling you to design, modify, and critically evaluate model architectures, not just apply existing ones. You have significant experience in training large deep learning models.
* You enjoy thinking from first principles, seeking to deeply understand the data and its underlying dynamics to drive effective and innovative modeling strategies.
* You are excited about working closely with a multidisciplinary team of computational and experimental biologists at Arc to achieve breakthrough capabilities in biological prediction and design tasks.
* You are a strong communicator, capable of translating complex technical concepts to researchers outside of your domain.
* You are a continuous learner and are enthusiastic about developing and evaluating a model that impacts many biological disciplines.
**In this position, you will** 
* Actively participate in the design, implementation, and refinement of state\-of\-the\-art foundation models developed in collaboration with other ML researchers and scientists at Arc with the goal of understanding and designing complex biological systems.
* Engineer large\-scale distributed model pretraining and pipelines for efficient model inference.
* Enable robust systematic evaluation of trained models.
* Stay up\-to\-date with the latest advancements in technologies for large\-scale sequence modeling and alignment, and implement the most promising strategies to ensure the underlying models remain state\-of\-the\-art.
* Work with experimental biologists to ensure that the developed models are grounded in biologically meaningful problems and evaluations.
* Publish findings through journal publications, white papers, and presentations (both internal to Arc and external).
* Foster internal and external collaborations centered on generative design of biological systems at Arc Institute.
* Commit to a collaborative and inclusive team environment, sharing expertise and mentoring others.
**Job Requirements** 
* B.S, MS or PhD in Computer Science, Machine Learning or a related field.
* Minimum of 5\-8\+ years of relevant experience in machine learning research or ML engineering in an academic (e.g., PhD) or industry research lab.
* Well\-versed in machine learning frameworks such as PyTorch or JAX.
* Experience with developing distributed training tools such as FSDP, DeepSpeed, or Megatron\-LM.
* Excellent communication skills, both written and verbal, with a strong track record of presentations and publications.
* Ability to communicate and collaborate successfully with biologists and software/infrastructure engineers.
* Motivated to work in a fast\-paced, ambitious, multi\-disciplinary, and highly collaborative research environment.
 The base salary range for this position is $168,000\-$242,500\. These amounts reflect the range of base salary that the Institute reasonably would expect to pay a new hire or internal candidate for this position. The actual base compensation paid to any individual for this position may vary depending on factors such as experience, market conditions, education/training, skill level, and whether the compensation is internally equitable, and does not include bonuses, commissions, differential pay, other forms of compensation, or benefits. This position is also eligible to receive an annual discretionary bonus, with the amount dependent on individual and institute performance factors.</t>
        </is>
      </c>
    </row>
    <row r="11">
      <c r="A11" t="inlineStr">
        <is>
          <t>li-4359946642</t>
        </is>
      </c>
      <c r="B11" t="inlineStr">
        <is>
          <t>Machine Learning Engineer</t>
        </is>
      </c>
      <c r="C11" t="inlineStr">
        <is>
          <t>ServiceNow</t>
        </is>
      </c>
      <c r="D11" t="inlineStr">
        <is>
          <t>linkedin</t>
        </is>
      </c>
      <c r="E11" t="inlineStr"/>
      <c r="F11" t="inlineStr"/>
      <c r="G11" t="inlineStr"/>
      <c r="H11" t="inlineStr"/>
      <c r="I11" t="inlineStr">
        <is>
          <t>**About The Company** 
 Founded in 2004 in sunny San Diego, California, ServiceNow has established itself as a global leader in enterprise cloud computing solutions. The company was envisioned by engineer Fred Luddy with the goal of transforming how organizations work by connecting people, systems, and processes through innovative technology. Today, ServiceNow serves over 8,100 customers worldwide, including 85% of the Fortune 500®, providing intelligent, AI\-enhanced cloud\-based platforms that enable smarter, faster, and more efficient workflows. Our mission is to make the world work better for everyone by continuously pioneering advancements in AI, automation, and digital transformation. With a commitment to innovation, customer success, and inclusive growth, ServiceNow remains at the forefront of enterprise IT and workflow automation solutions.
**About The Role** 
 We are seeking a highly skilled Staff Machine Learning Engineer to join our Platform Engineering and AI Technology Organization (PLATO) at ServiceNow. This role is integral to building and advancing our AI platform, supporting the deployment and operation of large language models (LLMs) and other AI workloads. The successful candidate will collaborate with researchers, AI engineers, and infrastructure teams to ensure GPU clusters and AI infrastructure perform optimally, scale efficiently, and remain reliable. This position involves designing, developing, and implementing infrastructure, deployment, and observability features that power AI\-driven products. The role requires close engagement with product owners to translate detailed requirements into high\-quality, scalable solutions. As part of our team, you will also mentor colleagues, promote knowledge sharing, and contribute to continuous improvement initiatives within our operational practices.
**Qualifications** 
* Proven experience in integrating AI into work processes, decision\-making, or problem\-solving
* Proficiency in prompt engineering and developing features based on large language models (LLMs)
* Experience with training and fine\-tuning large language models, including distillation, supervised fine\-tuning, and policy optimization
* Hands\-on experience with AI productivity tools such as Cursor, Windsurf, etc.
* Knowledge of operating LLMs on NVIDIA GPUs
* At least 4\+ years of development experience with Python, GoLang, Java, or similar languages
* Minimum of 4\+ years of experience managing highly available distributed workloads on Kubernetes following DevOps principles
* Strong familiarity with DevOps tooling such as Helm, Ansible, Prometheus, GitLab CI, and Splunk
* Extensive experience working with Linux\-based distributed systems and J2EE environments
* Understanding of software\-defined networking, infrastructure as code, and configuration management
* Experience developing secure and compliant software for regulated environments
* Ability to lead projects with significant technical risk and drive outcomes
* Preferred: 4\+ years of experience in platform operations, SRE, and infrastructure deployments with a focus on platform health
**Responsibilities** 
* Design, develop, and implement infrastructure, platform, deployment, and observability features supporting AI workloads
* Collaborate with research, AI engineering, and infrastructure teams to optimize GPU cluster performance, scalability, and reliability
* Enhance the Site Reliability Engineering (SRE) practice by transforming operational use cases into software tooling requirements
* Execute deployment and support activities for AI/ML developers, ensuring smooth operation of AI models and workflows
* Write high\-quality, clean, scalable, and reusable code, adhering to best practices such as code reviews and unit testing
* Partner with product owners to gather requirements, and oversee the full lifecycle from design to delivery of AI solutions
* Operate and optimize large language models on NVIDIA GPUs, ensuring efficiency and performance
* Mentor colleagues, foster knowledge sharing, and promote best practices within the team
* Contribute to continuous improvement initiatives in platform reliability, performance, and security
**Benefits** 
* Competitive base salary ranging from $173,100 to $303,000, commensurate with experience and location
* Equity options (where applicable) and incentive\-based compensation
* Comprehensive health plans, including flexible spending accounts
* 401(k) retirement plan with company matching
* Employee Stock Purchase Program (ESPP) and matching charitable donations
* Flexible time\-off policies and family leave programs
* Opportunities for professional development and continuous learning
* Inclusive and supportive work environment promoting diversity and equity
 Equal Opportunity
 ServiceNow is an equal opportunity employer. We are committed to creating a diverse and inclusive workplace where all qualified applicants are considered without regard to race, color, creed, religion, sex, sexual orientation, gender identity or expression, national origin, age, disability, veteran status, or any other protected category.</t>
        </is>
      </c>
    </row>
    <row r="12">
      <c r="A12" t="inlineStr">
        <is>
          <t>li-4333291067</t>
        </is>
      </c>
      <c r="B12" t="inlineStr">
        <is>
          <t>AI Engineer</t>
        </is>
      </c>
      <c r="C12" t="inlineStr">
        <is>
          <t>Hippocratic AI</t>
        </is>
      </c>
      <c r="D12" t="inlineStr">
        <is>
          <t>linkedin</t>
        </is>
      </c>
      <c r="E12" t="inlineStr"/>
      <c r="F12" t="inlineStr"/>
      <c r="G12" t="inlineStr">
        <is>
          <t>Palo Alto, CA</t>
        </is>
      </c>
      <c r="H12" t="inlineStr"/>
      <c r="I12"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As an
 **AI Engineer at Hippocratic AI** 
 , you’ll play a pivotal role in shaping the future of
 **voice\-based generative AI in healthcare** 
 . You’ll design and build the intelligent systems that power our
 **clinically safe healthcare agents** 
 , working at the intersection of large language models, real\-time voice, and human\-centered product design.
 This is a deeply
 **hands\-on and cross\-functional role** 
 , partnering closely with
 **AI researchers, product managers, and clinical experts** 
 to bring advanced language and speech models into production. From building scalable RAG and multi\-agent pipelines to conversational interactions, your work will directly influence how patients and providers safely interact with generative AI at scale.
 We’re looking for experienced engineers who are passionate about
 **AI in the real world** 
 —people who love taking cutting\-edge research, turning it into robust products, and advancing the frontier of what’s possible in
 **safe, agentic healthcare systems** 
 .
 What You'll Do:
* Design, build, and optimize production\-grade AI pipelines that power our voice\-based generative healthcare agents—from retrieval\-augmented generation (RAG) to multi\-step reasoning systems.
* Collaborate cross\-functionally with product, clinical, and engineering teams to translate healthcare workflows into safe, scalable, and human\-centered AI experiences.
* Prototype and deploy zero\-to\-one features using state\-of\-the\-art LLMs, retrieval systems, and streaming architectures—balancing innovation with reliability.
* Develop and refine AI\-native workflows that support real\-time, conversational, and long\-running interactions across diverse healthcare contexts.
* Drive continuous improvement in model evaluation, safety testing, and observability, ensuring every agent interaction meets clinical safety standards
 What You Bring
**Must Have:**
* 3\+ years of professional experience in software, ML, or AI engineering.
* Proven track record building and shipping AI\- or ML\-powered products in production environments.
* Strong programming skills in Python with experience in distributed systems, APIs, and data pipelines.
* Deep understanding of prompt engineering, vector databases, and retrieval systems (RAG), voice agents or willingness to learn rapidly.
* Experience with cloud environments (AWS/GCP/Azure) and modern DevOps practices (Terraform, CI/CD, monitoring).
* Excellent communication, cross\-functional collaboration, and an ability to move fast in high\-impact domains.
 Nice\-to\-Have:
* Experience building or deploying LLM\-based or multi\-agent systems at scale.
* Hands\-on work with speech recognition, text\-to\-speech, or streaming architectures for real\-time AI experiences.
* Prior exposure to healthcare, safety\-critical domains, or regulated product development.
 If you’re an
 **AI engineer** 
 who thrives at the intersection of
 **cutting\-edge research and real\-world product impact** 
 , we’d love to hear from you.
 Join
 **Hippocratic AI** 
 and help shape the future of
 **clinically safe, voice\-enabled AI systems** 
 that are already transforming patient care at scale.
*Please be aware of recruitment scams impersonating Hippocratic AI. All recruiting communication will come from @* 
*hippocraticai.com* 
*email addresses. We will never request payment or sensitive personal information during the hiring process.*</t>
        </is>
      </c>
    </row>
    <row r="13">
      <c r="A13" t="inlineStr">
        <is>
          <t>li-4324974383</t>
        </is>
      </c>
      <c r="B13" t="inlineStr">
        <is>
          <t>AI Engineer</t>
        </is>
      </c>
      <c r="C13" t="inlineStr">
        <is>
          <t>AI Fund</t>
        </is>
      </c>
      <c r="D13" t="inlineStr">
        <is>
          <t>linkedin</t>
        </is>
      </c>
      <c r="E13" t="inlineStr"/>
      <c r="F13" t="inlineStr"/>
      <c r="G13" t="inlineStr">
        <is>
          <t>Palo Alto, CA</t>
        </is>
      </c>
      <c r="H13" t="inlineStr"/>
      <c r="I13" t="inlineStr">
        <is>
          <t>Palo Alto, CA
 AI Fund – AI Fund /
 Full time /
 Hybrid
**Who we are:**
 AI is the new electricity. Just as it transformed entire industries 100 years ago, AI is poised to do the same today. AI Fund is a venture studio that co\-founds companies alongside entrepreneurs, and we build companies from inception to market launch. Founded in 2017 by Dr. Andrew Ng, the $370 million\-dollar funded venture studio is backed by top\-tier VC firms and investors, and brings to bear the AI Fund teams’ combined experiences as AI pioneers, entrepreneurs, venture capitalists, and builders.
 Together, let’s build great companies that will move humanity forward.
**What We’re Looking For:**
 We’re looking for an
 **AI Engineer** 
 with a strong foundation in full\-stack software development and proven hands\-on experience working with large language models (LLMs) and Generative AI technologies. The ideal candidate will blend practical software engineering skills with deep curiosity and fluency in modern AI workflows.
 This role is a great match for someone who loves exploring new technologies, takes initiative, and enjoys working across teams to turn bold ideas into reality. It’s ideal for an engineer who approaches problems with a product mindset, builds with the precision of a systems architect, and brings the curiosity of a researcher. If you're excited about pushing the boundaries of how cutting\-edge AI can power real\-world applications, we’d be excited to connect with you.
**This is a full\-time hybrid position for candidates based in the Bay Area. You must already have, or be able to obtain, authorization to work in the United States.**
**What You’ll Do**
* Design, develop, and maintain both front\-end and back\-end components of GenAI\-powered applications.
* Build and integrate APIs and third\-party services—including tools like Cursor, Windsurf, and various LLM platforms—to enhance AI functionality.
* Collaborate closely with product and engineering teams to prototype and iterate on innovative, AI\-driven user experiences.
* Design and manage databases with a focus on performance, reliability, and scalability for AI\-intensive applications.
* Contribute to architecture discussions, especially around LLM integration, prompt pipelines, and agentic workflows.
* Stay deeply informed about advancements in GenAI, LLMs, and software development to help evolve our engineering practices and AI capabilities.
**What You Must Bring**
* 2\+ years of experience as a full\-stack engineer or in a similar role.
* Proficiency in front\-end technologies such as JavaScript, HTML, CSS, and frameworks like React, Vue, or Angular.
* Strong back\-end experience in Python, including designing and building scalable APIs and server\-side logic.
* Comfortable working with both SQL (e.g., PostgreSQL, MySQL) and NoSQL (e.g., MongoDB) databases.
* Skilled in RESTful API design and WebSocket integrations.
* Experience with Git and collaborative workflows in modern software development environments.
* Familiarity with cloud platforms (especially AWS) and containerization tools such as Docker for deployment and environment management.
* Strong communication skills and the ability to collaborate effectively with both technical and non\-technical stakeholders.
* Hands\-on experience building with LLMs (e.g., OpenAI, Claude, Gemini) in ways that go well beyond basic prompting.
* Practical knowledge of advanced LLM use cases including: Tool/function calling, Agentic workflows, Retrieval\-Augmented Generation (RAG), and Finetuning models.
* Familiarity with leading GenAI frameworks and tools such as LangChain, Hugging Face, LlamaIndex, Haystack, or similar.
* Demonstrated ability to integrate AI capabilities into full\-stack applications as part of side projects, prior work experience, or academic research.
* A strong interest in the evolving AI/LLM landscape and a drive to stay ahead of emerging trends.
**What You Get Working With Us**
* Work directly with leading voices in AI, including Andrew Ng and other accomplished founders and entrepreneurs who are shaping the future of the industry.
* Build real, meaningful products that apply GenAI and LLM technologies to solve important problems across a range of industries.
* Join an ambitious, highly collaborative team that values rapid learning, autonomy, and strong engineering practices.
* Be at the frontier of AI innovation, experimenting with tools like Cursor, Windsurf, and the latest LLM frameworks to push the boundaries of what’s possible.
* Grow your skills and career through hands\-on experience with cutting\-edge AI technologies, exposure to exceptional mentors, and an environment that encourages experimentation.
 At AI Fund,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AI Fund seeks to recruit, develop and retain the most talented people from a diverse candidate pool. Selection for employment is decided on the basis of qualifications, merit, and business need.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
      <c r="A14" t="inlineStr">
        <is>
          <t>li-4360626246</t>
        </is>
      </c>
      <c r="B14" t="inlineStr">
        <is>
          <t>Machine Learning Engineer</t>
        </is>
      </c>
      <c r="C14" t="inlineStr">
        <is>
          <t>Wiraa</t>
        </is>
      </c>
      <c r="D14" t="inlineStr">
        <is>
          <t>linkedin</t>
        </is>
      </c>
      <c r="E14" t="inlineStr"/>
      <c r="F14" t="inlineStr"/>
      <c r="G14" t="inlineStr"/>
      <c r="H14" t="inlineStr"/>
      <c r="I14" t="inlineStr">
        <is>
          <t>**About The Company**
 Upstart is a pioneering AI\-driven lending marketplace that collaborates with banks and credit unions to broaden access to affordable credit. By harnessing advanced artificial intelligence technologies, Upstart enables financial institutions to make smarter lending decisions, resulting in higher approval rates and reduced loss rates across diverse demographics, including race, age, and gender. The platform facilitates a seamless digital\-first lending experience, with over 80% of borrowers receiving instant approval without the need for extensive documentation. As a fully digital company, Upstart offers flexible work arrangements, allowing most employees to work remotely from anywhere in the United States, while maintaining offices in San Mateo, California; Columbus, Ohio; and Austin, Texas. The company’s mission revolves around providing effortless credit access based on true risk assessment, which resonates strongly with team members committed to making a meaningful impact in financial inclusivity and innovation.
**About The Role**
 We are seeking a talented Machine Learning Engineer to join our Personal Loan Underwriting team. This pivotal role involves developing, deploying, and maintaining machine learning models that drive Upstart’s credit decisioning processes. As a key contributor, you will work closely with research scientists, data scientists, and engineering teams to enhance our machine learning infrastructure, streamline workflows, and accelerate the transition from research ideas to production\-ready models. Your efforts will directly influence the efficiency, accuracy, and fairness of our lending platform, empowering us to deliver innovative solutions that expand access to credit. The ideal candidate will be passionate about leveraging cutting\-edge algorithms and methodologies to solve complex problems, improve predictive performance, and foster a culture of continuous improvement within the team.
**Qualifications**
* PhD in a quantitative field with 0\+ years of relevant experience
* Masters in a quantitative field with 2\+ years of relevant experience
* Bachelor’s degree in a quantitative field with 4\+ years of relevant experience
* Proficiency in Python programming language
* Hands\-on experience with machine learning techniques and frameworks
**Responsibilities**
* Design, develop, and optimize machine learning models for credit underwriting purposes
* Build scalable, repeatable workflows and automation tools to enhance research and deployment processes
* Collaborate with research scientists and data scientists to translate research prototypes into production systems
* Implement algorithms and code improvements to increase model accuracy and predictive power
* Monitor, evaluate, and fine\-tune models in production to ensure optimal performance and fairness
* Identify opportunities for engineering improvements and develop a strategic roadmap for the team
* Explore and experiment with new algorithms, methodologies, and tools to stay at the forefront of machine learning innovation
* Work cross\-functionally with other engineering teams to ensure seamless integration and high\-quality system performance
**Benefits**
* Competitive base salary, bonus, and equity options
* Comprehensive medical, dental, and vision insurance, along with Health Savings Account contributions
* 401(k) plan with 100% company match up to $4,500 and immediate vesting
* Employee Stock Purchase Plan (ESPP)
* Life and disability insurance coverage
* Generous holiday, vacation, sick leave, and safety leave policies
* Supportive parental, family care, and military leave programs
* Annual wellness, technology, and ergonomic reimbursement programs
* Engaging social activities, including team events, onsite sessions, Employee Resource Groups, and interest groups
* Catered lunches, snacks, and drinks available in office environments
 Equal Opportunity
 Upstart is an Equal Opportunity Employer committed to fostering a diverse and inclusive workplace. We believe that embracing different backgrounds, perspectives, and experiences enhances our ability to serve our customers better. We are dedicated to ensuring equitable access to employment opportunities and provide reasonable accommodations for applications, interviews, or pre\-employment testing upon request. All qualified applicants will receive consideration without regard to race, color, religion, sex, sexual orientation, gender identity, national origin, age, disability, or any other protected status. We celebrate the richness of diversity and are committed to creating an environment where everyone can thrive.</t>
        </is>
      </c>
    </row>
    <row r="15">
      <c r="A15" t="inlineStr">
        <is>
          <t>li-4328460392</t>
        </is>
      </c>
      <c r="B15" t="inlineStr">
        <is>
          <t>Machine Learning Engineer - VP</t>
        </is>
      </c>
      <c r="C15" t="inlineStr">
        <is>
          <t>Citi</t>
        </is>
      </c>
      <c r="D15" t="inlineStr">
        <is>
          <t>linkedin</t>
        </is>
      </c>
      <c r="E15" t="inlineStr"/>
      <c r="F15" t="inlineStr"/>
      <c r="G15" t="inlineStr">
        <is>
          <t>Jersey City, NJ</t>
        </is>
      </c>
      <c r="H15" t="inlineStr"/>
      <c r="I15" t="inlineStr">
        <is>
          <t>We are seeking a highly skilled and motivated Machine Learning Engineer to join our technology team. The ideal candidate will be responsible for designing, developing, and deploying cutting\-edge applications that leverage Generative AI and Large Language Models (LLMs). This role involves architecting end\-to\-end platform services with a focus on scalability, reliability, and performance. You will be a key player in driving the implementation of new AI\-driven systems and programs that will impact all business line at Citi globally.
**Responsibilities**
* Architect and Build AI Solutions: Design and architect end\-to\-end platform capabilities and services that integrate with Generative AI technologies.
* Implement RAG Solutions: Develop and deploy solutions using VectorRAG and GraphRAG techniques with both open\-source and commercial Large Language Models.
* Develop AI Workflows: Apply a strong understanding of Agentic AI workflows and frameworks to build sophisticated, automated systems.
* Drive DevOps Best Practices: Implement robust CI/CD pipelines, automated testing, and containerization (Docker, Kubernetes) to streamline the development and deployment of machine learning models.
* End\-to\-End Project Ownership: Manage your deliverables from conception to deployment, proactively identifying and mitigating risks to ensure project goals are met.
* Rapid Prototyping: Perform and lead quick proof\-of\-concept (POC) projects to evaluate and demonstrate the feasibility of new GenAI use cases.
* Ensure System Integrity: Appropriately assess and manage risk in all technical and business decisions, ensuring compliance with applicable laws, rules, and regulations, and maintaining transparency in reporting and managing control issues.
* Collaborate and Innovate: Work closely with cross\-functional teams to solve complex problems, adapt quickly to changing priorities, and contribute to a culture of innovation.
**Required Qualifications**
* Experience: 5\+ years of relevant experience in Software Development or a Systems Analysis role, with a strong focus on machine learning.
* Programming Skills: Strong object\-oriented programming skills with expert\-level proficiency in Python.
* AI/ML Expertise: Deep experience with AI/ML frameworks (e.g., Langchain) and hands\-on experience with Generative AI technologies and Large Language Models.
* Application Development: Proven experience building applications that apply LLMs and GenAI to use cases such as search, chat agents, and guided analytics.
* DevOps Knowledge: Strong, working knowledge of DevOps tools (e.g., Jenkins, GitLab, Docker, Kubernetes) and Infrastructure as Code (IaC) practices.
* Architectural Understanding: Solid understanding of modern software development practices, including microservices architecture and API design principles.
* Data Proficiency: Experience with various data storage solutions (e.g., NoSQL, SQL, data lakes) and data pipeline orchestration.
* Problem\-Solving: Excellent analytical and problem\-solving skills with a proven ability to troubleshoot complex technical issues and provide innovative solutions.
**Preferred Qualifications**
* Cloud Architecture: Experience with various cloud platforms (e.g., AWS, GCP, Azure) and architectures (e.g., single/multi\-tenant).
* Large\-Scale Systems: Experience designing and implementing microservices\-based architectures for large\-scale platforms in complex environments.
* Leadership: Demonstrated leadership, project management skills, and a proven track record of self\-motivation and continuous learning.
 \-\-\-\-\-\-\-\-\-\-\-\-\-\-\-\-\-\-\-\-\-\-\-\-\-\-\-\-\-\-\-\-\-\-\-\-\-\-\-\-\-\-\-\-\-\-\-\-\-\-\-\-\-\-
**Job Family Group:**
 Technology
 \-\-\-\-\-\-\-\-\-\-\-\-\-\-\-\-\-\-\-\-\-\-\-\-\-\-\-\-\-\-\-\-\-\-\-\-\-\-\-\-\-\-\-\-\-\-\-\-\-\-\-\-\-\-
**Job Family:**
 Applications Development
 \-\-\-\-\-\-\-\-\-\-\-\-\-\-\-\-\-\-\-\-\-\-\-\-\-\-\-\-\-\-\-\-\-\-\-\-\-\-\-\-\-\-\-\-\-\-\-\-\-\-\-\-\-\-
**Time Type:**
 Full time
 \-\-\-\-\-\-\-\-\-\-\-\-\-\-\-\-\-\-\-\-\-\-\-\-\-\-\-\-\-\-\-\-\-\-\-\-\-\-\-\-\-\-\-\-\-\-\-\-\-\-\-\-\-\-
**Primary Location:**
 Jersey City New Jersey United States
 \-\-\-\-\-\-\-\-\-\-\-\-\-\-\-\-\-\-\-\-\-\-\-\-\-\-\-\-\-\-\-\-\-\-\-\-\-\-\-\-\-\-\-\-\-\-\-\-\-\-\-\-\-\-
**Primary Location Full Time Salary Range:**
 $142,320\.00 \- $213,480\.00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AI Frameworks, Generative AI, Large Language Model (LLM) Fine\-Tuning, ML Frameworks, Python (Programming Language).
 \-\-\-\-\-\-\-\-\-\-\-\-\-\-\-\-\-\-\-\-\-\-\-\-\-\-\-\-\-\-\-\-\-\-\-\-\-\-\-\-\-\-\-\-\-\-\-\-\-\-\-\-\-\-
**Anticipated Posting Close Date:**
 Dec 26,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16">
      <c r="A16" t="inlineStr">
        <is>
          <t>li-4352463129</t>
        </is>
      </c>
      <c r="B16" t="inlineStr">
        <is>
          <t>AI/ML Engineer / Defence / $500k+ / NYC</t>
        </is>
      </c>
      <c r="C16" t="inlineStr">
        <is>
          <t>Open Talent</t>
        </is>
      </c>
      <c r="D16" t="inlineStr">
        <is>
          <t>linkedin</t>
        </is>
      </c>
      <c r="E16" t="inlineStr"/>
      <c r="F16" t="inlineStr"/>
      <c r="G16" t="inlineStr">
        <is>
          <t>New York, United States</t>
        </is>
      </c>
      <c r="H16" t="inlineStr"/>
      <c r="I16"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17">
      <c r="A17" t="inlineStr">
        <is>
          <t>li-4328580408</t>
        </is>
      </c>
      <c r="B17" t="inlineStr">
        <is>
          <t>Machine Learning Engineer - VP</t>
        </is>
      </c>
      <c r="C17" t="inlineStr">
        <is>
          <t>Citi</t>
        </is>
      </c>
      <c r="D17" t="inlineStr">
        <is>
          <t>linkedin</t>
        </is>
      </c>
      <c r="E17" t="inlineStr"/>
      <c r="F17" t="inlineStr"/>
      <c r="G17" t="inlineStr">
        <is>
          <t>Jersey City, NJ</t>
        </is>
      </c>
      <c r="H17" t="inlineStr"/>
      <c r="I17" t="inlineStr">
        <is>
          <t>We are seeking a highly skilled and motivated Machine Learning Engineer to join our technology team. The ideal candidate will be responsible for designing, developing, and deploying cutting\-edge applications that leverage Generative AI and Large Language Models (LLMs). This role involves architecting end\-to\-end platform services with a focus on scalability, reliability, and performance. You will be a key player in driving the implementation of new AI\-driven systems and programs that will impact all business line at Citi globally.
**Responsibilities**
* Architect and Build AI Solutions: Design and architect end\-to\-end platform capabilities and services that integrate with Generative AI technologies.
* Implement RAG Solutions: Develop and deploy solutions using VectorRAG and GraphRAG techniques with both open\-source and commercial Large Language Models.
* Develop AI Workflows: Apply a strong understanding of Agentic AI workflows and frameworks to build sophisticated, automated systems.
* Drive DevOps Best Practices: Implement robust CI/CD pipelines, automated testing, and containerization (Docker, Kubernetes) to streamline the development and deployment of machine learning models.
* End\-to\-End Project Ownership: Manage your deliverables from conception to deployment, proactively identifying and mitigating risks to ensure project goals are met.
* Rapid Prototyping: Perform and lead quick proof\-of\-concept (POC) projects to evaluate and demonstrate the feasibility of new GenAI use cases.
* Ensure System Integrity: Appropriately assess and manage risk in all technical and business decisions, ensuring compliance with applicable laws, rules, and regulations, and maintaining transparency in reporting and managing control issues.
* Collaborate and Innovate: Work closely with cross\-functional teams to solve complex problems, adapt quickly to changing priorities, and contribute to a culture of innovation.
**Required Qualifications**
* Experience: 5\+ years of relevant experience in Software Development or a Systems Analysis role, with a strong focus on machine learning.
* Programming Skills: Strong object\-oriented programming skills with expert\-level proficiency in Python.
* AI/ML Expertise: Deep experience with AI/ML frameworks (e.g., Langchain) and hands\-on experience with Generative AI technologies and Large Language Models.
* Application Development: Proven experience building applications that apply LLMs and GenAI to use cases such as search, chat agents, and guided analytics.
* DevOps Knowledge: Strong, working knowledge of DevOps tools (e.g., Jenkins, GitLab, Docker, Kubernetes) and Infrastructure as Code (IaC) practices.
* Architectural Understanding: Solid understanding of modern software development practices, including microservices architecture and API design principles.
* Data Proficiency: Experience with various data storage solutions (e.g., NoSQL, SQL, data lakes) and data pipeline orchestration.
* Problem\-Solving: Excellent analytical and problem\-solving skills with a proven ability to troubleshoot complex technical issues and provide innovative solutions.
**Preferred Qualifications**
* Cloud Architecture: Experience with various cloud platforms (e.g., AWS, GCP, Azure) and architectures (e.g., single/multi\-tenant).
* Large\-Scale Systems: Experience designing and implementing microservices\-based architectures for large\-scale platforms in complex environments.
* Leadership: Demonstrated leadership, project management skills, and a proven track record of self\-motivation and continuous learning.
 \-\-\-\-\-\-\-\-\-\-\-\-\-\-\-\-\-\-\-\-\-\-\-\-\-\-\-\-\-\-\-\-\-\-\-\-\-\-\-\-\-\-\-\-\-\-\-\-\-\-\-\-\-\-
**Job Family Group:**
 Technology
 \-\-\-\-\-\-\-\-\-\-\-\-\-\-\-\-\-\-\-\-\-\-\-\-\-\-\-\-\-\-\-\-\-\-\-\-\-\-\-\-\-\-\-\-\-\-\-\-\-\-\-\-\-\-
**Job Family:**
 Applications Development
 \-\-\-\-\-\-\-\-\-\-\-\-\-\-\-\-\-\-\-\-\-\-\-\-\-\-\-\-\-\-\-\-\-\-\-\-\-\-\-\-\-\-\-\-\-\-\-\-\-\-\-\-\-\-
**Time Type:**
 Full time
 \-\-\-\-\-\-\-\-\-\-\-\-\-\-\-\-\-\-\-\-\-\-\-\-\-\-\-\-\-\-\-\-\-\-\-\-\-\-\-\-\-\-\-\-\-\-\-\-\-\-\-\-\-\-
**Primary Location:**
 Jersey City New Jersey United States
 \-\-\-\-\-\-\-\-\-\-\-\-\-\-\-\-\-\-\-\-\-\-\-\-\-\-\-\-\-\-\-\-\-\-\-\-\-\-\-\-\-\-\-\-\-\-\-\-\-\-\-\-\-\-
**Primary Location Full Time Salary Range:**
 $142,320\.00 \- $213,480\.00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AI Agents, AI Frameworks, AI Ops, Generative AI, Large Language Models (LLMs), Machine Learning (ML), ML Frameworks, Python (Programming Language), Standard ML (Programming Language).
 \-\-\-\-\-\-\-\-\-\-\-\-\-\-\-\-\-\-\-\-\-\-\-\-\-\-\-\-\-\-\-\-\-\-\-\-\-\-\-\-\-\-\-\-\-\-\-\-\-\-\-\-\-\-
**Anticipated Posting Close Date:**
 Dec 26,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18">
      <c r="A18" t="inlineStr">
        <is>
          <t>li-4351824443</t>
        </is>
      </c>
      <c r="B18" t="inlineStr">
        <is>
          <t>AI Engineer</t>
        </is>
      </c>
      <c r="C18" t="inlineStr">
        <is>
          <t>Haystack</t>
        </is>
      </c>
      <c r="D18" t="inlineStr">
        <is>
          <t>linkedin</t>
        </is>
      </c>
      <c r="E18" t="inlineStr"/>
      <c r="F18" t="inlineStr"/>
      <c r="G18" t="inlineStr"/>
      <c r="H18" t="inlineStr"/>
      <c r="I18" t="inlineStr">
        <is>
          <t>**Associate Director, Data Science \&amp; AI** 
 We're working with CSL Behring on this exciting opportunity.
 Shape the future of healthcare! As an Associate Director, you'll spearhead the application of cutting\-edge AI and machine learning solutions, driving CSL Behring's commercial strategy and impacting patient outcomes globally. If you're passionate about leveraging Generative AI, predictive modeling, and advanced analytics to transform the biopharma landscape, this is your chance to shine.
**The Role** 
 • Lead development and deployment of advanced analytics and AI models for critical commercial challenges, including patient identification in rare diseases.
 • Partner with Commercial, Medical Affairs, and Market Access teams to align AI solutions with strategic business needs.
 • Translate complex business problems into data science use cases, guiding them from proof\-of\-concept to production.
 • Drive the adoption of AI\-enabled tools across the commercial organization, ensuring measurable business impact.
 • Innovate in the field, leading to high\-visibility publications and patents in areas like Generative AI and multi\-agent systems.
**What You'll Need** 
 • 10\+ years of experience in advanced analytics, data science, or (Gen)AI within pharma/biotech or healthcare, with a strong commercial analytics background.
 • Proven track record of developing and deploying machine learning models in commercial or clinical settings.
 • Expertise in cloud environments (AWS, Snowflake) and modern ML frameworks (TensorFlow, PyTorch, scikit\-learn), including no\-code data science SaaS tools.
 • Deep understanding of the pharmaceutical industry, regulatory requirements, and emerging AI technologies.
 • Experience leading cross\-functional AI/ML initiatives from concept through deployment and building evaluation frameworks for LLMs.
**What's On Offer** 
 • Work on groundbreaking AI and data science initiatives to make a tangible impact on global health.
 • Collaborate with a passionate team at a global biotherapeutics leader, CSL Behring.
 • Comprehensive benefits package designed to support your well\-being, from healthcare to financial planning.
 • Opportunities for continuous learning and career development in a rapidly evolving technological landscape.
**Apply via Haystack today!**</t>
        </is>
      </c>
    </row>
    <row r="19">
      <c r="A19" t="inlineStr">
        <is>
          <t>li-4316062296</t>
        </is>
      </c>
      <c r="B19" t="inlineStr">
        <is>
          <t>Staff Machine Learning Engineer - Fraud Data</t>
        </is>
      </c>
      <c r="C19" t="inlineStr">
        <is>
          <t>Plaid</t>
        </is>
      </c>
      <c r="D19" t="inlineStr">
        <is>
          <t>linkedin</t>
        </is>
      </c>
      <c r="E19" t="inlineStr"/>
      <c r="F19" t="inlineStr"/>
      <c r="G19" t="inlineStr">
        <is>
          <t>New York, NY</t>
        </is>
      </c>
      <c r="H19" t="inlineStr"/>
      <c r="I19"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team within Plaid’s Fraud organization builds the machine learning systems that power Plaid’s cutting\-edge fraud detection products. By leveraging Plaid’s extensive network data, we enable proactive fraud prevention—stopping fraud before it happens. Our team owns the entire ML lifecycle, from developing feature pipelines and training models to deploying and monitoring them in production. We ensure that our systems scale reliably and efficiently as Plaid continues to grow and support hundreds of customers.
 As a Staff Machine Learning Engineer on Plaid’s Fraud Data team, you will design and build scalable ML infrastructure that powers our industry\-leading fraud detection product. You’ll lead the evolution of our model deployment, monitoring, and observability frameworks to ensure high reliability and performance at scale. Collaborating closely with teams across ML Infrastructure, Product, and Engineering, you’ll deliver robust systems that protect users and customers from fraud. In addition, you’ll mentor other engineers and help shape the long\-term technical vision and strategy of the Fraud Data team.
 \*\*\*We are open to remote candidates for this role\*\*\*
**Responsibilities**
* Design and build scalable ML infrastructure for Plaid’s fraud detection product
* Working at a fast\-pace environment to build a rapidly growing product with a championship team
* Solving complex problems at the intersection of ML systems, data, and reliability
* Building the foundations for fraud detection on the largest financial dataset in the world
* Collaborating with talented engineers and data scientists across Plaid
**Qualifications**
* 8\+ years total experience, with at least 5 years building and deploying production ML systems.
* Proven experience in machine learning infrastructure/operations.
* Demonstrated technical leadership and architectural vision, driving systems from concept to production.
* Proficiency in Python, PyTorch, Spark, SageMaker, and Airflow, or equivalent technologies.
* Nice to have \- experience working in fraud detection, risk modeling, or financial security domains.
* Nice to have \- background in graph machine learning or related techniques.
 $192,000 \- $400,000 a year
 The target base salary for this position ranges from $192,000/year to $400,000/year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20">
      <c r="A20" t="inlineStr">
        <is>
          <t>li-4206608516</t>
        </is>
      </c>
      <c r="B20" t="inlineStr">
        <is>
          <t>Staff Machine Learning Engineer, Applied Science</t>
        </is>
      </c>
      <c r="C20" t="inlineStr">
        <is>
          <t>Hippocratic AI</t>
        </is>
      </c>
      <c r="D20" t="inlineStr">
        <is>
          <t>linkedin</t>
        </is>
      </c>
      <c r="E20" t="inlineStr"/>
      <c r="F20" t="inlineStr"/>
      <c r="G20" t="inlineStr">
        <is>
          <t>Palo Alto, CA</t>
        </is>
      </c>
      <c r="H20" t="inlineStr"/>
      <c r="I20"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Staff Machine Learning Engineers at Hippocratic AI are foundational to the design, deployment, and optimization of cutting\-edge ML systems powering our next\-generation, safety\-focused generative AI for healthcare. You’ll work closely with research scientists and product teams to build scalable infrastructure and models that support robust, real\-time, and personalized conversational AI capabilities.
 We are seeking an experienced
 **Staff Machine Learning Engineer** 
 to lead the development of machine learning pipelines, contribute to training and inference systems for Large Language Models (LLMs), and drive the productionization of ML models that directly impact healthcare delivery and patient outcomes. This role is both strategic and hands\-on, perfect for someone excited about technical leadership in a fast\-paced, mission\-driven environment.
**What You'll Do**
 Our engineering challenges include:
* Designing scalable, high\-performance infrastructure for LLM training, fine\-tuning, and inference
* Building ML pipelines and tooling for experimentation, evaluation, and deployment
* Optimizing model performance and efficiency in production environments
* Collaborating cross\-functionally to integrate ML solutions into end\-user applications
* Maintaining compliance with healthcare standards of safety, privacy, and reliability
**What You Bring**
**Must\-Have:**
* Bachelor’s or Master’s degree in Computer Science, Engineering, or a related technical field; PhD is a plus
* 7\+ years of industry experience building and deploying ML systems, ideally with focus on LLMs or deep learning
* Strong software engineering skills and experience developing in Python
* Deep experience with ML frameworks like PyTorch or TensorFlow
* Familiarity with distributed training frameworks (e.g., DeepSpeed, FSDP, Horovod)
* Proven experience designing, implementing, and scaling ML pipelines for large models
* Experience with cloud platforms (e.g., AWS, GCP, Azure) and container orchestration (e.g., Kubernetes, Docker)
* Exposure to healthcare, clinical, or life sciences data is a strong plus
**Nice\-to\-Have:**
* Strong preference for individuals who can work onsite at our HQ located in Palo Alto, CA, but we will consider candidates throughout the U.S.
 As a Staff ML Engineer at Hippocratic AI, you’ll have a seat at the table in technical decision\-making, partner closely with product and research leads, and help define the roadmap for scalable, safe ML systems. This role offers the chance to be deeply embedded in a team of engineers and scientists pioneering the future of healthcare\-focused AI.
**References**
* Polaris: A Safety\-focused LLM Constellation Architecture for Healthcare, https://arxiv.org/abs/2403\.13313
* Polaris 2: https://www.hippocraticai.com/polaris2
* Personalized Interactions: https://www.hippocraticai.com/personalized\-interactions
* Human Touch in AI: https://www.hippocraticai.com/the\-human\-touch\-in\-ai
* Empathetic Intelligence: https://www.hippocraticai.com/empathetic\-intelligence
* Polaris 1: https://www.hippocraticai.com/research/polaris
* Research and clinical blogs: https://www.hippocraticai.com/research
*Please be aware of recruitment scams impersonating Hippocratic AI. All recruiting communication will come from @* 
*hippocraticai.com* 
*email addresses. We will never request payment or sensitive personal information during the hiring process.*</t>
        </is>
      </c>
    </row>
    <row r="21">
      <c r="A21" t="inlineStr">
        <is>
          <t>li-4316552941</t>
        </is>
      </c>
      <c r="B21" t="inlineStr">
        <is>
          <t>Staff Machine Learning Engineer - Credit</t>
        </is>
      </c>
      <c r="C21" t="inlineStr">
        <is>
          <t>Plaid</t>
        </is>
      </c>
      <c r="D21" t="inlineStr">
        <is>
          <t>linkedin</t>
        </is>
      </c>
      <c r="E21" t="inlineStr"/>
      <c r="F21" t="inlineStr"/>
      <c r="G21" t="inlineStr">
        <is>
          <t>New York, NY</t>
        </is>
      </c>
      <c r="H21" t="inlineStr"/>
      <c r="I21"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At Plaid, our Data team builds the intelligent systems that help millions of people better understand and improve their financial lives. We’re looking for Machine Learning Engineers who are passionate about applying advanced modeling and machine learning techniques—such as natural language processing, anomaly detection, optimization, and time series forecasting—to create meaningful product impact.
 As a Machine Learning Engineer within Plaid's Data organization, you will be responsible for designing, building, and scaling machine learning solutions that drive core product experiences. You will take the lead on initiatives to experiment with innovative modeling approaches, deploy production\-ready systems, and work closely with engineers and data scientists to translate raw data into valuable insights. If you are passionate about advancing state\-of\-the\-art ML to empower financial freedom for all, we encourage you to apply.
**Responsibilities**
* Hands\-on develop, productionize, and operate machine learning models and pipelines to improve a diverse range of Plaid products.
* Continuously proposing and developing new features to improve the AI/ML model performance.
* Working with the ML infrastructure team to improve ML infrastructure that powers the end\-to\-end ML development lifecycle.
* Debugging ML production issues and ensuring stable model serving.
* Work collaboratively with cross\-functional partners to identify opportunities for business impact, understand, refine, and prioritize requirements for AI/ML models, drive engineering decisions, and quantify impact.
**Qualifications**
* 8\+ years of experience developing, training, and deploying ML models in production environments
* Proven experience building and maintaining data\-intensive backend applications within large, distributed systems
* Strong programming skills in Python and familiarity with tools such as Spark, Jupyter, and standard ML libraries
* Background in fintech or other data\-rich, regulated domains
* Demonstrated ability to take ownership and drive projects from concept to measurable business impact
* Solid understanding of data engineering and analytics concepts
* Skilled at collaborating across technical and non\-technical teams
* Master’s degree (or equivalent experience) in Computer Science, Mathematics, Engineering, or a related field
* Nice to Have: Hands\-on experience with data engineering or analytics tooling
* Nice to Have: Experience applying NLP techniques in production systems
 $252,000 \- $400,000 a year
 The target base salary for this position ranges from $252,000/year to $400,000/year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22">
      <c r="A22" t="inlineStr">
        <is>
          <t>li-4339895144</t>
        </is>
      </c>
      <c r="B22" t="inlineStr">
        <is>
          <t>Staff Machine Learning Engineer</t>
        </is>
      </c>
      <c r="C22" t="inlineStr">
        <is>
          <t>Cisco</t>
        </is>
      </c>
      <c r="D22" t="inlineStr">
        <is>
          <t>linkedin</t>
        </is>
      </c>
      <c r="E22" t="inlineStr"/>
      <c r="F22" t="inlineStr"/>
      <c r="G22" t="inlineStr">
        <is>
          <t>San Francisco, CA</t>
        </is>
      </c>
      <c r="H22" t="inlineStr"/>
      <c r="I22" t="inlineStr">
        <is>
          <t>Meet the Team
 Join the engineering team building the intelligent backbone of Splunk Observability Cloud. We are committed to leveraging the latest advancements in data science and machine learning to unlock unprecedented value from massive volumes of telemetry—metrics, traces, and logs—at petabyte scale. This role involves researching, developing, and deploying core analytical components focused on streaming anomaly detection, predictive intelligence, and automated root\-cause analysis. If you thrive on the challenge of building enterprise\-grade, scalable ML systems and applying sophisticated techniques to complex, high\-impact problems, you will be instrumental in delivering the full\-stack, real\-time answers and automation required for our customers to achieve true digital resilience across any cloud\-native or hybrid environment.
 Your Impact
* Apply the latest Generative AI and Agentic AI to enable AI features in Splunk Observability
* Collaborate across engineering and product teams to establish robust frameworks for evaluating AI systems’ trustworthiness and resilience.
* Provide technical leadership and mentorship within the team, establishing leading practices for development, testing, and artifact management.
**Minimum Qualifications**
* Master's degree in computer science or related field and 7\+ years of software engineering experience, or bachelor's degree with 10\+ years of experience.
* Experience designing and building scalable cloud\-based systems (AWS, Azure, or GCP), including container orchestration (e.g., Kubernetes, Docker).
* Proven experience in technical leadership, architecture design, and end\-to\-end feature ownership in AI/ML or platform domains.
* Experience with API design and frameworks (e.g. OpenAPI, GraphQL, gRPC, REST, etc.)
* Prior working experience in delivering RAG and Agentic products into production
* Expert at using vibe coding tools (Claude Code, Codex, Copilot, Windsurf, Cursor) is a must
* Up To Date knowledge on the latest Agentic and Generative AI industry trend and framework
**Preferred Qualifications**
* Exceptional problem\-solving skills, with the ability to analyze complex requirements and propose effective solutions.
* Experience developing, deploying, and maintaining applications in AWS environment with cloud native solutions.
* Experience monitoring and analyzing metrics, trace, span, and log content
* Background in observability, generative AI, or model robustness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$183,800\.00 to $263,600\.00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$183,800\.00 \- $303,100\.00
**Non\-Metro New York State \&amp; Washington State**
 $163,600\.00 \- $269,800\.00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3">
      <c r="A23" t="inlineStr">
        <is>
          <t>li-4360605902</t>
        </is>
      </c>
      <c r="B23" t="inlineStr">
        <is>
          <t>Lead Machine Learning Engineer</t>
        </is>
      </c>
      <c r="C23" t="inlineStr">
        <is>
          <t>Capital One</t>
        </is>
      </c>
      <c r="D23" t="inlineStr">
        <is>
          <t>linkedin</t>
        </is>
      </c>
      <c r="E23" t="inlineStr"/>
      <c r="F23" t="inlineStr"/>
      <c r="G23" t="inlineStr">
        <is>
          <t>Chicago, IL</t>
        </is>
      </c>
      <c r="H23" t="inlineStr"/>
      <c r="I23"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$175,800 \- $200,700 for Lead Machine Learning Engineer
 McLean, VA: $193,400 \- $220,700 for Lead Machine Learning Engineer
 Richmond, VA: $175,800 \- $200,700 for Lead Machine Learning Engineer
 New York, NY: $211,000 \- $240,800 for Lead Machine Learning Engineer
 Anytown, IL: $175,800 \- $200,700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
      <c r="A24" t="inlineStr">
        <is>
          <t>li-4360683835</t>
        </is>
      </c>
      <c r="B24" t="inlineStr">
        <is>
          <t>Lead AI Engineer (Gen AI Platform Services, Python, Kubernetes)</t>
        </is>
      </c>
      <c r="C24" t="inlineStr">
        <is>
          <t>Capital One</t>
        </is>
      </c>
      <c r="D24" t="inlineStr">
        <is>
          <t>linkedin</t>
        </is>
      </c>
      <c r="E24" t="inlineStr"/>
      <c r="F24" t="inlineStr"/>
      <c r="G24" t="inlineStr">
        <is>
          <t>San Francisco, CA</t>
        </is>
      </c>
      <c r="H24" t="inlineStr"/>
      <c r="I2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5">
      <c r="A25" t="inlineStr">
        <is>
          <t>li-4345314526</t>
        </is>
      </c>
      <c r="B25" t="inlineStr">
        <is>
          <t>Senior AI Engineer (Natural Language Systems)</t>
        </is>
      </c>
      <c r="C25" t="inlineStr">
        <is>
          <t>RemoteHunter</t>
        </is>
      </c>
      <c r="D25" t="inlineStr">
        <is>
          <t>linkedin</t>
        </is>
      </c>
      <c r="E25" t="inlineStr"/>
      <c r="F25" t="inlineStr"/>
      <c r="G25" t="inlineStr"/>
      <c r="H25" t="inlineStr"/>
      <c r="I25" t="inlineStr">
        <is>
          <t>About the Opportunity:
 A mission\-driven startup is seeking an experienced Senior AI Engineer to advance AI initiatives in healthcare, focusing on speech and language processing. The organization provides highly automated B2B enterprise software to rehab therapy businesses, supporting their teams and patients. The role involves applying generative AI and ML methods to build reliable, production\-grade systems used daily by clinics, staff, and patients.
 Responsibilities:
 • Drive the mission to improve healthcare through modern AI technology
 • Lead AI projects from ideation through production and iteration until widely adopted
 • Develop and deploy real\-time AI systems for speech and natural language understanding (transcription, summarization, classification)
 • Build robust model and prompt pipelines for LLM\-powered workflows with high accuracy and monitoring
 • Partner with Product and Engineering to identify AI opportunities and deliver measurable outcomes
 • Help develop the strategic AI roadmap across speech, NLP, and automation workflows
 • Apply AI to improve client and internal operations including clinical documentation, customer support, and billing
 • Develop deep understanding of the product, customers, and rehab therapy business
 • Help grow and lead the AI team, including training junior members
 Requirements:
 • 4\+ years building AI/ML systems with production ownership in industry or academia
 • Strong experience with NLP and/or LLM systems (retrieval, summarization, classification, extraction, agent workflows)
 • Experience with speech\-related pipelines in production or near\-real\-time settings (speech\-to\-text, spoken intent classification, conversational AI)
 • Proven track record of benchmarking and improving accuracy, cost, and latency
 • Strong problem\-solving skills
 • Excellent communication skills for explaining AI concepts to non\-technical stakeholders
 • Proficiency in Python (\&gt;3\.9\)
 • Basic Docker knowledge
 • AWS familiarity (S3, RDS, EC2\) preferred
 • Willingness to learn healthcare domain, specifically physical, occupational, and speech therapy
 • Interest in a heavy code contribution role; not an engineering management position
 Benefits \&amp; Perks:
 • Competitive salaries
 • Remote/hybrid work environment
 • Potential equity compensation for outstanding performance
 • Flexible PTO
 • Company\-sponsored lunches
 • Company\-paid disability and life insurance
 • Company\-paid family and medical leave
 • Medical, dental, and vision insurance
 • Discounted pet insurance
 • FSA/DCA and commuter benefits
 • 401k plan
 • Credits for online fitness classes/gym memberships
 • Recovery suite at headquarters, including cold plunge, sauna, and shower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6">
      <c r="A26" t="inlineStr">
        <is>
          <t>li-4360615943</t>
        </is>
      </c>
      <c r="B26" t="inlineStr">
        <is>
          <t>Senior Lead Machine Learning Engineer (Big Data and Machine Learning)</t>
        </is>
      </c>
      <c r="C26" t="inlineStr">
        <is>
          <t>Capital One</t>
        </is>
      </c>
      <c r="D26" t="inlineStr">
        <is>
          <t>linkedin</t>
        </is>
      </c>
      <c r="E26" t="inlineStr"/>
      <c r="F26" t="inlineStr"/>
      <c r="G26" t="inlineStr">
        <is>
          <t>New York, NY</t>
        </is>
      </c>
      <c r="H26" t="inlineStr"/>
      <c r="I26"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****Preferred Qualifications:****
* Master's or doctoral degree in computer science, electrical engineering, mathematics, or a similar field
* Experience developing and deploying ML solutions in a public cloud such as AWS, Azure, or Google Cloud Platform
* 4\+ years of on\-the\-job experience with an industry recognized ML framework such as scikit\-learn, PyTorch, Dask, Spark, or TensorFlow
* 3\+ years of experience developing performant, resilient, and maintainable code
* 3\+ years of experience with data gathering and preparation for ML models
* 3\+ years of people management experience
* ML industry impact through conference presentations, papers, blog posts, open source contributions, or patents
* 3\+ years of experience building production\-ready data pipelines that feed ML models
* Ability to communicate complex technical concepts clearly to a variety of audiences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Lead Machine Learning Engineer
 McLean, VA: $229,900 \- $262,400 for Sr. Lead Machine Learning Engineer
 New York, NY: $250,800 \- $286,200 for Sr.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
      <c r="A27" t="inlineStr">
        <is>
          <t>li-4359975981</t>
        </is>
      </c>
      <c r="B27" t="inlineStr">
        <is>
          <t>Distinguished AI Engineer</t>
        </is>
      </c>
      <c r="C27" t="inlineStr">
        <is>
          <t>Capital One</t>
        </is>
      </c>
      <c r="D27" t="inlineStr">
        <is>
          <t>linkedin</t>
        </is>
      </c>
      <c r="E27" t="inlineStr"/>
      <c r="F27" t="inlineStr"/>
      <c r="G27" t="inlineStr">
        <is>
          <t>New York, NY</t>
        </is>
      </c>
      <c r="H27" t="inlineStr"/>
      <c r="I27"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$269,100 \- $307,200 for Distinguished AI Engineer
 McLean, VA: $269,100 \- $307,200 for Distinguished AI Engineer
 New York, NY: $293,600 \- $335,100 for Distinguished AI Engineer
 Richmond, VA: $244,700 \- $279,200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8">
      <c r="A28" t="inlineStr">
        <is>
          <t>li-4359926277</t>
        </is>
      </c>
      <c r="B28" t="inlineStr">
        <is>
          <t>Senior Lead AI Engineer</t>
        </is>
      </c>
      <c r="C28" t="inlineStr">
        <is>
          <t>Capital One</t>
        </is>
      </c>
      <c r="D28" t="inlineStr">
        <is>
          <t>linkedin</t>
        </is>
      </c>
      <c r="E28" t="inlineStr"/>
      <c r="F28" t="inlineStr"/>
      <c r="G28" t="inlineStr">
        <is>
          <t>San Jose, CA</t>
        </is>
      </c>
      <c r="H28" t="inlineStr"/>
      <c r="I28"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9">
      <c r="A29" t="inlineStr">
        <is>
          <t>li-4359936280</t>
        </is>
      </c>
      <c r="B29" t="inlineStr">
        <is>
          <t>Senior Lead AI Engineer</t>
        </is>
      </c>
      <c r="C29" t="inlineStr">
        <is>
          <t>Capital One</t>
        </is>
      </c>
      <c r="D29" t="inlineStr">
        <is>
          <t>linkedin</t>
        </is>
      </c>
      <c r="E29" t="inlineStr"/>
      <c r="F29" t="inlineStr"/>
      <c r="G29" t="inlineStr">
        <is>
          <t>New York, NY</t>
        </is>
      </c>
      <c r="H29" t="inlineStr"/>
      <c r="I29"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0">
      <c r="A30" t="inlineStr">
        <is>
          <t>li-4360615939</t>
        </is>
      </c>
      <c r="B30" t="inlineStr">
        <is>
          <t>Senior Lead AI Engineer</t>
        </is>
      </c>
      <c r="C30" t="inlineStr">
        <is>
          <t>Capital One</t>
        </is>
      </c>
      <c r="D30" t="inlineStr">
        <is>
          <t>linkedin</t>
        </is>
      </c>
      <c r="E30" t="inlineStr"/>
      <c r="F30" t="inlineStr"/>
      <c r="G30" t="inlineStr">
        <is>
          <t>New York, NY</t>
        </is>
      </c>
      <c r="H30" t="inlineStr"/>
      <c r="I3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1">
      <c r="A31" t="inlineStr">
        <is>
          <t>li-4360674081</t>
        </is>
      </c>
      <c r="B31" t="inlineStr">
        <is>
          <t>Senior Lead AI Engineer (AI Foundations, LLM Core and Agentic AI)</t>
        </is>
      </c>
      <c r="C31" t="inlineStr">
        <is>
          <t>Capital One</t>
        </is>
      </c>
      <c r="D31" t="inlineStr">
        <is>
          <t>linkedin</t>
        </is>
      </c>
      <c r="E31" t="inlineStr"/>
      <c r="F31" t="inlineStr"/>
      <c r="G31" t="inlineStr">
        <is>
          <t>Cambridge, MA</t>
        </is>
      </c>
      <c r="H31" t="inlineStr"/>
      <c r="I3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2">
      <c r="A32" t="inlineStr">
        <is>
          <t>li-4359777887</t>
        </is>
      </c>
      <c r="B32" t="inlineStr">
        <is>
          <t>Lead AI Engineer (AI Foundations, LLM Core)</t>
        </is>
      </c>
      <c r="C32" t="inlineStr">
        <is>
          <t>Capital One</t>
        </is>
      </c>
      <c r="D32" t="inlineStr">
        <is>
          <t>linkedin</t>
        </is>
      </c>
      <c r="E32" t="inlineStr"/>
      <c r="F32" t="inlineStr"/>
      <c r="G32" t="inlineStr">
        <is>
          <t>New York, NY</t>
        </is>
      </c>
      <c r="H32" t="inlineStr"/>
      <c r="I32"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3">
      <c r="A33" t="inlineStr">
        <is>
          <t>li-4359975984</t>
        </is>
      </c>
      <c r="B33" t="inlineStr">
        <is>
          <t>Senior Lead AI Engineer (AI Foundations, LLM Core)</t>
        </is>
      </c>
      <c r="C33" t="inlineStr">
        <is>
          <t>Capital One</t>
        </is>
      </c>
      <c r="D33" t="inlineStr">
        <is>
          <t>linkedin</t>
        </is>
      </c>
      <c r="E33" t="inlineStr"/>
      <c r="F33" t="inlineStr"/>
      <c r="G33" t="inlineStr">
        <is>
          <t>New York, NY</t>
        </is>
      </c>
      <c r="H33" t="inlineStr"/>
      <c r="I33"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Lead AI Engineer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4">
      <c r="A34" t="inlineStr">
        <is>
          <t>li-4360664424</t>
        </is>
      </c>
      <c r="B34" t="inlineStr">
        <is>
          <t>Lead AI Engineer (AI Foundations, LLM Core)</t>
        </is>
      </c>
      <c r="C34" t="inlineStr">
        <is>
          <t>Capital One</t>
        </is>
      </c>
      <c r="D34" t="inlineStr">
        <is>
          <t>linkedin</t>
        </is>
      </c>
      <c r="E34" t="inlineStr"/>
      <c r="F34" t="inlineStr"/>
      <c r="G34" t="inlineStr">
        <is>
          <t>McLean, VA</t>
        </is>
      </c>
      <c r="H34" t="inlineStr"/>
      <c r="I3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5">
      <c r="A35" t="inlineStr">
        <is>
          <t>li-4360635084</t>
        </is>
      </c>
      <c r="B35" t="inlineStr">
        <is>
          <t>Machine Learning Engineer II - Membership</t>
        </is>
      </c>
      <c r="C35" t="inlineStr">
        <is>
          <t>Uber</t>
        </is>
      </c>
      <c r="D35" t="inlineStr">
        <is>
          <t>linkedin</t>
        </is>
      </c>
      <c r="E35">
        <f>HYPERLINK("https://www.linkedin.com/jobs/view/4360635084", "https://www.linkedin.com/jobs/view/4360635084")</f>
        <v/>
      </c>
      <c r="F35" t="inlineStr"/>
      <c r="G35" t="inlineStr">
        <is>
          <t>San Francisco, CA</t>
        </is>
      </c>
      <c r="H35" t="inlineStr"/>
      <c r="I35" t="inlineStr">
        <is>
          <t>**About The Role**
 Uber has evolved from a simple ride\-hailing service to a comprehensive platform that connects users with various on\-demand services in their cities. The Uber One Membership team is dedicated to enhancing the user experience by providing a convenient and engaging platform that caters to all their needs. Uber One Members enjoy exclusive benefits, including the best price, selection, priority, and perks, all in one place. With a growing membership base of over 30 million and expanding, Uber One has the potential to redefine the global membership landscape. Join us in shaping the future of Uber!
 As part of this team in the Membership Engagement organization you will work with a team of talented engineers contributing to cutting edge efforts developing optimization solutions using real\-time and machine learning signals to solve complex, strategically important challenges. You will participate in the full development cycle from ideation to architecture design, ML model development to implementation, to production release. You will collaborate closely with diverse stakeholders like data scientists, product managers and business in a results\-oriented environment delivering projects that directly impact Uber's top and bottom line \- impacting millions of people around the world.
**What You Will Do**
* Design and build Machine Learning models responsible for large\-scale applied machine learning in optimization and personalization.
* Build high throughput systems that process millions of datapoints each minute and serve hundreds of thousands of QPS
* Collaborate with Product, Science and cross\-functional teams to brainstorm new opportunities and solutions for model and product iteration.
* Write high\-quality code and uphold standards for testing and coverage.
* Align with the team on solutions to ambiguous problems and analyze the tradeoffs of different technical solutions
* Contribute to engineering cultivation in terms of quality, monitoring, and on\-call practices.
**Basic Qualifications**
* Bachelor's degree or equivalent in Computer Science, Engineering, Mathematics or related field, with 2\+ years of full\-time engineering experience.
* Experience with big\-data architecture, ETL frameworks, SQL and database systems such as Hive, Kafka, Cassandra, etc
* 1\+ years of experience in the development, training, productionization and monitoring of ML optimization solutions at scale.
* Experience working with multiple multi\-functional teams (product, science, product ops etc).
* Expertise in one or more object\-oriented programming languages (e.g. Python, Go, Java, C\+\+).
* Proven track records of being a fast learner and go\-getter, with willingness to get out of the comfort zone.
**Preferred Qualifications**
* Experience with taking on vague business problems, translating them into ML \+ Optimization formulation, identifying the right features, model structure and optimization constraints, and delivering business impact.
* Experience with the design and architecture of ML systems and workflows.
* Experience in modern deep learning architectures, probabilistic models and causal inference/personalization/ranking.
* Experience in optimization (RL / Bayes / Bandits) and online learning.
* Experience with optimizing Spark queries for better CPU and memory efficiency.
* Experience owning and delivering a technically challenging, multi\-quarter project end to end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6">
      <c r="A36" t="inlineStr">
        <is>
          <t>li-4359907147</t>
        </is>
      </c>
      <c r="B36" t="inlineStr">
        <is>
          <t>Machine Learning Engineer</t>
        </is>
      </c>
      <c r="C36" t="inlineStr">
        <is>
          <t>Medical Guardian</t>
        </is>
      </c>
      <c r="D36" t="inlineStr">
        <is>
          <t>linkedin</t>
        </is>
      </c>
      <c r="E36">
        <f>HYPERLINK("https://www.linkedin.com/jobs/view/4359907147", "https://www.linkedin.com/jobs/view/4359907147")</f>
        <v/>
      </c>
      <c r="F36" t="inlineStr"/>
      <c r="G36" t="inlineStr">
        <is>
          <t>Philadelphia, PA</t>
        </is>
      </c>
      <c r="H36" t="inlineStr"/>
      <c r="I36" t="inlineStr">
        <is>
          <t>Medical Guardian is a fast\-growing digital health and safety company on a mission to help people live a life without limits. With 13 consecutive years on the Inc. 5000 list of Fastest Growing Companies, we're redefining what it means to age confidently and independently.
 We support over 625,000 members nationwide with life\-saving emergency response systems and remote patient monitoring solutions. Trusted by families, healthcare providers, and care managers, our work is powered by a culture of innovation, compassion, and purpose.
**About The Role**
 Medical Guardian is building a next generation Intelligent Orchestration Engine (IOE), a real\-time AI platform that powers proactive engagement, personalization, emergency response intelligence, and member safety.
 We are seeking a highly capable Machine Learning Engineer to design, build, and operationalize ML models and pipelines that drive intelligent decisioning across the MG ecosystem. This role will collaborate with Data Science, Engineering, Product, and our AI partners to bring predictive and generative capabilities into production at scale.
 You will play a core engineering role in shaping the intelligence layer behind Nexus, Engage360, caregiver insights, emergency workflows, and member engagement.
**Key Responsibilities**
* Model Development \&amp; ML Engineering
* Build, train, and optimize models for predictions such as churn, fall risk signals, emergency intent classification, and behavioral patterns
* Implement NLP, embeddings, and LLM\-based workflows for contextual understanding of transcripts, messages, and voice interactions
* Develop real\-time scoring services integrated with Azure Event Hub, Service Bus, and IOE rule engines
* Design reusable, modular components for feature engineering, experimentation, and inference
* ML Ops \&amp; Deployment
* Build automated training, retraining, and evaluation pipelines in Databricks / Azure ML / Python
* Develop CI/CD workflows for model deployment using Azure DevOps / GitHub Actions
* Create scalable inference endpoints using Azure Functions, Container Apps, or APIM
* Implement monitoring for model drift, data quality, and performance degradation
* Data Engineering for ML
* Work closely with Data Engineering to design robust data pipelines
* Build feature stores, feature pipelines, and data transformations optimized for machine learning
* Ensure traceability, reproducibility, and well documented data assets
* RealcTime Orchestration \&amp; Automation
* Integrate ML outputs into real\-time orchestration flows
* Contribute to the IOE decisionctree, scoring logic, and step orchestration
* Build ML\-driven triggers for automated campaigns, safety alerts, and proactive outreach
* Collaboration \&amp; Strategy
* Work with the Director of Data Science to define the ML roadmap for IOE
* Partner with Product for personalization, engagement, and predictive feature development
* Coordinate with Engineering to deliver API endpoints, event triggers, and user facing functionality
* Contribute to documentation, experimentation logs, governance, and compliance
**Required Qualifications**
* 2\+ years of experience in Machine Learning, AI Engineering, or similar roles
* Strong proficiency in Python, ML frameworks (scikit\-learn, PyTorch, TensorFlow), and data libraries
* Hands\-on experience with cloud ML workflows (Azure preferred)
* Strong engineering fundamentals: APIs, containers, CI/CD, and distributed systems
* Experience building and deploying models into production (batch \+ real\-time)
* Understanding of NLP, embeddings, and LLM\-based workflows
* Candidates must be authorized to work in the United States without current or future need for visa sponsorship
* Must have the ability to work from our Philadelphia office on Tuesdays and Wednesdays
**Preferred Skills**
* Experience with Azure ML, Databricks, Delta Lake, Event Hub, Function Apps
* Experience integrating ML with automation systems (n8n, Logic Apps, Make.com)
* Strong background in data quality, monitoring, and model governance
* Experience working with healthcare, IoT, or emergency response data
* Knowledge of prompt engineering, vector databases, or agentic AI workflows
**What You'll Impact**
 This role directly affects:
* Proactive emergency response
* Personalized care pathways
* Member safety predictions
* Engagement effectiveness
* Automated decision making
* The intelligence behind the future of Medical Guardian's platform
 You will help build the AI brain of the company.
**Benefits**
* Health Care Plan (Medical, Dental \&amp; Vision)
* Paid Time Off (Vacation, Sick Time Off \&amp; Holidays)
* Company Paid Short Term Disability and Life Insurance
* Retirement Plan (401k) with Company Match</t>
        </is>
      </c>
    </row>
    <row r="37">
      <c r="A37" t="inlineStr">
        <is>
          <t>li-4360626246</t>
        </is>
      </c>
      <c r="B37" t="inlineStr">
        <is>
          <t>Machine Learning Engineer</t>
        </is>
      </c>
      <c r="C37" t="inlineStr">
        <is>
          <t>Upstart</t>
        </is>
      </c>
      <c r="D37" t="inlineStr">
        <is>
          <t>linkedin</t>
        </is>
      </c>
      <c r="E37">
        <f>HYPERLINK("https://www.linkedin.com/jobs/view/4360626246", "https://www.linkedin.com/jobs/view/4360626246")</f>
        <v/>
      </c>
      <c r="F37">
        <f>HYPERLINK("https://www.wiraa.com/job-description/us1D22D9001E9D3D74154BF70F904A0158?source=Linkedin&amp;urlHash=FyFL", "https://www.wiraa.com/job-description/us1D22D9001E9D3D74154BF70F904A0158?source=Linkedin&amp;urlHash=FyFL")</f>
        <v/>
      </c>
      <c r="G37" t="inlineStr"/>
      <c r="H37" t="inlineStr"/>
      <c r="I37" t="inlineStr">
        <is>
          <t>**About The Company** 
 Upstart is a pioneering AI\-driven lending marketplace that collaborates with banks and credit unions to broaden access to affordable credit. By harnessing advanced artificial intelligence technologies, Upstart enables financial institutions to make smarter lending decisions, resulting in higher approval rates and reduced loss rates across diverse demographics, including race, age, and gender. The platform facilitates a seamless digital\-first lending experience, with over 80% of borrowers receiving instant approval without the need for extensive documentation. As a fully digital company, Upstart offers flexible work arrangements, allowing most employees to work remotely from anywhere in the United States, while maintaining offices in San Mateo, California; Columbus, Ohio; and Austin, Texas. The company’s mission revolves around providing effortless credit access based on true risk assessment, which resonates strongly with team members committed to making a meaningful impact in financial inclusivity and innovation.
**About The Role** 
 We are seeking a talented Machine Learning Engineer to join our Personal Loan Underwriting team. This pivotal role involves developing, deploying, and maintaining machine learning models that drive Upstart’s credit decisioning processes. As a key contributor, you will work closely with research scientists, data scientists, and engineering teams to enhance our machine learning infrastructure, streamline workflows, and accelerate the transition from research ideas to production\-ready models. Your efforts will directly influence the efficiency, accuracy, and fairness of our lending platform, empowering us to deliver innovative solutions that expand access to credit. The ideal candidate will be passionate about leveraging cutting\-edge algorithms and methodologies to solve complex problems, improve predictive performance, and foster a culture of continuous improvement within the team.
**Qualifications** 
* PhD in a quantitative field with 0\+ years of relevant experience
* Masters in a quantitative field with 2\+ years of relevant experience
* Bachelor’s degree in a quantitative field with 4\+ years of relevant experience
* Proficiency in Python programming language
* Hands\-on experience with machine learning techniques and frameworks
**Responsibilities** 
* Design, develop, and optimize machine learning models for credit underwriting purposes
* Build scalable, repeatable workflows and automation tools to enhance research and deployment processes
* Collaborate with research scientists and data scientists to translate research prototypes into production systems
* Implement algorithms and code improvements to increase model accuracy and predictive power
* Monitor, evaluate, and fine\-tune models in production to ensure optimal performance and fairness
* Identify opportunities for engineering improvements and develop a strategic roadmap for the team
* Explore and experiment with new algorithms, methodologies, and tools to stay at the forefront of machine learning innovation
* Work cross\-functionally with other engineering teams to ensure seamless integration and high\-quality system performance
**Benefits** 
* Competitive base salary, bonus, and equity options
* Comprehensive medical, dental, and vision insurance, along with Health Savings Account contributions
* 401(k) plan with 100% company match up to $4,500 and immediate vesting
* Employee Stock Purchase Plan (ESPP)
* Life and disability insurance coverage
* Generous holiday, vacation, sick leave, and safety leave policies
* Supportive parental, family care, and military leave programs
* Annual wellness, technology, and ergonomic reimbursement programs
* Engaging social activities, including team events, onsite sessions, Employee Resource Groups, and interest groups
* Catered lunches, snacks, and drinks available in office environments
 Equal Opportunity
 Upstart is an Equal Opportunity Employer committed to fostering a diverse and inclusive workplace. All qualified applicants will receive consideration without regard to race, color, religion, sex, sexual orientation, gender identity, national origin, age, disability, or any other protected status. We celebrate the richness of diversity and are committed to creating an environment where everyone can thrive.</t>
        </is>
      </c>
    </row>
    <row r="38">
      <c r="A38" t="inlineStr">
        <is>
          <t>li-4359946897</t>
        </is>
      </c>
      <c r="B38" t="inlineStr">
        <is>
          <t>AI Engineer</t>
        </is>
      </c>
      <c r="C38" t="inlineStr">
        <is>
          <t>Inherent Technologies</t>
        </is>
      </c>
      <c r="D38" t="inlineStr">
        <is>
          <t>linkedin</t>
        </is>
      </c>
      <c r="E38">
        <f>HYPERLINK("https://www.linkedin.com/jobs/view/4359946897", "https://www.linkedin.com/jobs/view/4359946897")</f>
        <v/>
      </c>
      <c r="F38" t="inlineStr"/>
      <c r="G38" t="inlineStr">
        <is>
          <t>Santa Clara, CA</t>
        </is>
      </c>
      <c r="H38" t="inlineStr"/>
      <c r="I38" t="inlineStr">
        <is>
          <t>**Position: AI Engineer**
**Location: Santa Clara, CA\-Only Locals**
**About The Role**
 We are seeking a highly skilled and innovative to join our team and lead the development of intelligent AI agents and Retrieval\-Augmented Generation (RAG)\-based applications. This role is ideal for someone passionate about pushing the boundaries of applied AI, with hands\-on experience in building scalable, production\-grade Generative AI (GenAI) systems and advanced Copilot Studio agent capabilities.
**Key Responsibilities**
 Demonstrate advanced programming expertise, particularly in Python, with deep proficiency in AI\-centric libraries such as TensorFlow, PyTorch, and Hugging Face Transformers.
 Architect and implement Retrieval\-Augmented Generation (RAG) pipelines to enhance model performance using external knowledge sources, including document chunking, embedding generation, and retrieval systems.
 Design, develop, and deploy Custom AI agents capable of autonomous decision\-making and task execution using LLMs and multi\-modal models.
 Implement and manipulate complex algorithms essential for developing and optimizing generative AI models.
 Manage data pipelines involving data pre\-processing, augmentation, and synthetic data generation to enhance model training and performance.
 Ensure robust data handling practices including cleaning, labeling, and structuring datasets for generative AI workflows.
 Design MS Copilot Studio Agent Builder advanced skills, including custom plugin development, adaptive orchestration of multiple AI skills and APIs, contextual memory management, dynamic prompt engineering, and secure data handling.
 Agent Orchestration: Build multi\-turn agents that adapt and chain AI skills and APIs.
 Trigger Management: Configure message, data, scheduled, and webhook triggers.
 Automation Workflow: Design workflows with Power Automate for task automation.
 Flow Design: Create logical, scalable flows for complex business processes.
 Tool Integration: Use Copilot's built\-in connectors to integrate enterprise apps and services seamlessly.</t>
        </is>
      </c>
    </row>
    <row r="39">
      <c r="A39" t="inlineStr">
        <is>
          <t>li-4330071785</t>
        </is>
      </c>
      <c r="B39" t="inlineStr">
        <is>
          <t>Founding Machine Learning Engineer</t>
        </is>
      </c>
      <c r="C39" t="inlineStr">
        <is>
          <t>Shields Group Search</t>
        </is>
      </c>
      <c r="D39" t="inlineStr">
        <is>
          <t>linkedin</t>
        </is>
      </c>
      <c r="E39">
        <f>HYPERLINK("https://www.linkedin.com/jobs/view/4330071785", "https://www.linkedin.com/jobs/view/4330071785")</f>
        <v/>
      </c>
      <c r="F39" t="inlineStr"/>
      <c r="G39" t="inlineStr">
        <is>
          <t>San Francisco, CA</t>
        </is>
      </c>
      <c r="H39" t="inlineStr"/>
      <c r="I39" t="inlineStr">
        <is>
          <t>**🚀 Founding Engineer (Machine Learning Engineering Focus)** 
 Early\-Stage AI Company \| Enterprise Focus \| Hands\-On Builder
 Fully in office in San Francisco
**Experience:** 
 3\-5 years
**🌐 About the Company** 
 Shields Group Search is partnering with a breakout, venture\-backed AI company that is quietly emerging as one of the most compelling infrastructure plays in its category.
 The company has raised $7\.5M\+ in Seed funding from top\-tier Silicon Valley funds and a highly selective group of operator\-angels. Their backers include investors and founders affiliated with firms and ecosystems such as Y Combinator, a16z, Founders Fund, Sequoia\-backed companies, and senior leaders from some of the most successful AI and enterprise software companies of the past decade. The cap table is stacked with people who have built and scaled category\-defining platforms before and know exactly what it takes to do it again.
 They already have real production traction, paying enterprise customers, and a product actively running in demanding environments. The company has also turned down multiple acquisition offers, choosing to stay independent and build something much larger. They are now gearing up for a Series A, with a clear mandate to harden their systems, scale responsibly, and evolve what they have built into a truly enterprise\-grade platform.
 The team is now expanding its core engineering group and looking to bring on a
 **Founding Engineer** 
 who will play a key role in shaping the product, architecture, and engineering culture from an early stage.
**🧠 The Role** 
 This role is best suited for a hands\-on Machine Learning Engineer with real\-world experience deploying, tuning, and maintaining ML models in production. While the team works on enterprise\-grade AI systems, this hire is not primarily focused on on\-prem enterprise deployments. Instead, the emphasis is on practical MLE execution, curiosity, and the ability to build and iterate quickly.
 As a Founding Engineer, you will work closely with the founders to translate research and ideas into scalable, production\-grade systems. This is a builder role for someone who enjoys writing code, learning fast, and growing alongside the company.
**🔧 What You’ll Do** 
* Build, deploy, and iterate on machine learning models in real production environments
* Own model deployment workflows, tuning, evaluation, and performance optimization
* Collaborate closely with founders on product direction and technical architecture
* Write high\-quality, production\-ready code across ML systems and supporting infrastructure
* Help establish early engineering best practices while remaining deeply hands\-on
* Contribute across the stack as needed in a fast\-moving early\-stage environment
**✅ What We’re Looking For** 
**Must\-Haves** 
* **3–5 years of professional experience** 
 in software engineering, ML engineering, or applied ML research
* **Strong MLE background** 
 with hands\-on experience deploying and tuning models in production
* Demonstrated ability to
 **write real production code** 
 , not just prototypes or research artifacts
* Experience working with modern ML frameworks and deployment workflows
* High curiosity, strong learning aptitude, and comfort operating in ambiguity
**Nice\-to\-Haves** 
* Applied ML research experience with a strong implementation bias
* Early\-stage startup experience
* Exposure to AI infrastructure, model monitoring, or reliability tooling
**🌟 Why This Role** 
* True
 **founding\-level impact** 
 at a mission\-driven AI company
* Direct collaboration with technical founders
* Ownership over core ML systems from day one
* Opportunity to grow into a senior technical leader as the company scales
* Competitive compensation and meaningful equity
**🎯 Ideal Candidate Profile** 
 This role is a great fit for someone who:
* Identifies as an
 **MLE who loves building** 
 , not just theorizing
* Enjoys translating research ideas into working systems
* Wants early ownership and long\-term growth
* Is excited to grow alongside a company tackling foundational AI problems</t>
        </is>
      </c>
    </row>
    <row r="40">
      <c r="A40" t="inlineStr">
        <is>
          <t>li-4352463129</t>
        </is>
      </c>
      <c r="B40" t="inlineStr">
        <is>
          <t>AI/ML Engineer / Defence / $500k+ / NYC</t>
        </is>
      </c>
      <c r="C40" t="inlineStr">
        <is>
          <t>Open Talent</t>
        </is>
      </c>
      <c r="D40" t="inlineStr">
        <is>
          <t>linkedin</t>
        </is>
      </c>
      <c r="E40">
        <f>HYPERLINK("https://www.linkedin.com/jobs/view/4352463129", "https://www.linkedin.com/jobs/view/4352463129")</f>
        <v/>
      </c>
      <c r="F40" t="inlineStr"/>
      <c r="G40" t="inlineStr">
        <is>
          <t>New York, United States</t>
        </is>
      </c>
      <c r="H40" t="inlineStr"/>
      <c r="I40"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41">
      <c r="A41" t="inlineStr">
        <is>
          <t>li-4351824846</t>
        </is>
      </c>
      <c r="B41" t="inlineStr">
        <is>
          <t>Machine Learning Engineer | Python | Pytorch | Distributed Training | Optimisation | GPU | Hybrid, San Jose, CA</t>
        </is>
      </c>
      <c r="C41" t="inlineStr">
        <is>
          <t>Enigma</t>
        </is>
      </c>
      <c r="D41" t="inlineStr">
        <is>
          <t>linkedin</t>
        </is>
      </c>
      <c r="E41">
        <f>HYPERLINK("https://www.linkedin.com/jobs/view/4351824846", "https://www.linkedin.com/jobs/view/4351824846")</f>
        <v/>
      </c>
      <c r="F41" t="inlineStr"/>
      <c r="G41" t="inlineStr">
        <is>
          <t>San Jose, CA</t>
        </is>
      </c>
      <c r="H41" t="inlineStr"/>
      <c r="I41" t="inlineStr">
        <is>
          <t>**Machine Learning Engineer \| Python \| Pytorch \| Distributed Training \| Optimisation \| GPU \| Hybrid, San Jose, CA** 
**Title:** 
 Machine Learning Engineer
**Location: San Jose, CA** 
**Responsibilities:** 
* Productize and optimize models from Research into reliable, performant, and cost\-efficient services with clear SLOs (latency, availability, cost).
* Scale training across nodes/GPUs (DDP/FSDP/ZeRO, pipeline/tensor parallelism) and own throughput/time\-to\-train using profiling and optimization.
* Implement model\-efficiency techniques (quantization, distillation, pruning, KV\-cache, Flash Attention) for training and inference without materially degrading quality.
* Build and maintain model\-serving systems (vLLM/Triton/TGI/ONNX/TensorRT/AITemplate) with batching, streaming, caching, and memory management.
* Integrate with vector/feature stores and data pipelines (FAISS/Milvus/Pinecone/pgvector; Parquet/Delta) as needed for production.
* Define and track performance and cost KPIs; run continuous improvement loops and capacity planning.
* Partner with ML Ops on CI/CD, telemetry/observability, model registries; partner with Scientists on reproducible handoffs and evaluations.
**Educational Qualifications:** 
* Bachelors in computer science, Electrical/Computer Engineering, or a related field required; Master’s preferred (or equivalent industry experience).
* Strong systems/ML engineering with exposure to distributed training and inference optimization.
**Industry Experience:** 
* 3–5 years in ML/AI engineering roles owning training and/or serving in production at scale.
* Demonstrated success delivering high\-throughput, low\-latency ML services with reliability and cost improvements.
* Experience collaborating across Research, Platform/Infra, Data, and Product functions.
**Technical Skills:** 
* Familiarity with deep learning frameworks: PyTorch (primary), TensorFlow.
* Exposure to large model training techniques (DDP, FSDP, ZeRO, pipeline/tensor parallelism); distributed training experience a plus
* Optimization: experience profiling and optimizing code execution and model inference: (PTQ/QAT/AWQ/GPTQ), pruning, distillation, KV\-cache optimization, Flash Attention
* Scalable serving: autoscaling, load balancing, streaming, batching, caching; collaboration with platform engineers.
* Data \&amp; storage: SQL/NoSQL, vector stores (FAISS/Milvus/Pinecone/pgvector), Parquet/Delta, object stores.
* Write performant, maintainable code
* Understanding of the full ML lifecycle: data collection, model training, deployment, inference, optimization, and evaluation.
**Machine Learning Engineer \| Python \| Pytorch \| Distributed Training \| Optimisation \| GPU \| Hybrid, San Jose, CA**</t>
        </is>
      </c>
    </row>
    <row r="42">
      <c r="A42" t="inlineStr">
        <is>
          <t>li-4359986465</t>
        </is>
      </c>
      <c r="B42" t="inlineStr">
        <is>
          <t>Sr Machine Learning Engineer -AI/ML- US Remote</t>
        </is>
      </c>
      <c r="C42" t="inlineStr">
        <is>
          <t>BioSpace</t>
        </is>
      </c>
      <c r="D42" t="inlineStr">
        <is>
          <t>linkedin</t>
        </is>
      </c>
      <c r="E42">
        <f>HYPERLINK("https://www.linkedin.com/jobs/view/4359986465", "https://www.linkedin.com/jobs/view/4359986465")</f>
        <v/>
      </c>
      <c r="F42" t="inlineStr"/>
      <c r="G42" t="inlineStr">
        <is>
          <t>Jacksonville, FL</t>
        </is>
      </c>
      <c r="H42" t="inlineStr"/>
      <c r="I42" t="inlineStr">
        <is>
          <t>**About The Role**
**Role Description:**
 We are seeking a
 **Sr Machine Learning Engineer** 
 Amgens senior individual\-contributor authority on building and scaling end\-to\-end machine\-learning and generative\-AI platforms. Sitting at the intersection of engineering excellence and data\-science enablement, you will design the core services, infrastructure and governance controls that allow hundreds of practitioners to prototype, deploy and monitor modelsclassical ML, deep learning and LLMssecurely and cost\-effectively. Acting as a player\-coach, you will establish platform strategy, define technical standards, and partner with DevOps, Security, Compliance and Product teams to deliver a frictionless, enterprise\-grade AI developer experience.
**Roles \&amp; Responsibilities**
* Engineer end\-to\-end ML pipelinesdata ingestion, feature engineering, training, hyper\-parameter optimization, evaluation, registration and automated promotionusing Kubeflow, SageMaker Pipelines, Open AI SDK or equivalent MLOps stacks.
* Harden research code into production\-grade micro\-services, packaging models in Docker/Kubernetes and exposing secure REST, gRPC or event\-driven APIs for consumption by downstream applications.
* Build and maintain full\-stack AI applications by integrating model services with lightweight UI components, workflow engines or business\-logic layers so insights reach users with sub\-second latency.
* Optimize performance and cost at scaleselecting appropriate algorithms (gradient\-boosted trees, transformers, time\-series models, classical statistics), applying quantization/pruning, and tuning GPU/CPU auto\-scaling policies to meet strict SLA targets.
* Instrument comprehensive observabilityreal\-time metrics, distributed tracing, drift \&amp; bias detection and user\-behavior analyticsenabling rapid diagnosis and continuous improvement of live models and applications.
* Embed security and responsible\-AI controls (data encryption, access policies, lineage tracking, explainability and bias monitoring) in partnership with Security, Privacy and Compliance teams.
* Contribute reusable platform componentsfeature stores, model registries, experiment\-tracking librariesand evangelize best practices that raise engineering velocity across squads.
* Perform exploratory data analysis and feature ideation on complex, high\-dimensional datasets to inform algorithm selection and ensure model robustness.
* Partner with data scientists to prototype and benchmark new algorithms, offering guidance on scalability trade\-offs and production\-readiness while co\-owning model\-performance KPIs.
**Must\-Have Skills**
* 3\-5 years in AI/ML and enterprise software.
* Comprehensive command of machine\-learning algorithmsregression, tree\-based ensembles, clustering, dimensionality reduction, time\-series models, deep\-learning architectures (CNNs, RNNs, transformers) and modern LLM/RAG techniqueswith the judgment to choose, tune and operationalize the right method for a given business problem.
* Proven track record selecting and integrating AI SaaS/PaaS offerings and building custom ML services at scale.
* Expert knowledge of GenAI tooling: vector databases, RAG pipelines, prompt\-engineering DSLs and agent frameworks (e.g., LangChain, Semantic Kernel).
* Proficiency in Python and Java; containerization (Docker/K8s); cloud (AWS, Azure or GCP) and modern DevOps/MLOps (GitHub Actions, Bedrock/SageMaker Pipelines).
* Strong business\-case skillsable to model TCO vs. NPV and present trade\-offs to executives.
* Exceptional stakeholder management; can translate complex technical concepts into concise, outcome\-oriented narratives.
**Good\-to\-Have Skills**
* Experience in Biotechnology or pharma industry is a big plus
* Published thought\-leadership or conference talks on enterprise GenAI adoption.
* Masters degree in computer science and or Data Science
* Familiarity with Agile methodologies and Scaled Agile Framework (SAFe) for project delivery.
**Education and Professional Certifications**
* Masters degree with 8 \+ years of experience in Computer Science, IT or related field
 OR
* Bachelors degree with 10 \+ years of experience in Computer Science, IT or related field
* Certifications on GenAI/ML platforms (AWS AI, Azure AI Engineer, Google Cloud ML, etc.) are a plus.
**Soft Skills**
* Excellent analytical and troubleshooting skills.
* Strong verbal and written communication skills
* Ability to work effectively with global, virtual teams
* High degree of initiative and self\-motivation.
* Ability to manage multiple priorities successfully.
* Team\-oriented, with a focus on achieving team goals.
* Ability to learn quickly, be organized and detail oriented.
* Strong presentation and public speaking skills.</t>
        </is>
      </c>
    </row>
    <row r="43">
      <c r="A43" t="inlineStr">
        <is>
          <t>li-4351834854</t>
        </is>
      </c>
      <c r="B43" t="inlineStr">
        <is>
          <t>Senior AI Engineer (Natural Language Systems)</t>
        </is>
      </c>
      <c r="C43" t="inlineStr">
        <is>
          <t>RemoteHunter</t>
        </is>
      </c>
      <c r="D43" t="inlineStr">
        <is>
          <t>linkedin</t>
        </is>
      </c>
      <c r="E43">
        <f>HYPERLINK("https://www.linkedin.com/jobs/view/4351834854", "https://www.linkedin.com/jobs/view/4351834854")</f>
        <v/>
      </c>
      <c r="F43">
        <f>HYPERLINK("https://www.remotehunter.com/apply-with-ai/f73257c9-a197-43ad-bb25-d9210f55f6a8?utm_medium=job_posting&amp;utm_source=linkedin&amp;utm_campaign=software_engineer_remote&amp;utm_category=software_engineer&amp;utm_term=senior_ai_engineer_natural_language_systems&amp;urlHash=15B8", "https://www.remotehunter.com/apply-with-ai/f73257c9-a197-43ad-bb25-d9210f55f6a8?utm_medium=job_posting&amp;utm_source=linkedin&amp;utm_campaign=software_engineer_remote&amp;utm_category=software_engineer&amp;utm_term=senior_ai_engineer_natural_language_systems&amp;urlHash=15B8")</f>
        <v/>
      </c>
      <c r="G43" t="inlineStr"/>
      <c r="H43" t="inlineStr"/>
      <c r="I43" t="inlineStr">
        <is>
          <t>About the Opportunity:
 A mission\-driven startup is seeking an experienced Senior AI Engineer to advance AI initiatives in healthcare, focusing on speech and language processing. The organization provides highly automated B2B enterprise software to rehab therapy businesses, supporting their teams and patients. The role involves applying generative AI and ML methods to build reliable, production\-grade systems used daily by clinics, staff, and patients.
 Responsibilities:
 • Drive the mission to improve healthcare through modern AI technology
 • Lead AI projects from ideation through production and iteration until widely adopted
 • Develop and deploy real\-time AI systems for speech and natural language understanding (transcription, summarization, classification)
 • Build robust model and prompt pipelines for LLM\-powered workflows with high accuracy and monitoring
 • Partner with Product and Engineering to identify AI opportunities and deliver measurable outcomes
 • Help develop the strategic AI roadmap across speech, NLP, and automation workflows
 • Apply AI to improve client and internal operations including clinical documentation, customer support, and billing
 • Develop deep understanding of the product, customers, and rehab therapy business
 • Help grow and lead the AI team, including training junior members
 Requirements:
 • 4\+ years building AI/ML systems with production ownership in industry or academia
 • Strong experience with NLP and/or LLM systems (retrieval, summarization, classification, extraction, agent workflows)
 • Experience with speech\-related pipelines in production or near\-real\-time settings (speech\-to\-text, spoken intent classification, conversational AI)
 • Proven track record of benchmarking and improving accuracy, cost, and latency
 • Strong problem\-solving skills
 • Excellent communication skills for explaining AI concepts to non\-technical stakeholders
 • Proficiency in Python (\&gt;3\.9\)
 • Basic Docker knowledge
 • AWS familiarity (S3, RDS, EC2\) preferred
 • Willingness to learn healthcare domain, specifically physical, occupational, and speech therapy
 • Interest in a heavy code contribution role; not an engineering management position
 Benefits \&amp; Perks:
 • Competitive salaries
 • Remote/hybrid work environment
 • Potential equity compensation for outstanding performance
 • Flexible PTO
 • Company\-sponsored lunches
 • Company\-paid disability and life insurance
 • Company\-paid family and medical leave
 • Medical, dental, and vision insurance
 • Discounted pet insurance
 • FSA/DCA and commuter benefits
 • 401k plan
 • Credits for online fitness classes/gym memberships
 • Recovery suite at headquarters, including cold plunge, sauna, and shower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2026-01-11T21:03:06Z</dcterms:created>
  <dcterms:modified xsi:type="dcterms:W3CDTF">2026-01-11T21:03:06Z</dcterms:modified>
</cp:coreProperties>
</file>