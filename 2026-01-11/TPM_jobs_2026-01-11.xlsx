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2"/>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in-7fa8e6f012e7b2c3</t>
        </is>
      </c>
      <c r="B2" t="inlineStr">
        <is>
          <t>Program Manager</t>
        </is>
      </c>
      <c r="C2" t="inlineStr">
        <is>
          <t>Flex</t>
        </is>
      </c>
      <c r="D2" t="inlineStr">
        <is>
          <t>indeed</t>
        </is>
      </c>
      <c r="E2" t="inlineStr"/>
      <c r="F2" t="inlineStr"/>
      <c r="G2" t="inlineStr">
        <is>
          <t>Coopersville, MI, US</t>
        </is>
      </c>
      <c r="H2" s="2" t="n">
        <v>46032</v>
      </c>
      <c r="I2" t="inlineStr">
        <is>
          <t>Job Posting Start Date 01\-11\-2026 Job Posting End Date 05\-31\-2026
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To support our extraordinary teams who build and support products movement and contribute to our growth, we’re looking to add a Program Manager located in Coopersville , MI
The Program Manager will be based in Coopersville, MI, reporting to the Program Management Manager
In this role, you will be In\-charge of guiding a team of cross functional experts in the delivery of customer focused products and services and will hold up development and implementation of a project, pricing and program strategies in order to continue to deliver value to the business and its customers.
Responsibilities:* Organize, plan and direct program schedules and budgets.
* In charge of tracking relevant metrics and drive action items based on results.
* Provide help, knowledge and expertise with contract negotiations as required.
* Oversee all interdepartmental activities ensuring completion of all adherences made relative a to product development timelines, delivery, quality and the required business metrics.
* Reviews program proposal or plan to resolve time frame, funding requirements, procedures for accomplishing program, staffing requirements and allotment of available resources to various phases of program.
* Establishes work plan and staffing for each phase of program and arranges for recruitment or assignment of personnel.
* Manage the coordination of product life cycle activities with P\&amp;L and customer satisfaction also has control for different accounts of various complexities.
* Be the key channel of communication for customers and act as escalation in the event of customer issues.
* In charge of customer´s satisfaction reviews and corrective actions.
* Maintain current and develop additional business with customers.
* Monitor and track that project and program deliverables are met.
* Be accountable for maintaining excellent customer relations with both new and existing customers.
* Holds up production sites for projects, costs and other customer related matters through business and expertise.
Qualifications:* Typically requires a Bachelor's degree in engineering or related field or equivalent experience.
* Typically requires a minimum of 5 years’ experience in program administration/ management or related area.
* Demonstrates advanced operations, technical and people and/or process skills as well as customer (external and internal) relationship skills.
* Demonstrates knowledge of multiple functional technologies/ processes, industries or functions and understanding of interdependencies of such processes at the site.
* Accountability for the program wellness.
What you'll receive for the great work you provide:* Full range of medical, dental, and vision plans
* Life Insurance
* Short\-term and Long\-term Disability
* Matching 401(k) Contributions
* Vacation and Paid Sick Time
* Tuition Reimbursement
Job Category
Operations
Is Sponsorship Available?
No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is>
      </c>
    </row>
    <row r="3">
      <c r="A3" t="inlineStr">
        <is>
          <t>in-ae0de2297891affe</t>
        </is>
      </c>
      <c r="B3" t="inlineStr">
        <is>
          <t>Principal Technical Product Manager, Amazon Industrial Robotics</t>
        </is>
      </c>
      <c r="C3" t="inlineStr">
        <is>
          <t>Amazon.com</t>
        </is>
      </c>
      <c r="D3" t="inlineStr">
        <is>
          <t>indeed</t>
        </is>
      </c>
      <c r="E3" t="inlineStr"/>
      <c r="F3" t="inlineStr"/>
      <c r="G3" t="inlineStr">
        <is>
          <t>Reading, MA, US</t>
        </is>
      </c>
      <c r="H3" s="2" t="n">
        <v>45980</v>
      </c>
      <c r="I3"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 Principal Technical Product Manager with deep robotics engineering expertise to architect and drive transformative automation solutions. The ideal candidate will possess hands\-on experience in robotic systems development, including motion planning, control systems, computer vision, and machine learning. You should be able to dive deep into technical discussions about SLAM algorithms, inverse kinematics, real\-time control architectures, and sensor fusion while maintaining a strategic product vision. You'll need to understand the intricacies of ROS, real\-time operating systems, and embedded systems development to effectively guide engineering decisions. In this role, you'll translate complex technical requirements into executable roadmaps, working closely with robotics engineers and scientists to solve challenges in perception, manipulation, and HRI systems. You must be able to evaluate technical tradeoffs in areas like mechanical design, control systems architecture, and AI/ML implementation while considering customer value, business impact and scalability. You'll lead technical discovery, architecture reviews, and detailed feasibility analyses while driving product strategy that pushes the boundaries of what's possible in robotic automation at scale. Deep experience with industrial robotic systems, real\-time control architectures, AI/ML systems for robot learning and adaptation, and large\-scale distributed systems is essential.  
Key job responsibilities  
* Serve as the Voice of the Customer for the product line throughout its life cycle from initial concept creation to launch, and subsequent support of the product.
* Identify new product opportunities by evaluating the business needs and understanding customer pain points and value drivers
* Write business and product requirements documents and ensure clear communication and coordination of requirements to the business, design and development teams.
* Participate as a member of the core team during development, including research, requirements definition, metrics analysis, implementation, testing, and launch efforts.
* Work cross\-functionally to manage bottlenecks, provide escalation management, anticipate and make trade\-offs, balance the business needs versus technical constraints, and maximize business benefit while building great customer experiences.
* Measure and analyze existing products for opportunities to innovate and improve, providing additional benefits to customers
* Present confidently in a written format to Amazon senior management as well as other large audiences
* Demonstrate deep understanding of the scientific research landscape, including research methodologies, common challenges in scientific workflows, and emerging trends in the scientific community to inform product decisions and effectively address researcher needs
**BASIC QUALIFICATIONS**
------------------------
* Bachelor's degree in Computer Science or other technical degree or related experience
* Experience delivering projects within scope, time, budget and quality
* Experience working with engineering and product teams to define a product and bring it to market
* 7\+ years of product management experience
* 6\+ years of working directly with engineering teams experience
* Experience working on product lines that span both SW and HW
**PREFERRED QUALIFICATIONS**
----------------------------
* Experience working directly with Engineers on product enhancements
* Experience in project management methodologies, business analysis, or process improvement
* Experience delivering technology products or services in a high growth environment
* Experience with AI/ML technologies
* Master's degree, or PhD
* Experience with high\-volume products such as consumer electronics
* Experience working directly with Scientists and Engineers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in-7798c49b4b36a842</t>
        </is>
      </c>
      <c r="B4" t="inlineStr">
        <is>
          <t>Principal Technical Product Manager, Amazon Industrial Robotics</t>
        </is>
      </c>
      <c r="C4" t="inlineStr">
        <is>
          <t>Amazon.com</t>
        </is>
      </c>
      <c r="D4" t="inlineStr">
        <is>
          <t>indeed</t>
        </is>
      </c>
      <c r="E4" t="inlineStr"/>
      <c r="F4" t="inlineStr"/>
      <c r="G4" t="inlineStr">
        <is>
          <t>Reading, MA, US</t>
        </is>
      </c>
      <c r="H4" s="2" t="n">
        <v>45980</v>
      </c>
      <c r="I4" t="inlineStr">
        <is>
          <t>**DESCRIPTION**
---------------
Amazon Industrial Robotics is seeking exceptional talent to help develop the next generation of advanced robotics systems that will transform automation at Amazon's scale. We're building revolutionary robotic systems that combine cutting\-edge AI, sophisticated control systems, and advanced mechanical design to create adaptable automation solutions capable of working safely alongside humans in dynamic environments. This is a unique opportunity to shape the future of robotics and automation at an unprecedented scale, working with world\-class teams pushing the boundaries of what's possible in robotic manipulation, locomotion, and human\-robot interaction.
We're seeking a Principal Technical Product Manager with deep robotics engineering expertise to architect and drive transformative automation solutions. The ideal candidate will possess hands\-on experience in robotic systems development, including motion planning, control systems, computer vision, and machine learning. You should be able to dive deep into technical discussions about SLAM algorithms, inverse kinematics, real\-time control architectures, and sensor fusion while maintaining a strategic product vision. You'll need to understand the intricacies of ROS, real\-time operating systems, and embedded systems development to effectively guide engineering decisions. In this role, you'll translate complex technical requirements into executable roadmaps, working closely with robotics engineers and scientists to solve challenges in perception, manipulation, and HRI systems. You must be able to evaluate technical tradeoffs in areas like mechanical design, control systems architecture, and AI/ML implementation while considering customer value, business impact and scalability. You'll lead technical discovery, architecture reviews, and detailed feasibility analyses while driving product strategy that pushes the boundaries of what's possible in robotic automation at scale. Deep experience with industrial robotic systems, real\-time control architectures, AI/ML systems for robot learning and adaptation, and large\-scale distributed systems is essential.  
Key job responsibilities  
* Serve as the Voice of the Customer for the product line throughout its life cycle from initial concept creation to launch, and subsequent support of the product.
* Identify new product opportunities by evaluating the business needs and understanding customer pain points and value drivers
* Write business and product requirements documents and ensure clear communication and coordination of requirements to the business, design and development teams.
* Participate as a member of the core team during development, including research, requirements definition, metrics analysis, implementation, testing, and launch efforts.
* Work cross\-functionally to manage bottlenecks, provide escalation management, anticipate and make trade\-offs, balance the business needs versus technical constraints, and maximize business benefit while building great customer experiences.
* Measure and analyze existing products for opportunities to innovate and improve, providing additional benefits to customers
* Present confidently in a written format to Amazon senior management as well as other large audiences
* Demonstrate deep understanding of the scientific research landscape, including research methodologies, common challenges in scientific workflows, and emerging trends in the scientific community to inform product decisions and effectively address researcher needs
**BASIC QUALIFICATIONS**
------------------------
* Bachelor's degree in Computer Science or other technical degree or related experience
* Experience delivering projects within scope, time, budget and quality
* Experience working with engineering and product teams to define a product and bring it to market
* 7\+ years of product management experience
* 6\+ years of working directly with engineering teams experience
* Experience working on product lines that span both SW and HW
**PREFERRED QUALIFICATIONS**
----------------------------
* Experience working directly with Engineers on product enhancements
* Experience in project management methodologies, business analysis, or process improvement
* Experience delivering technology products or services in a high growth environment
* Experience with AI/ML technologies
* Master's degree, or PhD
* Experience with high\-volume products such as consumer electronics
* Experience working directly with Scientists and Engineers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in-a72cb7a08ac072b9</t>
        </is>
      </c>
      <c r="B5" t="inlineStr">
        <is>
          <t>Sr. Product Manager</t>
        </is>
      </c>
      <c r="C5" t="inlineStr">
        <is>
          <t>Amazon.com</t>
        </is>
      </c>
      <c r="D5" t="inlineStr">
        <is>
          <t>indeed</t>
        </is>
      </c>
      <c r="E5" t="inlineStr"/>
      <c r="F5" t="inlineStr"/>
      <c r="G5" t="inlineStr">
        <is>
          <t>Irvine, CA, US</t>
        </is>
      </c>
      <c r="H5" s="2" t="n">
        <v>45979</v>
      </c>
      <c r="I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in-7c7bb567e975cf9b</t>
        </is>
      </c>
      <c r="B6" t="inlineStr">
        <is>
          <t>Sr. Product Manager</t>
        </is>
      </c>
      <c r="C6" t="inlineStr">
        <is>
          <t>Amazon.com</t>
        </is>
      </c>
      <c r="D6" t="inlineStr">
        <is>
          <t>indeed</t>
        </is>
      </c>
      <c r="E6" t="inlineStr"/>
      <c r="F6" t="inlineStr"/>
      <c r="G6" t="inlineStr">
        <is>
          <t>New York, NY, US</t>
        </is>
      </c>
      <c r="H6" s="2" t="n">
        <v>45979</v>
      </c>
      <c r="I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in-2555fe3b115ebebb</t>
        </is>
      </c>
      <c r="B7" t="inlineStr">
        <is>
          <t>Sr. Product Manager</t>
        </is>
      </c>
      <c r="C7" t="inlineStr">
        <is>
          <t>Amazon.com</t>
        </is>
      </c>
      <c r="D7" t="inlineStr">
        <is>
          <t>indeed</t>
        </is>
      </c>
      <c r="E7" t="inlineStr"/>
      <c r="F7" t="inlineStr"/>
      <c r="G7" t="inlineStr">
        <is>
          <t>Seattle, WA, US</t>
        </is>
      </c>
      <c r="H7" s="2" t="n">
        <v>45979</v>
      </c>
      <c r="I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in-7ac714302ed691bd</t>
        </is>
      </c>
      <c r="B8" t="inlineStr">
        <is>
          <t>Sr. Product Manager</t>
        </is>
      </c>
      <c r="C8" t="inlineStr">
        <is>
          <t>Amazon.com</t>
        </is>
      </c>
      <c r="D8" t="inlineStr">
        <is>
          <t>indeed</t>
        </is>
      </c>
      <c r="E8" t="inlineStr"/>
      <c r="F8" t="inlineStr"/>
      <c r="G8" t="inlineStr">
        <is>
          <t>Los Angeles, CA, US</t>
        </is>
      </c>
      <c r="H8" s="2" t="n">
        <v>45979</v>
      </c>
      <c r="I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in-ef4b432ee12ac50e</t>
        </is>
      </c>
      <c r="B9" t="inlineStr">
        <is>
          <t>Sr. Product Manager</t>
        </is>
      </c>
      <c r="C9" t="inlineStr">
        <is>
          <t>Amazon.com</t>
        </is>
      </c>
      <c r="D9" t="inlineStr">
        <is>
          <t>indeed</t>
        </is>
      </c>
      <c r="E9" t="inlineStr"/>
      <c r="F9" t="inlineStr"/>
      <c r="G9" t="inlineStr">
        <is>
          <t>San Francisco, CA, US</t>
        </is>
      </c>
      <c r="H9" s="2" t="n">
        <v>45979</v>
      </c>
      <c r="I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We're seeking a Senior Product Manager to lead our onboarding and safety initiatives, making account management a strategic tool for platform growth while maintaining user safety and trust. You'll work at the intersection of user experience, regulatory compliance, and community health to protect our most vulnerable users while enabling seamless platform access for millions of creators and viewers worldwide.  
This role sits within our Health organization and requires deep expertise in trust \&amp; safety product development, including age assurance, parental controls, and complex compliance requirements. You'll balance user friction with necessary protections, ensuring Twitch remains a safe space for all communities.  
You can be based out of one of the Twitch offices including San Francisco, Seattle, Los Angeles, Irvine, or New York City.  
You Will  
* Own and develop account\-related features that drive both growth and user safety across all user segments
* Design and implement complex user flows for age assurance, parental controls, and passwordless authentication experiences
* Ensure compliance with global safety and health regulations including COPPA, GDPR\-Age, UK Age Appropriate Design Code, and emerging legislation
* Lead strategy for age verification and minor protection features, setting the standard for how Twitch protects young users
* Balance user friction with necessary data collection to optimize for both safety outcomes and platform growth
* Drive platform health through strategic account management decisions that impact millions of users
* Partner closely with community product, design, engineering, legal, policy, trust \&amp; safety, and data teams to deliver comprehensive solutions
* Translate complex regulatory requirements into actionable product requirements and elegant user experiences
Perks  
* Medical, Dental, Vision \&amp; Disability Insurance
* 401(k)
* Maternity \&amp; Parental Leave
* Flexible PTO
* Amazon Employee Discount
**BASIC QUALIFICATIONS**
------------------------
* Experience communicating effectively with senior leadership
* 8\+ years of product management experience, with at least 4 years focusing on trust \&amp; safety, community health, or user protection products at consumer platforms (we count time as engineer as PM time)
* Proven track record developing authentication systems, content moderation tools, user protection features, and/or community health products at scale
* Deep understanding of online safety regulations and compliance requirements across multiple jurisdictions
* Demonstrated ability to balance competing priorities: platform growth, user trust, safety needs, and regulatory compliance
* Experience managing complex multi\-stakeholder initiatives involving policy, legal, trust \&amp; safety experts, and community health teams
* Strong understanding of nuanced user behavior, community standards, and varying safety needs across different user segments and age groups
**PREFERRED QUALIFICATIONS**
----------------------------
* MS/MA or MBA in a technology or business related field
* Background in authentication systems or identity verification
* Hands\-on experience from major consumer platforms tackling age assurance or minor protection at scale
* Experience implementing COPPA, GDPR\-Age, or other child safety compliance frameworks
* Proficiency in SQL and data\-driven decision making
* Previous work in gaming, social media, or live streaming platforms
* Experience with customer experience (CX) and creator tools (CT)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in-0b28d12b11a2a544</t>
        </is>
      </c>
      <c r="B10" t="inlineStr">
        <is>
          <t>Sr. Product Manager, AWS Server Supply Chain</t>
        </is>
      </c>
      <c r="C10" t="inlineStr">
        <is>
          <t>Amazon.com</t>
        </is>
      </c>
      <c r="D10" t="inlineStr">
        <is>
          <t>indeed</t>
        </is>
      </c>
      <c r="E10" t="inlineStr"/>
      <c r="F10" t="inlineStr"/>
      <c r="G10" t="inlineStr">
        <is>
          <t>Seattle, WA, US</t>
        </is>
      </c>
      <c r="H10" s="2" t="n">
        <v>45956</v>
      </c>
      <c r="I10"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in-9bf5bedf015d7b68</t>
        </is>
      </c>
      <c r="B11" t="inlineStr">
        <is>
          <t>Sr. Product Manager, AWS Server Supply Chain</t>
        </is>
      </c>
      <c r="C11" t="inlineStr">
        <is>
          <t>Amazon.com</t>
        </is>
      </c>
      <c r="D11" t="inlineStr">
        <is>
          <t>indeed</t>
        </is>
      </c>
      <c r="E11" t="inlineStr"/>
      <c r="F11" t="inlineStr"/>
      <c r="G11" t="inlineStr">
        <is>
          <t>Austin, TX, US</t>
        </is>
      </c>
      <c r="H11" s="2" t="n">
        <v>45956</v>
      </c>
      <c r="I11"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in-0a0cc8a0c14c5724</t>
        </is>
      </c>
      <c r="B12" t="inlineStr">
        <is>
          <t>Sr. Product Manager, AWS Server Supply Chain</t>
        </is>
      </c>
      <c r="C12" t="inlineStr">
        <is>
          <t>Amazon.com</t>
        </is>
      </c>
      <c r="D12" t="inlineStr">
        <is>
          <t>indeed</t>
        </is>
      </c>
      <c r="E12" t="inlineStr"/>
      <c r="F12" t="inlineStr"/>
      <c r="G12" t="inlineStr">
        <is>
          <t>Cupertino, CA, US</t>
        </is>
      </c>
      <c r="H12" s="2" t="n">
        <v>45956</v>
      </c>
      <c r="I1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Services \&amp; Supply Chain (AIS\-SC) organization works to deliver leading\-edge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Amazon Web Services (AWS) is seeking a highly effective candidate to identify, create, develop and integrate innovative technology to deliver the best operating, lowest cost infrastructure in the world.
This individual will lead the manufacturing operations of Integrated Circuits needed for Printed Circuit Board Assemblies that meet our customers' rapidly growing infrastructure needs. Successful candidates will bring strong knowledge of Semiconductor supply chains, semiconductor manufacturing operations, quality assurance operations, and provide oversight of outsourced manufacturing teams.
AWS serves over a million active customers in more than 190 countries. We are steadily expanding global infrastructure to help our customers achieve lower latency and higher throughput. As our customers grow their businesses, AWS will continue to provide infrastructure that meets their global requirements.  
Key job responsibilities  
* Develop and implement Printed Circuit Board (PCB) supply chain strategies for AWS hardware infrastructure.
* Understand PCB industry and technology trends.
* Identify key technology trends in the PCB industry and drive supplier product roadmaps and execute on strategic initiatives in those products.
* Negotiate and implement complex supplier agreements and contracts by working with cross\-functional stakeholders.
* Develop negotiations strategies to deliver against business objectives and achieve sustainable relationship with suppliers.
* Responsible to provide weekly team updates, deliver executive level updates on a monthly basis, and will be responsible for vendor escalations in order to resolve any issues related to his/her category.
* Present to senior leadership via written narratives.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Professional traits that are necessary for Amazon leaders:  
* Exhibits excellent judgment
* Has high standards (is never satisfied with the status quo)
* Is able to dive deep and is never out of touch with the details of the business
* Expects and requires innovation of her/his team
* Has passion and convictions and the innate ability to inspire passion in others
* Strong results orientation
* Thinks big
**BASIC QUALIFICATIONS**
------------------------
* 5\+ years of developing, negotiating and executing business agreements experience
* 5\+ years of professional or military experience
* Bachelor's degree
* 5\+ years working with the electronics industry in supply chain, operations, manufacturing, or engineering fields.
**PREFERRED QUALIFICATIONS**
----------------------------
* Experience interpreting data and making business recommendations
* Experience identifying, negotiating, and executing complex legal agreements
* 5\+ years of responding to requests for proposals (e.g., determining requirements, matching requirements to technical approach and solutions, developing solutions against requirements) experience
* 5\+ years of experience in Semiconductor and/or PC Industry development and/or manufacturing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in-38a6f43a202afc22</t>
        </is>
      </c>
      <c r="B13" t="inlineStr">
        <is>
          <t>Sr. Program Manager, Planning &amp; Automation, Global Fleet and Products Electrification and Infrastructure</t>
        </is>
      </c>
      <c r="C13" t="inlineStr">
        <is>
          <t>Amazon.com</t>
        </is>
      </c>
      <c r="D13" t="inlineStr">
        <is>
          <t>indeed</t>
        </is>
      </c>
      <c r="E13" t="inlineStr"/>
      <c r="F13" t="inlineStr"/>
      <c r="G13" t="inlineStr">
        <is>
          <t>Bellevue, WA, US</t>
        </is>
      </c>
      <c r="H13" s="2" t="n">
        <v>45949</v>
      </c>
      <c r="I13"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in-9877ba82129d7ce0</t>
        </is>
      </c>
      <c r="B14" t="inlineStr">
        <is>
          <t>Sr. Program Manager, Planning &amp; Automation, Global Fleet and Products Electrification and Infrastructure</t>
        </is>
      </c>
      <c r="C14" t="inlineStr">
        <is>
          <t>Amazon.com</t>
        </is>
      </c>
      <c r="D14" t="inlineStr">
        <is>
          <t>indeed</t>
        </is>
      </c>
      <c r="E14" t="inlineStr"/>
      <c r="F14" t="inlineStr"/>
      <c r="G14" t="inlineStr">
        <is>
          <t>San Francisco, CA, US</t>
        </is>
      </c>
      <c r="H14" s="2" t="n">
        <v>45949</v>
      </c>
      <c r="I14"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in-5f74159494ede156</t>
        </is>
      </c>
      <c r="B15" t="inlineStr">
        <is>
          <t>Sr. Program Manager, Planning &amp; Automation, Global Fleet and Products Electrification and Infrastructure</t>
        </is>
      </c>
      <c r="C15" t="inlineStr">
        <is>
          <t>Amazon.com</t>
        </is>
      </c>
      <c r="D15" t="inlineStr">
        <is>
          <t>indeed</t>
        </is>
      </c>
      <c r="E15" t="inlineStr"/>
      <c r="F15" t="inlineStr"/>
      <c r="G15" t="inlineStr">
        <is>
          <t>Nashville, TN, US</t>
        </is>
      </c>
      <c r="H15" s="2" t="n">
        <v>45949</v>
      </c>
      <c r="I15" t="inlineStr">
        <is>
          <t>**DESCRIPTION**
---------------
Amazon is committed to building a sustainable business for our employees, customers, and communities. From leading The Climate Pledge to our goal of Net Zero Carbon by 2040, Amazon continues to drive industry transformation. Deploying a fleet of 100,000 electric delivery vehicles is one of the most impactful levers we have—and the technology, automation, and intelligent systems behind that fleet are critical to our success.  
Amazon’s Global Fleet Electrification \&amp; Infrastructure (GFP E\&amp;I) team is seeking a results\-driven leader with strong business judgment and cross\-functional collaboration skills to own planning and automation initiatives for our electrification and infrastructure supply chain. Our Program Managers are high\-energy self\-starters who thrive on building scalable, tech\-enabled mechanisms that connect engineering, sourcing, logistics, and construction to deliver critical EVSE to Amazon’s fleet\-charging sites worldwide.  
As a member of the Electrification \&amp; Infrastructure Supply Chain team, you will own material readiness and end\-to\-end automation strategy across the Americas to support Amazon’s rapidly expanding fleet\-electrification network. This role’s primary focus is to design and operationalize next\-generation forecasting, AI\-supported demand\-planning models, and automated data pipelines for key electrical systems—including switchgear, transformers, rectifiers, and chargers. You will work closely with design engineering, deployment, and supplier partners to build an integrated, data\-driven planning tool that aligns global supply with real\-time demand signals.  
You will also be responsible for tracking and auditing material status from purchase order through site delivery, ensuring supply continuity, reducing latency in data handoffs, and implementing proactive, tech\-driven strategies to mitigate risk and accelerate deployment. Additionally, you will architect and implement automation workflows (including ETL pipelines, dashboarding, and exception\-handling mechanisms) to eliminate manual work, improve data quality, and increase operating efficiency across the supply chain.  
Key job responsibilities  
Lead end\-to\-end materials management for power distribution products and chargers across global projects.  
Develop and execute demand\- and supply\-planning processes ensuring on\-time equipment availability aligned with deployment schedules.  
Partner with Engineering, Sourcing, and Construction to translate design changes and forecasts into executable procurement plans.  
Manage Sales \&amp; Operations Planning (S\&amp;OP) cadence for electrification hardware, integrating supplier lead\-times and manufacturing constraints.  
Build and automate forecasting models using internal data pipelines and supplier inputs to improve accuracy and reduce inventory exposure.  
Drive supplier continuous improvement initiatives.  
Track global inventory, shipments, and at\-risk materials; mitigate disruptions through proactive allocation and supplier collaboration.  
Support business reviews and executive updates on supply continuity, delivery metrics, and cost performance.  
About the team  
We are building the largest commercial EV fleet in the world, join us for exciting and challenging infrastructure challenges at an unprecedented scale!
**BASIC QUALIFICATIONS**
------------------------
* Bachelor's degree in engineering, mechanical, operations, supply chain, business administration, or equivalent STEM field
* Experience in a highly analytical, results\-oriented environment with cross functional interactions
* Experience communicating technical details verbally and in writing
* Can work proactively and independently, meet deadlines, and deliver on projects and tasks
* 6\+ years of experience in supply chain management, material planning and/or supply planning role
* Strong Working knowledge of S\&amp;OE and S\&amp;OP with implementation experience
**PREFERRED QUALIFICATIONS**
----------------------------
* Knowledge of Microsoft Office products and applications at an advanced level
* 10\+ years of experience in Supply Chain (Forecasting, Demand Planning, Supply Planning, Inventory Planning, Materials Management, Master Planning, Scheduling, Lifecycle management)
* Tools and Advanced Planning Systems Software
* APICS and/or IBF certification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$103,900/year in our lowest geographic market up to $181,400/year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in-9f2e8fd8675b26c1</t>
        </is>
      </c>
      <c r="B16" t="inlineStr">
        <is>
          <t>Workforce Development Program Manager III, Reliability &amp; Engineering Maintenance Strategic Workforce Development (SWD) Team</t>
        </is>
      </c>
      <c r="C16" t="inlineStr">
        <is>
          <t>Amazon.com</t>
        </is>
      </c>
      <c r="D16" t="inlineStr">
        <is>
          <t>indeed</t>
        </is>
      </c>
      <c r="E16" t="inlineStr"/>
      <c r="F16" t="inlineStr"/>
      <c r="G16" t="inlineStr">
        <is>
          <t>Seattle, WA, US</t>
        </is>
      </c>
      <c r="H16" s="2" t="n">
        <v>45946</v>
      </c>
      <c r="I16"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17">
      <c r="A17" t="inlineStr">
        <is>
          <t>in-e388d29643e19f14</t>
        </is>
      </c>
      <c r="B17" t="inlineStr">
        <is>
          <t>Workforce Development Program Manager III, Reliability &amp; Engineering Maintenance Strategic Workforce Development (SWD) Team</t>
        </is>
      </c>
      <c r="C17" t="inlineStr">
        <is>
          <t>Amazon.com</t>
        </is>
      </c>
      <c r="D17" t="inlineStr">
        <is>
          <t>indeed</t>
        </is>
      </c>
      <c r="E17" t="inlineStr"/>
      <c r="F17" t="inlineStr"/>
      <c r="G17" t="inlineStr">
        <is>
          <t>Nashville, TN, US</t>
        </is>
      </c>
      <c r="H17" s="2" t="n">
        <v>45946</v>
      </c>
      <c r="I17"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18">
      <c r="A18" t="inlineStr">
        <is>
          <t>in-d6061d5eb627c768</t>
        </is>
      </c>
      <c r="B18" t="inlineStr">
        <is>
          <t>Workforce Development Program Manager III, Reliability &amp; Engineering Maintenance Strategic Workforce Development (SWD) Team</t>
        </is>
      </c>
      <c r="C18" t="inlineStr">
        <is>
          <t>Amazon.com</t>
        </is>
      </c>
      <c r="D18" t="inlineStr">
        <is>
          <t>indeed</t>
        </is>
      </c>
      <c r="E18" t="inlineStr"/>
      <c r="F18" t="inlineStr"/>
      <c r="G18" t="inlineStr">
        <is>
          <t>Denver, CO, US</t>
        </is>
      </c>
      <c r="H18" s="2" t="n">
        <v>45946</v>
      </c>
      <c r="I18"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19">
      <c r="A19" t="inlineStr">
        <is>
          <t>in-5441d39c239c93d1</t>
        </is>
      </c>
      <c r="B19" t="inlineStr">
        <is>
          <t>Workforce Development Program Manager III, Reliability &amp; Engineering Maintenance Strategic Workforce Development (SWD) Team</t>
        </is>
      </c>
      <c r="C19" t="inlineStr">
        <is>
          <t>Amazon.com</t>
        </is>
      </c>
      <c r="D19" t="inlineStr">
        <is>
          <t>indeed</t>
        </is>
      </c>
      <c r="E19" t="inlineStr"/>
      <c r="F19" t="inlineStr"/>
      <c r="G19" t="inlineStr">
        <is>
          <t>Erlanger, KY, US</t>
        </is>
      </c>
      <c r="H19" s="2" t="n">
        <v>45946</v>
      </c>
      <c r="I19"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20">
      <c r="A20" t="inlineStr">
        <is>
          <t>in-e61eebc15d37a9dd</t>
        </is>
      </c>
      <c r="B20" t="inlineStr">
        <is>
          <t>Workforce Development Program Manager III, Reliability &amp; Engineering Maintenance Strategic Workforce Development (SWD) Team</t>
        </is>
      </c>
      <c r="C20" t="inlineStr">
        <is>
          <t>Amazon.com</t>
        </is>
      </c>
      <c r="D20" t="inlineStr">
        <is>
          <t>indeed</t>
        </is>
      </c>
      <c r="E20" t="inlineStr"/>
      <c r="F20" t="inlineStr"/>
      <c r="G20" t="inlineStr">
        <is>
          <t>Indianapolis, IN, US</t>
        </is>
      </c>
      <c r="H20" s="2" t="n">
        <v>45946</v>
      </c>
      <c r="I20"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21">
      <c r="A21" t="inlineStr">
        <is>
          <t>in-84d120f3bdbf530b</t>
        </is>
      </c>
      <c r="B21" t="inlineStr">
        <is>
          <t>Workforce Development Program Manager III, Reliability &amp; Engineering Maintenance Strategic Workforce Development (SWD) Team</t>
        </is>
      </c>
      <c r="C21" t="inlineStr">
        <is>
          <t>Amazon.com</t>
        </is>
      </c>
      <c r="D21" t="inlineStr">
        <is>
          <t>indeed</t>
        </is>
      </c>
      <c r="E21" t="inlineStr"/>
      <c r="F21" t="inlineStr"/>
      <c r="G21" t="inlineStr">
        <is>
          <t>Tampa, FL, US</t>
        </is>
      </c>
      <c r="H21" s="2" t="n">
        <v>45946</v>
      </c>
      <c r="I21"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22">
      <c r="A22" t="inlineStr">
        <is>
          <t>in-69f1a3797f50a326</t>
        </is>
      </c>
      <c r="B22" t="inlineStr">
        <is>
          <t>Workforce Development Program Manager III, Reliability &amp; Engineering Maintenance Strategic Workforce Development (SWD) Team</t>
        </is>
      </c>
      <c r="C22" t="inlineStr">
        <is>
          <t>Amazon.com</t>
        </is>
      </c>
      <c r="D22" t="inlineStr">
        <is>
          <t>indeed</t>
        </is>
      </c>
      <c r="E22" t="inlineStr"/>
      <c r="F22" t="inlineStr"/>
      <c r="G22" t="inlineStr">
        <is>
          <t>Dallas, TX, US</t>
        </is>
      </c>
      <c r="H22" s="2" t="n">
        <v>45946</v>
      </c>
      <c r="I22" t="inlineStr">
        <is>
          <t>**DESCRIPTION**
---------------
Application deadline: Jan 27, 2026  
Are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 6\+ years of program or project management experience
* Experience using data and metrics to determine and drive improvements
* Experience owning program strategy, end to end delivery, and communicating results to senior leadership
**PREFERRED QUALIFICATIONS**
----------------------------
* 4\+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$115,600 \- $160,000 annually  
National $104,100 \- $185,000 annually</t>
        </is>
      </c>
    </row>
    <row r="23">
      <c r="A23" t="inlineStr">
        <is>
          <t>in-38a71cf5fdbfdb2e</t>
        </is>
      </c>
      <c r="B23" t="inlineStr">
        <is>
          <t>Principal Product Manager Technical, Creative X - RAPID</t>
        </is>
      </c>
      <c r="C23" t="inlineStr">
        <is>
          <t>Amazon.com</t>
        </is>
      </c>
      <c r="D23" t="inlineStr">
        <is>
          <t>indeed</t>
        </is>
      </c>
      <c r="E23" t="inlineStr"/>
      <c r="F23" t="inlineStr"/>
      <c r="G23" t="inlineStr">
        <is>
          <t>Seattle, WA, US</t>
        </is>
      </c>
      <c r="H23" s="2" t="n">
        <v>45939</v>
      </c>
      <c r="I23"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in-bc9ffcf29c5d6f50</t>
        </is>
      </c>
      <c r="B24" t="inlineStr">
        <is>
          <t>Principal Product Manager Technical, Creative X - RAPID</t>
        </is>
      </c>
      <c r="C24" t="inlineStr">
        <is>
          <t>Amazon.com</t>
        </is>
      </c>
      <c r="D24" t="inlineStr">
        <is>
          <t>indeed</t>
        </is>
      </c>
      <c r="E24" t="inlineStr"/>
      <c r="F24" t="inlineStr"/>
      <c r="G24" t="inlineStr">
        <is>
          <t>New York, NY, US</t>
        </is>
      </c>
      <c r="H24" s="2" t="n">
        <v>45939</v>
      </c>
      <c r="I24" t="inlineStr">
        <is>
          <t>**DESCRIPTION**
---------------
Amazon Advertising operates at the intersection of eCommerce and advertising, offering a rich array of digital display advertising solutions with the goal of helping our customers find and discover anything they want to buy. We help advertisers of all types to reach Amazon customers on Amazon.com, across our other owned and operated sites, on other high quality sites across the web, and on millions of mobile devices. We improve campaign performance for all advertisers through improved creative personalization. If you’re interested in joining a rapidly growing team working to build a unique, world\-class advertising product with a relentless focus on the customer, you’ve come to the right place.  
You love learning and building, operate independently, and demonstrate a willingness to roll up your sleeves and dive deep. As a Principal Product Manager – Tech, you will define and execute all aspects of product development and go to market strategies for our AI powered creative optimization product.  
You will be working with a team of product managers, scientists, UX designers, and software engineers to build, test, launch, measure, and iterate on the features that optimizes the creative experience of display ads. You can excel when faced with ambiguity, have high judgement, and are able to balance technical limitations and customer experience to drive strategic value for the business. Successful candidates will enjoy working in a collaborative, analytical, and fast\-paced environment and are comfortable interacting with highly technical cross\-functional teams. Candidates will have experience with personalization and a track record of developing AI driven products.  
Key job responsibilities  
Driving the vision, roadmap, and external positioning for creative personalization. To be successful, the PM must balance the needs of advertisers and internal stakeholders, invent new ways to solve customer problems, and think big to align business and tech teams on the vision for the next generation of personalization.  
* Lead cross\-functional tech teams to execute on product plans and deliver results
* Drive executive reviews and alignment for your plans
* Collaborate closely with stakeholders throughout Amazon to obtain buy\-in for product initiations
* Partner with engineering to take features from conception to launch
* Analyze and act on business metrics and data to grow the business
* Leverage consumer insights, advertiser feedback, and competitive intelligence reports to inform product decisions
About the team  
Our team, CreativeX Optimization, empowers advertisers to personalize the visual experience of their ads in real time. We apply advanced machine learning and generative AI to help advertisers build, identify, and understand what ad creatives work with their audiences. We develop customized CTR and CVR prediction models to help advertisers efficiently connect with shoppers across the web. We utilize generative models to understand shopper preferences across text, images, and videos. We have a broad mandate to experiment and innovate, as we seek to leapfrog the competition and impact billions of impressions daily.**BASIC QUALIFICATIONS**
------------------------
* Bachelor's degree
* Experience owning/driving roadmap strategy and definition
* Experience with feature delivery and tradeoffs of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in-7235dc92274aba0f</t>
        </is>
      </c>
      <c r="B25" t="inlineStr">
        <is>
          <t>Senior Program Manager III, Planning, Amazon Leo, Global Service Compliance</t>
        </is>
      </c>
      <c r="C25" t="inlineStr">
        <is>
          <t>Amazon.com</t>
        </is>
      </c>
      <c r="D25" t="inlineStr">
        <is>
          <t>indeed</t>
        </is>
      </c>
      <c r="E25" t="inlineStr"/>
      <c r="F25" t="inlineStr"/>
      <c r="G25" t="inlineStr">
        <is>
          <t>Arlington, VA, US</t>
        </is>
      </c>
      <c r="H25" s="2" t="n">
        <v>45939</v>
      </c>
      <c r="I25"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in-3e5b6ac707da67d2</t>
        </is>
      </c>
      <c r="B26" t="inlineStr">
        <is>
          <t>Senior Program Manager III, Planning, Amazon Leo, Global Service Compliance</t>
        </is>
      </c>
      <c r="C26" t="inlineStr">
        <is>
          <t>Amazon.com</t>
        </is>
      </c>
      <c r="D26" t="inlineStr">
        <is>
          <t>indeed</t>
        </is>
      </c>
      <c r="E26" t="inlineStr"/>
      <c r="F26" t="inlineStr"/>
      <c r="G26" t="inlineStr">
        <is>
          <t>Bellevue, WA, US</t>
        </is>
      </c>
      <c r="H26" s="2" t="n">
        <v>45939</v>
      </c>
      <c r="I26" t="inlineStr">
        <is>
          <t>**DESCRIPTION**
---------------
We are seeking a stellar Senior Program Manager with operational experience in internet service provider/telecom obligations to join the Global Service Compliance team supporting Amazon Leo.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Our Global Service Compliance (GSC) is seeking a dynamic, organized, and experienced Program Manager to guide and inform specific communications service compliance obligation workstreams. You are responsible for managing complex compliance programs, from planning through to execution, continuously surveilling the Amazon Leo business strategy and regulatory environment to plan and respond to change across one or more domains. Your role is focused primarily on revenue reporting and financial impacts.
You collaborate with business and technical teams to deliver world\-class compliance solutions that are highly scalable, secure, and flexible while maintaining a strong organizational focus. You work with stakeholders and multiple business teams to identify, define, and iterate solutions for 1 or more compliance domains. You are a deep subject matter in your assigned compliance workstreams and will be the face of the workstream to external stakeholders. You create dynamic plans and monitor performance and evolution of the workstream as the Amazon Leo business expands and changes, reporting successes, risks, and program status internally (within GSC) and externally (across Amazon Leo) as appropriate. You tailor your communications to specific audiences, communicating clearly and concisely to business, technical, business partner, and leadership audiences.  
As a GSC PM, you oversee the compliance program approach, implementation, and optimization for 1or more workstreams, while championing program management best practices across the GSC organization.
Export Control Requirement: Due to applicable export control laws and regulations, candidates must be a U.S. citizen or national, U.S. permanent resident (i.e., current Green Card holder), or lawfully admitted into the U.S. as a refugee or granted asylum.  
This position may be based in Bellevue, WA, or Arlington, VA, Earth. Some travel, domestic and international, may be required. No intergalactic travel is yet required.  
Key job responsibilities  
* Develop and implement comprehensive compliance workstream strategies aligned with Amazon Leo's global service expansion goals and objectives. This involves defining workstream scope, establishing measurable KPIs, and creating mechanisms to monitor compliance performance and efficiency.
* Own ongoing prioritization, resourcing and development of GSC's strategy and plan for assigned compliance workstreams as assigned. Monitor and plan for change against the Amazon Leo Business strategy and the regulatory landscape to scope and implement change. Anticipate and react to feedback/engagement in collaboration with GSC's execution teams to drive operational improvements.
* Plan GSC's roadmap and mechanism structure to ensure growth scales globally by leveraging foundational frameworks and automation.
* Be a subject matter expert and central point of contact for internal and cross\-functional stakeholders to accelerate deliverables. This includes providing guidance and expertise to support GSC teams and stakeholders to unblock paths forward in their deliverables across assigned compliance workstreams.
* Own administrative functions for internal coordination, including function\-based calendar management, workspace accesses, creation and maintenance of knowledge artifacts and support onboarding and training of personnel.
A day in the life  
* You handle complex initiatives, delivering critical solutions, significant improvements, new mechanisms, or deprecating processes that are no longer needed.
* You manage the plan and strategy of assigned compliance workstreams with deep subject matter expertise, requiring interfacing with external stakeholders.
* You communicate effectively with Directors and VPs, encouraging constructive dialogue and harmonize discordant views. You coordinate the resolution of contentious issues (build consensus). You partner effectively with customers, stakeholders, and engineering teams.
* Your program management practices set standards for others, defining clear goals and identifying risks before they become roadblocks.
* You are a simplifier, improving organizational efficiency by standardizing processes, eliminating unnecessary processes, and delivering automation.
* You actively participate in organizational development and mentor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in-ebf2f431620d0b21</t>
        </is>
      </c>
      <c r="B27" t="inlineStr">
        <is>
          <t>Principal Product Manager, Ship with Amazon</t>
        </is>
      </c>
      <c r="C27" t="inlineStr">
        <is>
          <t>Amazon.com</t>
        </is>
      </c>
      <c r="D27" t="inlineStr">
        <is>
          <t>indeed</t>
        </is>
      </c>
      <c r="E27" t="inlineStr"/>
      <c r="F27" t="inlineStr"/>
      <c r="G27" t="inlineStr">
        <is>
          <t>Bellevue, WA, US</t>
        </is>
      </c>
      <c r="H27" s="2" t="n">
        <v>45938</v>
      </c>
      <c r="I27"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a Principal PM, you will be responsible for defining and owning the strategic vision and roadmap for Sales tooling products in the Amazon Shipping organization. This leader will work closely with stakeholders from Sales, Sales Ops and Marketing Ops to recommend and implement products to support the organization's strategic objectives around improving sales productivity and efficiency, customer experience, and cost optimization.  
The ideal candidate has a strong background in Sales tooling products (Salesforce, Highspot, ZoomInfo, Marketo) combined with a solid understanding of current technologies (e.g. APIs, mobile, GenAI). S/he can develop and drive high\-level strategic initiatives but also roll up their sleeves, dig in and get the job done. Maturity, strong business judgment, ability to influence cross\-functional and remote teams, a customer\-centric and creative mindset and strong analytical skills are essential. This opportunity requires excellent product management, prioritization, and communication skills, as well as the ability to navigate ambiguity.  
Key job responsibilities  
* Define the strategic vision and own the long\-term roadmap for Sales tooling products across the Shipping organization
* Partner with Sales, Sales Ops and Marketing Ops to identify and influence development of new products and services that drive productivity and efficiency
* Work directly with engineering to build exceptional products by integrating 3P products into the broader ecosystem
* Define user stories and product requirements while contributing to the technical design of new product implementation and features
* Engage with stakeholders to prioritize features and drive go\-to\-market strategies while making appropriate trade\-offs to optimize time\-to\-market, and technical and business outcomes
* Influence executive leadership and drive alignment across multiple teams on long\-term priorities
* Display self\-starter mentality and the ability to dive below the surface to uncover the "so what" rather than just the symptoms
* Up to 10% travel
**BASIC QUALIFICATIONS**
------------------------
* Bachelor's degree in Computer Science, Engineering, or a related field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 10\+ years of Salesforce ecosystem experience
**PREFERRED QUALIFICATIONS**
----------------------------
* Master's degree, or MBA in management, business administration, economics, engineering, marketing
* Experience with AI/ML technologies
* One or more Salesforce certifications
* Experience in logistics, shipping, or supply chain technology industries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in-c2590a7707560529</t>
        </is>
      </c>
      <c r="B28" t="inlineStr">
        <is>
          <t>Principal Product Manager, Ship with Amazon</t>
        </is>
      </c>
      <c r="C28" t="inlineStr">
        <is>
          <t>Amazon.com</t>
        </is>
      </c>
      <c r="D28" t="inlineStr">
        <is>
          <t>indeed</t>
        </is>
      </c>
      <c r="E28" t="inlineStr"/>
      <c r="F28" t="inlineStr"/>
      <c r="G28" t="inlineStr">
        <is>
          <t>Arlington, VA, US</t>
        </is>
      </c>
      <c r="H28" s="2" t="n">
        <v>45938</v>
      </c>
      <c r="I28"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a Principal PM, you will be responsible for defining and owning the strategic vision and roadmap for Sales tooling products in the Amazon Shipping organization. This leader will work closely with stakeholders from Sales, Sales Ops and Marketing Ops to recommend and implement products to support the organization's strategic objectives around improving sales productivity and efficiency, customer experience, and cost optimization.  
The ideal candidate has a strong background in Sales tooling products (Salesforce, Highspot, ZoomInfo, Marketo) combined with a solid understanding of current technologies (e.g. APIs, mobile, GenAI). S/he can develop and drive high\-level strategic initiatives but also roll up their sleeves, dig in and get the job done. Maturity, strong business judgment, ability to influence cross\-functional and remote teams, a customer\-centric and creative mindset and strong analytical skills are essential. This opportunity requires excellent product management, prioritization, and communication skills, as well as the ability to navigate ambiguity.  
Key job responsibilities  
* Define the strategic vision and own the long\-term roadmap for Sales tooling products across the Shipping organization
* Partner with Sales, Sales Ops and Marketing Ops to identify and influence development of new products and services that drive productivity and efficiency
* Work directly with engineering to build exceptional products by integrating 3P products into the broader ecosystem
* Define user stories and product requirements while contributing to the technical design of new product implementation and features
* Engage with stakeholders to prioritize features and drive go\-to\-market strategies while making appropriate trade\-offs to optimize time\-to\-market, and technical and business outcomes
* Influence executive leadership and drive alignment across multiple teams on long\-term priorities
* Display self\-starter mentality and the ability to dive below the surface to uncover the "so what" rather than just the symptoms
* Up to 10% travel
**BASIC QUALIFICATIONS**
------------------------
* Bachelor's degree in Computer Science, Engineering, or a related field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 10\+ years of Salesforce ecosystem experience
**PREFERRED QUALIFICATIONS**
----------------------------
* Master's degree, or MBA in management, business administration, economics, engineering, marketing
* Experience with AI/ML technologies
* One or more Salesforce certifications
* Experience in logistics, shipping, or supply chain technology industries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in-4d66e6be64679d40</t>
        </is>
      </c>
      <c r="B29" t="inlineStr">
        <is>
          <t>Principal Product Manager, Ship with Amazon</t>
        </is>
      </c>
      <c r="C29" t="inlineStr">
        <is>
          <t>Amazon.com</t>
        </is>
      </c>
      <c r="D29" t="inlineStr">
        <is>
          <t>indeed</t>
        </is>
      </c>
      <c r="E29" t="inlineStr"/>
      <c r="F29" t="inlineStr"/>
      <c r="G29" t="inlineStr">
        <is>
          <t>Nashville, TN, US</t>
        </is>
      </c>
      <c r="H29" s="2" t="n">
        <v>45936</v>
      </c>
      <c r="I29"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in-870fa54a2a42db78</t>
        </is>
      </c>
      <c r="B30" t="inlineStr">
        <is>
          <t>Principal Product Manager, Ship with Amazon</t>
        </is>
      </c>
      <c r="C30" t="inlineStr">
        <is>
          <t>Amazon.com</t>
        </is>
      </c>
      <c r="D30" t="inlineStr">
        <is>
          <t>indeed</t>
        </is>
      </c>
      <c r="E30" t="inlineStr"/>
      <c r="F30" t="inlineStr"/>
      <c r="G30" t="inlineStr">
        <is>
          <t>Bellevue, WA, US</t>
        </is>
      </c>
      <c r="H30" s="2" t="n">
        <v>45936</v>
      </c>
      <c r="I30"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in-629f142a22148ac8</t>
        </is>
      </c>
      <c r="B31" t="inlineStr">
        <is>
          <t>Principal Product Manager, Ship with Amazon</t>
        </is>
      </c>
      <c r="C31" t="inlineStr">
        <is>
          <t>Amazon.com</t>
        </is>
      </c>
      <c r="D31" t="inlineStr">
        <is>
          <t>indeed</t>
        </is>
      </c>
      <c r="E31" t="inlineStr"/>
      <c r="F31" t="inlineStr"/>
      <c r="G31" t="inlineStr">
        <is>
          <t>Arlington, VA, US</t>
        </is>
      </c>
      <c r="H31" s="2" t="n">
        <v>45936</v>
      </c>
      <c r="I31" t="inlineStr">
        <is>
          <t>**DESCRIPTION**
---------------
Join Amazon Shipping (SWA) to build the next $100B initiative. Shape the future of shipping as a part of a new, emerging business and solve the biggest customer pain points in the small parcel logistics industry globally.  
It’s no secret that Amazon relies on its technology to deliver millions of packages every day to its customers – on time, with low cost. We, the Product and Technology organization, simplify complex software solutions that work across our shippers, vendors, and warehouses to optimize both time \&amp; cost of getting the packages delivered. Our services already handle thousands of requests per second, make business decisions impacting billions of dollars a year, integrate with a network of small and large shippers, operators and drivers worldwide, manage business rules for millions of unique products, and improve the ordering and delivery experience for millions of online shoppers. That said, this remains a fast\-growing business and our technical journey has only started. Our mission is to build the most efficient and optimal shipping solution on the planet, using our technology and engineering muscle as our biggest advantage. We aim to leverage top technologies in big data and optimization techniques to operate high volume, low latency, and high availability services.  
What will you do?  
As Principal Product Manager, you will architect and drive our digital product strategy across web and mobile platforms, creating exceptional user experiences for our customers. In this key leadership role, you will spearhead the vision and roadmap for our digital ecosystem, leveraging customer insights, data analysis, and user research to deliver innovative solutions. You will lead cross\-functional teams through complex product development cycles, from conception to launch, ensuring seamless integration across all digital touchpoints.
The ideal candidate has a strong logistics/supply chain and digital product management background combined with a solid understanding of current technologies. S/he can develop and drive high\-level strategic initiatives but also roll up their sleeves, dig in and get the job done. Maturity, strong business judgment, ability to influence cross\-functional and remote teams, a customer\-centric and creative mindset with strong analytical skills are essential. This opportunity requires excellent product management, prioritization, and communication skills, as well as the ability to navigate ambiguity.  
Key job responsibilities  
* Define the digital product vision and roadmap.
* Work directly with customers, stakeholders, UX and engineering to build exceptional products.
\- Partner with other teams across Amazon Shipping \- Product and Tech to identify and influence development of new products and services.  
* Anticipate bottlenecks, provide escalation management, and make tradeoffs to balance business needs versus technical or operational constraints.
* Collaborate with global stakeholders in other regions to define requirements that support international use cases.
* Define user stories and product requirements; contribute to the technical design of new product features.
* Drive adoption of features, incorporating continuous feedback for improvements based on user experiences.
* About 10% travel required.
**BASIC QUALIFICATIONS**
------------------------
* Bachelor's degree in Computer Science, Engineering, or a related field
* 10\+ years of success in digital user experience, web/mobile development or digital product management experience
* 7\+ years of end to end product delivery experience
* Experience defining roadmap strategy and prioritizing deliverables for your team products
* Experience managing competing priorities and using metrics to drive business decisions
* Experience influencing multiple stakeholders and leading cross functional teams across geographies and business units
**PREFERRED QUALIFICATIONS**
----------------------------
* MBA, or Master's degree in business, data science, public administration, finance, engineering, human resources or related field
* Experience in program management, logistics, operations, supply chain, transportation, or equivalent
* Experience with AI\-driven personalization or automation in digital experiences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$145,700/year in our lowest geographic market up to $240,900/year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in-28e888bcfe018fe6</t>
        </is>
      </c>
      <c r="B32" t="inlineStr">
        <is>
          <t>Sr. Supply Chain Product Manager, Amazon Custom Modules</t>
        </is>
      </c>
      <c r="C32" t="inlineStr">
        <is>
          <t>Amazon.com</t>
        </is>
      </c>
      <c r="D32" t="inlineStr">
        <is>
          <t>indeed</t>
        </is>
      </c>
      <c r="E32" t="inlineStr"/>
      <c r="F32" t="inlineStr"/>
      <c r="G32" t="inlineStr">
        <is>
          <t>Austin, TX, US</t>
        </is>
      </c>
      <c r="H32" s="2" t="n">
        <v>45935</v>
      </c>
      <c r="I32"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in-b7e5aa50c2759743</t>
        </is>
      </c>
      <c r="B33" t="inlineStr">
        <is>
          <t>Sr. Supply Chain Product Manager, Amazon Custom Modules</t>
        </is>
      </c>
      <c r="C33" t="inlineStr">
        <is>
          <t>Amazon.com</t>
        </is>
      </c>
      <c r="D33" t="inlineStr">
        <is>
          <t>indeed</t>
        </is>
      </c>
      <c r="E33" t="inlineStr"/>
      <c r="F33" t="inlineStr"/>
      <c r="G33" t="inlineStr">
        <is>
          <t>Seattle, WA, US</t>
        </is>
      </c>
      <c r="H33" s="2" t="n">
        <v>45935</v>
      </c>
      <c r="I33"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in-4b336752c50de6d7</t>
        </is>
      </c>
      <c r="B34" t="inlineStr">
        <is>
          <t>Sr. Supply Chain Product Manager, Amazon Custom Modules</t>
        </is>
      </c>
      <c r="C34" t="inlineStr">
        <is>
          <t>Amazon.com</t>
        </is>
      </c>
      <c r="D34" t="inlineStr">
        <is>
          <t>indeed</t>
        </is>
      </c>
      <c r="E34" t="inlineStr"/>
      <c r="F34" t="inlineStr"/>
      <c r="G34" t="inlineStr">
        <is>
          <t>Cupertino, CA, US</t>
        </is>
      </c>
      <c r="H34" s="2" t="n">
        <v>45935</v>
      </c>
      <c r="I34" t="inlineStr">
        <is>
          <t>**DESCRIPTION**
---------------
AWS Infrastructure Services owns the design, planning, delivery, and operation of all AWS global infrastructure. In other words, we’re the people who keep the cloud running. We support all AWS data centers and all of the servers, storage, networking, power, and cooling equipment that ensure our customers have continual access to the innovation they rely on. We work on the most challenging problems, with thousands of variables impacting the supply chain — and we’re looking for talented people who want to help.
You’ll join a diverse team of software, hardware, and network engineers, supply chain specialists, security experts, operations managers, and other vital roles. You’ll collaborate with people across AWS to help us deliver the highest standards for safety and security while providing seemingly infinite capacity at the lowest possible cost for our customers. And you’ll experience an inclusive culture that welcomes bold ideas and empowers you to own them to completion.  
Amazon Web Services (AWS) provides a highly reliable, scalable, and low\-cost cloud platform that powers thousands of businesses in over 190 countries. AWS’ Infrastructure Supply Chain \&amp; Procurement (ISCaP) organization works to deliver solutions to source, build and maintain our socially responsible data center supply chains. We are a team of highly\-motivated, engaged, and responsive professionals who enable the core sustainable infrastructure of AWS. Come join our team and be a part of history as we deliver results for the largest cloud services company on Earth!  
WS is looking for an experienced professional who loves technology, is hungry for driving change and looking to make a Global impact. Come armed with your knowledge for a position where you will own, build, and run technology sourcing and operations and engage with multiple teams to drive plans and execution to satisfy the demanding needs of a high growth industry impacting markets worldwide. This is a great opportunity for someone who obsesses over customers, thinks long\-term and get things done.  
Our AWS procurement team is looking for a results\-oriented individual to assume responsibility for launching new Printed Circuit Board Assembly (PCBA) products, geography expansions and contract manufacturing. Our Supply Chain Product Managers are responsible for developing Alternate or Multi Sourcing Strategies and clear action plans to support the launch of new products and sustainment of existing products as we meet and exceed customer demand. In this role you will lead internal and supplier engagements across Supply Chain, Engineering and Business organizations while diving deep into the technologies and operations both from a product and Supply Chain perspective. You will analyze trends involving the industry players – vendors, customers, and technology to develop strategies to reduce cost, minimize risk, protect continuity of supply, and utilize emerging opportunities, allowing AWS to meet and exceed its goals.  
Skills:  
* Extensive knowledge of supply chain, PCBA manufacturing, product lifecycle management, roadmap planning, and product requirement decision making.
* Entrepreneurial drive, and proven ability take ownership and influence others.
* Proven ability to drive cohesion and collaboration among many different people \&amp; functions.
* Exceptional communication skills which includes clear written and verbal communication as well as the ability to listen effectively.
* Excellent creative thinking skills with emphasis on developing innovative solutions to solve complex problems that may not have one clear answer.
* Demonstrable capability to negotiate requirements and decisions effectively across a diverse range of teams and to lead through influence.
* Proven ability to execute in all phases of the product development life cycle, resulting in high\-quality hardware products, delivered on time.
* Demonstrated ability to work in a self\-directed manner, seeking out areas that need attention, rather than being asked to look at specific problem areas.
Key job responsibilities  
Drive Amazon PCBA introductions by qualifying and securing multiple sub\-tier component sources pre\-launch, ensuring supply chain resiliency through validated alternate suppliers while meeting launch timing, cost, and quality objectives.  
* Partner with design, manufacturing teams and suppliers to implement robust product/configuration management processes, driving timely qualification of alternate sources to guarantee supply availability at launch.
* Matrix manage team members from across all functions to develop new product plans and sustaining processes. Typical functions to interact with include Global Commodity Managers, Global Supply Managers, Technical PM, SQE, Supply Chain, DFX, Finance, etc.
* Represent ISCaP with the product design teams. Use production expertise to influence and negotiate for design for supply chain.
* Communicate project status updates to various project stakeholders, including team members and executives. Synthesize a multitude of issues into a clear, concise and focused message. Present with confidence and brevity.
* Drive improved visibility around transition planning events, especially as they relate to End of Marketing (EOM), End of Sales (EOS) and End of Production (EOP).
About the team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or Master's degree in supply chain, business, engineering, finance or related technical or quantitative field
* 2\+ years of data analysis using tools such as Excel, Pivot Tables, SQL, Tableau, or equivalent experience
* 5\+ years of PCBA Supply chain/manufacturing experience
* 6\+ years of work experience in program, project, or product management, or leading an implementation of a technical products, or 4\+ with advanced degree
**PREFERRED QUALIFICATIONS**
----------------------------
* Experience communicating and handling cross\-functional programs including project stakeholders, technical program managers, and software development teams
* 10\+ years of experience overseeing global project management teams
* MBA or advanced degree in engineering, operations research, mathematics or other quantitative disciplines
* Excellent creative thinking skills with emphasis on developing innovative solutions to solve complex problems that may not have one clear answer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in-9426655e9bd79302</t>
        </is>
      </c>
      <c r="B35" t="inlineStr">
        <is>
          <t>SR. Technical Program Manager, Connectivity, Connectivity SW DeviceOS</t>
        </is>
      </c>
      <c r="C35" t="inlineStr">
        <is>
          <t>Amazon.com</t>
        </is>
      </c>
      <c r="D35" t="inlineStr">
        <is>
          <t>indeed</t>
        </is>
      </c>
      <c r="E35" t="inlineStr"/>
      <c r="F35" t="inlineStr"/>
      <c r="G35" t="inlineStr">
        <is>
          <t>Irvine, CA, US</t>
        </is>
      </c>
      <c r="H35" s="2" t="n">
        <v>45932</v>
      </c>
      <c r="I35"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in-f7a29f6eaf00b099</t>
        </is>
      </c>
      <c r="B36" t="inlineStr">
        <is>
          <t>SR. Technical Program Manager, Connectivity, Connectivity SW DeviceOS</t>
        </is>
      </c>
      <c r="C36" t="inlineStr">
        <is>
          <t>Amazon.com</t>
        </is>
      </c>
      <c r="D36" t="inlineStr">
        <is>
          <t>indeed</t>
        </is>
      </c>
      <c r="E36" t="inlineStr"/>
      <c r="F36" t="inlineStr"/>
      <c r="G36" t="inlineStr">
        <is>
          <t>Sunnyvale, CA, US</t>
        </is>
      </c>
      <c r="H36" s="2" t="n">
        <v>45932</v>
      </c>
      <c r="I36"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in-ec27d60b6d15c856</t>
        </is>
      </c>
      <c r="B37" t="inlineStr">
        <is>
          <t>SR. Technical Program Manager, Connectivity, Connectivity SW DeviceOS</t>
        </is>
      </c>
      <c r="C37" t="inlineStr">
        <is>
          <t>Amazon.com</t>
        </is>
      </c>
      <c r="D37" t="inlineStr">
        <is>
          <t>indeed</t>
        </is>
      </c>
      <c r="E37" t="inlineStr"/>
      <c r="F37" t="inlineStr"/>
      <c r="G37" t="inlineStr">
        <is>
          <t>Austin, TX, US</t>
        </is>
      </c>
      <c r="H37" s="2" t="n">
        <v>45932</v>
      </c>
      <c r="I37" t="inlineStr">
        <is>
          <t>**DESCRIPTION**
---------------
Amazon Lab126 is an inventive research and development company that designs and engineers high\-profile consumer electronics. Lab126 began in 2004 as a subsidiary of Amazon.com, Inc., originally creating the best\-selling Kindle family of products. Since then, we have produced groundbreaking devices like Fire tablets, Fire TV and Amazon Echo.  
What will you help us create?  
The Role:  
As a Sr. Technical Program Manager, you will engage with an experienced cross\-disciplinary staff to design, manage, and deliver innovative consumer products, technologies, and tools. In this role, you will:  
Work with key stakeholders in product management and executive teams to define strategy and requirements  
Drive data\-based activities to develop insights on device and accessory performance and improvement recommendations  
Lead cross functional and full stack problem\-solving and development activities from design through delivery  
Work with global teams to deliver supporting software and services in sync with launch timelines.  
Communicate regularly with senior management on status, risks and change control  
Work with subject matter experts to lead and drive new technology initiatives and evaluations for next generation Amazon products and features  
Work with component leads to drive evaluation and adoption of new vendor technologies and HW  
Work with vendors and external partners to deliver device software and firmware technologies into our products
**BASIC QUALIFICATIONS**
------------------------
* 7\+ years of working directly with engineering teams experience
* 5\+ years of technical product or program management experience
* 3\+ years of software development experience
* 5\+ years of technical program management working directly with software engineering teams experience
* Experience managing programs across cross functional teams, building processes and coordinating release schedules
**PREFERRED QUALIFICATIONS**
----------------------------
* 5\+ years of project management disciplines including scope, schedule, budget, quality, along with risk and critical path management experience
* Experience managing projects across cross functional teams, building sustainable processes and coordinating release schedules
* Experience defining KPI's/SLA's used to drive multi\-million dollar businesses and reporting to senior leadership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in-989f2a1a964eb7a5</t>
        </is>
      </c>
      <c r="B38" t="inlineStr">
        <is>
          <t>Sr. Program Manager, Same Day Programs,</t>
        </is>
      </c>
      <c r="C38" t="inlineStr">
        <is>
          <t>Amazon.com</t>
        </is>
      </c>
      <c r="D38" t="inlineStr">
        <is>
          <t>indeed</t>
        </is>
      </c>
      <c r="E38" t="inlineStr"/>
      <c r="F38" t="inlineStr"/>
      <c r="G38" t="inlineStr">
        <is>
          <t>Nashville, TN, US</t>
        </is>
      </c>
      <c r="H38" s="2" t="n">
        <v>45931</v>
      </c>
      <c r="I38"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in-bdb3b7bd76e902d2</t>
        </is>
      </c>
      <c r="B39" t="inlineStr">
        <is>
          <t>Sr. Program Manager, Same Day Programs,</t>
        </is>
      </c>
      <c r="C39" t="inlineStr">
        <is>
          <t>Amazon.com</t>
        </is>
      </c>
      <c r="D39" t="inlineStr">
        <is>
          <t>indeed</t>
        </is>
      </c>
      <c r="E39" t="inlineStr"/>
      <c r="F39" t="inlineStr"/>
      <c r="G39" t="inlineStr">
        <is>
          <t>Bellevue, WA, US</t>
        </is>
      </c>
      <c r="H39" s="2" t="n">
        <v>45931</v>
      </c>
      <c r="I39"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Bachelor's degree
* 5\+ years of program or project management experience
* Experience using data and metrics to determine and drive improvements
* Experience owning program strategy, end to end delivery, and communicating results to senior leadership
* Experience with complex automated material handling equipment, packaging technologies, and systems and high\-speed manufacturing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in-54e2b5e178dbd511</t>
        </is>
      </c>
      <c r="B40" t="inlineStr">
        <is>
          <t>Sr. Program Manager, Same Day Programs</t>
        </is>
      </c>
      <c r="C40" t="inlineStr">
        <is>
          <t>Amazon.com</t>
        </is>
      </c>
      <c r="D40" t="inlineStr">
        <is>
          <t>indeed</t>
        </is>
      </c>
      <c r="E40" t="inlineStr"/>
      <c r="F40" t="inlineStr"/>
      <c r="G40" t="inlineStr">
        <is>
          <t>Nashville, TN, US</t>
        </is>
      </c>
      <c r="H40" s="2" t="n">
        <v>45931</v>
      </c>
      <c r="I40"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in-6300037b7c823e8b</t>
        </is>
      </c>
      <c r="B41" t="inlineStr">
        <is>
          <t>Sr. Program Manager, Same Day Programs</t>
        </is>
      </c>
      <c r="C41" t="inlineStr">
        <is>
          <t>Amazon.com</t>
        </is>
      </c>
      <c r="D41" t="inlineStr">
        <is>
          <t>indeed</t>
        </is>
      </c>
      <c r="E41" t="inlineStr"/>
      <c r="F41" t="inlineStr"/>
      <c r="G41" t="inlineStr">
        <is>
          <t>Bellevue, WA, US</t>
        </is>
      </c>
      <c r="H41" s="2" t="n">
        <v>45931</v>
      </c>
      <c r="I41" t="inlineStr">
        <is>
          <t>**DESCRIPTION**
---------------
Rapid and Rural Logistics is looking for a Sr. Program Manager with a delivery record and proven project management experience to own and execute strategic, cross\-functional operations and technology projects for our faster than Same Day operations. Robust understanding of fulfillment operations including under\-the\-roof processes, inventory flows, constrained FC assets (capacity and labor), quality, and long term roadmaps will help develop new innovations. This role will play a critical role in the expansion of the sub\-same day program. It requires a high\-level of ownership over the end\-to\-end process, the ability to think outside of the box, willingness to disrupt the current processes to create a new process, the ability to design sustainable solutions and influence stakeholders. This role requires scoping large ambiguous projects, managing to project timelines, and communicating to senior management on status, risks, and process/product changes. Cross\-team coordination, project management and executive presentation skills are essential.  
This role can be located in Bellevue or Nashville corporate offices.  
Key job responsibilities  
* Driving innovation that improves the under\-the\-roof processes and continuously removes cost from our fulfillment and delivery network
* Partnering with cross\-functional teams to plan, organize, execute, and standardize complex projects to achieve 2025\+ variable cost and quality goals
* Gathering and analyzing data across fulfillment and delivery functions to establish global standards for operations and other cross functional teams
* Analyzing and solving operational barriers with a focus on understanding root causes and driving forward opportunities
* Developing Amazon best practices for internal operations
* Leveraging analytics to support the future state of the business
The Sr. Program Manager will also demonstrate:  
* Confidence operating in a highly ambiguous and iterative business space
* High attention to detail including proven ability to manage multiple, competing priorities simultaneously
* Willingness to challenge and influence big leaders
* Ability to think strategically and execute methodically
* Ability to work in a fast\-paced environment where continuous innovation is desired
* Demonstrated analytical and quantitative skills and ability to use hard data and metrics to back up assumptions and develop business cases
* Ability to clearly communicate data insights to others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in-f05c70062a50bf55</t>
        </is>
      </c>
      <c r="B42" t="inlineStr">
        <is>
          <t>Sr. Product Manager - Tech , AFX - Sales Planning Tools</t>
        </is>
      </c>
      <c r="C42" t="inlineStr">
        <is>
          <t>Amazon Web Services</t>
        </is>
      </c>
      <c r="D42" t="inlineStr">
        <is>
          <t>indeed</t>
        </is>
      </c>
      <c r="E42" t="inlineStr"/>
      <c r="F42" t="inlineStr"/>
      <c r="G42" t="inlineStr">
        <is>
          <t>Dallas, TX, US</t>
        </is>
      </c>
      <c r="H42" s="2" t="n">
        <v>45923</v>
      </c>
      <c r="I42"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in-9436f6cc90972560</t>
        </is>
      </c>
      <c r="B43" t="inlineStr">
        <is>
          <t>Sr. Product Manager - Tech , AFX - Sales Planning Tools</t>
        </is>
      </c>
      <c r="C43" t="inlineStr">
        <is>
          <t>Amazon Web Services</t>
        </is>
      </c>
      <c r="D43" t="inlineStr">
        <is>
          <t>indeed</t>
        </is>
      </c>
      <c r="E43" t="inlineStr"/>
      <c r="F43" t="inlineStr"/>
      <c r="G43" t="inlineStr">
        <is>
          <t>Seattle, WA, US</t>
        </is>
      </c>
      <c r="H43" s="2" t="n">
        <v>45923</v>
      </c>
      <c r="I43" t="inlineStr">
        <is>
          <t>**DESCRIPTION**
---------------
Do you want to be part of an innovative and rapidly growing business? Are you looking for a role with ownership, autonomy, and the ability to lead teams across the globe to launch AI/ML enterprise applications?  
Then you should join the AWS Sales Marketing and Global Services (SMGS) Sales Planning Tools team. We provide the services, technology, and data to support the rapidly growing world\-wide AWS Sales organization. This includes finding inventive ways to scale the business, which will be critical for AWS to continue its strong growth. Our team manages a portfolio of complex, high\-impact, and intelligent planning tools, with an exciting multi\-year product roadmap. These are global, enterprise grade web applications that are early and mid\-stage in their lifecycle, and include both 1P and 3P products.
Our team is seeking a talented, innovative Sr. Product Manager with exceptional invent and simplify skillset, problem solving abilities, clear communication skills, think big mindset, and the ability to translate customers and business needs into inventive software solutions.
You will be responsible for onboarding the AWS Partner Organization to AWS Sales Planning, specifically owning GTM Partner Hierarchy, Partner Segmentation, and Partner Account Ownership. This entails designing and delivering a global, enterprise grade web\-based sales planning application to be used by the Partner organization for Partner Planning. The AWS Partner Organization is a rapidly growing business, and you will stand to deliver transformational value across the worldwide AWS Sales organization. You will work with a dedicated engineering pod; our product team works with a 70 person, and growing, engineering team. You will define the product’s 2\-3 year vision and strategy, including the delivery of automation and intelligent recommendations to drive a more efficient and effective Partner Sales Planning. You will be responsible for roadmap development, product requirements management, stakeholder and customer engagement, leadership reviews, user testing, and launch strategy and execution. You will partner with engineering, global sales customers, a data science team, and other application owners across the SMGS organization.  
Key job responsibilities  
* Develop product strategy and product definition.
* Define and manage multi\-year product roadmap, including introduction of AI/ML to transform AWS planning.
* Capture, document, and communicate business and technical product requirements.
* Translate requirements into features and user stories. Drive technical team understanding of requirements.
* Manage technical build against business requirements. Provide thought leadership with engineering on implementation.
* Collaborate with and influence key stakeholders from Global AWS Sales and Sales Operations teams and other System and Application teams across WWRO.
* Lead document development for leadership reviews.
* Own project status updates to customers, stakeholders, and leadership.
* Plan and conduct user testing.
* Drive change management and adoption of solution across AWS Sales and Sales Operations
* Manage post\-launch activities (user support, new feature development, etc.)
* Establish KPIs, identify gaps, and improve performance and adoption of the platform.
* Deep dive problems or opportunity areas and propose solutions to address.
* Generate new ideas to drive improvement, efficiency and automation across AWS Sales that will enable AWS to scale and grow.
A day in the life  
* Design new products and capabilities that enable business users to operate more effectively, intelligently, and efficiently.
* Engage with systems that are at the forefront of technology, pioneering new methods and approaches to delivering software, serving customers, and enabling large, distributed, worldwide sales teams.
* Work closely with engineering and other technical product/program managers to define, build, drive and measure mechanisms to enable our field sales teams
* Leverage strong communication skills and a passion for using data and software to drive business decisions at scale
About the team  
We have a team culture that encourages innovation and we expect team members and management alike to take high degree of ownership for their program vision and execution of ideas. Beyond a strong technical background and proven track record of product management, a successful candidate will have experience driving strategy and influencing executive leadership. We are looking for someone that is a self\-starter, someone that approaches complex business questions with data and curiosity, and a person that dives below the surface to identify the root cause and "so what" rather than just superficial trends.  
About AWS  
Diverse Experiences  
AWS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About Sales, Marketing and Global Services (SMGS)  
AWS Sales, Marketing, and Global Services (SMGS) is responsible for driving revenue, adoption, and growth from the largest and fastest growing small\- and mid\-market accounts to enterprise\-level customers including public sector.**BASIC QUALIFICATIONS**
------------------------
* Bachelor's degree in a quantitative/technical field such as computer science, engineering, statistics
* 5\+ years of technical product or program management experience
* Experience with end to end product delivery
* Experience contributing to engineering discussions around technology and data decisions and strategy related to product
* Excellent verbal and written communication; able to communicate effectively with technical and non\-technical individuals
**PREFERRED QUALIFICATIONS**
----------------------------
* Master's degree
* Experience managing technical products or online services
* Experience in building and driving adoption of new tools
* Experience contributing to engineering discussions around technology decisions and strategy related to a product
* Comfort with ambiguity; demonstrated track record of independently developing creative solutions to problems
* Demonstrated ability to successfully influence and drive stakeholders to decision without formal authority
* Experience with developing products and features for the sales and marketing space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in-7245cb6b2f489fa0</t>
        </is>
      </c>
      <c r="B44" t="inlineStr">
        <is>
          <t>Amazon Last Mile Fleet Program Manager, In Life Services-Recalls, Retrofits, and Tires</t>
        </is>
      </c>
      <c r="C44" t="inlineStr">
        <is>
          <t>Amazon.com</t>
        </is>
      </c>
      <c r="D44" t="inlineStr">
        <is>
          <t>indeed</t>
        </is>
      </c>
      <c r="E44" t="inlineStr"/>
      <c r="F44" t="inlineStr"/>
      <c r="G44" t="inlineStr">
        <is>
          <t>Bellevue, WA, US</t>
        </is>
      </c>
      <c r="H44" s="2" t="n">
        <v>45911</v>
      </c>
      <c r="I44"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in-300191dde9362b1d</t>
        </is>
      </c>
      <c r="B45" t="inlineStr">
        <is>
          <t>Amazon Last Mile Fleet Program Manager, In Life Services-Recalls, Retrofits, and Tires</t>
        </is>
      </c>
      <c r="C45" t="inlineStr">
        <is>
          <t>Amazon.com</t>
        </is>
      </c>
      <c r="D45" t="inlineStr">
        <is>
          <t>indeed</t>
        </is>
      </c>
      <c r="E45" t="inlineStr"/>
      <c r="F45" t="inlineStr"/>
      <c r="G45" t="inlineStr">
        <is>
          <t>Arlington, VA, US</t>
        </is>
      </c>
      <c r="H45" s="2" t="n">
        <v>45911</v>
      </c>
      <c r="I45"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in-2815ab57b60982c8</t>
        </is>
      </c>
      <c r="B46" t="inlineStr">
        <is>
          <t>Amazon Last Mile Fleet Program Manager, In Life Services-Recalls, Retrofits, and Tires</t>
        </is>
      </c>
      <c r="C46" t="inlineStr">
        <is>
          <t>Amazon.com</t>
        </is>
      </c>
      <c r="D46" t="inlineStr">
        <is>
          <t>indeed</t>
        </is>
      </c>
      <c r="E46" t="inlineStr"/>
      <c r="F46" t="inlineStr"/>
      <c r="G46" t="inlineStr">
        <is>
          <t>Nashville, TN, US</t>
        </is>
      </c>
      <c r="H46" s="2" t="n">
        <v>45911</v>
      </c>
      <c r="I46" t="inlineStr">
        <is>
          <t>**DESCRIPTION**
---------------
Amazon Worldwide Operations Last Mile is looking for a Senior Program Manager, to own strategic, tactical, cross\-functional and technology projects and programs within Amazon Logistics in OEM recalls and aftermarket vehicle retrofits. In this role, the individual will need to be able to work cross\-functionally with internal and external stakeholders in order to improve vehicle uptime and optimization while eliminating barriers for our internal customers. You will be the owner leading various initiatives building out products from scratch.  
Travel up to 20% travel  
Key job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 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in-0abcd51ab707b2c8</t>
        </is>
      </c>
      <c r="B47" t="inlineStr">
        <is>
          <t>Sr Materials Program Manager, Ring Supply Chain and Operations</t>
        </is>
      </c>
      <c r="C47" t="inlineStr">
        <is>
          <t>Amazon.com</t>
        </is>
      </c>
      <c r="D47" t="inlineStr">
        <is>
          <t>indeed</t>
        </is>
      </c>
      <c r="E47" t="inlineStr"/>
      <c r="F47" t="inlineStr"/>
      <c r="G47" t="inlineStr">
        <is>
          <t>Sunnyvale, CA, US</t>
        </is>
      </c>
      <c r="H47" s="2" t="n">
        <v>45898</v>
      </c>
      <c r="I47"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in-e3c004bfbd0a0dcb</t>
        </is>
      </c>
      <c r="B48" t="inlineStr">
        <is>
          <t>Sr Materials Program Manager, Ring Supply Chain and Operations</t>
        </is>
      </c>
      <c r="C48" t="inlineStr">
        <is>
          <t>Amazon.com</t>
        </is>
      </c>
      <c r="D48" t="inlineStr">
        <is>
          <t>indeed</t>
        </is>
      </c>
      <c r="E48" t="inlineStr"/>
      <c r="F48" t="inlineStr"/>
      <c r="G48" t="inlineStr">
        <is>
          <t>Hawthorne, CA, US</t>
        </is>
      </c>
      <c r="H48" s="2" t="n">
        <v>45898</v>
      </c>
      <c r="I48" t="inlineStr">
        <is>
          <t>**DESCRIPTION**
---------------
The Senior Materials Program Manager (MPM) is responsible for the management and delivery of the product financial health for highly integrated consumer product. This person has a business orientation and is responsible for working within the local and remote operations, engineering and other cross\-functional teams driving development, implementation and management of the product budget and ensuring diversified continuity of supply. This person is the business voice responsible for capturing, documenting and communicating financial exposures and outlay as it relates to their product. They are involved from product concept through its mass production to ensure the achievement of all financial targets. They will support regular business and executive reviews outlining performance and status.  
Key job responsibilities  
Key job responsibilities  
In this role, you will:  
* Work with engineering and the supply chain team to set program cost targets at a commodity level for your project.
* Track the program actual costs versus target to identify program deltas and corrective actions to bring back on track.
* Attend program new product introduction meetings to understand the cost implication of engineering and/or process changes as related to your product fully loaded cost targets.
* Work with the OEM to set your product purchase order cost for the upcoming period.
* Manage purchase price variance claims resulting from engineering changes, component obsolescence or forecast variance.
* Drive the supply chain and operations team to provide detailed cost reduction forecast that enable you to meet and exceed your product goals.
* Host executive management cost reviews that deep dive through every aspect of your product cost.
* Finalize the optimum supply chain and sourcing plan for your product and drive the cross\-functional team to ensure its implementation.
A day in the life  
A day in the life of a MPM is different every day depending on the stage of the Program Development Cycle but one thing is certain, at any stage the MPM will be looking to solve problems or developing new ways to do things better. At concept stage the MPM is collaborating with the product manager, engineering and GCM teams to identify cost and performance trade\-offs, costing design alternatives and establishing product cost targets and guardrails. During development cycle is working with the multi\-functional team to identify cost opportunities and risks, establishing supplier strategy and planning ahead to mitigate cost and supply risks to launch. During mass production cycle continues seeking opportunities to reduce cost and maintain continuity of supply.  
About the team  
Since launching the first video doorbell in 2012, Ring has become the global leader in residential security. At Ring, we are committed to making home and neighborhood security accessible and effective for everyone, while working hard to bring communities together. Here, you’ll will be part of a fast\-paced team that is passionate about delivering innovative solutions to complex problems.**BASIC QUALIFICATIONS**
------------------------
* 5\+ years of developing, negotiating and executing business agreements experience
* Bachelor's degree
* Experience developing strategies that influence leadership decisions at the organizational level
* Experience managing programs across cross functional teams, building processes and coordinating release schedules
**PREFERRED QUALIFICATIONS**
----------------------------
* Experience interpreting data and making business recommendations
* Experience identifying, negotiating, and executing complex legal agreements
* 5\+ years of managing complex technology projects working directly with engineering teams
* 5\+ years in supply chain and/or manufacturing for complex systems/devices
* Excellent analytical and communication skills; meticulous attention to details
* Experience in relevant industries with a holistic view and keen business acumen
* Technical aptitude and familiarity with the design and working of complex systems
* Proven track record of complex and creative problem solving and the desire to create new processes or simplify and improve on current ones
* Proven ability to influence others, facilitate agreement among stakeholders with different interests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$133,200/year in our lowest geographic market up to $220,200/year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in-b9f56696103193c4</t>
        </is>
      </c>
      <c r="B49" t="inlineStr">
        <is>
          <t>Sr. Product Manager, Sub-Same Day (SSD) - DOT, SSD Delivery Ops Tech</t>
        </is>
      </c>
      <c r="C49" t="inlineStr">
        <is>
          <t>Amazon.com</t>
        </is>
      </c>
      <c r="D49" t="inlineStr">
        <is>
          <t>indeed</t>
        </is>
      </c>
      <c r="E49" t="inlineStr"/>
      <c r="F49" t="inlineStr"/>
      <c r="G49" t="inlineStr">
        <is>
          <t>Nashville, TN, US</t>
        </is>
      </c>
      <c r="H49" s="2" t="n">
        <v>45876</v>
      </c>
      <c r="I49"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in-206d5e6a92b361e2</t>
        </is>
      </c>
      <c r="B50" t="inlineStr">
        <is>
          <t>Sr. Product Manager, Sub-Same Day (SSD) - DOT, SSD Delivery Ops Tech</t>
        </is>
      </c>
      <c r="C50" t="inlineStr">
        <is>
          <t>Amazon.com</t>
        </is>
      </c>
      <c r="D50" t="inlineStr">
        <is>
          <t>indeed</t>
        </is>
      </c>
      <c r="E50" t="inlineStr"/>
      <c r="F50" t="inlineStr"/>
      <c r="G50" t="inlineStr">
        <is>
          <t>New York, NY, US</t>
        </is>
      </c>
      <c r="H50" s="2" t="n">
        <v>45876</v>
      </c>
      <c r="I50"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in-ce7402b6dd8cd7fa</t>
        </is>
      </c>
      <c r="B51" t="inlineStr">
        <is>
          <t>Sr. Product Manager, Sub-Same Day (SSD) - DOT, SSD Delivery Ops Tech</t>
        </is>
      </c>
      <c r="C51" t="inlineStr">
        <is>
          <t>Amazon.com</t>
        </is>
      </c>
      <c r="D51" t="inlineStr">
        <is>
          <t>indeed</t>
        </is>
      </c>
      <c r="E51" t="inlineStr"/>
      <c r="F51" t="inlineStr"/>
      <c r="G51" t="inlineStr">
        <is>
          <t>Bellevue, WA, US</t>
        </is>
      </c>
      <c r="H51" s="2" t="n">
        <v>45876</v>
      </c>
      <c r="I51" t="inlineStr">
        <is>
          <t>**DESCRIPTION**
---------------
We are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product requirements and drive product and feature development from conception to launch. This role combines strategic product thinking with hands\-on execution to create scalable technology products that revolutionize delivery speed and customer experience. This role may require up to 10% travel annually.  
Key job responsibilities  
* Own and develop the product strategy and roadmap for SSD delivery technology solutions, incorporating customer needs, business requirements, and business specific or operational constraints
* Define product requirements through customer research, metric analysis, and stakeholder collaboration
* Drive product development cycles working closely with science and engineering teams, including feature prioritization and driving trade\-off decisions
* Design and implement metrics frameworks to measure product success and inform iteration cycles
* Lead cross\-functional teams to implement complex technical products across the Sub Same Day Delivery network while managing stakeholder expectations
* Identify opportunities for product innovation and optimization through data analysis and customer feedback
*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influencing senior leadership through data\-driven insights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in-39a6e7fc7986db4b</t>
        </is>
      </c>
      <c r="B52" t="inlineStr">
        <is>
          <t>Sr. Product Manager, Sub-Same Day (SSD) Delivery</t>
        </is>
      </c>
      <c r="C52" t="inlineStr">
        <is>
          <t>Amazon.com</t>
        </is>
      </c>
      <c r="D52" t="inlineStr">
        <is>
          <t>indeed</t>
        </is>
      </c>
      <c r="E52" t="inlineStr"/>
      <c r="F52" t="inlineStr"/>
      <c r="G52" t="inlineStr">
        <is>
          <t>New York, NY, US</t>
        </is>
      </c>
      <c r="H52" s="2" t="n">
        <v>45874</v>
      </c>
      <c r="I52"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in-085b9b4e968035f4</t>
        </is>
      </c>
      <c r="B53" t="inlineStr">
        <is>
          <t>Sr. Product Manager, Sub-Same Day (SSD) Delivery</t>
        </is>
      </c>
      <c r="C53" t="inlineStr">
        <is>
          <t>Amazon.com</t>
        </is>
      </c>
      <c r="D53" t="inlineStr">
        <is>
          <t>indeed</t>
        </is>
      </c>
      <c r="E53" t="inlineStr"/>
      <c r="F53" t="inlineStr"/>
      <c r="G53" t="inlineStr">
        <is>
          <t>Bellevue, WA, US</t>
        </is>
      </c>
      <c r="H53" s="2" t="n">
        <v>45874</v>
      </c>
      <c r="I53"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in-878e4a1eafe8c9fb</t>
        </is>
      </c>
      <c r="B54" t="inlineStr">
        <is>
          <t>Sr. Product Manager, Sub-Same Day (SSD) Delivery</t>
        </is>
      </c>
      <c r="C54" t="inlineStr">
        <is>
          <t>Amazon.com</t>
        </is>
      </c>
      <c r="D54" t="inlineStr">
        <is>
          <t>indeed</t>
        </is>
      </c>
      <c r="E54" t="inlineStr"/>
      <c r="F54" t="inlineStr"/>
      <c r="G54" t="inlineStr">
        <is>
          <t>Nashville, TN, US</t>
        </is>
      </c>
      <c r="H54" s="2" t="n">
        <v>45874</v>
      </c>
      <c r="I54" t="inlineStr">
        <is>
          <t>**DESCRIPTION**
---------------
Amazon is seeking a Senior Product Manager to join our Sub\-Same Day (SSD) delivery team to innovate and build products that enable faster\-than\-same\-day delivery across North America. In this role, you will own the end\-to\-end product development lifecycle for strategic technology solutions that power our SSD delivery network. You will define product vision, work with technology and science teams to translate complex business requirements into technical solutions, and drive product development from conception to launch. This role combines strategic product thinking with hands\-on execution to create scalable technology products that revolutionize delivery speed and customer experience. This role may require up to 10% travel annually.  
Key job responsibilities  
1\. Own and develop the product strategy and roadmap for SSD delivery technology solutions, incorporating customer needs, business requirements, and business specific or operational constraints  
2\. Define product requirements and technical specifications through customer research, metric analysis, and stakeholder collaboration  
3\. Drive product development cycles working closely with science and engineering teams, including feature prioritization and driving trade\-off decisions  
4\. Design and implement metrics frameworks to measure product success and inform iteration cycles  
5\. Lead cross\-functional teams to implement complex technical products across the Sub Same 6\. Day Delivery network while managing stakeholder expectations  
7\. Identify opportunities for product innovation and optimization through data analysis and customer feedback  
8\. Create and maintain product documentation including BRDs and narrative documents.
**BASIC QUALIFICATIONS**
------------------------
* Bachelor's degree or equivalent
* 5\+ years of product management experience building and shipping technical products
* Experience defining product strategy and owning product roadmaps
* Proven track record of end\-to\-end product delivery and launch
* Experience making product trade\-off decisions based on customer needs and business impact
* Strong technical acumen and ability to work effectively with engineering teams
* Experience with data\-driven decision making and product metrics
**PREFERRED QUALIFICATIONS**
----------------------------
* Experience in influencing senior leadership through data driven insights
* Master's degree or equivalent
* Track record of successful product launches in logistics, operations, or related fields
* Experience working with distributed engineering or science teams and senior stakeholders
* Proficiency with SQL databases and data visualization tools (e.g., Tableau, QuickSight)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in-27056771a0d10d8a</t>
        </is>
      </c>
      <c r="B55" t="inlineStr">
        <is>
          <t>Senior Product Manager - Tech, Fire TV</t>
        </is>
      </c>
      <c r="C55" t="inlineStr">
        <is>
          <t>Amazon.com</t>
        </is>
      </c>
      <c r="D55" t="inlineStr">
        <is>
          <t>indeed</t>
        </is>
      </c>
      <c r="E55" t="inlineStr"/>
      <c r="F55" t="inlineStr"/>
      <c r="G55" t="inlineStr">
        <is>
          <t>Sunnyvale, CA, US</t>
        </is>
      </c>
      <c r="H55" s="2" t="n">
        <v>45855</v>
      </c>
      <c r="I55"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in-d62aedad960af184</t>
        </is>
      </c>
      <c r="B56" t="inlineStr">
        <is>
          <t>Senior Product Manager - Tech, Fire TV</t>
        </is>
      </c>
      <c r="C56" t="inlineStr">
        <is>
          <t>Amazon.com</t>
        </is>
      </c>
      <c r="D56" t="inlineStr">
        <is>
          <t>indeed</t>
        </is>
      </c>
      <c r="E56" t="inlineStr"/>
      <c r="F56" t="inlineStr"/>
      <c r="G56" t="inlineStr">
        <is>
          <t>Seattle, WA, US</t>
        </is>
      </c>
      <c r="H56" s="2" t="n">
        <v>45855</v>
      </c>
      <c r="I56" t="inlineStr">
        <is>
          <t>**DESCRIPTION**
---------------
We're seeking an experienced Senior Product Manager to lead the development and launch of Fire TV's flagship devices. In this strategic role, you'll drive innovation and product excellence while managing large cross\-functional teams to deliver innovative entertainment solutions to millions of customers globally. You'll have direct impact on Fire TV's future direction and work closely with Amazon's executive leadership.  
In this role,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This is an exceptional opportunity to shape the future of home entertainment at global scale. You'll work with emerging technology, lead innovative projects, and have significant impact on products used by millions of customers worldwide.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A day in the life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**PREFERRED QUALIFICATIONS**
----------------------------
* Experience in technical product management, program management or engineering
* Experience owning feature delivery and tradeoffs of a product
* Experience in representing and advocating for a variety of critical customers and stakeholders during executive\-level prioritization and planning
* Master's degree
* Seeking candidates with proven experience in consumer electronics, streaming media platforms, or Smart TV/streaming media player (SMP)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in-246c2d4fdd373703</t>
        </is>
      </c>
      <c r="B57" t="inlineStr">
        <is>
          <t>Senior Product Manager Technical, Alexa AI</t>
        </is>
      </c>
      <c r="C57" t="inlineStr">
        <is>
          <t>Amazon.com</t>
        </is>
      </c>
      <c r="D57" t="inlineStr">
        <is>
          <t>indeed</t>
        </is>
      </c>
      <c r="E57" t="inlineStr"/>
      <c r="F57" t="inlineStr"/>
      <c r="G57" t="inlineStr">
        <is>
          <t>Sunnyvale, CA, US</t>
        </is>
      </c>
      <c r="H57" s="2" t="n">
        <v>45852</v>
      </c>
      <c r="I57" t="inlineStr">
        <is>
          <t>**DESCRIPTION**
---------------
We are seeking an exceptional Senior Product Manager Technical to join our Alexa AI Product team, where you will be at the forefront of revolutionizing conversational AI. As part of the team responsible for Alexa\+, you will lead the development of innovative products and technologies powered by Large Language Models (LLMs) and Generative AI. This role offers an unique opportunity to shape the future of AI\-driven experiences that millions of customers use daily.  
You will collaborate with world\-class scientists, engineers, and cross\-functional teams to translate complex technical capabilities into delightful customer experiences. The position requires a blend of technical depth, product intuition, and strategic thinking to drive innovation in conversational AI.  
Key job responsibilities  
* Drive product strategy and roadmap for key components of Alexa\+'s AI platform, ensuring alignment with business goals and customer needs
* Partner with science and engineering teams to define and prioritize technical requirements for new AI features and capabilities
* Lead the end\-to\-end product development lifecycle, from conception through launch, including writing PRDs, technical specifications, and business requirements
* Develop and track success metrics, conducting data analysis to measure product performance and identify areas for improvement
* Collaborate with UX teams to ensure optimal user experience across various Alexa\-enabled devices and surfaces
* Build strong partnerships with stakeholders across Amazon, including Science, Engineering, Design, Business Development, and Legal teams
* Drive technical decisions that balance customer experience, technical feasibility, and business requirements
* Identify and assess new opportunities for applying emerging AI technologies to enhance Alexa's capabilities
About the team  
Amazon's Alexa AI team builds the core capabilities and AI primitives that power the next generation of Alexa experiences.**BASIC QUALIFICATIONS**
------------------------
* Bachelor's degree in computer science, engineering, analytics, mathematics, statistics, IT or equivalent
* 3\+ years of product or program management, product marketing, business development or technology experience
* Strong technical background and proven track record of delivering complex technical products at scale
* Excellence in written and verbal communication, with ability to translate technical concepts for various audiences
* Strong analytical and problem\-solving skills with data\-driven decision making
* Experience working with technical teams and managing complex stakeholder relationships
**PREFERRED QUALIFICATIONS**
----------------------------
* Experience with conversational AI or voice\-based products
* Strong technical understanding of ML/AI concepts, particularly in NLP and LLMs
* Track record of innovation and zero\-to\-one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8">
      <c r="A58" t="inlineStr">
        <is>
          <t>in-2a57c91be4edfc77</t>
        </is>
      </c>
      <c r="B58" t="inlineStr">
        <is>
          <t>Senior Product Manager Technical, Alexa AI</t>
        </is>
      </c>
      <c r="C58" t="inlineStr">
        <is>
          <t>Amazon.com</t>
        </is>
      </c>
      <c r="D58" t="inlineStr">
        <is>
          <t>indeed</t>
        </is>
      </c>
      <c r="E58" t="inlineStr"/>
      <c r="F58" t="inlineStr"/>
      <c r="G58" t="inlineStr">
        <is>
          <t>Boston, MA, US</t>
        </is>
      </c>
      <c r="H58" s="2" t="n">
        <v>45852</v>
      </c>
      <c r="I58" t="inlineStr">
        <is>
          <t>**DESCRIPTION**
---------------
We are seeking an exceptional Senior Product Manager Technical to join our Alexa AI Product team, where you will be at the forefront of revolutionizing conversational AI. As part of the team responsible for Alexa\+, you will lead the development of innovative products and technologies powered by Large Language Models (LLMs) and Generative AI. This role offers an unique opportunity to shape the future of AI\-driven experiences that millions of customers use daily.  
You will collaborate with world\-class scientists, engineers, and cross\-functional teams to translate complex technical capabilities into delightful customer experiences. The position requires a blend of technical depth, product intuition, and strategic thinking to drive innovation in conversational AI.  
Key job responsibilities  
* Drive product strategy and roadmap for key components of Alexa\+'s AI platform, ensuring alignment with business goals and customer needs
* Partner with science and engineering teams to define and prioritize technical requirements for new AI features and capabilities
* Lead the end\-to\-end product development lifecycle, from conception through launch, including writing PRDs, technical specifications, and business requirements
* Develop and track success metrics, conducting data analysis to measure product performance and identify areas for improvement
* Collaborate with UX teams to ensure optimal user experience across various Alexa\-enabled devices and surfaces
* Build strong partnerships with stakeholders across Amazon, including Science, Engineering, Design, Business Development, and Legal teams
* Drive technical decisions that balance customer experience, technical feasibility, and business requirements
* Identify and assess new opportunities for applying emerging AI technologies to enhance Alexa's capabilities
About the team  
Amazon's Alexa AI team builds the core capabilities and AI primitives that power the next generation of Alexa experiences.**BASIC QUALIFICATIONS**
------------------------
* Bachelor's degree in computer science, engineering, analytics, mathematics, statistics, IT or equivalent
* 3\+ years of product or program management, product marketing, business development or technology experience
* Strong technical background and proven track record of delivering complex technical products at scale
* Excellence in written and verbal communication, with ability to translate technical concepts for various audiences
* Strong analytical and problem\-solving skills with data\-driven decision making
* Experience working with technical teams and managing complex stakeholder relationships
**PREFERRED QUALIFICATIONS**
----------------------------
* Experience with conversational AI or voice\-based products
* Strong technical understanding of ML/AI concepts, particularly in NLP and LLMs
* Track record of innovation and zero\-to\-one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in-235bb772361077c2</t>
        </is>
      </c>
      <c r="B59" t="inlineStr">
        <is>
          <t>Senior Product Manager Technical, Alexa AI</t>
        </is>
      </c>
      <c r="C59" t="inlineStr">
        <is>
          <t>Amazon.com</t>
        </is>
      </c>
      <c r="D59" t="inlineStr">
        <is>
          <t>indeed</t>
        </is>
      </c>
      <c r="E59" t="inlineStr"/>
      <c r="F59" t="inlineStr"/>
      <c r="G59" t="inlineStr">
        <is>
          <t>Bellevue, WA, US</t>
        </is>
      </c>
      <c r="H59" s="2" t="n">
        <v>45852</v>
      </c>
      <c r="I59" t="inlineStr">
        <is>
          <t>**DESCRIPTION**
---------------
We are seeking an exceptional Senior Product Manager Technical to join our Alexa AI Product team, where you will be at the forefront of revolutionizing conversational AI. As part of the team responsible for Alexa\+, you will lead the development of innovative products and technologies powered by Large Language Models (LLMs) and Generative AI. This role offers an unique opportunity to shape the future of AI\-driven experiences that millions of customers use daily.  
You will collaborate with world\-class scientists, engineers, and cross\-functional teams to translate complex technical capabilities into delightful customer experiences. The position requires a blend of technical depth, product intuition, and strategic thinking to drive innovation in conversational AI.  
Key job responsibilities  
* Drive product strategy and roadmap for key components of Alexa\+'s AI platform, ensuring alignment with business goals and customer needs
* Partner with science and engineering teams to define and prioritize technical requirements for new AI features and capabilities
* Lead the end\-to\-end product development lifecycle, from conception through launch, including writing PRDs, technical specifications, and business requirements
* Develop and track success metrics, conducting data analysis to measure product performance and identify areas for improvement
* Collaborate with UX teams to ensure optimal user experience across various Alexa\-enabled devices and surfaces
* Build strong partnerships with stakeholders across Amazon, including Science, Engineering, Design, Business Development, and Legal teams
* Drive technical decisions that balance customer experience, technical feasibility, and business requirements
* Identify and assess new opportunities for applying emerging AI technologies to enhance Alexa's capabilities
About the team  
Amazon's Alexa AI team builds the core capabilities and AI primitives that power the next generation of Alexa experiences.**BASIC QUALIFICATIONS**
------------------------
* Bachelor's degree in computer science, engineering, analytics, mathematics, statistics, IT or equivalent
* 3\+ years of product or program management, product marketing, business development or technology experience
* Strong technical background and proven track record of delivering complex technical products at scale
* Excellence in written and verbal communication, with ability to translate technical concepts for various audiences
* Strong analytical and problem\-solving skills with data\-driven decision making
* Experience working with technical teams and managing complex stakeholder relationships
**PREFERRED QUALIFICATIONS**
----------------------------
* Experience with conversational AI or voice\-based products
* Strong technical understanding of ML/AI concepts, particularly in NLP and LLMs
* Track record of innovation and zero\-to\-one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in-d1f8cbcc8261ba76</t>
        </is>
      </c>
      <c r="B60" t="inlineStr">
        <is>
          <t>Senior Product Manager Technical, Alexa AI</t>
        </is>
      </c>
      <c r="C60" t="inlineStr">
        <is>
          <t>Amazon.com</t>
        </is>
      </c>
      <c r="D60" t="inlineStr">
        <is>
          <t>indeed</t>
        </is>
      </c>
      <c r="E60" t="inlineStr"/>
      <c r="F60" t="inlineStr"/>
      <c r="G60" t="inlineStr">
        <is>
          <t>Seattle, WA, US</t>
        </is>
      </c>
      <c r="H60" s="2" t="n">
        <v>45852</v>
      </c>
      <c r="I60" t="inlineStr">
        <is>
          <t>**DESCRIPTION**
---------------
We are seeking an exceptional Senior Product Manager Technical to join our Alexa AI Product team, where you will be at the forefront of revolutionizing conversational AI. As part of the team responsible for Alexa\+, you will lead the development of innovative products and technologies powered by Large Language Models (LLMs) and Generative AI. This role offers an unique opportunity to shape the future of AI\-driven experiences that millions of customers use daily.  
You will collaborate with world\-class scientists, engineers, and cross\-functional teams to translate complex technical capabilities into delightful customer experiences. The position requires a blend of technical depth, product intuition, and strategic thinking to drive innovation in conversational AI.  
Key job responsibilities  
* Drive product strategy and roadmap for key components of Alexa\+'s AI platform, ensuring alignment with business goals and customer needs
* Partner with science and engineering teams to define and prioritize technical requirements for new AI features and capabilities
* Lead the end\-to\-end product development lifecycle, from conception through launch, including writing PRDs, technical specifications, and business requirements
* Develop and track success metrics, conducting data analysis to measure product performance and identify areas for improvement
* Collaborate with UX teams to ensure optimal user experience across various Alexa\-enabled devices and surfaces
* Build strong partnerships with stakeholders across Amazon, including Science, Engineering, Design, Business Development, and Legal teams
* Drive technical decisions that balance customer experience, technical feasibility, and business requirements
* Identify and assess new opportunities for applying emerging AI technologies to enhance Alexa's capabilities
About the team  
Amazon's Alexa AI team builds the core capabilities and AI primitives that power the next generation of Alexa experiences.**BASIC QUALIFICATIONS**
------------------------
* Bachelor's degree in computer science, engineering, analytics, mathematics, statistics, IT or equivalent
* 3\+ years of product or program management, product marketing, business development or technology experience
* Strong technical background and proven track record of delivering complex technical products at scale
* Excellence in written and verbal communication, with ability to translate technical concepts for various audiences
* Strong analytical and problem\-solving skills with data\-driven decision making
* Experience working with technical teams and managing complex stakeholder relationships
**PREFERRED QUALIFICATIONS**
----------------------------
* Experience with conversational AI or voice\-based products
* Strong technical understanding of ML/AI concepts, particularly in NLP and LLMs
* Track record of innovation and zero\-to\-one product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in-cd459a1b6b0579fe</t>
        </is>
      </c>
      <c r="B61" t="inlineStr">
        <is>
          <t>Senior Product Manager - Technical, Alexa Communications</t>
        </is>
      </c>
      <c r="C61" t="inlineStr">
        <is>
          <t>Amazon.com</t>
        </is>
      </c>
      <c r="D61" t="inlineStr">
        <is>
          <t>indeed</t>
        </is>
      </c>
      <c r="E61" t="inlineStr"/>
      <c r="F61" t="inlineStr"/>
      <c r="G61" t="inlineStr">
        <is>
          <t>Sunnyvale, CA, US</t>
        </is>
      </c>
      <c r="H61" s="2" t="n">
        <v>45851</v>
      </c>
      <c r="I61"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in-37beb39360ab568a</t>
        </is>
      </c>
      <c r="B62" t="inlineStr">
        <is>
          <t>Senior Product Manager - Technical, Alexa Communications</t>
        </is>
      </c>
      <c r="C62" t="inlineStr">
        <is>
          <t>Amazon.com</t>
        </is>
      </c>
      <c r="D62" t="inlineStr">
        <is>
          <t>indeed</t>
        </is>
      </c>
      <c r="E62" t="inlineStr"/>
      <c r="F62" t="inlineStr"/>
      <c r="G62" t="inlineStr">
        <is>
          <t>Seattle, WA, US</t>
        </is>
      </c>
      <c r="H62" s="2" t="n">
        <v>45851</v>
      </c>
      <c r="I62" t="inlineStr">
        <is>
          <t>**DESCRIPTION**
---------------
The vision for Alexa is to be the world’s best personal assistant. Such an assistant will play a vital role in managing the communication lives of customers, from drafting communications to coordinating with people on behalf of customers. At Alexa Communications, we’re leveraging Generative AI to bring this assistant to life.
If you’re passionate about building magical experiences for customers, while solving hard, complex technical problems, then this role is for you. You will operate at the intersection of large language models, real time communications, voice and graphical user interfaces, and mixed reality, to deliver cutting edge features for end customers.  
Come join us to invent the future of how millions of customers will communicate with and through their virtual AI assistants.  
Key job responsibilities  
As a Senior Product Manager \- Technical in Alexa Communications, you will be responsible for building Announcements, messaging and sharing experiences, where Alexa acts as an agent to get things done for customers. This role is cross\-functional — you will work closely with engineering, science, design, business intelligence, operations, finance and executive teams to bring features to market and develop and grow business opportunities for Amazon. A successful candidate will be highly analytical, able to work effectively in a matrix organization, and adept at synthesizing a variety of technologies and capabilities into high quality, simple products and applications that customers love.  
As a product leader, you will:  
* Own and define the vision, strategy, and product roadmap, manage tradeoffs and dependencies with key stakeholders, and execute on deliverables
* Work closely with the engineering, design, and science teams to develop an offering that will delight customers
* Drive product launches including working with business development, Alexa partner teams, public relations team, executives in other companies, and other product management team members
* Monitor the business and refine the roadmap
A day in the life  
Given the scope and high level of ownership that product managers have in Alexa, rarely are two days the same. You are a business owner, customer\-facing representative for the service, and the point person for partner teams.
On a weekly basis, you will be working with customers to learn about the problems they are trying to solve, analyzing service and business metrics, writing PRFAQs, BRDs, and naming documents, iterating on product decisions with the Science and Engineering team, working with partners in solution architecture, legal, documentation, etc., thinking big to envision what is next, and exhibiting learn and be curious for different technologies, growth strategies, and market trends.
On a daily basis, you'll have a chance to work with everyone who makes products at Alexa successful, including senior leadership, engineers, business and sales experts, marketing, advocates, data scientists, content writers, and more. You will meet with customers to understand our core strengths and weaknesses. You will synthesize that feedback and other industry knowledge, with business and service data, to create strategies and test hypotheses. People will look to you on a regular basis to solve problems and connect them with specialists. To develop that expertise, you'll constantly be looking to learn by reaching out to other experts within the company and in the larger tech community, using your own product by developing samples, demos, side\-projects, and through mentorship, both as a mentor and mentee. Our customers are developers and technical decision makers, so you will be using code, technical documentation, and architecture diagrams to understand problems and communicate solutions.
**BASIC QUALIFICATIONS**
------------------------
* 5\+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**PREFERRED QUALIFICATIONS**
----------------------------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in-256314c1984f32d8</t>
        </is>
      </c>
      <c r="B63" t="inlineStr">
        <is>
          <t>Principal Product Manager Tech - Devices, Fire TV Devices</t>
        </is>
      </c>
      <c r="C63" t="inlineStr">
        <is>
          <t>Amazon.com</t>
        </is>
      </c>
      <c r="D63" t="inlineStr">
        <is>
          <t>indeed</t>
        </is>
      </c>
      <c r="E63" t="inlineStr"/>
      <c r="F63" t="inlineStr"/>
      <c r="G63" t="inlineStr">
        <is>
          <t>Sunnyvale, CA, US</t>
        </is>
      </c>
      <c r="H63" s="2" t="n">
        <v>45844</v>
      </c>
      <c r="I63"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in-714fa1edbba8079c</t>
        </is>
      </c>
      <c r="B64" t="inlineStr">
        <is>
          <t>Principal Product Manager Tech - Devices, Fire TV Devices</t>
        </is>
      </c>
      <c r="C64" t="inlineStr">
        <is>
          <t>Amazon.com</t>
        </is>
      </c>
      <c r="D64" t="inlineStr">
        <is>
          <t>indeed</t>
        </is>
      </c>
      <c r="E64" t="inlineStr"/>
      <c r="F64" t="inlineStr"/>
      <c r="G64" t="inlineStr">
        <is>
          <t>Seattle, WA, US</t>
        </is>
      </c>
      <c r="H64" s="2" t="n">
        <v>45844</v>
      </c>
      <c r="I64" t="inlineStr">
        <is>
          <t>**DESCRIPTION**
---------------
In this role, you will lead the development and launch of some of Fire TV's best selling devices as well as develop new ones. You will make high judgment decisions, present persuasive cases to executive leadership and have enduring impact on the future of Fire TV. You will work closely with a high\-energy team consisting of HW, OS and software engineering, user experience, finance, marketing, customer service, and Amazon leadership, and ship devices to customers globally. You will lead large teams of 50\+ team members through high complexity and high ambiguity product development cycles, while building excellent intuition for one\-way door decisions. In this role you will also work on hardware systems and platform Software/OS – bringing in your unique perspective into the complex systems that make winning products.  
You will work with a broad array of technical and non\-tech stakeholders – from design to architecture and core technologies all the way through product development and commercialization. You will have visibility at the highest levels of Amazon's leadership team, and work on our most strategic future initiatives. You will innovate on new devices, features and experiences, even as you manage the operational rigor of rolling out high quality devices on time and within budget. Finally your team will ship \- to millions of customers at a scale that only Fire TV can enable.  
This role is a good fit for someone creative, who has strong customer focus and product sense, combined with an established track record in consumer technology products, connected devices, and a real passion for TV and mobile video entertainment.  
Key job responsibilities  
* Lead the development of the consumer\-focused product strategy and vision for next\-generation devices and experiences
* Oversee programs in various stages of the lifecycle\- from ideation to development to launch/retirement.
* Define creative, high quality, long term product roadmaps based on team strategy and vision
* Develop detailed business requirements and user stories that are used to create product specifications and architecture for each product and application
* Manage prioritization and trade\-offs among customer experience, performance and operational support load
* Drive product launches in concert with Engineering, Operations Go to Market, PR, and other Product teams
* Create buy\-in for the product/feature/service vision and strategy with technical and leadership teams
* Operate with influence across a variety of cross functional technical, design and commercial teams
**BASIC QUALIFICATIONS**
------------------------
* 8\+ years of product or program management, product marketing, business development or technology experience
* Bachelor's degree
* Experience with feature delivery and tradeoffs of a product
* Experience owning/driving roadmap strategy and definition
* Experience with end to end product delivery
* Experience contributing to engineering discussions around technology decisions and strategy related to a product
* Experience technical product management
**PREFERRED QUALIFICATIONS**
----------------------------
* Experience working directly with Engineers on product enhancements
* Experience in project management methodologies, business analysis, or process improvement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in-8d2b4ff87b75a544</t>
        </is>
      </c>
      <c r="B65" t="inlineStr">
        <is>
          <t>Last Mile Program Manager, Global Fleet &amp; Product</t>
        </is>
      </c>
      <c r="C65" t="inlineStr">
        <is>
          <t>Amazon.com</t>
        </is>
      </c>
      <c r="D65" t="inlineStr">
        <is>
          <t>indeed</t>
        </is>
      </c>
      <c r="E65" t="inlineStr"/>
      <c r="F65" t="inlineStr"/>
      <c r="G65" t="inlineStr">
        <is>
          <t>Arlington, VA, US</t>
        </is>
      </c>
      <c r="H65" s="2" t="n">
        <v>45844</v>
      </c>
      <c r="I65"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in-525a2080661014d4</t>
        </is>
      </c>
      <c r="B66" t="inlineStr">
        <is>
          <t>Last Mile Program Manager, Global Fleet &amp; Product</t>
        </is>
      </c>
      <c r="C66" t="inlineStr">
        <is>
          <t>Amazon.com</t>
        </is>
      </c>
      <c r="D66" t="inlineStr">
        <is>
          <t>indeed</t>
        </is>
      </c>
      <c r="E66" t="inlineStr"/>
      <c r="F66" t="inlineStr"/>
      <c r="G66" t="inlineStr">
        <is>
          <t>Nashville, TN, US</t>
        </is>
      </c>
      <c r="H66" s="2" t="n">
        <v>45844</v>
      </c>
      <c r="I66"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in-b875511b91b9cc12</t>
        </is>
      </c>
      <c r="B67" t="inlineStr">
        <is>
          <t>Last Mile Program Manager, Global Fleet &amp; Product</t>
        </is>
      </c>
      <c r="C67" t="inlineStr">
        <is>
          <t>Amazon.com</t>
        </is>
      </c>
      <c r="D67" t="inlineStr">
        <is>
          <t>indeed</t>
        </is>
      </c>
      <c r="E67" t="inlineStr"/>
      <c r="F67" t="inlineStr"/>
      <c r="G67" t="inlineStr">
        <is>
          <t>Bellevue, WA, US</t>
        </is>
      </c>
      <c r="H67" s="2" t="n">
        <v>45844</v>
      </c>
      <c r="I67" t="inlineStr">
        <is>
          <t>**DESCRIPTION**
---------------
Amazon Worldwide Operations Last Mile is looking for a Senior Program Manager to own strategic, tactical, cross\-functional and technology projects and programs within Amazon Logistics. In this role, the individual will need to be able to work cross\-functionally with internal and external stakeholders in order to implement and improve projects and programs to improve vehicle operations, while eliminating barriers for our internal customers. You will be the owner leading various initiatives building out, installing programs and products from scratch.  
Travel up to 20% travel  
Key job responsibilities  
Responsibilities:  
* Build a program from theoretical to an efficient and sustainable process
* Scope, create, and drive project plans and budgets
* Communicate to Senior Management on status, risks and process/product changes
* Manage full lifecycle of complex cross\-functional programs with considerable impact across multiple organizations
* Development of the overall program strategy, tactically driving teams in and outside of your organization to deliver
* Define the program (mission, vision, tenets), set objectives, analyze data and drive improvements that are quantified with metrics
* Work autonomously in an ambiguous environment, seeking to understand business problems, and automation limitations
* Partner with customers, internal/external teams, and engineering teams to determine what projects move forward and in what priority order
* Oversee gaps between teams, processes and systems, helping teams reduce exposure to classic failure modes (e.g.,requirements not sufficiently understood or documented, ineffective cross\-team collaboration, long\-term impact(s) from third\-party solutions, security not considered, insufficient stakeholder review, etc.)
* Work with vendors, business leaders and executive team to communicate and impact critical business initiatives
* Develop, implement, and govern KPI reporting for a portfolio of programs the milestones
* Manage vendors and built sustainable mechanisms to drive program efficiencies.
**BASIC QUALIFICATIONS**
------------------------
* 5\+ years of program or project management experience
* Experience using data and metrics to determine and drive improvements
* Experience owning program strategy, end to end delivery, and communicating results to senior leadership
**PREFERRED QUALIFICATIONS**
----------------------------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$104,100/year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in-2515235672feea6f</t>
        </is>
      </c>
      <c r="B68" t="inlineStr">
        <is>
          <t>Principal Product Manager-Technical, AGI, Artificial General Intellgence</t>
        </is>
      </c>
      <c r="C68" t="inlineStr">
        <is>
          <t>Amazon.com</t>
        </is>
      </c>
      <c r="D68" t="inlineStr">
        <is>
          <t>indeed</t>
        </is>
      </c>
      <c r="E68" t="inlineStr"/>
      <c r="F68" t="inlineStr"/>
      <c r="G68" t="inlineStr">
        <is>
          <t>Boston, MA, US</t>
        </is>
      </c>
      <c r="H68" s="2" t="n">
        <v>45824</v>
      </c>
      <c r="I68"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in-76ecc85214c4ff8c</t>
        </is>
      </c>
      <c r="B69" t="inlineStr">
        <is>
          <t>Principal Product Manager-Technical, AGI, Artificial General Intellgence</t>
        </is>
      </c>
      <c r="C69" t="inlineStr">
        <is>
          <t>Amazon.com</t>
        </is>
      </c>
      <c r="D69" t="inlineStr">
        <is>
          <t>indeed</t>
        </is>
      </c>
      <c r="E69" t="inlineStr"/>
      <c r="F69" t="inlineStr"/>
      <c r="G69" t="inlineStr">
        <is>
          <t>Sunnyvale, CA, US</t>
        </is>
      </c>
      <c r="H69" s="2" t="n">
        <v>45824</v>
      </c>
      <c r="I69"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in-2290a6099c120641</t>
        </is>
      </c>
      <c r="B70" t="inlineStr">
        <is>
          <t>Principal Product Manager-Technical, AGI, Artificial General Intellgence</t>
        </is>
      </c>
      <c r="C70" t="inlineStr">
        <is>
          <t>Amazon.com</t>
        </is>
      </c>
      <c r="D70" t="inlineStr">
        <is>
          <t>indeed</t>
        </is>
      </c>
      <c r="E70" t="inlineStr"/>
      <c r="F70" t="inlineStr"/>
      <c r="G70" t="inlineStr">
        <is>
          <t>Bellevue, WA, US</t>
        </is>
      </c>
      <c r="H70" s="2" t="n">
        <v>45824</v>
      </c>
      <c r="I70" t="inlineStr">
        <is>
          <t>**DESCRIPTION**
---------------
Do you want to work hard, have fun, and make history? Do you think fast, dive deep, and get things done? We are seeking a Principal Product Manager \- Technical to join our team to lead the development of core Foundational Models that enable the development of thousands of internal and external Generative AI Applications.  
We are seeking a dynamic, entrepreneurial product manager who is passionate about bringing the power of Generative AI to Amazon businesses and our customers. If you enjoy leading technical product innovation to build products used by all Amazon teams and AWS customers, then join our team. We are looking for a customer obsessed product manager who enjoys discovering the customer requirements, innovating on their behalf, and developing experiences the raise the bar for AGI Foundation Models.
Key job responsibilities  
You will be the voice of the customer and responsible for driving a product roadmap that enables Amazon to build the most powerful Foundation Models. You will have the responsibility of inventing on behalf of our customers and advocating for their needs throughout design, build, and launch. This position has a high level of visibility, so you will need to be able to communicate clearly and compellingly at all levels of the company. Additionally, you will be responsible for measuring business impact by diving deep into metrics and customer inputs. You should have a positive attitude and strong work ethic; you will work fast and smart, and adapt and iterate quickly.
**BASIC QUALIFICATIONS**
------------------------
* Bachelor's degree
* Experience effective collaborating with PR, Legal, Public Policy and technical teams
**PREFERRED QUALIFICATIONS**
----------------------------
* Experience working directly with Engineers on product enhancements
* Experience in project management methodologies, business analysis, or process improvement
* Experience implementing and enforcing policies through product design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in-09ef8563123ee51b</t>
        </is>
      </c>
      <c r="B71" t="inlineStr">
        <is>
          <t>Senior Technical Program Manager, EC2 Capacity Customer Experience</t>
        </is>
      </c>
      <c r="C71" t="inlineStr">
        <is>
          <t>Amazon Web Services</t>
        </is>
      </c>
      <c r="D71" t="inlineStr">
        <is>
          <t>indeed</t>
        </is>
      </c>
      <c r="E71" t="inlineStr"/>
      <c r="F71" t="inlineStr"/>
      <c r="G71" t="inlineStr">
        <is>
          <t>Arlington, VA, US</t>
        </is>
      </c>
      <c r="H71" s="2" t="n">
        <v>45683</v>
      </c>
      <c r="I71" t="inlineStr">
        <is>
          <t>**DESCRIPTION**
---------------
Amazon Elastic Compute Cloud (Amazon EC2\) is a web service that provides secure, resizable compute capacity in the cloud. It is designed to make web\-scale cloud computing easier and more cost effective for developers. On the EC2 Capacity Customer Experience (CCX) team within AWS, our mission is to ensure the right capacity is available for customers through forecasting, planning, guidance and execution, especially for large unpredictable scaling events.
The EC2 CCX team is searching for a passionate, driven, and talented technical program manager to plan customer capacity within our Amazon Dedicated Cloud (ADC) portfolio. This portfolio enables EC2 to deliver cloud services to government customers who have unique access control, security, and compliance requirements. This role serves as EC2’s primary POC for managing demand intake, organizing supportability scenarios to influence VP\+ business decisions, and ensuring infrastructure and EC2 teams execute against global commitments. This customer facing role includes driving key initiatives that support goals/KPIs that are measured and reported to executive leadership. You will make high velocity decisions under circumstances that can at times be ambiguous. As the business of cloud computing grows increasingly technologically complex, it also brings new opportunity to drive capital efficiency and ensure the right decisions are getting made to the delight of our customers. Additional responsibilities include driving process improvements and collaborating with engineering organizations to build new technologies that automate all aspects of EC2's capacity planning and delivery within the portfolio.  
From Day 1, Technical Program Managers are given ownership and the autonomy to think strategically and make data driven decisions, along with the ability to drive significant impact on the customer experience as well as the business. This role requires working with professionals in many different domains including Engineering, Product Management, Supply Chain, and Finance along with high visibility to senior leaders at AWS.  
This position requires that the candidate selected be a US Citizen and must currently possess and maintain an active TS/SCI security clearance with polygraph. A successful clearance crossover to AWS is required prior to a Day 1 start.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technical product or program management experience
* Experience leading highly technical programs involving infrastructure, complex systems, systems engineering
* Experience managing programs across cross functional teams, building processes and coordinating release schedules
* Current, active US Government Security Clearance of TS/SCI with Polygraph
**PREFERRED QUALIFICATIONS**
----------------------------
* 5\+ years of project management disciplines including scope, schedule, budget, quality, along with risk and critical path management experience
* Experience defining KPI's/SLA's used to drive multi\-million dollar businesses and reporting to senior leadership
* Experience in technical program management working directly with software engineering teams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in-da63b17313d38505</t>
        </is>
      </c>
      <c r="B72" t="inlineStr">
        <is>
          <t>Senior Technical Program Manager, EC2 Capacity Customer Experience</t>
        </is>
      </c>
      <c r="C72" t="inlineStr">
        <is>
          <t>Amazon Web Services</t>
        </is>
      </c>
      <c r="D72" t="inlineStr">
        <is>
          <t>indeed</t>
        </is>
      </c>
      <c r="E72" t="inlineStr"/>
      <c r="F72" t="inlineStr"/>
      <c r="G72" t="inlineStr">
        <is>
          <t>Seattle, WA, US</t>
        </is>
      </c>
      <c r="H72" s="2" t="n">
        <v>45683</v>
      </c>
      <c r="I72" t="inlineStr">
        <is>
          <t>**DESCRIPTION**
---------------
Amazon Elastic Compute Cloud (Amazon EC2\) is a web service that provides secure, resizable compute capacity in the cloud. It is designed to make web\-scale cloud computing easier and more cost effective for developers. On the EC2 Capacity Customer Experience (CCX) team within AWS, our mission is to ensure the right capacity is available for customers through forecasting, planning, guidance and execution, especially for large unpredictable scaling events.
The EC2 CCX team is searching for a passionate, driven, and talented technical program manager to plan customer capacity within our Amazon Dedicated Cloud (ADC) portfolio. This portfolio enables EC2 to deliver cloud services to government customers who have unique access control, security, and compliance requirements. This role serves as EC2’s primary POC for managing demand intake, organizing supportability scenarios to influence VP\+ business decisions, and ensuring infrastructure and EC2 teams execute against global commitments. This customer facing role includes driving key initiatives that support goals/KPIs that are measured and reported to executive leadership. You will make high velocity decisions under circumstances that can at times be ambiguous. As the business of cloud computing grows increasingly technologically complex, it also brings new opportunity to drive capital efficiency and ensure the right decisions are getting made to the delight of our customers. Additional responsibilities include driving process improvements and collaborating with engineering organizations to build new technologies that automate all aspects of EC2's capacity planning and delivery within the portfolio.  
From Day 1, Technical Program Managers are given ownership and the autonomy to think strategically and make data driven decisions, along with the ability to drive significant impact on the customer experience as well as the business. This role requires working with professionals in many different domains including Engineering, Product Management, Supply Chain, and Finance along with high visibility to senior leaders at AWS.  
This position requires that the candidate selected be a US Citizen and must currently possess and maintain an active TS/SCI security clearance with polygraph. A successful clearance crossover to AWS is required prior to a Day 1 start.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technical product or program management experience
* Experience leading highly technical programs involving infrastructure, complex systems, systems engineering
* Experience managing programs across cross functional teams, building processes and coordinating release schedules
* Current, active US Government Security Clearance of TS/SCI with Polygraph
**PREFERRED QUALIFICATIONS**
----------------------------
* 5\+ years of project management disciplines including scope, schedule, budget, quality, along with risk and critical path management experience
* Experience defining KPI's/SLA's used to drive multi\-million dollar businesses and reporting to senior leadership
* Experience in technical program management working directly with software engineering teams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in-855fad4f30287b13</t>
        </is>
      </c>
      <c r="B73" t="inlineStr">
        <is>
          <t>Senior Technical Program Manager, EC2 Capacity Customer Experience</t>
        </is>
      </c>
      <c r="C73" t="inlineStr">
        <is>
          <t>Amazon Web Services</t>
        </is>
      </c>
      <c r="D73" t="inlineStr">
        <is>
          <t>indeed</t>
        </is>
      </c>
      <c r="E73" t="inlineStr"/>
      <c r="F73" t="inlineStr"/>
      <c r="G73" t="inlineStr">
        <is>
          <t>Herndon, VA, US</t>
        </is>
      </c>
      <c r="H73" s="2" t="n">
        <v>45683</v>
      </c>
      <c r="I73" t="inlineStr">
        <is>
          <t>**DESCRIPTION**
---------------
Amazon Elastic Compute Cloud (Amazon EC2\) is a web service that provides secure, resizable compute capacity in the cloud. It is designed to make web\-scale cloud computing easier and more cost effective for developers. On the EC2 Capacity Customer Experience (CCX) team within AWS, our mission is to ensure the right capacity is available for customers through forecasting, planning, guidance and execution, especially for large unpredictable scaling events.
The EC2 CCX team is searching for a passionate, driven, and talented technical program manager to plan customer capacity within our Amazon Dedicated Cloud (ADC) portfolio. This portfolio enables EC2 to deliver cloud services to government customers who have unique access control, security, and compliance requirements. This role serves as EC2’s primary POC for managing demand intake, organizing supportability scenarios to influence VP\+ business decisions, and ensuring infrastructure and EC2 teams execute against global commitments. This customer facing role includes driving key initiatives that support goals/KPIs that are measured and reported to executive leadership. You will make high velocity decisions under circumstances that can at times be ambiguous. As the business of cloud computing grows increasingly technologically complex, it also brings new opportunity to drive capital efficiency and ensure the right decisions are getting made to the delight of our customers. Additional responsibilities include driving process improvements and collaborating with engineering organizations to build new technologies that automate all aspects of EC2's capacity planning and delivery within the portfolio.  
From Day 1, Technical Program Managers are given ownership and the autonomy to think strategically and make data driven decisions, along with the ability to drive significant impact on the customer experience as well as the business. This role requires working with professionals in many different domains including Engineering, Product Management, Supply Chain, and Finance along with high visibility to senior leaders at AWS.  
This position requires that the candidate selected be a US Citizen and must currently possess and maintain an active TS/SCI security clearance with polygraph. A successful clearance crossover to AWS is required prior to a Day 1 start.  
About the team  
Utility Computing (UC)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customers who require specialized security solutions for their cloud services.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technical product or program management experience
* Experience leading highly technical programs involving infrastructure, complex systems, systems engineering
* Experience managing programs across cross functional teams, building processes and coordinating release schedules
* Current, active US Government Security Clearance of TS/SCI with Polygraph
**PREFERRED QUALIFICATIONS**
----------------------------
* 5\+ years of project management disciplines including scope, schedule, budget, quality, along with risk and critical path management experience
* Experience defining KPI's/SLA's used to drive multi\-million dollar businesses and reporting to senior leadership
* Experience in technical program management working directly with software engineering teams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$133,900/year in our lowest geographic market up to $231,400/year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in-0258759a5c5b95e7</t>
        </is>
      </c>
      <c r="B74" t="inlineStr">
        <is>
          <t>Sr. Product Manager Technical, Deal Tooling &amp; Insights, Strategic Customer Engagements</t>
        </is>
      </c>
      <c r="C74" t="inlineStr">
        <is>
          <t>Amazon Web Services</t>
        </is>
      </c>
      <c r="D74" t="inlineStr">
        <is>
          <t>indeed</t>
        </is>
      </c>
      <c r="E74" t="inlineStr"/>
      <c r="F74" t="inlineStr"/>
      <c r="G74" t="inlineStr">
        <is>
          <t>Herndon, VA, US</t>
        </is>
      </c>
      <c r="H74" s="2" t="n">
        <v>45994</v>
      </c>
      <c r="I74"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5">
      <c r="A75" t="inlineStr">
        <is>
          <t>in-89ba3f26f6c81f95</t>
        </is>
      </c>
      <c r="B75" t="inlineStr">
        <is>
          <t>Sr. Product Manager Technical, Deal Tooling &amp; Insights, Strategic Customer Engagements</t>
        </is>
      </c>
      <c r="C75" t="inlineStr">
        <is>
          <t>Amazon Web Services</t>
        </is>
      </c>
      <c r="D75" t="inlineStr">
        <is>
          <t>indeed</t>
        </is>
      </c>
      <c r="E75" t="inlineStr"/>
      <c r="F75" t="inlineStr"/>
      <c r="G75" t="inlineStr">
        <is>
          <t>Arlington, VA, US</t>
        </is>
      </c>
      <c r="H75" s="2" t="n">
        <v>45994</v>
      </c>
      <c r="I75"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6">
      <c r="A76" t="inlineStr">
        <is>
          <t>in-f44e9c1ef0ebefa3</t>
        </is>
      </c>
      <c r="B76" t="inlineStr">
        <is>
          <t>Sr. Product Manager Technical, Deal Tooling &amp; Insights, Strategic Customer Engagements</t>
        </is>
      </c>
      <c r="C76" t="inlineStr">
        <is>
          <t>Amazon Web Services</t>
        </is>
      </c>
      <c r="D76" t="inlineStr">
        <is>
          <t>indeed</t>
        </is>
      </c>
      <c r="E76" t="inlineStr"/>
      <c r="F76" t="inlineStr"/>
      <c r="G76" t="inlineStr">
        <is>
          <t>New York, NY, US</t>
        </is>
      </c>
      <c r="H76" s="2" t="n">
        <v>45994</v>
      </c>
      <c r="I76"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7">
      <c r="A77" t="inlineStr">
        <is>
          <t>in-fb0856f4ab818edd</t>
        </is>
      </c>
      <c r="B77" t="inlineStr">
        <is>
          <t>Sr. Product Manager Technical, Deal Tooling &amp; Insights, Strategic Customer Engagements</t>
        </is>
      </c>
      <c r="C77" t="inlineStr">
        <is>
          <t>Amazon Web Services</t>
        </is>
      </c>
      <c r="D77" t="inlineStr">
        <is>
          <t>indeed</t>
        </is>
      </c>
      <c r="E77" t="inlineStr"/>
      <c r="F77" t="inlineStr"/>
      <c r="G77" t="inlineStr">
        <is>
          <t>Dallas, TX, US</t>
        </is>
      </c>
      <c r="H77" s="2" t="n">
        <v>45994</v>
      </c>
      <c r="I77"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8">
      <c r="A78" t="inlineStr">
        <is>
          <t>in-21aefd83c743c767</t>
        </is>
      </c>
      <c r="B78" t="inlineStr">
        <is>
          <t>Sr. Product Manager Technical, Deal Tooling &amp; Insights, Strategic Customer Engagements</t>
        </is>
      </c>
      <c r="C78" t="inlineStr">
        <is>
          <t>Amazon Web Services</t>
        </is>
      </c>
      <c r="D78" t="inlineStr">
        <is>
          <t>indeed</t>
        </is>
      </c>
      <c r="E78" t="inlineStr"/>
      <c r="F78" t="inlineStr"/>
      <c r="G78" t="inlineStr">
        <is>
          <t>Seattle, WA, US</t>
        </is>
      </c>
      <c r="H78" s="2" t="n">
        <v>45994</v>
      </c>
      <c r="I78"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79">
      <c r="A79" t="inlineStr">
        <is>
          <t>in-c684c09ddb5b5de6</t>
        </is>
      </c>
      <c r="B79" t="inlineStr">
        <is>
          <t>Sr. Product Manager Technical, Deal Tooling &amp; Insights, Strategic Customer Engagements</t>
        </is>
      </c>
      <c r="C79" t="inlineStr">
        <is>
          <t>Amazon Web Services</t>
        </is>
      </c>
      <c r="D79" t="inlineStr">
        <is>
          <t>indeed</t>
        </is>
      </c>
      <c r="E79" t="inlineStr"/>
      <c r="F79" t="inlineStr"/>
      <c r="G79" t="inlineStr">
        <is>
          <t>Austin, TX, US</t>
        </is>
      </c>
      <c r="H79" s="2" t="n">
        <v>45994</v>
      </c>
      <c r="I79" t="inlineStr">
        <is>
          <t>**DESCRIPTION**
---------------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while working with new technologies and global clients.  
Are you passionate about driving product innovation and leveraging new technologies like generative AI to transform how AWS delivers value to customers? Do you want to have a direct impact on strategic deal\-making and shape the future of cloud adoption? Are you excited to blend technical expertise with product strategy to solve complex business challenges?  
We are seeking a highly skilled Senior Product Manager \- Technical to propose and own the development of new features and functionality within our broader platform. You will work closely with stakeholders to prioritize features and capabilities that scale our ability to execute transformative deals through automation and AI\-driven solutions. The ideal candidate is a strategic thinker with deep technical expertise, a passion for learning new skills and experience in cloud\-based or AI\-driven product management.  
Successful candidates must have the ability to collaborate effectively across multiple technical and non\-technical business units to deliver successfully against the highest standards. The ideal candidate will have strong technical skills with business acumen and be detail\-oriented with excellent analytical problem\-solving skills. A keen sense of end\-to\-end ownership, drive, and scrappiness is a must.  
Key job responsibilities  
In this role:  
* You will own the entire lifecycle of new product feature development, from initial concept through launch and beyond, ensuring continuous improvement through data\-driven iteration and stakeholder feedback.
* You will leverage both product management expertise and technical skills to understand complex business requirements, design innovative solutions, and develop generative AI\-powered features that deliver measurable business impact.
* You will propose and own the development of new features within our broader platform, working closely with stakeholders to prioritize features and capabilities that scale our ability to execute transformative deals through automation and AI\-driven solutions.
* You will lead the technical development of new product features, including hands\-on contribution to development efforts, particularly in areas involving generative AI implementation and integration.
* You will collaborate with Data Engineers, Product Managers, and other stakeholders to define success metrics, measure product performance, and quantify the business impact of new features and capabilities
* You will translate complex technical concepts into clear, compelling communications for senior leadership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Ongoing events and learning experiences inspire us to never stop embracing our uniqueness.  
Mentorship and Career Growth  
We’re continuously raising our performance bar as we strive to become Earth’s Best Employer. That’s why you’ll find endless knowledge\-sharing, mentorship and other career\-advancing resources here to help you develop into a better\-rounded professional.**BASIC QUALIFICATIONS**
------------------------
* Bachelor's degree
* 5\+ years of technical product or program management experience
* Experience in building and driving adoption of new tools
* Experience with feature delivery and tradeoffs of a product
* Experience working with global teams and diverse partners
**PREFERRED QUALIFICATIONS**
----------------------------
* Experience contributing to engineering discussions around technology decisions and strategy related to a product
* Experience managing, analyzing and communicating results to senior leadership
* Experience with AWS services or other cloud offerings
* 3\+ years of hands\-on technical experience in software development, data science, or related technical field
* Experience in the application of GenAI technologies to drive operational efficiencies and speed to insights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\- 166,300\.00 \- 225,000\.00 USD annually  
USA, TX, Austin \- 151,200\.00 \- 204,600\.00 USD annually  
USA, TX, Dallas \- 151,200\.00 \- 204,600\.00 USD annually  
USA, VA, Arlington \- 151,200\.00 \- 204,600\.00 USD annually  
USA, VA, Herndon \- 151,200\.00 \- 204,600\.00 USD annually  
USA, WA, Seattle \- 151,200\.00 \- 204,600\.00 USD annually</t>
        </is>
      </c>
    </row>
    <row r="80">
      <c r="A80" t="inlineStr">
        <is>
          <t>in-03611edab22e05f8</t>
        </is>
      </c>
      <c r="B80" t="inlineStr">
        <is>
          <t>Principal Product Manager - Tech, Recommender Systems, Prime Video Personalization &amp; Discovery</t>
        </is>
      </c>
      <c r="C80" t="inlineStr">
        <is>
          <t>Amazon.com</t>
        </is>
      </c>
      <c r="D80" t="inlineStr">
        <is>
          <t>indeed</t>
        </is>
      </c>
      <c r="E80" t="inlineStr"/>
      <c r="F80" t="inlineStr"/>
      <c r="G80" t="inlineStr">
        <is>
          <t>Washington, DC, US</t>
        </is>
      </c>
      <c r="H80" s="2" t="n">
        <v>45753</v>
      </c>
      <c r="I8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in-787fc6943abb5bf9</t>
        </is>
      </c>
      <c r="B81" t="inlineStr">
        <is>
          <t>Principal Product Manager - Tech, Recommender Systems, Prime Video Personalization &amp; Discovery</t>
        </is>
      </c>
      <c r="C81" t="inlineStr">
        <is>
          <t>Amazon.com</t>
        </is>
      </c>
      <c r="D81" t="inlineStr">
        <is>
          <t>indeed</t>
        </is>
      </c>
      <c r="E81" t="inlineStr"/>
      <c r="F81" t="inlineStr"/>
      <c r="G81" t="inlineStr">
        <is>
          <t>Seattle, WA, US</t>
        </is>
      </c>
      <c r="H81" s="2" t="n">
        <v>45753</v>
      </c>
      <c r="I8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an experienced Principal Product Manager to own the vision, strategy, and roadmap for the core algorithms that power our personalization and discovery experiences. You will operate at the intersection of machine learning, customer experience, and business strategy, leading fast\-paced, high\-impact projects and partnering with experts in data science, ML engineering, and customer experience to ship ML\-powered features at scale.  
This role is ideal for a PM with deep experience in data and models who anchors every decision in customer value and measurable business outcomes. You will formulate the product and science vision for your algorithm domain, translate ambiguous customer and business problems into clear algorithmic objectives and technical requirements, and guide sound science decisions throughout the ML lifecycle—from problem framing and data strategy through experimentation, deployment, and ongoing optimization. Throughout, you’ll ensure that complex algorithmic capabilities become intuitive, high\-quality customer experiences.  
* Other Locations Available: Culver City, CA; New York, NY, San Francisco, CA; Sunnyvale, CA; Arlington, VA; Austin, TX
Key job responsibilities  
* Own the roadmap and strategy for personalization products, including recommendation systems and ML/science\-based models.
* Collaborate with applied scientists and ML engineers to translate business problems into model requirements and convert them into clear algorithmic objectives, metrics, and guardrails.
* Define, track, and analyze key metrics to measure recommendation quality, customer outcomes, and business impact; analyze user behavior data to identify opportunities to improve personalization.
* Lead A/B testing strategy and experimentation to validate algorithmic improvements and inform roadmap decisions.
* Partner with stakeholder teams to understand business needs and translate them into technical specifications and prioritized work.
* Communicate complex technical and algorithmic concepts clearly to senior leadership and cross\-functional partners.
* Balance trade\-offs between model complexity, latency, scalability, and business value to ensure robust, production\-ready solutions.
Basic Qualifications  
* 8\+ years of technical product management experience.
* 6\+ years of end to end product delivery experience
* Bachelor's degree
* Experience with feature delivery and tradeoffs of a product
* Experience owning/driving roadmap strategy and definition
* Experience managing consumer\-facing products where ML directly impacts user experience and engagement.
* Experience leading science and technology discussions and influencing strategy for ML\- or science\-driven products.
* Background in an applied science, engineering, or quantitative field, with a solid understanding of the model lifecycle, data readiness, and model evaluation frameworks.
Preferred Qualifications  
* Experience in content discovery, e\-commerce, search, or recommendation systems
* Knowledge of modern ML techniques (deep learning, NLP, LLM, Agentic AIs) and their practical trade\-offs.
* Strong leadership skills with ability to influence cross\-functional teams
* Experience working with senior\-level stakeholders
* Experience in project management methodologies, business analysis, or process improvement
**BASIC QUALIFICATIONS**
------------------------
* 8\+ years of technical product or program management experience
* Experience with feature delivery and tradeoffs of a product
* 6\+ years of end to end product delivery experience
* Experience owning/driving roadmap strategy and definition
* Experience leading engineering discussions around technology decisions and strategy related to a product
* Bachelor's degree
**PREFERRED QUALIFICATIONS**
----------------------------
* Experience in project management methodologies, business analysis, or process improvement
* Bachelor's degree in a quantitative/technical field such as computer science, engineering, statistics
* Experience as a strong leader who can prioritize well, communicate clearly and effectively influence across cross\-functional teams
* Experience working with and influencing senior level stakeholders
* Experience developing consumer\-impacting applications of machine learning or artificial intelligence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Colorado base pay for this position ranges from $179,900/year up to $243,400/year. The National base pay for this position ranges from $161,900/year in our lowest geographic market up to $279,900/year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in-7fa8e6f012e7b2c3</t>
        </is>
      </c>
      <c r="B82" t="inlineStr">
        <is>
          <t>Program Manager</t>
        </is>
      </c>
      <c r="C82" t="inlineStr">
        <is>
          <t>Flex</t>
        </is>
      </c>
      <c r="D82" t="inlineStr">
        <is>
          <t>indeed</t>
        </is>
      </c>
      <c r="E82">
        <f>HYPERLINK("https://www.indeed.com/viewjob?jk=7fa8e6f012e7b2c3", "https://www.indeed.com/viewjob?jk=7fa8e6f012e7b2c3")</f>
        <v/>
      </c>
      <c r="F82">
        <f>HYPERLINK("https://flextronics.wd1.myworkdayjobs.com/en-US/Careers/job/USA-MI-Coopersville/Program-Manager_WD213752", "https://flextronics.wd1.myworkdayjobs.com/en-US/Careers/job/USA-MI-Coopersville/Program-Manager_WD213752")</f>
        <v/>
      </c>
      <c r="G82" t="inlineStr">
        <is>
          <t>Coopersville, MI, US</t>
        </is>
      </c>
      <c r="H82" s="3" t="n">
        <v>46032</v>
      </c>
      <c r="I82" t="inlineStr">
        <is>
          <t>Job Posting Start Date 01\-11\-2026 Job Posting End Date 05\-31\-2026
Flex is the diversified manufacturing partner of choice that helps market\-leading brands design, build and deliver innovative products that improve the world.
A career at Flex offers the opportunity to make a difference and invest in your growth in a respectful, inclusive, and collaborative environment. If you are excited about a role but don't meet every bullet point, we encourage you to apply and join us to create the extraordinary.
Job Summary
To support our extraordinary teams who build and support products movement and contribute to our growth, we’re looking to add a Program Manager located in Coopersville , MI
The Program Manager will be based in Coopersville, MI, reporting to the Program Management Manager
In this role, you will be In\-charge of guiding a team of cross functional experts in the delivery of customer focused products and services and will hold up development and implementation of a project, pricing and program strategies in order to continue to deliver value to the business and its customers.
Responsibilities:* Organize, plan and direct program schedules and budgets.
* In charge of tracking relevant metrics and drive action items based on results.
* Provide help, knowledge and expertise with contract negotiations as required.
* Oversee all interdepartmental activities ensuring completion of all adherences made relative a to product development timelines, delivery, quality and the required business metrics.
* Reviews program proposal or plan to resolve time frame, funding requirements, procedures for accomplishing program, staffing requirements and allotment of available resources to various phases of program.
* Establishes work plan and staffing for each phase of program and arranges for recruitment or assignment of personnel.
* Manage the coordination of product life cycle activities with P\&amp;L and customer satisfaction also has control for different accounts of various complexities.
* Be the key channel of communication for customers and act as escalation in the event of customer issues.
* In charge of customer´s satisfaction reviews and corrective actions.
* Maintain current and develop additional business with customers.
* Monitor and track that project and program deliverables are met.
* Be accountable for maintaining excellent customer relations with both new and existing customers.
* Holds up production sites for projects, costs and other customer related matters through business and expertise.
Qualifications:* Typically requires a Bachelor's degree in engineering or related field or equivalent experience.
* Typically requires a minimum of 5 years’ experience in program administration/ management or related area.
* Demonstrates advanced operations, technical and people and/or process skills as well as customer (external and internal) relationship skills.
* Demonstrates knowledge of multiple functional technologies/ processes, industries or functions and understanding of interdependencies of such processes at the site.
* Accountability for the program wellness.
What you'll receive for the great work you provide:* Full range of medical, dental, and vision plans
* Life Insurance
* Short\-term and Long\-term Disability
* Matching 401(k) Contributions
* Vacation and Paid Sick Time
* Tuition Reimbursement
Job Category
Operations
Is Sponsorship Available?
No
Flex is an Equal Opportunity Employer and employment selection decisions are based on merit, qualifications, and abilities. We do not discriminate based on: age, race, religion, color, sex, national origin, marital status, sexual orientation, gender identity, veteran status, disability, pregnancy status, or any other status protected by law. We're happy to provide reasonable accommodations to those with a disability for assistance in the application process. Please email accessibility@flex.com and we'll discuss your specific situation and next steps (NOTE: this email does not accept or consider resumes or applications. This is only for disability assistance. To be considered for a position at Flex, you must complete the application process first).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89"/>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li-4286685434</t>
        </is>
      </c>
      <c r="B2" t="inlineStr">
        <is>
          <t>Product Manager</t>
        </is>
      </c>
      <c r="C2" t="inlineStr">
        <is>
          <t>Decagon</t>
        </is>
      </c>
      <c r="D2" t="inlineStr">
        <is>
          <t>linkedin</t>
        </is>
      </c>
      <c r="E2" t="inlineStr"/>
      <c r="F2" t="inlineStr"/>
      <c r="G2" t="inlineStr">
        <is>
          <t>San Francisco, CA</t>
        </is>
      </c>
      <c r="H2" t="inlineStr"/>
      <c r="I2" t="inlineStr">
        <is>
          <t>**About Decagon**
 Decagon is the leading conversational AI platform empowering every brand to deliver concierge customer experience. Our AI agents provide intelligent, human\-like responses across chat, email, and voice, resolving millions of customer inquiries across every language and at any time.
 Since coming out of stealth, Decagon has experienced rapid growth. We partner with industry leaders like Hertz, Eventbrite, Duolingo, Oura, Bilt, Curology, and Samsara to redefine customer experience at scale. We've raised over $200M from Bain Capital Ventures, Accel, a16z, BOND Capital, A\*, Elad Gil, and notable angels such as the founders of Box, Airtable, Rippling, Okta, Lattice, and Klaviyo.
 We’re an in\-office company, driven by a shared commitment to excellence and velocity. Our values—
 *customers are everything* 
 ,
 *relentless momentum* 
 ,
 *winner’s mindset* 
 , and
 *stronger together* 
 —shape how we work and grow as a team.
**About The Team**
 Over the past few years, development of LLMs has evolved at a rapid pace. Building truly successful AI products isn’t just about model quality — it’s about the infrastructure, tooling, and workflows that allow customers to configure, monitor, and improve their agents at scale.
 The Product Management team owns Decagon’s platform and foundational features: agent building, testing, experimentation, analytics, QA, versioning, integrations, and enterprise controls. We work across every customer segment, partnering closely with engineering, design, and go\-to\-market to ensure our platform is robust, scalable, and easy to use.
 As one of our founding PMs, you’ll help define the product foundation that every Decagon customer uses to build and run their AI agents. You’ll own initiatives end\-to\-end, from discovery and scoping to launch and adoption, shaping the product experience for some of the world’s most influential businesses.
**About The Role**
 On the Product team, you’ll own the roadmap for a major product area and partner with customers and internal teams to deliver features that make Decagon’s platform powerful, flexible, and enterprise\-ready. Your work might include:
* Designing AI\-powered features that turn raw conversation data into instant, actionable insights for customers.
* Building intelligent systems that give enterprises precise control over how their agents learn, adapt, and deploy in production.
* Creating self\-serve configuration experiences that feel effortless — powered by real\-time AI guidance and automation.
* Expanding the platform’s reach by connecting AI agents to live data streams, tools, and APIs that unlock new use cases.
 You’ll partner closely with engineering, design, sales, agent product managers and our leadership team to ensure the core platform meets the needs of both our largest enterprises and fastest\-growing startups.
**In this role, you will**
* Shape the roadmap for core capabilities that power the next generation of AI agents from first concept to launch.
* Work closely with customers to uncover new ways AI can transform their workflows, unlock automation, and elevate customer experience.
* Translate breakthrough ideas into clear product specs, then partner with engineering and design to bring them to life.
**Your background looks something like this**
* Have 4\+ years of relevant experience (e.g., product manager, founder, engineer, researcher etc.)
* Strong technical acumen — comfortable discussing APIs, data models, and architecture with engineers.
* Strong communication and relationship\-building skills.
* Proven track record of shipping impactful features in fast\-paced environments.
**Even better**
* A Computer Science, Engineering, or Math degree or equivalent technical experience.
* Previous startup or high\-growth company experience.
**Benefits**
* Medical, dental, and vision benefits
* Take what you need vacation policy
* Daily lunches, dinners and snacks in the office to keep you at your best
**Compensation**
 $200K – $285K \+ Offers Equity</t>
        </is>
      </c>
    </row>
    <row r="3">
      <c r="A3" t="inlineStr">
        <is>
          <t>li-4315283707</t>
        </is>
      </c>
      <c r="B3" t="inlineStr">
        <is>
          <t>Senior Product Manager - Enterprise / Commerce (100% Remote)</t>
        </is>
      </c>
      <c r="C3" t="inlineStr">
        <is>
          <t>Hopper</t>
        </is>
      </c>
      <c r="D3" t="inlineStr">
        <is>
          <t>linkedin</t>
        </is>
      </c>
      <c r="E3" t="inlineStr"/>
      <c r="F3" t="inlineStr"/>
      <c r="G3" t="inlineStr">
        <is>
          <t>New York, NY</t>
        </is>
      </c>
      <c r="H3" t="inlineStr"/>
      <c r="I3" t="inlineStr">
        <is>
          <t>**About The Job**
 Hopper Technology Solutions is looking for a passionate and scrappy Senior Product Manager with experience building and launching new products in the B2B space.
 Product Managers at Hopper are “smart creatives” that will take Hopper from an innovative startup to being the global leader in the travel industry. As a Product Manager, you will work at the intersection of development, data, and user experience.
 Product Managers for this team must be strong communicators, creative, hands\-on "doers" with a strong bias for action. You'll leverage your data\-driven approach to uncover insights and understand the competitive travel landscape, informing the development of innovative solutions that create a unique, differentiated experience for our users, something no other travel technology has achieved before.
 This is a unique opportunity to shape the future of our B2B space and contribute to a high\-growth environment with the potential for significant impact and pre\-IPO stock options.
**What Would Your Day\-to\-day Look Like**
* Manage a product roadmap for a set of features from inception through implementation and analysis: collect requirements, establish key performance metrics, craft the user experience, drive execution, and report on the impact
* Identify and prioritize the right problems to solve for users, partnering with business leaders to shape and drive business cases for product features.
* Collaborate with cross\-functional teams (developers, designers, data analysts, and business leaders) to bridge the gap between technical complexities, user needs, and desired outcomes. This ensures clarity, drives efficient resolutions, and ultimately leads to a delightful user experience.
* Validate product\-market fit through data\-driven approaches and collaborate closely with data analysts to understand user behavior.
* Pare down an ideal feature to the minimum viable product: identify what's essential for us to know if this is a good idea, what's not, and how can we limit cost and risk?
* Work closely with our B2B partners to develop world\-class solutions
**An ideal candidate has:**
* Have extensive experience in product management, ideally in a B2B/B2B2C setting.
* You have a proven track record of building and launching impactful products from the ground up (zero\-to\-one experience).
* Are data\-driven, with a proven ability to analyze and interpret information to inform decision\-making.
* Are scrappy and resourceful, able to thrive in an environment with limited resources.
* Have a user\-centric approach and a passion for building products that solve real problems.
* Are an excellent communicator with the ability to collaborate effectively with various stakeholders.
* Prioritize effectively, manage roadmaps, and drive execution.
* Are an agile thinker who can pivot quickly and adapt to changing priorities in a fast\-paced environment.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
 Compensation Range: $150K \- $320K</t>
        </is>
      </c>
    </row>
    <row r="4">
      <c r="A4" t="inlineStr">
        <is>
          <t>li-4080353504</t>
        </is>
      </c>
      <c r="B4" t="inlineStr">
        <is>
          <t>Product Manager</t>
        </is>
      </c>
      <c r="C4" t="inlineStr">
        <is>
          <t>Eight Sleep</t>
        </is>
      </c>
      <c r="D4" t="inlineStr">
        <is>
          <t>linkedin</t>
        </is>
      </c>
      <c r="E4" t="inlineStr"/>
      <c r="F4" t="inlineStr"/>
      <c r="G4" t="inlineStr">
        <is>
          <t>New York, NY</t>
        </is>
      </c>
      <c r="H4" t="inlineStr"/>
      <c r="I4" t="inlineStr">
        <is>
          <t>**Join the Sleep Fitness Movement**
 At Eight Sleep, we’re on a mission to fuel human potential through optimal sleep. As the world’s first sleep fitness company, we’re redefining what it means to be well\-rested and building the most advanced hardware, software, and AI technology to make it possible. Our products power peak mental, physical, and emotional performance by transforming every night of sleep into a personalized, data\-driven recovery experience. We are trusted by high performers, professional athletes, and health\-conscious consumers in over 30 countries worldwide. Recognized as one of Fast Company's Most Innovative Companies in 2019, 2022, and 2023, and twice named to TIME's “Best Inventions of the Year.” We operate like a high\-performance team: fast, focused, and motivated by impact. We don’t just ship; we iterate, refine, and obsess over the details that help our members sleep better and wake up stronger.
 Every role at Eight Sleep is a chance to create cutting\-edge technology, collaborate with world\-class talent, and help shape a future where sleep isn’t passive \- it’s a powerful tool for living better. If you’re tired of the ordinary and driven to build at the edge of what’s possible, this is your moment. Join us and lead the movement that’s transforming how the world sleeps and what we’re all capable of when we wake up.
**High Standards. No Apologies.**
 We operate with intensity because our mission demands it. At Eight Sleep, we bring the same mindset as the world’s top performers: focused, relentless, and always pushing to be in the top 1% of our craft. Think Kobe Bryant’s mamba mentality, applied to bold ideas, next\-gen tech, and flawless execution. This isn’t a 9\-to\-5\. Our team is deeply committed, often putting in 60\+ hours a week –not because we’re told to, but because we’re invested. We’re here to build fast, push limits, and deliver without compromise. If you thrive under pressure and want to do the most meaningful work of your career, you’ll feel right at home. If you’re looking for something easier –this isn’t it.
**The Role**
 Eight Sleep is looking for an experienced mobile Product Manager to join our growing Product team. The ideal candidate has shipped exceptional mobile products in high\-growth start\-ups, working closely with designers and engineers in fast\-moving, squad\-like teams. They are a power user of modern AI tools and leverage them daily to accelerate discovery, analysis, and execution. We want someone with deep product management roots, strong technical instincts, and a passion for health tech and wellness.
 In this role, you’ll collaborate with machine learning engineers, sleep science researchers, designers, and mobile engineers to build smart, AI\-powered, autonomous experiences that help people achieve the best sleep biologically possible. You’ll balance a bold product vision with a sharp focus on user needs, ensuring every feature creates measurable impact for our members. As one of the early AI adopters in the sleep space, Eight Sleep is training models on the world’s largest sleep dataset to power groundbreaking features in our app \- and expects every member of the product team to leverage AI tools daily to move faster and smarter.
**We prefer someone based out of our NYC HQ.**
**What You'll Help Build**
* Partner with our product researchers to gather qualitative and quantitative customer research to deeply understand customer’s sleep needs and transform that into value\-add user stories and product requirements
* Work with complex data sets and to deliver seamless experiences around sleep and recovery
* Write stories and sprint goals that clearly communicate key objectives. Develop, refine, prioritize and track implementation of requirements and new features
* Conduct thorough QA on new app features, ensuring bug\-free releases
* Assess customer opportunities, prioritize initiatives, and make data and judgment driven trade\-offs
* Design and run A/B tests to learn about customer behavior, iterate, and optimize
* Closely collaborate with and orchestrate efforts across functions and teams, including engineering, UX, analytics, research, and product marketing
* Conceptualize, scope, define, and drive projects through the product life cycle
* Communicate product details to senior management
* Work cross\-functionally with customer care and marketing teams to validate, launch, support, and monitor new features
* Track and measure the success of each release, and feed those learnings back into the roadmap
**What You'll Need To Succeed**
* 3\-5\+ years of experience in mobile product management (experience with hardware IoT products a plus)
* Proven track record shipping consumer\-facing apps or services with high customer satisfaction
* Experience working closely with designers, engineers, researchers, and product marketing
* Demonstrated ability to leverage AI tools to increase velocity and quality in product development workflows
* Relentless resourcefulness \- ability to make big things happen with limited resources
* Excellent communication and organizational skills, with attention to detail and prioritization in changing environments
* Comfort innovating in complex, ambiguous situations
* Genuine passion for sleep, wellness, technology, and connected devices
**Why join Eight Sleep?**
**Innovation in a culture of excellence**
 Join us in a workplace where innovation isn’t just encouraged \- it’s a standard. Our flagship product, the Pod, is a testament to our culture of excellence, beloved by hundreds of thousands of customers worldwide. At Eight Sleep, you will be part of a team that continuously pushes the boundaries of technology in sleep fitness.
**Immediate responsibility and accelerated career growth**
 From your first day, you’ll take on substantial responsibilities that have a direct impact on our core business and product success. We are a small team that empowers you to own your projects and see the tangible effects of your efforts, enhancing both your professional growth and our company’s trajectory. Your path will be challenging but rewarding, perfect for those who thrive in fast\-paced environments aiming for high standards.
**Collaboration with exceptional talent**
 Work alongside other bright minds like you: at Eight Sleep exceptional intelligence and a passion for breakthroughs are the norms. Our team members are not only experts in their fields but also avid innovators who thrive in our dynamic, fast\-paced environment.
**Equitable Compensation And Continuous Equity Investment**
 We extend equity participation to every full\-time team member, recognizing and rewarding your direct contributions to our success. This includes periodic equity refreshments based on performance, ensuring that as Eight Sleep grows and succeeds, so do you – perfectly aligning your achievements with the broader triumphs of the company.
**Your Own Pod \- And Other Great Benefits**
 Every Eight Sleep employee receives the very product that defines our mission: a Pod of their own. If you join us you’ll get your own Pod, along with\*:
* Lunch in the office 5 days per week
* Full access to health, vision, and dental insurance for you and your dependents
* Supplemental life insurance
* Flexible PTO
* Commuter benefits to ease your daily commute
* Paid parental leave
* List of benefits may vary depending on your location
 At Eight Sleep we continually celebrate the diverse community different individuals cultivate. As an equal opportunity employer, we stay true to our values by ensuring everyone feels they can flourish and grow. We are committed to equal employment opportunity regardless of race, color, ancestry, religion, sex, national origin, sexual orientation, age, citizenship, marital status, disability, gender identity or Veteran status.
*Please note: This role is open to applicants in the US. Compensation (salary and equity) listed is reflective of candidates based in New York, NY.*</t>
        </is>
      </c>
    </row>
    <row r="5">
      <c r="A5" t="inlineStr">
        <is>
          <t>li-4315501122</t>
        </is>
      </c>
      <c r="B5" t="inlineStr">
        <is>
          <t>Senior Product Manager - Enterprise / Commerce (100% Remote)</t>
        </is>
      </c>
      <c r="C5" t="inlineStr">
        <is>
          <t>Hopper</t>
        </is>
      </c>
      <c r="D5" t="inlineStr">
        <is>
          <t>linkedin</t>
        </is>
      </c>
      <c r="E5" t="inlineStr"/>
      <c r="F5" t="inlineStr"/>
      <c r="G5" t="inlineStr">
        <is>
          <t>Miami, FL</t>
        </is>
      </c>
      <c r="H5" t="inlineStr"/>
      <c r="I5" t="inlineStr">
        <is>
          <t>**About The Job**
 Hopper Technology Solutions is looking for a passionate and scrappy Senior Product Manager with experience building and launching new products in the B2B space.
 Product Managers at Hopper are “smart creatives” that will take Hopper from an innovative startup to being the global leader in the travel industry. As a Product Manager, you will work at the intersection of development, data, and user experience.
 Product Managers for this team must be strong communicators, creative, hands\-on "doers" with a strong bias for action. You'll leverage your data\-driven approach to uncover insights and understand the competitive travel landscape, informing the development of innovative solutions that create a unique, differentiated experience for our users, something no other travel technology has achieved before.
 This is a unique opportunity to shape the future of our B2B space and contribute to a high\-growth environment with the potential for significant impact and pre\-IPO stock options.
**What Would Your Day\-to\-day Look Like**
* Manage a product roadmap for a set of features from inception through implementation and analysis: collect requirements, establish key performance metrics, craft the user experience, drive execution, and report on the impact
* Identify and prioritize the right problems to solve for users, partnering with business leaders to shape and drive business cases for product features.
* Collaborate with cross\-functional teams (developers, designers, data analysts, and business leaders) to bridge the gap between technical complexities, user needs, and desired outcomes. This ensures clarity, drives efficient resolutions, and ultimately leads to a delightful user experience.
* Validate product\-market fit through data\-driven approaches and collaborate closely with data analysts to understand user behavior.
* Pare down an ideal feature to the minimum viable product: identify what's essential for us to know if this is a good idea, what's not, and how can we limit cost and risk?
* Work closely with our B2B partners to develop world\-class solutions
**An ideal candidate has:**
* Have extensive experience in product management, ideally in a B2B/B2B2C setting.
* You have a proven track record of building and launching impactful products from the ground up (zero\-to\-one experience).
* Are data\-driven, with a proven ability to analyze and interpret information to inform decision\-making.
* Are scrappy and resourceful, able to thrive in an environment with limited resources.
* Have a user\-centric approach and a passion for building products that solve real problems.
* Are an excellent communicator with the ability to collaborate effectively with various stakeholders.
* Prioritize effectively, manage roadmaps, and drive execution.
* Are an agile thinker who can pivot quickly and adapt to changing priorities in a fast\-paced environment.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t>
        </is>
      </c>
    </row>
    <row r="6">
      <c r="A6" t="inlineStr">
        <is>
          <t>li-4315502127</t>
        </is>
      </c>
      <c r="B6" t="inlineStr">
        <is>
          <t>Senior Product Manager - Enterprise / Commerce (100% Remote)</t>
        </is>
      </c>
      <c r="C6" t="inlineStr">
        <is>
          <t>Hopper</t>
        </is>
      </c>
      <c r="D6" t="inlineStr">
        <is>
          <t>linkedin</t>
        </is>
      </c>
      <c r="E6" t="inlineStr"/>
      <c r="F6" t="inlineStr"/>
      <c r="G6" t="inlineStr">
        <is>
          <t>Los Angeles, CA</t>
        </is>
      </c>
      <c r="H6" t="inlineStr"/>
      <c r="I6" t="inlineStr">
        <is>
          <t>**About The Job**
 Hopper Technology Solutions is looking for a passionate and scrappy Senior Product Manager with experience building and launching new products in the B2B space.
 Product Managers at Hopper are “smart creatives” that will take Hopper from an innovative startup to being the global leader in the travel industry. As a Product Manager, you will work at the intersection of development, data, and user experience.
 Product Managers for this team must be strong communicators, creative, hands\-on "doers" with a strong bias for action. You'll leverage your data\-driven approach to uncover insights and understand the competitive travel landscape, informing the development of innovative solutions that create a unique, differentiated experience for our users, something no other travel technology has achieved before.
 This is a unique opportunity to shape the future of our B2B space and contribute to a high\-growth environment with the potential for significant impact and pre\-IPO stock options.
**What Would Your Day\-to\-day Look Like**
* Manage a product roadmap for a set of features from inception through implementation and analysis: collect requirements, establish key performance metrics, craft the user experience, drive execution, and report on the impact
* Identify and prioritize the right problems to solve for users, partnering with business leaders to shape and drive business cases for product features.
* Collaborate with cross\-functional teams (developers, designers, data analysts, and business leaders) to bridge the gap between technical complexities, user needs, and desired outcomes. This ensures clarity, drives efficient resolutions, and ultimately leads to a delightful user experience.
* Validate product\-market fit through data\-driven approaches and collaborate closely with data analysts to understand user behavior.
* Pare down an ideal feature to the minimum viable product: identify what's essential for us to know if this is a good idea, what's not, and how can we limit cost and risk?
* Work closely with our B2B partners to develop world\-class solutions
**An ideal candidate has:**
* Have extensive experience in product management, ideally in a B2B/B2B2C setting.
* You have a proven track record of building and launching impactful products from the ground up (zero\-to\-one experience).
* Are data\-driven, with a proven ability to analyze and interpret information to inform decision\-making.
* Are scrappy and resourceful, able to thrive in an environment with limited resources.
* Have a user\-centric approach and a passion for building products that solve real problems.
* Are an excellent communicator with the ability to collaborate effectively with various stakeholders.
* Prioritize effectively, manage roadmaps, and drive execution.
* Are an agile thinker who can pivot quickly and adapt to changing priorities in a fast\-paced environment.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
 Compensation Range: $150K \- $320K</t>
        </is>
      </c>
    </row>
    <row r="7">
      <c r="A7" t="inlineStr">
        <is>
          <t>li-4324960715</t>
        </is>
      </c>
      <c r="B7" t="inlineStr">
        <is>
          <t>Product Manager</t>
        </is>
      </c>
      <c r="C7" t="inlineStr">
        <is>
          <t>Whatnot</t>
        </is>
      </c>
      <c r="D7" t="inlineStr">
        <is>
          <t>linkedin</t>
        </is>
      </c>
      <c r="E7" t="inlineStr"/>
      <c r="F7" t="inlineStr"/>
      <c r="G7" t="inlineStr">
        <is>
          <t>Los Angeles, CA</t>
        </is>
      </c>
      <c r="H7" t="inlineStr"/>
      <c r="I7"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Whatnot is looking for thoughtful, experienced Product Managers to help shape the strategy, vision, and execution of key initiatives across our marketplace ranging from improving selling formats and inventory management to building ads \&amp; promotion tools and scaling our core platform.
 We hire PMs who enjoy working across different parts of the business, collaborating closely with engineers, designers, and operators to solve meaningful problems for our users and community.
 We’re Looking For Someone Who Brings Strong Product Intuition, a Love For Building, And a Drive To Create Simple, Impactful Experiences That Make Whatnot Better Every Day. You Will
* Drive the product roadmap, product strategy and execution for a given problem space, balancing short and long\-term goals.
* Partner cross\-functionally with engineering, design, data science, and operations to bring new features and systems to life.
* Translate complex problems into clear requirements and simple, high\-quality user experiences.
* Establish product metrics and experimentation frameworks to validate performance and user impact.
* Communicate progress, insights, and priorities across teams and stakeholders.
* Help the team stay focused and move efficiently, removing blockers and ensuring alignment.
* Contribute to the growth and evolution of Whatnot’s product culture and processes.
 We offer flexibility to work from home or from one of our global office hubs, and we value in\-person time for planning, problem\-solving, and connection. Team members in this role must live within commuting distance of our San Francisco, Los Angeles, New York City, or Seattle hubs.
****👋 You****
* 8\+ years of product management experience, ideally in fast\-moving consumer or marketplace environments.
* A track record of shipping complex, technical systems or large\-scale consumer products.
* Deep empathy for users and a passion for delivering outstanding user experiences and driving adoption of products.
* Strong analytical skills — comfortable working with data, hypotheses, and experimentation.
* A balance of strategic thinking and hands\-on execution — able to zoom in and out as needed.
* Experience partnering with design and data science; proficiency with SQL is a plus.
****💰Compensation****
 For US\-based applicants: $240,000/year to $275,000/year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$240K \- $275K</t>
        </is>
      </c>
    </row>
    <row r="8">
      <c r="A8" t="inlineStr">
        <is>
          <t>li-4338026308</t>
        </is>
      </c>
      <c r="B8" t="inlineStr">
        <is>
          <t>Product Manager, Consumer Identity and Authentication</t>
        </is>
      </c>
      <c r="C8" t="inlineStr">
        <is>
          <t>Netflix</t>
        </is>
      </c>
      <c r="D8" t="inlineStr">
        <is>
          <t>linkedin</t>
        </is>
      </c>
      <c r="E8" t="inlineStr"/>
      <c r="F8" t="inlineStr"/>
      <c r="G8" t="inlineStr">
        <is>
          <t>Los Gatos, CA</t>
        </is>
      </c>
      <c r="H8" t="inlineStr"/>
      <c r="I8"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Our Commerce Product Team is seeking an experienced Identity Product Manager with a focus on authentication and account security. You will ensure a seamless and secure experience around accessing Netflix via login, sign up, verification, and security measures.
 We aim to set the foundation of best\-in\-class authentication and account security experiences which empowers users while supporting business innovation across TV, web, mobile, and off\-platform experiences. You should be comfortable being hands\-on and leading in a fast\-paced, cross\-functional environment, collaborating with engineering, security, design, legal, data science, and consumer insights teams. You will be expected to build consensus while confidently making decisions amidst ambiguity.
**Location:** 
 This role can be based in our Los Gatos or Los Angeles offices in a hybrid model. We are also open to West Coast based remote employees. Some travel to our Los Gatos offices will be required.
**Key Responsibilities**
* Develop a product strategy that ensures alignment across multiple product teams across Netflix (including core streaming, Games, Tudum, offline experience, etc) by balancing consumer simplicity, business objectives, and account security guardrails.
* Define and execute a roadmap focused on consumer\-facing authentication and security, across platforms (TV, web, apps).
* Drive experimentation\-based approaches to optimize login, authentication methods, reduce account fraud, and enhance user trust.
* Author strategy memos and presentations, representing your team's work to senior executives. This includes defining innovative authentication, security, and access initiatives.
* Collaborate with engineering, security, design, consumer insights, data science teams, and legal to build highly impactful products.
* Use qualitative and quantitative data to continuously iterate and refine the user experience.
**What You Bring**
* 8\+ years of product management experience.
* Proven experience developing consumer products, with a focus on defining user identification through login, verification, and security practices.
* Experience leading products that require balancing consumer, account security, and business trade\-offs.
* Strong familiarity with authentication/security best practices (ex: MFA, SSO, passkeys, next\-generation login/verification methods) and their implications to industry and core business metrics.
* Ability to drive experimentation and leverage data insights to optimize and grow user engagement while balancing security risks.
* Strong business acumen with proficiency in identifying, tracking, and acting upon key metrics.
* Experience leading end\-to\-end product development with a relentless focus on delivering intuitive, seamless, and visually compelling user experiences.
* Exceptional communication skills, with the ability to articulate complex concepts to diverse stakeholders.
 This role offers a unique opportunity to shape the future of Authentication \&amp; Account Security at Netflix, ensuring our products are built with a consumer\-first and security\-first mindset, while supporting business objectives. If you are passionate about building trust\-driven experiences and setting the foundation for authentication innovation, we would love to hear from you!
 Generally, our compensation structure consists solely of an annual salary; we do not have bonuses. You choose each year how much of your compensation you want in salary versus stock options. To determine your personal top\-of\-market compensation, we rely on market indicators and consider your specific job family, background, skills, and experience to determine your compensation in the market range. The range for this role is $240,000 \- $725,000\.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9">
      <c r="A9" t="inlineStr">
        <is>
          <t>li-4315296219</t>
        </is>
      </c>
      <c r="B9" t="inlineStr">
        <is>
          <t>Senior Product Manager - Enterprise / Commerce (100% Remote)</t>
        </is>
      </c>
      <c r="C9" t="inlineStr">
        <is>
          <t>Hopper</t>
        </is>
      </c>
      <c r="D9" t="inlineStr">
        <is>
          <t>linkedin</t>
        </is>
      </c>
      <c r="E9" t="inlineStr"/>
      <c r="F9" t="inlineStr"/>
      <c r="G9" t="inlineStr">
        <is>
          <t>Chicago, IL</t>
        </is>
      </c>
      <c r="H9" t="inlineStr"/>
      <c r="I9" t="inlineStr">
        <is>
          <t>**About The Job**
 Hopper Technology Solutions is looking for a passionate and scrappy Senior Product Manager with experience building and launching new products in the B2B space.
 Product Managers at Hopper are “smart creatives” that will take Hopper from an innovative startup to being the global leader in the travel industry. As a Product Manager, you will work at the intersection of development, data, and user experience.
 Product Managers for this team must be strong communicators, creative, hands\-on "doers" with a strong bias for action. You'll leverage your data\-driven approach to uncover insights and understand the competitive travel landscape, informing the development of innovative solutions that create a unique, differentiated experience for our users, something no other travel technology has achieved before.
 This is a unique opportunity to shape the future of our B2B space and contribute to a high\-growth environment with the potential for significant impact and pre\-IPO stock options.
**What Would Your Day\-to\-day Look Like**
* Manage a product roadmap for a set of features from inception through implementation and analysis: collect requirements, establish key performance metrics, craft the user experience, drive execution, and report on the impact
* Identify and prioritize the right problems to solve for users, partnering with business leaders to shape and drive business cases for product features.
* Collaborate with cross\-functional teams (developers, designers, data analysts, and business leaders) to bridge the gap between technical complexities, user needs, and desired outcomes. This ensures clarity, drives efficient resolutions, and ultimately leads to a delightful user experience.
* Validate product\-market fit through data\-driven approaches and collaborate closely with data analysts to understand user behavior.
* Pare down an ideal feature to the minimum viable product: identify what's essential for us to know if this is a good idea, what's not, and how can we limit cost and risk?
* Work closely with our B2B partners to develop world\-class solutions
**An ideal candidate has:**
* Have extensive experience in product management, ideally in a B2B/B2B2C setting.
* You have a proven track record of building and launching impactful products from the ground up (zero\-to\-one experience).
* Are data\-driven, with a proven ability to analyze and interpret information to inform decision\-making.
* Are scrappy and resourceful, able to thrive in an environment with limited resources.
* Have a user\-centric approach and a passion for building products that solve real problems.
* Are an excellent communicator with the ability to collaborate effectively with various stakeholders.
* Prioritize effectively, manage roadmaps, and drive execution.
* Are an agile thinker who can pivot quickly and adapt to changing priorities in a fast\-paced environment.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
 Compensation Range: $150K \- $320K</t>
        </is>
      </c>
    </row>
    <row r="10">
      <c r="A10" t="inlineStr">
        <is>
          <t>li-4315295264</t>
        </is>
      </c>
      <c r="B10" t="inlineStr">
        <is>
          <t>Senior Product Manager - Enterprise / Commerce (100% Remote)</t>
        </is>
      </c>
      <c r="C10" t="inlineStr">
        <is>
          <t>Hopper</t>
        </is>
      </c>
      <c r="D10" t="inlineStr">
        <is>
          <t>linkedin</t>
        </is>
      </c>
      <c r="E10" t="inlineStr"/>
      <c r="F10" t="inlineStr"/>
      <c r="G10" t="inlineStr">
        <is>
          <t>Austin, TX</t>
        </is>
      </c>
      <c r="H10" t="inlineStr"/>
      <c r="I10" t="inlineStr">
        <is>
          <t>**About The Job**
 Hopper Technology Solutions is looking for a passionate and scrappy Senior Product Manager with experience building and launching new products in the B2B space.
 Product Managers at Hopper are “smart creatives” that will take Hopper from an innovative startup to being the global leader in the travel industry. As a Product Manager, you will work at the intersection of development, data, and user experience.
 Product Managers for this team must be strong communicators, creative, hands\-on "doers" with a strong bias for action. You'll leverage your data\-driven approach to uncover insights and understand the competitive travel landscape, informing the development of innovative solutions that create a unique, differentiated experience for our users, something no other travel technology has achieved before.
 This is a unique opportunity to shape the future of our B2B space and contribute to a high\-growth environment with the potential for significant impact and pre\-IPO stock options.
**What Would Your Day\-to\-day Look Like**
* Manage a product roadmap for a set of features from inception through implementation and analysis: collect requirements, establish key performance metrics, craft the user experience, drive execution, and report on the impact
* Identify and prioritize the right problems to solve for users, partnering with business leaders to shape and drive business cases for product features.
* Collaborate with cross\-functional teams (developers, designers, data analysts, and business leaders) to bridge the gap between technical complexities, user needs, and desired outcomes. This ensures clarity, drives efficient resolutions, and ultimately leads to a delightful user experience.
* Validate product\-market fit through data\-driven approaches and collaborate closely with data analysts to understand user behavior.
* Pare down an ideal feature to the minimum viable product: identify what's essential for us to know if this is a good idea, what's not, and how can we limit cost and risk?
* Work closely with our B2B partners to develop world\-class solutions
**An ideal candidate has:**
* Have extensive experience in product management, ideally in a B2B/B2B2C setting.
* You have a proven track record of building and launching impactful products from the ground up (zero\-to\-one experience).
* Are data\-driven, with a proven ability to analyze and interpret information to inform decision\-making.
* Are scrappy and resourceful, able to thrive in an environment with limited resources.
* Have a user\-centric approach and a passion for building products that solve real problems.
* Are an excellent communicator with the ability to collaborate effectively with various stakeholders.
* Prioritize effectively, manage roadmaps, and drive execution.
* Are an agile thinker who can pivot quickly and adapt to changing priorities in a fast\-paced environment.
**Perks And Benefits Of Working With Us**
* Well\-funded and proven startup with large ambitions, competitive salary and the upsides of pre\-IPO equity packages.
* Unlimited PTO.
* Carrot Cash travel stipend.
* Access to co\-working space on demand through FlexDesk AND Work\-from\-home stipend.
* Please ask us about our very generous parental leave, much above industry standards!.
* Entrepreneurial culture where pushing limits and taking risks is everyday business.
* Open communication with management and company leadership.
* Small, dynamic teams \= massive impact.
* 100% employer paid Medical, Dental and Vision coverage for employees.
* Access to Disability \&amp; Life insurance.
* Health Reimbursement Account (HRA).
* DCA/ FSA and access to 401k plan.
**More About Hopper**
 At Hopper, we are on a mission to become the leading travel platform globally – powering Hopper’s mobile app, website and our B2B business, HTS (Hopper Technology Solutions). By leveraging massive amounts of data and advanced machine learning algorithms, Hopper combines its world\-class travel agency offering with proprietary fintech products to bring transparency, flexibility and savings to travelers globally. We have developed several unique fintech solutions that address everything from pricing volatility to trip disruptions – helping people travel better and save more on their trips.
 The Hopper platform serves hundreds of millions of travelers globally and continues to capture market share around the world. he Hopper app has been downloaded over 120 million times and has become largely popular among younger travelers – with 70% of its users being Gen Z and millennials.
 While everyone knows us as the Gen Z and Millennial travel app, Hopper has evolved to become much more than that. In recent years, we’ve grown into a travel fintech provider, commerce platform, and global travel agency that powers some of the world’s largest brands.
 Through HTS, our B2B division, the company supercharges its partners’ direct channels by integrating our fintech products on their sites or powering end\-to\-end travel portals. Today, our partners include leading travel brands like Capital One, Nubank, Air Canada, and many more.
 Here are just a few stats that demonstrate the company’s recent growth:
 Billions of dollars worth of travel and travel fintech are sold through Hopper and HTS’ channels every year.
 Our fintech products – including Cancel for Any Reason and Flight Disruption Assistance – have exceptionally strong CSAT because the terms are always clear, and customers receive instant, no\-questions\-asked resolutions.
 Almost 30% of our app customers purchase at least one fintech product when making a booking; and consumers are 1\.6x more likely to repurchase if they add fintech to their booking vs if they booked just travel.
 Given the success of its fintech products, Hopper launched a B2B initiative, HTS (Hopper Technology Solutions), which represents more than 75% of the business.
 Through HTS, any travel provider (airlines, hotels, banks, travel agencies, etc.) can integrate and seamlessly distribute Hopper’s fintech or travel inventory on their direct channels. As its first HTS partnership, the company partnered with Capital One to co\-develop Capital One Travel, a new travel portal designed specifically for cardholders. Other HTS partners include Air Canada, Uber, CommBank, Nubank, Flair Airlines and many more.
 Hopper has been named the \#1 most innovative company in travel by Fast Company Hopper has been downloaded over 120 million times and continues to have millions of new installs each month. Hopper is now the \#3 largest online travel agencies in North America and 70% of our app customers are Gen\-Z and millennials travelers.
 Hopper has raised over $750 million USD of private capital and is backed by some of the largest institutional investors and banks in the world. HTS is primed to continue its growth as the leading travel ecommerce provider in a $1 trillion online shopping category. The Hopper app and website will also continue to be the preferred travel provider for Gen Z and Millennials..
 Come take off with us!</t>
        </is>
      </c>
    </row>
    <row r="11">
      <c r="A11" t="inlineStr">
        <is>
          <t>li-4352520965</t>
        </is>
      </c>
      <c r="B11" t="inlineStr">
        <is>
          <t>Product Manager (SaaS)</t>
        </is>
      </c>
      <c r="C11" t="inlineStr">
        <is>
          <t>LodgeLink</t>
        </is>
      </c>
      <c r="D11" t="inlineStr">
        <is>
          <t>linkedin</t>
        </is>
      </c>
      <c r="E11" t="inlineStr"/>
      <c r="F11" t="inlineStr"/>
      <c r="G11" t="inlineStr">
        <is>
          <t>Arizona, United States</t>
        </is>
      </c>
      <c r="H11" t="inlineStr"/>
      <c r="I11" t="inlineStr">
        <is>
          <t>Product Manager
 Scottsdale, AZ
**About The Role**
 We’re seeking a driven Product Manager to lead the development and optimization of features that enhance the experience for our users and internal stakeholders. You’ll collaborate closely with cross\-functional teams to define the product roadmap, translate customer needs into solutions, and ensure our platform evolves to meet the demands of a growing market.
 The ideal candidate will have strong analytical thinking abilities, as well as excellent communication and relationship\-building skills, being able to work across multiple teams to synthesize information and determine requirements. They will have 5\+ years of experience in product management within a B2B SaaS or technology\-driven environment.
 Duties \&amp; Responsibilities:
 Product Strategy \&amp; Technical Vision
* Define and articulate a clear product vision that aligns with company goals and user needs.
* Use data, research, and market insights to identify opportunities and prioritize initiatives.
* Develop and maintain a product roadmap that communicates priorities and progress to stakeholders.
 Stakeholder Collaboration
* Collaborate with Business Analysts, Associate Product Managers, Engineering, QA, and Design teams to prioritize and deliver high\-quality features.
* Communicate product plans, progress, and results to internal and external stakeholders.
* Partner with Sales, Marketing, and Customer Support to enable successful product launches.
 Execution \&amp; Delivery
* Define clear, actionable requirements for new features and improvements through user stories, requirements and acceptance criteria.
* Manage product development from ideation to release, ensuring timely delivery of high\-impact initiatives.
* Monitor and analyze product performance post\-launch, using data to iterate and improve.
 Customer Focus
* Act as the voice of the customer by deeply understanding their needs and advocating for solutions.
* Build relationships with users and gather insights to inform product direction
 Qualifications:
* 5 years of experience in product management, ideally in a B2B SaaS or technology\-driven environment.
* Bachelor’s degree in a relevant field; MBA or equivalent experience is a plus.
* Strong understanding of Agile methodologies and experience working with engineering teams.
* Proven ability to define and deliver successful digital products or features.
* Excellent problem\-solving skills, with a user\-centric approach to product development.
* Familiarity with tools such as Jira, Confluence, Figma, or similar.
* Strong analytical skills, with the ability to interpret data and turn insights into action.
* Exceptional communication and collaboration skills, capable of influencing cross\-functional teams.
 Nice to Have
* Experience in B2B, logistics, or workforce solutions industries.
* Knowledge of workforce travel or accommodation management challenges.
* Experience working with geographically distributed teams.
**About LodgeLink**
 LodgeLink, a Black Diamond Group company headquartered in Calgary, Alberta, Canada is more than just a digital marketplace and ecosystem for crew travel; we’re a caring tech company on a mission to transform workforce travel. Our digital platform is the key to unlocking seamless solutions for finding, booking, and managing crew travel and accommodation needs. Powered by a growing network of hotel and lodge partners, we address the unique challenges of crew travel, applying technology to streamline the entire process from booking to management, payments, and cost reporting. At LodgeLink, we're not just saving our customers time and money; we're changing the future of workforce (crew) travel – for the better.
 United by our vision to be THE ecosystem for workforce travel, our values reflect our commitment to collaboration, agility, dependability, inventiveness, and audacity. As a diverse and inclusive team, we come together, sharing ideas, building disruptive technology, and tackling complex problems. Our relentless pursuit to deliver value and superior customer experiences is inspired by a collective passion to ‘Create A Better Way’ for all.
 At LodgeLink, we're seeking exceptional team players with an entrepreneurial spirit to contribute to our rapid growth. If you crave a career, not just a job, we could be the perfect fit.
 LodgeLink Total Rewards \| Caring for our team is a priority, and we’re pleased to provide these benefits:
* Building a diverse and inclusive team, supporting career growth and development.
* Competitive base salaries.
* Share Appreciation Rights program for salaried employees.
* Paid vacation days and sick days.
* An employee charitable donation program.
* Hotel and travel discounts.
* Comprehensive options for benefits, with cost\-sharing between the company and the employee. 401K Matching program.
 LodgeLink is a Black Diamond Group company. Learn more: www.lodgelink.com
 Black Diamond Group is a publicly traded company with 20 years of experience in modular space and workforce solutions, and operations across Canada, the United States, and Australia. Learn more: www.blackdiamondgroup.com
 We are an Equal Opportunity Employer
 Black Diamond Group is committed to diversity, equal opportunity and ensuring that our employees can thrive in an inclusive environment. We are pleased to consider all qualified applicants for employment without regard to race, color, religion, sex, sexual orientation, gender identity or expression, marital status, family status, veteran status, Indigenous status, national origin, age, disability, or any other legally protected factors. Accommodation for applicants with disabilities is available upon request during the recruitment process.
 Company: LodgeLink
 \#INHP</t>
        </is>
      </c>
    </row>
    <row r="12">
      <c r="A12" t="inlineStr">
        <is>
          <t>li-4345394272</t>
        </is>
      </c>
      <c r="B12" t="inlineStr">
        <is>
          <t>Senior Product Manager I</t>
        </is>
      </c>
      <c r="C12" t="inlineStr">
        <is>
          <t>The Walt Disney Company</t>
        </is>
      </c>
      <c r="D12" t="inlineStr">
        <is>
          <t>linkedin</t>
        </is>
      </c>
      <c r="E12" t="inlineStr"/>
      <c r="F12" t="inlineStr"/>
      <c r="G12" t="inlineStr">
        <is>
          <t>New York, NY</t>
        </is>
      </c>
      <c r="H12" t="inlineStr"/>
      <c r="I12" t="inlineStr">
        <is>
          <t>**Job Summary**
 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**Building the future of Disney’s media:** 
 Our Technologists are designing and building the products and platforms that will power our media, advertising, and distribution businesses for years to come.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**Innovation:** 
 We develop and implement groundbreaking products and techniques that shape industry norms, and solve complex and distinctive technical problems.
 Commerce, Data \&amp; Identity provides the core product management functions for areas crucial to Disney’s media businesses. These include initiatives and products that power digital commerce, identity, and growth, as well as those that reach uniquely across The Walt Disney Company enterprise, such as messaging and privacy, among others. Additionally, it is responsible for the data engineering, science, and products for Disney Entertainment \&amp; ESPN, along with their interconnection with other parts of The Walt Disney Company.
 The ideal candidate is a strategic thinker with a proven track record of building scalable, high\-performing platforms. You will combine deep technical understanding with a rigorous, metrics\-driven approach to product development, identifying opportunities for innovation, optimizing agent workflows, and ensuring our tooling is robust, efficient, and dynamic enough to adapt to diverse customer needs. We value passionate product leadership that drives with discipline and attention to detail.
**Responsibilities**
* Experience driving cross\-functional initiatives from ideation and requirements gathering to launch and post\-launch optimization.
* Collaborate extensively with various internal stakeholders to deeply understand their workflows, pain points, and ever\-evolving tooling needs
* Translate complex business problems and user needs into clear and concise product requirements, user stories, and acceptance criteria.
* Drive product decisions through a strong analytical and data\-driven approach, defining key performance indicators (KPIs) for customer support tooling, monitoring performance, and iterating based on quantitative and qualitative insights.
* Proactively identify technical opportunities and challenges, working closely with engineering teams to architect scalable solutions and ensure the technical health and reliability of our commerce tooling.
* Champion operational efficiency within the customer support tooling ecosystem, seeking out opportunities for simplification and automation.
* Act as a subject matter expert for customer support tooling and core commerce processes, providing guidance and thought leadership across the organization.
**Basic Qualifications**
* Bachelor’s degree
* 5\+ years of product management experience, with experience in either B2B tools, internal tooling platforms, or large\-scale operational tools.
* Demonstrated experience defining and executing product roadmaps that have led to significant business impact and improved user experience.
* Proven ability to manage cross\-functional teams, including engineering and design, operations, analytics, and legal \&amp; compliance.
* Strong technical aptitude with the ability to engage in engineering discussions and make informed technical trade\-offs.
* Strong analytical skills with a track record of using data, metrics, and various testing approaches to drive product decisions and measure success.
* Strong written and verbal communication skills, capable of communicating effectively across a wide range of audiences.
* Ability to thrive in a dynamic, fast\-paced environment, with a proven ability to manage multiple priorities and adapt to change.
* Strong proficiency with agile development methodologies and product management tools (e.g., Jira).
**Preferred Qualifications**
* Experience with customer service platforms, CRM systems, or agent\-facing tools in a high\-volume environment.
* Background in subscription\-based businesses or digital streaming services.
* Experience with global platforms and understanding of international market nuances.
* Proven track record of leveraging AI/ML technologies, such as natural language processing, GenAI, and/or predictive analytics to design and deliver customer service solutions that enhance the user experience, reduce resolution times, and agent productivity.
 Additional Information
 \#DISNEYTECH
 \#CDI
 The hiring range for this position in New York City, NY is $148,700 to $199,400\. Santa Monica, CA is $141,900\-$190,300 per year, and San Francisco, CA is $155,400 \- $208,400\.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13">
      <c r="A13" t="inlineStr">
        <is>
          <t>li-4352660944</t>
        </is>
      </c>
      <c r="B13" t="inlineStr">
        <is>
          <t>Product Manager, Mobile Applications</t>
        </is>
      </c>
      <c r="C13" t="inlineStr">
        <is>
          <t>LodgeLink</t>
        </is>
      </c>
      <c r="D13" t="inlineStr">
        <is>
          <t>linkedin</t>
        </is>
      </c>
      <c r="E13" t="inlineStr"/>
      <c r="F13" t="inlineStr"/>
      <c r="G13" t="inlineStr">
        <is>
          <t>Scottsdale, AZ</t>
        </is>
      </c>
      <c r="H13" t="inlineStr"/>
      <c r="I13" t="inlineStr">
        <is>
          <t>**Scottsdale, AZ**
**About The Role**
 We’re seeking a driven Product Manager with strong experience in consumer\-facing Mobile applications (iOS \&amp; Android) to lead the development and optimization of the end\-to\-end experience for customers and travelers. You’ll collaborate closely with cross\-functional teams to define the product roadmap, translate customer needs into solutions, define success metrics, and ensure our platform evolves to meet the demands of a growing market.
 The ideal candidate will have strong analytical thinking abilities, as well as excellent communication and relationship\-building skills, being able to work across multiple teams to synthesize information and determine requirements. They will have 5\+ years of experience in product management, with strong mobile application experience, and a desire to collaborate with other product managers on platform (SaaS) solutions.
 This role is hybrid \- in\-office with 20% flexibility to work from home.
**Duties \&amp; Responsibilities:**
**Product Strategy \&amp; Technical Vision**
* Define and articulate a clear product strategy that aligns with company goals and customer needs that defines the future of our mobile experiences
* Use data, research, and market insights to identify opportunities and prioritize initiatives.
* Develop and maintain a product roadmap that communicates priorities and progress to stakeholders.
**Stakeholder Collaboration**
* Collaborate with Product Management, Engineering, QA, and Design teams to prioritize and deliver high\-quality features.
* Communicate product plans, progress, and results to internal and external stakeholders.
* Partner with Sales, Marketing, and Customer Success to enable successful product launches.
**Execution \&amp; Delivery**
* Define clear, actionable requirements for new features and improvements through user stories, requirements and acceptance criteria.
* Manage product development from ideation to release, ensuring timely delivery of high\-impact initiatives.
* Monitor and analyze product performance post\-launch, using data to iterate and improve.
**Customer Focus**
* Act as the voice of the customer by deeply understanding their needs and advocating for solutions.
* Build relationships with users and gather insights to inform product direction
**Qualifications:**
* 5 years of experience in product management with a focus on Mobile App development
* Bachelor’s degree in a relevant field;
* Strong understanding of Agile methodologies and experience working with engineering teams.
* Proven ability to define and deliver successful digital products or features.
* Excellent problem\-solving skills, with a user\-centric approach to product development.
* Familiarity with tools such as Jira, Confluence, Figma, or similar.
* Strong analytical skills, with the ability to interpret data and turn insights into action.
* Exceptional communication and collaboration skills, capable of influencing cross\-functional teams.
**Nice to Have**
* MBA or equivalent experience
* Experience in travel, logistics, or workforce solutions industries.
* Knowledge of travel or accommodation management challenges.
* Experience working with geographically distributed teams.
**About LodgeLink**
 LodgeLink, a Black Diamond Group company headquartered in Calgary, Alberta, Canada is more than just a digital marketplace and ecosystem for crew travel; we’re a caring tech company on a mission to transform workforce travel. Our digital platform is the key to unlocking seamless solutions for finding, booking, and managing crew travel and accommodation needs. Powered by a growing network of hotel and lodge partners, we address the unique challenges of crew travel, applying technology to streamline the entire process from booking to management, payments, and cost reporting. At LodgeLink, we're not just saving our customers time and money; we're changing the future of workforce (crew) travel – for the better.
 United by our vision to be THE ecosystem for workforce travel, our values reflect our commitment to collaboration, agility, dependability, inventiveness, and audacity. As a diverse and inclusive team, we come together, sharing ideas, building disruptive technology, and tackling complex problems. Our relentless pursuit to deliver value and superior customer experiences is inspired by a collective passion to ‘Create A Better Way’ for all.
 At LodgeLink, we're seeking exceptional team players with an entrepreneurial spirit to contribute to our rapid growth. If you crave a career, not just a job, we could be the perfect fit.
 LodgeLink Total Rewards \| Caring for our team is a priority, and we’re pleased to provide these benefits:
* Building a diverse and inclusive team, supporting career growth and development.
* Competitive base salaries.
* Share Appreciation Rights program for salaried employees.
* Paid vacation days and sick days.
* An employee charitable donation program.
* Hotel and travel discounts.
* Comprehensive options for benefits, with cost\-sharing between the company and the employee. 401K Matching program.
 LodgeLink is a Black Diamond Group company. Learn more: www.lodgelink.com
 Black Diamond Group is a publicly traded company with 20 years of experience in modular space and workforce solutions, and operations across Canada, the United States, and Australia. Learn more: www.blackdiamondgroup.com
 We are an Equal Opportunity Employer
 Black Diamond Group is committed to diversity, equal opportunity and ensuring that our employees can thrive in an inclusive environment. We are pleased to consider all qualified applicants for employment without regard to race, color, religion, sex, sexual orientation, gender identity or expression, marital status, family status, veteran status, Indigenous status, national origin, age, disability, or any other legally protected factors. Accommodation for applicants with disabilities is available upon request during the recruitment process.
 Company: LodgeLink
 \#INHP</t>
        </is>
      </c>
    </row>
    <row r="14">
      <c r="A14" t="inlineStr">
        <is>
          <t>li-4351834346</t>
        </is>
      </c>
      <c r="B14" t="inlineStr">
        <is>
          <t>Associate Product Manager</t>
        </is>
      </c>
      <c r="C14" t="inlineStr">
        <is>
          <t>Haystack</t>
        </is>
      </c>
      <c r="D14" t="inlineStr">
        <is>
          <t>linkedin</t>
        </is>
      </c>
      <c r="E14" t="inlineStr"/>
      <c r="F14" t="inlineStr"/>
      <c r="G14" t="inlineStr"/>
      <c r="H14" t="inlineStr"/>
      <c r="I14" t="inlineStr">
        <is>
          <t>**Associate Product Manager \| Kenosha \| Remote\-Friendly** 
 We're working with Uline on this exciting opportunity.
 Take charge of your own product line and drive its growth at Uline! This is a fantastic opportunity to become a product expert, innovate with new offerings, and make a tangible impact at a leading distributor with over 45 years of success. If you're passionate about products and possess strong analytical and communication skills, this role is for you.
**The Role** 
 • Become a product expert, researching and sourcing new products from a global vendor base.
 • Drive product recommendations based on competitor analysis, customer feedback, and market trends.
 • Lead negotiations and collaborate with cross\-functional teams including Purchasing, Creative, and Quality Control.
 • Strategize on catalog placement and develop creative methods to enhance profitability and product quality.
 • Mentor and train Marketing Associates, fostering a collaborative and growth\-oriented environment.
**What You'll Need** 
 • Bachelor's degree and 2\-5 years of experience in Product Management, Supply Chain, or Marketing.
 • Proficiency in Microsoft Office, with advanced skills in Microsoft Excel for data analysis.
 • Demonstrated persuasive communication, both written and verbal, for effective vendor and team engagement.
 • Highly organized with a relentless attention to detail, ensuring product excellence and efficiency.
**What's On Offer** 
 • Comprehensive health insurance coverage and a 401(k) with a 6% employer match from day one.
 • Multiple bonus programs and generous paid time off to support your work\-life balance.
 • Tuition Assistance Program for continuous professional development and career advancement.
 • Access to an on\-site café, first\-class fitness center with complimentary personal trainers, and beautiful walking trails.
**Apply via Haystack today!**</t>
        </is>
      </c>
    </row>
    <row r="15">
      <c r="A15" t="inlineStr">
        <is>
          <t>li-4360635025</t>
        </is>
      </c>
      <c r="B15" t="inlineStr">
        <is>
          <t>AI Product Manager, Customer Implementations (Remote - SF)</t>
        </is>
      </c>
      <c r="C15" t="inlineStr">
        <is>
          <t>Hello Patient</t>
        </is>
      </c>
      <c r="D15" t="inlineStr">
        <is>
          <t>linkedin</t>
        </is>
      </c>
      <c r="E15" t="inlineStr"/>
      <c r="F15" t="inlineStr"/>
      <c r="G15" t="inlineStr">
        <is>
          <t>San Francisco, CA</t>
        </is>
      </c>
      <c r="H15" t="inlineStr"/>
      <c r="I15" t="inlineStr">
        <is>
          <t>**About The Role**
 Hello Patient is hiring a technical, high\-agency Product Manager to own the end\-to\-end delivery of AI agents in real customer environments.
 We build AI\-powered voice, sms, and chat agents that integrate deeply into how healthcare practices actually operate. Every new customer deployment is a product launch—new workflows, new edge cases, new integration requirements, new ways the agent needs to behave in the real world. This role exists to own that launch from scoping through go\-live.
**How we build agents:** 
 Our Conversational Designers are the builders. They craft agent behavior, gather requirements directly from customers, design conversation flows, and ship working agents—much like engineers ship code. This PM role doesn't build agents. It owns everything else that needs to happen for a launch to succeed: scoping net\-new integrations, managing cross\-functional dependencies, driving timeline and scope decisions, coordinating across teams, and ensuring the full deployment lands successfully.
 You'll work alongside Conversational Designers and Customer Engineers as peers, owning the work around the edges while they own the core build. Your job is to make sure all the pieces come together and to turn unknown territory into repeatable playbooks.
 What You'll Do
 Own launches, not projects
* Lead end\-to\-end delivery of net\-new AI agent deployments for customers
* Treat every deployment as a product launch: define scope, manage tradeoffs, hit timelines, ensure quality
* Own the 'what are we actually shipping and why' question, and make sure the answer is clear to everyone involved
 Drive zero\-to\-one execution
* Lead deployments for new workflows, integrations, and verticals where no playbook exists yet
* Own the work around the edges: net\-new integration requirements, unknown product surface area, cross\-functional dependencies, scope decisions, and launch coordination
* Identify unknowns early, de\-risk them, and make tradeoff decisions to maintain velocity
 Work alongside Conversational Design and Customer Engineering
* Conversational Designers build the agent—they gather requirements from customers, design conversation flows, and ship agent behavior. You don't direct this work; you work alongside it.
* You own everything else: integration scoping with Customer Engineering, cross\-team coordination, timeline management, stakeholder communication, and unblocking whatever's in the way
* When integrations require net\-new engineering work, you own requirements and prioritization with the engineering team
 Build toward repeatability
* Identify patterns across launches and codify them into playbooks
* Know when a workflow or integration is ready to transition from zero\-to\-one ownership to steady\-state implementation
* Hand off proven patterns to implementation teams and move on to the next net\-new challenge
 What We're Looking For
**Must Have**
* 3\+ years in Product Management or a closely related role (e.g., technical program management at a product\-led company, founder/early employee wearing the PM hat)
* Strong technical product background—comfortable with APIs, integrations, and understanding how systems connect
* Experience shipping in ambiguous, fast\-moving environments where the playbook doesn't exist yet
* Proven ability to work across functions through influence, not authority
* Bias toward ownership and action—you'd rather make a call and course\-correct than wait for clarity
**Nice To Have**
* Experience with AI\-native products, agents, LLMs, or automation platforms
* Background in healthcare, revenue cycle, or other legacy\-system\-heavy industries
* Founder, co\-founder, or early startup experience
* Familiarity with voice AI or real\-time orchestration systems
**Compensation**
**Base salary:** 
 $140K–$180K
**Equity:** 
 Meaningful ownership in a fast\-growing healthtech startup
**About Hello Patient**
 Hello Patient is transforming healthcare communication through advanced conversational AI. Our founding team spent 3\.5 years scaling Carbon Health's technology during hypergrowth, where we saw firsthand how much clinical time gets wasted on basic communication, leading to great providers buried in admin work, patients stuck in phone tag.
 Our AI platform proactively engages patients through perfectly timed calls and texts, resolving complex interactions end\-to\-end—from scheduling to billing to retention. Built with security and compliance at its core, our technology integrates with existing healthcare infrastructure to deliver 24/7 patient engagement.
 Backed by Scale and 8VC, we're building the future of healthcare communication, one conversation at a time.</t>
        </is>
      </c>
    </row>
    <row r="16">
      <c r="A16" t="inlineStr">
        <is>
          <t>li-4331317589</t>
        </is>
      </c>
      <c r="B16" t="inlineStr">
        <is>
          <t>Senior Technical Product Manager</t>
        </is>
      </c>
      <c r="C16" t="inlineStr">
        <is>
          <t>OpenMined</t>
        </is>
      </c>
      <c r="D16" t="inlineStr">
        <is>
          <t>linkedin</t>
        </is>
      </c>
      <c r="E16" t="inlineStr"/>
      <c r="F16" t="inlineStr"/>
      <c r="G16" t="inlineStr"/>
      <c r="H16" t="inlineStr"/>
      <c r="I16" t="inlineStr">
        <is>
          <t>We're looking for a Senior Technical Product Manager to join OpenMined, a nonprofit on a mission to connect the world's non\-public, siloed data into a shared network \- unlocking 1,000,000× more knowledge across every scientific field and industry, while ensuring it is offered to the world as a part of an open, public information network.
 If the world moves toward a future where private data can be shared responsibly instead of locked inside corporate silos, it will be partly because of the strategy you helped shape \- one that empowers engineers, researchers, and institutions to collaborate without giving up control. The products and systems you help build will play a defining role in enabling this once\-in\-a\-generation technological shift and fueling a new wave of innovation.
 You'll be joining a small, highly technical, early\-stage team working before product\-market fit \- where every decision matters and nothing is fully defined. You'll lead the exhilarating process of discovery and iteration that turns cutting\-edge privacy and AI research into products that data owners and data scientists actually love to use. You'll work side by side with a deeply skilled, mission\-driven group of engineers and researchers, diving deep into code when needed, defining what success looks like, and driving momentum through uncertainty.
 If you're the kind of person who gets energized by impossible\-sounding problems, thrives when the path isn't clear, and wants to leave a mark on how the world shares knowledge \- this is the place to do it. Bring your grit, your curiosity, and your taste for impact. Let's build the future of data together.
**Who You Are**
 You're a builder at heart \- someone who doesn't wait for clarity but creates it. You've probably worked in messy, early\-stage environments where direction was fuzzy, timelines were tight, and outcomes depended on your ability to turn chaos into momentum. You love digging into complex technical problems, understanding them deeply, and translating them into products that actually work for real users.
 You don't need a big team or a perfect roadmap to make progress \- just a mission that matters and smart people to build with. You're equally comfortable brainstorming a product vision, debugging a workflow, or jumping into a user call to understand what's not clicking.
 Most of all, you're motivated by purpose. You want to use your skills to build something that makes the world more open, fair, and capable of solving its hardest problems.
**Responsibilities**
* Drive discovery, experimentation, and delivery to take Syft from concept to product\-market fit serving passionate users
* Conduct user research and go\-to\-market experiments to uncover workflows, pain points, and incentives that guide product direction
* Collaborate closely with engineers and researchers to define, build, and iterate on deeply technical products that unlock new ways to collaborate on private data
* Translate complex systems \- privacy\-preserving computations, federated architectures, LLM connectors, and more \- into intuitive user experiences
* Immerse yourself in the evolving landscape of privacy, AI, and data collaboration to anticipate shifts in technology, incentives, and regulation
* Roll up your sleeves when speed matters \- prototype flows, fix bugs or even code alongside the team to accelerate learning
* Identify the signals that matter \- from activation to retention to mission alignment \- and use them to guide iteration
* Communicate priorities with clarity, aligning a distributed team on near\-term execution and long\-term mission
* Champion the voice of our users so our most technical work stays grounded in real human problems
* Engage with policy and standards communities to ensure privacy\-preserving technologies are adopted responsibly
* Cultivate strategic partnerships with organizations whose data, expertise, or reach can accelerate our mission
**Requirements**
* 3\+ years of product management experience \- building or scaling technical products \- ideally in environments without a clear playbook
* Strong technical foundation with proven experience coding and collaborating closely with engineers to ship complex software. Able to reason about distributed systems, privacy technologies, and AI
* Ability to bridge research and implementation \- turning technical possibilities into practical product directions, with a deep curiosity about emerging technologies (i.e. secure computation, RAG, mixture of experts)
* Comfort in the unknown \- thrive in ambiguity, create structure, and bring clarity where others see complexity
* Hands\-on with code and tooling \- able to read PRs, debug, or prototype ideas to help the team move faster
* Exceptional communicator \- clear in writing and speech, able to align distributed teams and build trust across engineers, researchers, policymakers, and partners
* Ability to build trusted relationships across diverse stakeholder groups, i.e. researchers, engineers, policymakers, and partners
* Mission\-driven mindset \- you care deeply about how technology shapes society, and you're excited by OpenMined's goal of unlocking the world's non\-public information
**Nice\-to\-Haves**
* Prior experience in early\-stage or research\-to\-product environments
* Experience as a data scientist or building for data scientists (including experience using Colab and Jupyter)
* Contributions to open\-source projects or standards efforts
* Exposure/curiosity about public policy, privacy, or technology governance
* Entrepreneurial or founder\-like experience \- especially where you had to build both product and ecosystem from scratch
**Benefits**
* Mission\-Driven Work: Be part of a 501(c)(3\) nonprofit organization focused on social impact rather than profit, working toward a safer, more privacy\-preserving AI ecosystem
* Open Source Contribution: Make a real impact by contributing to tools that empower global collaboration
* Collaborative Global Team: Join a small, ambitious, and international team that values clarity, candor, and creativity
* Flexible Work Hours: Structure your work around what best fits your life and productivity
* Fully Remote: Work from anywhere \- no commute, no office politics
* Results\-Driven Culture: We value autonomy, accountability, and results over bureaucracy
* Flexible Paid Time Off: Take time as you need it
* Competitive Compensation: Receive fair and transparent pay, equitable across regions</t>
        </is>
      </c>
    </row>
    <row r="17">
      <c r="A17" t="inlineStr">
        <is>
          <t>li-4359936731</t>
        </is>
      </c>
      <c r="B17" t="inlineStr">
        <is>
          <t>Product Manager</t>
        </is>
      </c>
      <c r="C17" t="inlineStr">
        <is>
          <t>Swooped</t>
        </is>
      </c>
      <c r="D17" t="inlineStr">
        <is>
          <t>linkedin</t>
        </is>
      </c>
      <c r="E17" t="inlineStr"/>
      <c r="F17" t="inlineStr"/>
      <c r="G17" t="inlineStr"/>
      <c r="H17" t="inlineStr"/>
      <c r="I17" t="inlineStr">
        <is>
          <t>**About Our Client** 
 Our client is the leading food ordering platform built for companies to feed their employees. Its platform allows employees to place meal orders with their favorite restaurants while helping to combat food insecurity in local communities. Every meal ordered on the platform results in a meal donation through local partners, and to date, over 15 million meals have been donated.
 Being well fed is an essential ingredient for employee wellbeing, team performance, and company culture. Join the team and help bring do\-good, feel\-good eating to the world.
**About The Role** 
 As a
 **Product Manager** 
 , you will own the strategy and roadmap for a specific product area, transforming business goals into delivered value that enhances and redefines the corporate food space. You will translate customer needs and market opportunities into clear product requirements, prioritized backlogs, and measurable outcomes that drive adoption, retention, and business growth.
 You will partner closely with Engineering, Design, Growth, and Data teams to ship high\-impact features quickly, balance competing priorities, and raise the bar for product excellence across the organization. This role blends product strategy and ownership with hands\-on execution \- leading discovery, defining requirements, and representing Product leadership at the squad level to build products that move the business forward.
**Key Responsibilities** 
* Own strategy and roadmap for your product area by identifying and defining problems, prioritizing solutions, and driving measurable business outcomes from discovery through delivery and iteration.
* Translate business objectives and customer pain points into clear problem statements, hypotheses, prioritized opportunities, and success metrics.
* Plan and lead discovery through user interviews, data analysis, competitive research, and market insights. Synthesize findings into user stories and actionable product scope.
* Help balance out short\-term wins with long\-term vision, while clearly communicating trade\-offs and aligning stakeholders expectations.
* Write detailed product specs, user stories, and acceptance criteria with edge cases, business logic, data requirements, and success metrics to guide engineering implementation.
* Lead sprint planning, backlog refinement, and release planning for your product areas, and make real\-time prioritization decisions that balance scope, quality, and velocity.
* Partner closely with Engineering, Design and other stakeholders throughout the software development life cycle to validate implementation and ensure delivery meets requirements.
* Define go\-to\-market strategies with Growth, Marketing, and Customer Success.
* Plan rollouts, measure adoption, and iterate based on user feedback and performance data.
* Monitor product performance post\-launch through analytics dashboards, user feedback, and OKRs, and identify opportunities for optimization.
* Lead cross\-functional squad meetings with clear agendas and outcomes. Help in representing Product perspective in company\-wide planning and strategic initiatives.
* Operate with ownership and urgency by balancing out speed with rigor, advocate for users while driving business results, and consistently deliver outcomes that move the company and mission forward.
**Required Qualifications** 
* 4–7\+ years of product management experience shipping B2B SaaS, marketplace, or platform products at scale, including ownership of a core product area with measurable business impact.
* Strong product strategy skills with ability to build multi\-quarter roadmaps, prioritize ruthlessly based on data and customer insights, and articulate compelling product vision to diverse stakeholders.
* Comfortable conducting user interviews, analyzing behavioral data, running experiments, and synthesizing insights into clear product requirements and opportunity assessments.
* Deep collaboration with Engineering, Design and key stakeholders from discovery through delivery, making clear and pragmatic decisions on scope, trade\-offs, and technical constraints with strong technical fluency.
* Proficient in defining KPIs, collaborating on instrumentation and analytics, interpreting A/B test results, and iterating based on quantitative and qualitative feedback to drive product decisions.
* Expertise in agile methodologies and product development processes including sprint planning, backlog management, user story writing, and leading cross\-functional squads through delivery cycles.
* Excellent written and verbal communication skills, producing clear PRDs, concise stakeholder updates, and effective async collaboration while aligning teams around shared goals and priorities.
* High bias for action with ability to move fast and manage ambiguity while maintaining focus on long\-term business outcomes, shipping iteratively without sacrificing strategic thinking or product quality.
* Customer\-centric approach that serves as the voice of the user within the building, builds empathy across teams, and balances user needs with business constraints and technical feasibility.
* Strong leadership and influence skills that enable leading without authority, giving and receiving feedback constructively, elevating product thinking across peers, and helping establish best practices for the product organization.
**Salary Range** 
 The base compensation range for this role is
 **$125k \- $150k** 
 per year, however actual compensation packages are based on a wide array of factors unique to each candidate including but not limited to skill set, years \&amp; depth of experience, and location.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18">
      <c r="A18" t="inlineStr">
        <is>
          <t>li-4321400024</t>
        </is>
      </c>
      <c r="B18" t="inlineStr">
        <is>
          <t>Product Manager II, CX</t>
        </is>
      </c>
      <c r="C18" t="inlineStr">
        <is>
          <t>DraftKings Inc.</t>
        </is>
      </c>
      <c r="D18" t="inlineStr">
        <is>
          <t>linkedin</t>
        </is>
      </c>
      <c r="E18" t="inlineStr"/>
      <c r="F18" t="inlineStr"/>
      <c r="G18" t="inlineStr">
        <is>
          <t>Boston, MA</t>
        </is>
      </c>
      <c r="H18" t="inlineStr"/>
      <c r="I18" t="inlineStr">
        <is>
          <t>At DraftKings, AI is becoming an integral part of both our present and future, powering how work gets done today, guiding smarter decisions, and sparking bold ideas. It’s transforming how we enhance customer experiences, streamline operations, and unlock new possibilities. Our teams are energized by innovation and readily embrace emerging technology. We’re not waiting for the future to arrive. We’re shaping it, one bold step at a time. To those who see AI as a driver of progress, come build the future together.
 The Crown Is Yours
 As a Product Manager II, CX you’ll lead high\-impact initiatives that transform how we support our CX agents and serve players. In this role, you’ll own the roadmap for our Customer Platform, delivering scalable, AI\-powered solutions that streamline workflows, reduce manual effort, and enable smarter, faster service. You’ll drive a blend of innovation and enterprise readiness—introducing new AI capabilities while ensuring the platform remains secure, compliant, and adaptable. With a bias for action and a deep understanding of operational complexity, you’ll guide cross\-functional teams to unlock efficiency and deliver measurable impact.
 What you’ll do as a Product Manager II
* Own the end\-to\-end product lifecycle for Customer Platform capabilities, from roadmap definition and opportunity discovery to launch and iteration
* Lead the design and rollout of AI\-powered features like prompt libraries, model evaluation methods, and governance frameworks
* Translate agent workflows and business needs into scalable product requirements and delivery plans
* Partner with Analytics and Data Science to define success metrics, test hypotheses, and evaluate performance
* Collaborate with Engineering to deliver robust APIs, integrations, and infrastructure that support both innovation and stability
* Balance long\-term strategic initiatives with operational priorities like regulatory compliance and enterprise\-wide projects
* Foster cross\-functional alignment through clear communication of goals, progress, and trade\-offs
* Stay ahead of platform and AI trends to inform roadmap decisions and product strategy
 What you’ll bring
* At least 5 years of experience in Product Management, ideally focused on platforms or customer experience
* Hands\-on experience with AI product development, including prompt iteration, model evaluation, and governance
* Strong data fluency and ability to align product strategy with measurement and reporting infrastructure
* Solid understanding of APIs, integrations, and data pipelines, with experience partnering closely with technical teams
* Track record of managing complex roadmaps and delivering high\-impact features in fast\-paced environments
* Strong stakeholder management and communication skills, with the ability to influence at multiple levels
* Curiosity for CX operations and a passion for building tools that reduce friction and improve workflows
* Bachelor’s Degree in a related field such as Computer Science, Business, or Information Systems
 Join Our Team
 We’re a publicly traded (NASDAQ: DKNG) technology company headquartered in Boston. As a regulated gaming company, you may be required to obtain a gaming license issued by the appropriate state agency as a condition of employment. Don’t worry, we’ll guide you through the process if this is relevant to your role.
 The US base salary range for this full\-time position is 117,900\.00 USD \- 147,400\.00 USD, plus bonus, equity, and benefits as applicable. Our ranges are determined by role, level, and location. The compensation information displayed on each job posting reflects the range for new hire pay rates for the position across all US locations. Within the range, individual pay is determined by work location and additional factors, including job\-related skills, experience, and relevant education or training. Your recruiter can share more about the specific pay range and how that was determined during the hiring process. It is unlawful in Massachusetts to require or administer a lie detector test as a condition of employment or continued employment. An employer who violates this law shall be subject to criminal penalties and civil liability.</t>
        </is>
      </c>
    </row>
    <row r="19">
      <c r="A19" t="inlineStr">
        <is>
          <t>li-4324619629</t>
        </is>
      </c>
      <c r="B19" t="inlineStr">
        <is>
          <t>Product Manager, Video</t>
        </is>
      </c>
      <c r="C19" t="inlineStr">
        <is>
          <t>Whatnot</t>
        </is>
      </c>
      <c r="D19" t="inlineStr">
        <is>
          <t>linkedin</t>
        </is>
      </c>
      <c r="E19" t="inlineStr"/>
      <c r="F19" t="inlineStr"/>
      <c r="G19" t="inlineStr">
        <is>
          <t>Los Angeles, CA</t>
        </is>
      </c>
      <c r="H19" t="inlineStr"/>
      <c r="I19"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Whatnot is seeking a Product Manager to lead the strategy, vision, and execution for our core video platform—the engine that powers real\-time, commerce\-driven livestreaming. As the most senior IC PM for video, you’ll own the infrastructure, UX, and developer surface area that enables thousands of sellers to go live, millions of users to watch, and seamless transactions to happen in real time.
 You Will Partner Closely With Engineering, Design, Infra, And Seller\-facing Teams To Scale Our Low\-latency Video Systems, Evolve Our Broadcast And Viewing Experience, And Enable New Formats. Your Work Will Shape The Future Of Livestream And Video Based Shopping. You Will
* Own the end\-to\-end product roadmap for the video platform, from ingestion and encoding to playback and seller tooling.
* Define and execute against SLAs for quality, reliability, and latency
* Collaborate with infrastructure, client, and ML teams to optimize video delivery and viewer experience
* Drive integrations with interactive features (e.g., chat, auctions, overlays) to deepen engagement
* Partner with sellers and internal teams to understand pain points and translate them into scalable video solutions
* Establish product metrics and experimentation frameworks to validate performance and user impact
 We offer flexibility to work from home or from one of our global office hubs, and we value in\-person time for planning, problem\-solving, and connection. Team members in this role must live within commuting distance of our San Francisco, Los Angeles, New York City, or Seattle hubs.
****👋 You****
* 8\+ years of product management experience with a track record of shipping complex, technical products at scale.
* 2\+ years building video experiences (e.g., livestreaming, interactive broadcasts). General streaming or video infrastructure experience is valuable, but success turning it into compelling consumer experiences matters most.
* Deep understanding of the dynamics of live vs. asynchronous video: latency/Presence, concurrency, failure modes, moderation, and seller workflows.
* Data\-driven decision maker who can define the right KPIs, instrument platforms, and run experiments to drive measurable outcomes.
* Excellent collaboration and communication across disciplines and levels.
****💰Compensation****
 For US\-based applicants: $240,000/year to $275,000/year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$240K \- $275K</t>
        </is>
      </c>
    </row>
    <row r="20">
      <c r="A20" t="inlineStr">
        <is>
          <t>li-4324917534</t>
        </is>
      </c>
      <c r="B20" t="inlineStr">
        <is>
          <t>Product Manager, Video</t>
        </is>
      </c>
      <c r="C20" t="inlineStr">
        <is>
          <t>Whatnot</t>
        </is>
      </c>
      <c r="D20" t="inlineStr">
        <is>
          <t>linkedin</t>
        </is>
      </c>
      <c r="E20" t="inlineStr"/>
      <c r="F20" t="inlineStr"/>
      <c r="G20" t="inlineStr">
        <is>
          <t>New York, NY</t>
        </is>
      </c>
      <c r="H20" t="inlineStr"/>
      <c r="I20"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Whatnot is seeking a Product Manager to lead the strategy, vision, and execution for our core video platform—the engine that powers real\-time, commerce\-driven livestreaming. As the most senior IC PM for video, you’ll own the infrastructure, UX, and developer surface area that enables thousands of sellers to go live, millions of users to watch, and seamless transactions to happen in real time.
 You Will Partner Closely With Engineering, Design, Infra, And Seller\-facing Teams To Scale Our Low\-latency Video Systems, Evolve Our Broadcast And Viewing Experience, And Enable New Formats. Your Work Will Shape The Future Of Livestream And Video Based Shopping. You Will
* Own the end\-to\-end product roadmap for the video platform, from ingestion and encoding to playback and seller tooling.
* Define and execute against SLAs for quality, reliability, and latency
* Collaborate with infrastructure, client, and ML teams to optimize video delivery and viewer experience
* Drive integrations with interactive features (e.g., chat, auctions, overlays) to deepen engagement
* Partner with sellers and internal teams to understand pain points and translate them into scalable video solutions
* Establish product metrics and experimentation frameworks to validate performance and user impact
 We offer flexibility to work from home or from one of our global office hubs, and we value in\-person time for planning, problem\-solving, and connection. Team members in this role must live within commuting distance of our San Francisco, Los Angeles, New York City, or Seattle hubs.
****👋 You****
* 8\+ years of product management experience with a track record of shipping complex, technical products at scale.
* 2\+ years building video experiences (e.g., livestreaming, interactive broadcasts). General streaming or video infrastructure experience is valuable, but success turning it into compelling consumer experiences matters most.
* Deep understanding of the dynamics of live vs. asynchronous video: latency/Presence, concurrency, failure modes, moderation, and seller workflows.
* Data\-driven decision maker who can define the right KPIs, instrument platforms, and run experiments to drive measurable outcomes.
* Excellent collaboration and communication across disciplines and levels.
****💰Compensation****
 For US\-based applicants: $240,000/year to $275,000/year \+ benefits \+ equity.
 The salary range may be inclusive of several levels that would be applicable to the position. Final salary will be based on a number of factors including, level, relevant prior experience, skills and expertise. This range is only inclusive of base salary, not benefits (more details below) or equity.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$240K \- $275K</t>
        </is>
      </c>
    </row>
    <row r="21">
      <c r="A21" t="inlineStr">
        <is>
          <t>li-4316050651</t>
        </is>
      </c>
      <c r="B21" t="inlineStr">
        <is>
          <t>Product Manager - Financial Management</t>
        </is>
      </c>
      <c r="C21" t="inlineStr">
        <is>
          <t>Plaid</t>
        </is>
      </c>
      <c r="D21" t="inlineStr">
        <is>
          <t>linkedin</t>
        </is>
      </c>
      <c r="E21" t="inlineStr"/>
      <c r="F21" t="inlineStr"/>
      <c r="G21" t="inlineStr">
        <is>
          <t>New York, NY</t>
        </is>
      </c>
      <c r="H21" t="inlineStr"/>
      <c r="I21"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Financial Management team builds the APIs that power some of the most influential digital finance experiences today: from budgeting apps to the financial management tools offered by banks and wealth platforms. Our mission is to unlock financial freedom for everyone by helping consumers and businesses better understand and manage their money.
 We do this through advanced data aggregation and machine learning systems that turn consumer\-permissioned financial data into actionable insights. These products enable developers, banks, and fintechs to build intuitive financial tools that help millions of people achieve their financial goals.
 Plaid’s Financial Management products include Transactions, Investments, and Liabilities, which sit at the heart of the open banking ecosystem. As the Product Manager for this area, you’ll identify and deliver new opportunities to make these products even more valuable to our customers and partners. You’ll work closely with customers to uncover emerging use cases, quantify their potential, and partner with engineering to bring those ideas to life.
 Product Managers at Plaid own the end\-to\-end problem spaces they’re solving. In this role, you’ll define product direction, drive new capabilities into our core offerings, and ensure strategic alignment from architecture to operations to go\-to\-market. The ideal candidate has led technical, API\-based B2B products, communicates complex concepts with clarity, and makes bold, informed decisions in ambiguous environments.
**Responsibilities**
* Set direction. Define the strategy and roadmap for new 0→1 insights products that make Plaid’s Financial Management offerings—Transactions, Investments, and Liabilities—more valuable and engaging for customers.
* Discover opportunities. Identify emerging customer needs and data\-driven insights that unlock new ways to help users manage their financial lives.
* Build with focus. Partner with Engineering and Design to prototype and launch intuitive, high\-quality products that extend Plaid’s Financial Management platform.
* Deliver value at scale. Ensure new capabilities are reliable, performant, and impactful across Plaid’s broad customer base and millions of end users.
* Communicate with precision. Create clarity across teams by articulating decisions, tradeoffs, and rationale crisply. Translate complex data and systems into simple, actionable narratives.
* Measure impact. Define success metrics, track adoption and engagement, and use insights to inform iteration and prioritization.
**Qualifications**
* 4\+ years of product management or equivalent experience in a B2B environment
* Proven ability to collaborate cross\-functionally with Engineering, Design, and Go\-to\-Market teams to deliver impactful products
* Experience influencing pricing, packaging, and customer adoption strategies
* Comfortable engaging directly with customers through sales, account management, or customer success conversations
* Strong communication skills, both written and verbal; able to simplify complex concepts for diverse audiences
* Data\-driven decision maker; adept at using qualitative feedback and quantitative metrics to inform prioritization
* Thrives in fast\-paced, ambiguous environments and enjoys building 0→1 products
* \[Nice to Have] Experience developing or managing API\-based B2B products
 $180,000 \- $270,000 a year
 The target base salary for this position ranges from $180,000/year to $270,000/year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\[email protected] .
 Please review our Candidate Privacy Notice here .</t>
        </is>
      </c>
    </row>
    <row r="22">
      <c r="A22" t="inlineStr">
        <is>
          <t>li-4315220127</t>
        </is>
      </c>
      <c r="B22" t="inlineStr">
        <is>
          <t>Principal Product Manager, AI</t>
        </is>
      </c>
      <c r="C22" t="inlineStr">
        <is>
          <t>Adobe</t>
        </is>
      </c>
      <c r="D22" t="inlineStr">
        <is>
          <t>linkedin</t>
        </is>
      </c>
      <c r="E22" t="inlineStr"/>
      <c r="F22" t="inlineStr"/>
      <c r="G22" t="inlineStr">
        <is>
          <t>San Jose, CA</t>
        </is>
      </c>
      <c r="H22" t="inlineStr"/>
      <c r="I22" t="inlineStr">
        <is>
          <t>**Our Company**
 Changing the world through digital experiences is what Adobe’s all about. We give everyone—from emerging artists to global brands—everything they need to design and deliver exceptional digital experiences! We’re passionate about empowering people to create beautiful and powerful images, videos, and apps, and transform how companies interact with customers across every screen.
 We’re on a mission to hire the very best and are committed to creating exceptional employee experiences where everyone is respected and has access to equal opportunity. We realize that new ideas can come from everywhere in the organization, and we know the next big idea could be yours!
 The Opportunity
 Adobe's Experience Intelligence team needs a Principal Product Manager to spearhead AI initiatives that boost business growth. In this role, you will find chances for growth at Adobe by creating products to enhance business performance and developing AI capabilities for product empowerment.
**Responsibilities**
* Lead the ideation, development, and implementation of products and solutions driven by AI.
* Collaborate with cross\-functional teams to determine product requirements and ensure flawless execution.
* Collaborate with engineers, applied scientists, and designers to implement the product vision.
* Drive the product roadmap, prioritizing initiatives that align with Adobe's strategic goals.
* Conduct market research to stay ahead of industry trends and competitive landscapes.
* Work with collaborators and customers to gather feedback and improve product features.
**Requirements**
* BA/BS in Computer Science (or related field) with at least 8 years of product management experience. MBA or equivalent experience from a well\-respected institution preferred but not required
* Candidates must have a background in leading AI\-focused products and programs. (This should not be your first time working on AI products or initiatives)
* Candidates with direct experience with several of the following domains are preferred: AI/ML, PLG, growth marketing, marketing technology, sales technology, data science, enterprise SaaS
* Demonstrated success in managing B2C and/or B2B SaaS products. Bonus points if you have done both.
* Outstanding communication and presentation abilities, having demonstrated proficiency in presenting to leaders and external customers.
* Ability to thrive in a fast\-paced, ambitious, and dynamic environment.
* Ability to complete tasks in a matrixed organization with multiple collaborators.
 Our compensation reflects the cost of labor across several  U.S. geographic markets, and we pay differently based on those defined markets. The U.S. pay range for this position is $148,100 \-\- $282,100 annually. Pay within this range varies by work location and may also depend on job\-related knowledge, skills, and experience. Your recruiter can share more about the specific salary range for the job location during the hiring process. In California, the pay range for this position is $194,800 \- $282,100
 At Adobe, for sales roles starting salaries are expressed as total target compensation (TTC \= base \+ commission), and short\-term incentives are in the form of sales commission plans. Non\-sales roles starting salaries are expressed as base salary and short\-term incentives are in the form of the Annual Incentive Plan (AIP).
 In addition, certain roles may be eligible for long\-term incentives in the form of a new hire equity award.
**State\-Specific Notices:**
**California:**
**Fair Chance Ordinances**
 Adobe will consider qualified applicants with arrest or conviction records for employment in accordance with state and local laws and “fair chance” ordinances.
**Colorado:**
**Application Window Notice**
 If this role is open to hiring in Colorado (as listed on the job posting), the application window will remain open until at least the date and time stated above in Pacific Time, in compliance with Colorado pay transparency regulations. If this role does not have Colorado listed as a hiring location, no specific application window applies, and the posting may close at any time based on hiring needs.
**Massachusetts:**
**Massachusetts Legal Notice**
 It is unlawful in Massachusetts to require or administer a lie detector test as a condition of employment or continued employment. An employer who violates this law shall be subject to criminal penalties and civil liability.
 Adobe is proud to be an Equal Employment Opportunity employer. We do not discriminate based on gender, race or color, ethnicity or national origin, age, disability, religion, sexual orientation, gender identity or expression, veteran status, or any other applicable characteristics protected by law. Learn more.
 Adobe aims to make Adobe.com accessible to any and all users. If you have a disability or special need that requires accommodation to navigate our website or complete the application process, email accommodations@adobe.com or call (408\) 536\-3015\.</t>
        </is>
      </c>
    </row>
    <row r="23">
      <c r="A23" t="inlineStr">
        <is>
          <t>li-4304427524</t>
        </is>
      </c>
      <c r="B23" t="inlineStr">
        <is>
          <t>Senior Product Manager</t>
        </is>
      </c>
      <c r="C23" t="inlineStr">
        <is>
          <t>BookedBy</t>
        </is>
      </c>
      <c r="D23" t="inlineStr">
        <is>
          <t>linkedin</t>
        </is>
      </c>
      <c r="E23" t="inlineStr"/>
      <c r="F23" t="inlineStr"/>
      <c r="G23" t="inlineStr">
        <is>
          <t>Austin, TX</t>
        </is>
      </c>
      <c r="H23" t="inlineStr"/>
      <c r="I23" t="inlineStr">
        <is>
          <t>**Who we are:**
 Welcome to BookedBy, an industry\-leading business management solution and scheduling software for salons, spas, and barbershops everywhere.
 Headquartered in Austin, TX, BookedBy features more than 100 employees across three continents and powers thousands of locations worldwide with top brands such as Sport Clips Haircuts, Diesel Barbershop, Perfect Look, Sharkey’s Cuts for Kids, Hairzoo, and more. Founded in 2011, BookedBy’s scheduling platform manages more than 60 million bookings annually and is entering an exciting growth phase into other service\-based businesses.
**Job Summary:**
 We are seeking a Senior Product Manager to take ownership of key product areas and deliver exceptional outcomes for our customers. In this role, you’ll be responsible for turning customer insights and business needs into well\-designed features and products, working closely with engineering, design, and business stakeholders.
 This is a highly hands\-on role: you will write user stories, manage backlogs, test solutions, and prototype concepts using modern AI\-driven tools. You will play a critical role in ensuring that BookedBy’s product vision is translated into actionable, high\-quality solutions that drive customer and business impact.
**Key Responsibilities:**
* Translate product vision into actionable roadmaps and deliverables, managing backlogs, writing clear user stories, and prioritizing work to align with strategic goals.
* Own the full product lifecycle for assigned areas: discovery, requirements, design collaboration, delivery, and iteration.
* Partner closely with engineering and design to deliver features on time, with high quality and measurable customer impact.
* Prototype solutions using tools such as V0, Framer, or AI\-assisted design platforms to validate concepts quickly.
* Collect and analyze feedback from customers, partners, and internal stakeholders to guide decisions.
* Track product metrics and report on performance to drive continuous improvement.
* Communicate product updates, decisions, and rationale clearly across teams and leadership.
**Qualifications and Skills:**
* 5\+ years of experience as a Product Manager in SaaS or B2B software.
* Strong track record of shipping customer\-facing features through the full lifecycle.
* Experience prototyping and validating solutions with tools like V0, Figma, or AI\-driven design platforms.
* Strong analytical and problem\-solving skills; able to use data and feedback to make trade\-offs.
* Excellent collaboration and communication skills; comfortable working with both technical and non\-technical stakeholders.
* Ability to thrive in a fast\-paced, evolving environment, balancing multiple priorities.
**Bonus Points For:**
* Experience in industries such as Salon, Retail, or Healthcare where technology drives operational efficiency.
* Familiarity with payments, scheduling, or POS systems.
* Experience mentoring junior PMs or leading cross\-functional initiatives.
**What we offer:**
 Join an energetic, fast\-growing global team where you'll have the opportunity to take on new challenges and advance your career. With continuous growth and development, you'll have endless potential to shape your future alongside us! Our benefits include:
* Comprehensive Medical, Dental, \&amp; Vision Insurance to keep you and your family healthy.
* 15 Days of Paid Time Off to recharge and enjoy life outside of work.
* Hybrid Work Schedule: In\-office Monday, Wednesday \&amp; Thursday, with Flex Days Tuesday \&amp; Friday to work remotely.
* Paid Parental Leave.
* In\-Office Gym to help you stay active, healthy, and energized throughout the day.
* Opportunities for Professional Development with access to courses and learning resources.
* Stock Options.</t>
        </is>
      </c>
    </row>
    <row r="24">
      <c r="A24" t="inlineStr">
        <is>
          <t>li-4340142493</t>
        </is>
      </c>
      <c r="B24" t="inlineStr">
        <is>
          <t>Sr. Product Manager, Adventure</t>
        </is>
      </c>
      <c r="C24" t="inlineStr">
        <is>
          <t>Ford Motor Company</t>
        </is>
      </c>
      <c r="D24" t="inlineStr">
        <is>
          <t>linkedin</t>
        </is>
      </c>
      <c r="E24" t="inlineStr"/>
      <c r="F24" t="inlineStr"/>
      <c r="G24" t="inlineStr">
        <is>
          <t>Dearborn, MI</t>
        </is>
      </c>
      <c r="H24" t="inlineStr"/>
      <c r="I24" t="inlineStr">
        <is>
          <t>**Job Description**
 At Ford, we are not just building vehicles; we are crafting the future of mobility and connecting our customers to experiences that move them. The Adventure Digital Products team is at the forefront of this transformation, focused on delivering groundbreaking digital solutions that empower our customers to explore, connect, and enjoy their journeys like never before. We are looking for a highly capable and empathetic Senior Product Manager who thrives on solving complex problems and delivering impactful products in a fast\-paced environment.
 As a Senior Product Manager, you will be the driving force behind a portfolio of digital products, collaborating with world\-class engineering, design, marketing, and business teams. You will own the product strategy, roadmap, and execution for digital features that span our adventure vehicle lineup, mobile applications, and web platforms. This role demands a deep understanding of customer needs, market trends, and technological capabilities, translating them into compelling product visions and tangible deliverables. You will champion the customer voice, ensuring our digital offerings are intuitive, delightful, and fundamentally enhance the adventure lifestyle. You will operate with a high degree of autonomy, making data\-driven decisions, and influencing stakeholders across the organization to bring your vision to life.
**Responsibilities**
* What you'll do...
* Product Strategy \&amp; Vision: Define and articulate a clear product vision, strategy, and roadmap for in\-vehicle, mobile, and web digital products tailored for adventure vehicles and customers.
* End\-to\-End Product Lifecycle Management: Lead the entire product development lifecycle from initial discovery, ideation, and validation through development, launch, and post\-launch iteration.
* Customer Research \&amp; Insights: Conduct comprehensive customer research, market analysis, and competitive benchmarking to deeply understand user needs, pain points, and opportunities within the adventure segment.
* Requirements Definition: Translate customer insights and business objectives into detailed product requirements, user stories, and acceptance criteria.
* Product Documentation: Author high\-quality Product Requirements Documents (PRDs) and PRFAQs (Press Release/Frequently Asked Questions) to align cross\-functional teams and secure buy\-in for new initiatives.
* Cross\-functional Leadership: Collaborate closely with engineering, UX/UI design, data science, marketing, legal, and other stakeholders to ensure successful product delivery and adoption.
* Prioritization \&amp; Roadmapping: Own the product backlog, prioritize features and enhancements based on strategic impact, customer value, and technical feasibility, and manage trade\-offs effectively.
* Launch \&amp; Iteration: Oversee product launches, define and monitor key performance indicators (KPIs), analyze product performance, and drive continuous iteration and optimization.
* Stakeholder Management: Present product strategies, roadmaps, and updates to senior leadership and foster strong relationships with internal and external partners.
* Innovation \&amp; Evangelism: Act as an internal and external evangelist for your products, identifying opportunities for innovation and making creative recommendations to expand the product base and vision.
**Qualifications**
* You'll have...
* Bachelor's degree in Computer Science, Engineering, Business, or a related field.
* 5\+ years of experience in product management, delivering consumer\-facing digital products.
* Proven experience leading end\-to\-end digital product development.
* Demonstrated ability to conduct customer research, define product strategy, and manage product roadmaps.
* Experience writing detailed product requirements (e.g., PRDs, user stories) and performing discovery and validation activities.
* Strong understanding of agile development methodologies.
**Even better, you may have...**
* Master's degree or MBA.
* Experience with adventure, outdoor, or automotive\-related digital products or services.
* Experience in a fast\-paced, complex organization, demonstrating strong organizational and leadership abilities.
* Exceptional communication, presentation, and interpersonal skills, with the ability to influence diverse stakeholders.
* Experience work in matrix\-size organizations, with strong cross\-collaboration with engineering, design, and other teams.
* Proven experience leading end\-to\-end product development for in\-vehicle, mobile, or web platforms.
* A proven track record of successful product launches and driving measurable business impact.
* Familiarity with data analytics tools and A/B testing methodologies to inform product decisions.
* Experience with PRFAQs or similar narrative\-driven product development frameworks.
* You may not check every box, or your experience may look a little different from what we've outlined, but if you think you can bring value to Ford Motor Company, we encourage you to apply!
*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 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This position is a leadership level 6\.
 For more information on salary and benefits, click here: https://fordcareers.co/LL6SP1
* Visa sponsorship is not available for this position.
* Candidates for positions with Ford Motor Company must be legally authorized to work in the United States. Verification of employment eligibility will be required at the time of hire.
*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 This position is hybrid. Candidates who are in commuting distance to a Ford hub location may be required to be onsite four or more days per week.</t>
        </is>
      </c>
    </row>
    <row r="25">
      <c r="A25" t="inlineStr">
        <is>
          <t>li-4328207795</t>
        </is>
      </c>
      <c r="B25" t="inlineStr">
        <is>
          <t>Senior Product Manager</t>
        </is>
      </c>
      <c r="C25" t="inlineStr">
        <is>
          <t>Microsoft</t>
        </is>
      </c>
      <c r="D25" t="inlineStr">
        <is>
          <t>linkedin</t>
        </is>
      </c>
      <c r="E25" t="inlineStr"/>
      <c r="F25" t="inlineStr"/>
      <c r="G25" t="inlineStr"/>
      <c r="H25" t="inlineStr"/>
      <c r="I25" t="inlineStr">
        <is>
          <t>**Overview**
 Would you like to be at the forefront of innovation in memory\-optimized virtual machine services, utilizing the latest hardware designs and cloud technologies to drive Microsoft’s cloud growth? Are you seeking a unique career opportunity that combines technical capabilities, cross team collaboration, and business insight and strategy?
 Azure is the fastest growing business in Microsoft’s history and is the foundation of Microsoft’s commercial Cloud Services. Our team within Azure delivers technologies and VM services that enable organizations to innovate more deeply, engage with their customers more efficiently, and reinvent business operations for increased employee productivity.
 As a Senior Product Manager on our team, you’ll be at the forefront of co\-innovation, development, and launch of the next generation of memory\-optimized solutions. Azure’s M\-series virtual machines are our most memory\-intensive offerings, purpose\-built to deliver exceptional performance for large in\-memory databases and memory\-bound workloads. These VMs are ideally suited for enterprise resource planning (ERP) systems such as SAP HANA, real\-time operational databases like Epic, large relational databases including SQL Server and Oracle, as well as high\-performance computing (HPC) scenarios that demand high memory bandwidth.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You will collaborate closely with system engineers and architects in the Azure services team, various software development teams across Microsoft, hardware development teams, as well as sourcing, capacity planning and management.
* You will influence others to drive business impact across the organization and track success criteria across divisions. You’ll also be an expert in identifying long\-term investment opportunities and engaging partners to garner support for those areas.
* You will define a feature set and facilitate senior\-level usability reviews with customers. You’ll own the roadmap for multiple feature areas across divisions, and will collaborate with a partner team to build golden configurations and drive scenario walkthroughs.
* You will scale Product Marketing teams by building marketing and roll\-out plans, as well as leading the creation of customer support plans. You’ll also take advantage of major opportunities to promote the feature areas you worked on and present at large events.
* As an expert, you will partner with others to collect performance metrics and form hypotheses for complex technical needs in order to improve product development in multiple areas. You’ll also identify features to deprecate, manage customer communities, and build trust with targeted customers across sectors.
**Qualifications**
**Required Qualifications:**
* Bachelor's Degree AND 5\+ years experience in product/service/project/program management or software development
+ OR equivalent experience.
* 3\+ years of partnering and influencing system engineers, computer architects, hardware design engineers and executives
* 3\+ years of experience with compute VM solutions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7\+ years of experience in product/service/project/program management
+ OR software development
+ OR equivalent experience.
* 2\+ years experience in computer hardware design, and/or interaction with hardware from systems software (OS, Hypervisor, Drivers, Firmware) and applications.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6">
      <c r="A26" t="inlineStr">
        <is>
          <t>li-4294517704</t>
        </is>
      </c>
      <c r="B26" t="inlineStr">
        <is>
          <t>Product Owner/Manager</t>
        </is>
      </c>
      <c r="C26" t="inlineStr">
        <is>
          <t>Corebridge Financial</t>
        </is>
      </c>
      <c r="D26" t="inlineStr">
        <is>
          <t>linkedin</t>
        </is>
      </c>
      <c r="E26" t="inlineStr"/>
      <c r="F26" t="inlineStr"/>
      <c r="G26" t="inlineStr">
        <is>
          <t>Houston, TX</t>
        </is>
      </c>
      <c r="H26" t="inlineStr"/>
      <c r="I26" t="inlineStr">
        <is>
          <t>Who We Are
 At Corebridge Financial, we believe action is everything. That’s why every day we partner with financial professionals and institutions to make it possible for more people to take action in their financial lives, for today and tomorrow.
 We Align To a Set Of Values That Are The Core Pillars That Define Our Culture And Help Bring Our Brand Purpose To Life
* We are stronger as one: We collaborate across the enterprise, scale what works and act decisively for our customers and partners.
* We deliver on commitments: We are accountable, empower each other and go above and beyond for our stakeholders.
* We learn, improve and innovate: We get better each day by challenging the status quo and equipping ourselves for the future.
* We are inclusive: We embrace different perspectives, enabling our colleagues to make an impact and bring their whole selves to work.
**Who You’ll Work With**
 We help Americans take action to create the financial future they envision. Our focus is on financial solutions that help people grow and protect their retirement assets, and then turn those assets into protected lifetime income where appropriate. Our innovative annuity solutions provide powerful growth opportunities, guaranteed lifetime income, beneficiary protection, and, in many products, options to protect against market downturns that could impact future income. We empower our selling partners — financial professionals at broker\-dealers, banks and agencies — with valuable insights, engaging tools and business\-building resources for bringing our annuity solutions to their clients and helping them realize their retirement goals.
**About The Role**
 As a Product Owner/Manager you will report to the Senior Product Owner and be responsible for leading assigned digital transformation initiatives focused on our life insurance and annuity sales, new business and servicing processes. This role requires exceptional leadership, communication, and organizational skills to manage projects, engage with diverse stakeholders, and ensure seamless project execution within tight timelines. The ideal candidate will have a sharp business mind and a proven ability to structure, define, and implement initiatives. As an integral member of the team, the Product Owner will have the opportunity to work with leaders across the organization to deliver initiatives that will shape the future of the Life, Individual Retirement, and Retirement Services businesses.
**Responsibilities**
* Execution of Projects within an Enterprise\-Level Digital Program
+ You will partner with the Senior Product Owner to lead multi\-year, multi\-discipline transformational programs for advisory and broker\-dealer products and solutions.
+ You will be responsible for delivering projects within the initiative, leveraging product management discipline and strong customer focus; you will do this in partnership with stakeholders, subject matter experts, and fellow business partners.
* Customer Experience Design
+ You will develop a deep understanding of our financial advisors and their client's needs and behaviors using data analysis, direct communication, and support resources.
+ You will collaborate with customer and user\-experience designers, software engineers, and others across the business to identify new features and experiences that will differentiate Corebridge Financial and make it easier for agents to do business with us and for our clients to take action in their financial lives.
* Business Case Development
+ You will support the build out of a strategic business case for the designed program
+ You will develop compelling presentations and materials that articulate the project’s vision, plans, and goals to internal and external stakeholders.
* Planning \&amp; Product Road Mapping
+ You will work cross\-functionally within Corebridge Financial to build cohesive product roadmaps to realize ambitious goals and strategic priorities around these critical client and advisor experiences.
+ You will bridge the gap between business outcomes needed and technical delivery by having good business sense and willingness to learn about the areas supported.
+ You will collaborate with our technology partners to build integrated, scalable, and extensible tools to deliver on our promise.
* Adoption \&amp; Value Realization
+ You will be responsible for the full end\-to\-end rollout of your assigned projects to realize the full value of the solutions, including coordinating marketing and training plans and measuring adoption and benefits.
+ You will review business metrics against the defined performance measures monthly and quarterly to ensure alignment while identifying any needed changes affecting the channel, business, or product strategy.
+ You will work with business stakeholders to define the approach to measure and track benefits identified through the lifecycle of an initiative (KPIs)
+ You will follow change management best practices, ensuring team cohesiveness through the engagement of teams and stakeholders
* Reporting \&amp; Risk Management
+ You will be responsible for managing and reporting full project costs and value realization in collaboration with business and IT teams.
+ You will be responsible for working with the Transformation Management Office (TMO) to respond to any project related requests
+ You will identify potential risks and implement proactive measures to mitigate challenges, ensuring Program success under tight timelines.
* Leadership
+ Indirectly manage the project team who will be operating in an agile pod structure and ensure alignment and timely delivery of project objectives.
+ Assist in team development while holding team members accountable for their commitments.
+ Ensure effective communication flow across and within teams. Deliver and coach for messaging that is appropriate for a range of audiences such as teams, leadership and end customers.
**What We Are Looking For**
* Industry Knowledge:
+ Understanding of the Life Insurance, Individual Retirement and Group Retirement Industry; the distribution framework, financial advisors and their client's needs and behaviors using data analysis, direct communication, and support resources.
+ Knowledge of the sales and new business lifecycle and inforce servicing process.
+ Knowledge of distribution sales process and channels, including wholesaling, plus an understanding of their needs to help them perform optimally
* Program Management \&amp; Digital Transformation Experience:
+ 5\+ years of experience operating as a product owner implementing digital solutions
+ Experience in Transformation and/or Strategy roles with knowledge of technology and digital trends impacting the insurance industry.
+ Experience managing projects in a structured and organized manner, with the ability to create actionable implementation plans and timelines; knows how to deliver on time and manage teams and stakeholders to deliver to the same; experience with change management framework \&amp; practices.
+ Track record of implementing large change initiatives, within tight timelines and within budget.
* Working Knowledge of:
+ Latest Digital trends in insurance and across adjacent industries, including IRI Digital First for Annuities, digital servicing platform providers, and/or trends in digital servicing.
+ CX based process journey design
+ Lean management practices in developing effective and efficient processes.
+ Root cause problem solving experience.
* Communication Excellence:
+ Ability to understand and communicate technical requirements and design across, engineering, design and QA
+ Can communicate in a structured and crisp manner both through written and verbal communication
+ Can engage senior leadership to get the point across using a deductive or top town communication approach
+ Is a good listener and changes perspective based on facts
+ Excellent written and verbal communication skills, including strong presentation skills that can explain technical concepts for non\-technical audiences
+ Effectively able to engage cross\-organization leaders in driving change and adoption targets
+ Drive consensus within all stakeholders and business leaders on the new direction
* Execution mindset and a demonstrated ability to drive results:
+ Is structured, and organized and can create actionable implementation plans and timelines
+ Knows how to deliver on time and manage teams and stakeholders to deliver to the same
+ Can identify potential issues early in driving adoption of change and acts proactively to address them
+ Hands\-on experience with agile, including being able to coach and mentor team members
+ Constantly evaluate execution effectiveness, changing trends to help re\-prioritize as required.
+ Ability to break down complex issues into smaller addressable solutions
+ Take a strategic point of view in formulating actions and solutions
+ Has a continuous improvement mindset
* Customer\-first mindset:
+ Knows who our customers are, what are their needs and how his/her team delivers to the expected customer experience/ needs
+ Understand what services and solutions/ products we provide and how we create value
+ Is considered a 'customer first' leader \- proactively takes decisions to resolve customer issues and avoids putting process over customer service while managing for risk
+ Understanding of user\-centric design in business, marketing, IT or equivalent preferred
+ A customer\-centric focus to keep customers at the forefront of decisions and connecting plans and actions to the purpose of serving clients
* Strong People leader and Team player
+ Takes full ownership and has a ‘business owner mindset’
+ Sets clear direction to the teams and actionable deliverables
+ Can performance manage on an ongoing basis to ensure creation of strong teams; Is fair in assessment of talent
+ Is a strong team player and prioritizes team success over individual
+ Is data driven and manages through metrics
+ Lead in a changing and fast\-paced environment while being comfortable with ambiguity. Keep team nimble to adapt quickly to minimize impacts to outcomes
 Please note this is not an exhaustive list of all responsibilities of the position, and the requirements of the job may change in line with business needs.
**Skills And Qualifications**
* Worked in an operations strategy role, in a consulting company or an insurance organization with knowledge of latest trends in driving sales, service and operations excellence
* Hands on experience with agile, including being able to coach and mentor team members
* Understanding of user\-centric design in business, marketing, IT or equivalent
* Demonstrated ability to drive results
* Strong/expert background in analytics with demonstrated ability to synthesize data from multiple sources into meaningful conclusions and actionable strategic plans that support business objectives
* Clear understanding of digital technology and consumer trends
* Excellent written and verbal communication skills, including strong presentation skills that can explain technical concepts for non\-technical audiences
* Bachelor’s degree (Technology or Business)
* Experience with designing 'customer centric' processes and journey mapping
* Designed and implemented change management and adoption framework
* Experience building internal relationships and working across matrixed organizations
**Compensation**
 The anticipated salary range for this position is $110,000\- $150,000 at the commencement of employment. Not all candidates will be eligible for the upper end of the salary range. The actual compensation offered will ultimately be dependent on multiple factors, which may include the candidate’s geographic location, skills, experience and other qualifications.
 In addition, the position is eligible for a discretionary bonus in accordance with the terms of the applicable incentive plan.
 Corebridge also offers a range of competitive benefits as part of the total compensation package, as detailed below.
**Work Location**
 This position is based in Corebridge Financial’s Houston, TX and Jersey City, NJ offices and is subject to our hybrid working policy, which gives colleagues the benefits of working both in an office and remotely.
**Estimated Travel**
 Minimal travel.
 Why Corebridge?
 At Corebridge Financial, we prioritize the health, well\-being, and work\-life balance of our employees. Our comprehensive benefits and wellness program is designed to support employees both personally and professionally, ensuring that they have the resources and flexibility needed to thrive.
**Benefit Offerings Include**
* Health and Wellness: We offer a range of medical, dental and vision insurance plans, as well as mental health support and wellness initiatives to promote overall well\-being.
* Retirement Savings: We offer retirement benefits options, which vary by location. In the U.S., our competitive 401(k) Plan offers a generous dollar\-for\-dollar Company matching contribution of up to 6% of eligible pay and a Company contribution equal to 3% of eligible pay (subject to annual IRS limits and Plan terms). These Company contributions vest immediately.
* Employee Assistance Program: Confidential counseling services and resources are available to all employees.
* Matching charitable donations: Corebridge matches donations to tax\-exempt organizations 1:1, up to $5,000\.
* Volunteer Time Off: Employees may use up to 16 volunteer hours annually to support activities that enhance and serve communities where employees live and work.
* Paid Time Off: Eligible employees start off with at least 24 Paid Time Off (PTO) days so they can take time off for themselves and their families when they need it.
 Eligibility for and participation in employer\-sponsored benefit plans and Company programs will be subject to applicable law, governing Plan document(s) and Company policy.
**We are an Equal Opportunity Employer**
 Corebridge Financial, is committed to being an equal opportunity employer and we comply with all applicable federal, state, and local fair employment laws. All applicants will be considered for employment based on job\-related qualifications and without regard to race, color, religion, sex, gender, gender identity or expression, sexual orientation, national origin, disability, neurodivergence, age, veteran status, or any other protected characteristic. The Company is also committed to compliance with all fair employment practices regarding citizenship and immigration status. At Corebridge Financial, we believe that diversity and inclusion are critical to building a creative workplace that leads to innovation, growth, and profitability. Through a wide variety of programs and initiatives, we invest in each employee, seeking to ensure that our colleagues are respected as individuals and valued for their unique perspectives.
 Corebridge Financial is committed to working with and providing reasonable accommodations to job applicants and employees, including any accommodations needed on the basis of physical or mental disabilities or sincerely held religious beliefs. If you believe you need a reasonable accommodation in order to search for a job opening or to complete any part of the application or hiring process, please send an email to TalentandInclusion@corebridgefinancial.com. Reasonable accommodations will be determined on a case\-by\-case basis, in accordance with applicable federal, state, and local law.
 We will consider for employment qualified applicants with criminal histories, consistent with applicable law.
 To learn more please visit: www.corebridgefinancial.com
**Functional Area**
 OP \- Operations
 Estimated Travel Percentage (%): No Travel
 Relocation Provided: No
 American General Life Insurance Company</t>
        </is>
      </c>
    </row>
    <row r="27">
      <c r="A27" t="inlineStr">
        <is>
          <t>li-4339845861</t>
        </is>
      </c>
      <c r="B27" t="inlineStr">
        <is>
          <t>Technical Product Manager</t>
        </is>
      </c>
      <c r="C27" t="inlineStr">
        <is>
          <t>CNH</t>
        </is>
      </c>
      <c r="D27" t="inlineStr">
        <is>
          <t>linkedin</t>
        </is>
      </c>
      <c r="E27" t="inlineStr"/>
      <c r="F27" t="inlineStr"/>
      <c r="G27" t="inlineStr">
        <is>
          <t>Oak Brook, IL</t>
        </is>
      </c>
      <c r="H27" t="inlineStr"/>
      <c r="I27" t="inlineStr">
        <is>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The Technical Product Manager will collaborate across operations, customer support, sales, and engineering teams to ensure we develop and implement technology and product strategies that will ensure delivery of superior value to our customers including product performance/functionality, flexibility, and reliability.
**Key Responsibilities**
* Customer obsessed.
* Participate in product discovery efforts to identify customer needs.
* Gather and analyze data to create technical product requirements.
* Assist with the creation of technical product roadmaps for assigned products.
* Stay up to date with technical trends in the industry.
* Prepare various documents and report as needed.
* Demonstrates support for company culture in their daily actions.
* Maintain a clean and safe work area.
* May be called upon to perform comparable duties of a similar or related nature and/or assist in other areas as needed.
* Learning, understanding, continuously improving, and promoting the quality management system in accordance with ISO standards.Essential Functions as outlined in Associate Technical Product Manager.
* Lead product discovery efforts to identify customer needs.
* Create and manage technical product roadmaps.
* Work with architecture, development teams, and project management to control scope and enable Agile development cycles.
* Serve as product evangelist and subject matter expert.
* Assess and address technical risks.
* Work with Sales and Marketing teams to launch and support products.
* Keep internal teams informed of competitive information gained regarding pricing, products, or general issues in the market.
* Initiate corrective actions as necessary as they relate to the product(s).
**Experience Required**
* Bachelor’s degree in Computer Science, Engineering, Business, or related field.
* Minimum 4 years related experience required; or equivalent combination of education and experience.
**Preferred Qualifications**
**Pay Transparency**
 The annual salary for this role is \- $105,750 to $141,000 plus any applicable bonus
 *(Actual salaries will vary and will be based on various factors, such as skill, experience and qualification for the role.)*
**What We Offer**
 We offer dynamic career opportunities across an international landscape. As an equal opportunity employer, we are committed to delivering value for all our employees and fostering a culture of respect.
**Benefits**
 At CNH, we understand that the best solutions come from the diverse experiences and skills of our people. Here, you will be empowered to grow your career, to follow your passion, and help build a better future. To support our employees, we offer regional comprehensive benefits, including:
* Flexible work arrangements
* Savings \&amp; Retirement benefits
* Tuition reimbursement
* Parental leave
* Adoption assistance
* Fertility \&amp; Family building support
* Employee Assistance Programs
* Charitable contribution matching and Volunteer Time Off
 Click here to learn more about our benefits offerings! (US only)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"Know Your Rights" poster here. CNH Industrial participates in E\-Verify and will provide the federal government with your Form I\-9 information to confirm that you are authorized to work in the U.S. You can view additional information here.
 Canada applicants: CNH Industrial is an equal opportunity employer. This company considers candidates regardless of race, color, religion, sex, sexual orientation, gender identity, nationality, place of origin, disability, marital status, family status, age, or any other ground prohibited by applicable provincial human rights legislation.
 If you need reasonable accommodation with the application process, please contact us at narecruitingmailbox@cnhind.com.</t>
        </is>
      </c>
    </row>
    <row r="28">
      <c r="A28" t="inlineStr">
        <is>
          <t>li-4303439564</t>
        </is>
      </c>
      <c r="B28" t="inlineStr">
        <is>
          <t>Sr. Product Manager, Seller Payments</t>
        </is>
      </c>
      <c r="C28" t="inlineStr">
        <is>
          <t>eBay</t>
        </is>
      </c>
      <c r="D28" t="inlineStr">
        <is>
          <t>linkedin</t>
        </is>
      </c>
      <c r="E28" t="inlineStr"/>
      <c r="F28" t="inlineStr"/>
      <c r="G28" t="inlineStr">
        <is>
          <t>Salt Lake City, UT</t>
        </is>
      </c>
      <c r="H28" t="inlineStr"/>
      <c r="I28" t="inlineStr">
        <is>
          <t>At eBay, we're more than a global ecommerce leader — we’re changing the way the world shops and sells. Our platform empowers millions of buyers and sellers in more than 190 markets around the world. We’re committed to pushing boundaries and leaving our mark as we reinvent the future of ecommerce for enthusiasts.
 Our customers are our compass, authenticity thrives, bold ideas are welcome, and everyone can bring their unique selves to work — every day. We're in this together, sustaining the future of our customers, our company, and our planet.
 Join a team of passionate thinkers, innovators, and dreamers — and help us connect people and build communities to create economic opportunity for all.
**About The Team And The Role**
 eBay is searching for a seasoned Sr. Product Manager to lead the evolution of our Seller Payments team, with a keen eye for finding opportunities and implementing strategies that yield measurable results. This role requires strategic insight to drive innovation and market efficiency on a global scale. The ideal candidate will have a consistent track record in developing global product strategies and will collaborate closely with regional business leaders, product teams, and domain experts to build core payment capabilities and tailor functionalities for local market success. Exceptional relationship\-building skills and the ability to influence partners at all levels are essential.
**What You Will Accomplish**
* You will define and implement the product strategy and roadmap for Seller Payments, ensuring a capability\-driven approach with a global perspective.
* Serve as the Product Owner, providing clear product vision to the scrum team and co\-leading the Agile process with engineering counterparts to achieve roadmap milestones.
* Establish product/backlog prioritization, balancing immediate deliverables with long\-term technology investments.
* Translate commerce requirements into versatile payment capabilities adaptable to various processors, types, and models.
* Leverage AI to enhance product capabilities, improve decision\-making processes, and optimize user experiences.
* Proficient in data analytics and Hypothesis testing
* ct as a product evangelist, working closely with business partners and engineering leaders to align strategies.
* Effectively communicate strategies and trade\-offs to senior leaders and development teams, fostering alignment and understanding.
* Incorporate market shifts and technological progressions into tangible improvements for Seller Payments.
**What You Will Bring**
* 7\+ years of experience in product management, preferably in e\-commerce/marketplaces
* 3\+ years of experience in payments domain, Deep understanding of payments domain would be preferred
* Deep subject matter expertise in technologies and products essential for launching payment solutions at scale globally.
* Experience in developing cutting\-edge product features with a strong emphasis on UX design.
* Familiarity with AI technologies and their application in product management to drive innovation and efficiency.
* Ability to ask insightful questions to shape product perspectives and articulate requirements.
* Skill in balancing technical possibilities with business impact, communicating effectively to drive significant outcomes.
* Engineering Degree/MBA degree preferred
 The base pay range for this position is expected in the range below:
 $124,000 \- $208,300
 Base pay offered may vary depending on multiple individualized factors, including location, skills, and experience. The total compensation package for this position may also include other elements, including a target bonus and restricted stock units (as applicable) in addition to a full range of medical, financial, and/or other benefits (including 401(k) eligibility and various paid time off benefits, such as PTO and parental leave). Details of participation in these benefit plans will be provided if an employee receives an offer of employment.
 If hired, employees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Please see the Talent Privacy Notice for information regarding how eBay handles your personal data collected when you use the eBay Careers website or apply for a job with eBay.
 eBay is an equal opportunity employer. All qualified applicants will receive consideration for employment without regard to race, color, religion, national origin, sex, sexual orientation, gender identity, veteran status, and disability, or other legally protected status. If you have a need that requires accommodation, please contact us at talent@ebay.com. We will make every effort to respond to your request for accommodation as soon as possible. View our accessibility statement to learn more about eBay's commitment to ensuring digital accessibility for people with disabilities. It is unlawful in Massachusetts to require or administer a lie detector test as a condition of employment or continued employment. An employer who violates this law shall be subject to criminal penalties and civil liability.
 The eBay Jobs website uses cookies to enhance your experience. By continuing to browse the site, you agree to our use of cookies. Visit our Privacy Center for more information.</t>
        </is>
      </c>
    </row>
    <row r="29">
      <c r="A29" t="inlineStr">
        <is>
          <t>li-4270769841</t>
        </is>
      </c>
      <c r="B29" t="inlineStr">
        <is>
          <t>Principal Product Manager, Crash &amp; Claims</t>
        </is>
      </c>
      <c r="C29" t="inlineStr">
        <is>
          <t>Cambridge Mobile Telematics</t>
        </is>
      </c>
      <c r="D29" t="inlineStr">
        <is>
          <t>linkedin</t>
        </is>
      </c>
      <c r="E29" t="inlineStr"/>
      <c r="F29" t="inlineStr"/>
      <c r="G29" t="inlineStr">
        <is>
          <t>Massachusetts, United States</t>
        </is>
      </c>
      <c r="H29" t="inlineStr"/>
      <c r="I29" t="inlineStr">
        <is>
          <t>Cambridge Mobile Telematics (CMT) is the world's largest telematics service provider. Its mission is to make the world's roads and drivers safer. The company's AI\-driven platform, DriveWell Fusion®, gathers sensor data from millions of IoT devices — including smartphones, proprietary Tags, connected vehicles, dashcams, and third\-party devices — and fuses them with contextual data to create a unified view of vehicle and driver behavior. Auto insurers, automakers, commercial mobility companies, and the public sector use insights from CMT's platform to power risk assessment, safety, claims, and driver improvement programs. Headquartered in Cambridge, MA, with offices in Budapest, Chennai, Seattle, Tokyo, and Zagreb, CMT measures and protects tens of millions of drivers across the world every day.
 The Product Manager will be responsible for strategy and execution of our Drivewell Crash product with initial focus on Openroad, a direct to consumer mobile app designed to provide users with advanced crash detection and assistance. It leverages cutting\-edge technology to offer real\-time alerts, automatic emergency response, and detailed incident reports. We are seeking a self\-starter, creative, curious, customer\-focused experienced mobile app Product Manager to take ownership of the app (among other initiatives), driving its innovation and ensuring it remains a trusted tool for our users
 CMT is looking for a collaborative, customer\-committed, and creative
 **Principal Product Manager I, Crash \&amp; Claims** 
 who wants to join us in making roads safer by making drivers better!
**Responsibilities:**
* Is the primary driver for identifying significant opportunities. Define and communicate the product vision and strategy for the Openroad mobile app, ensuring alignment with overall business objectives and user needs
* Develop and maintain a detailed product roadmap, prioritizing features and initiatives based on user feedback, market analysis, and business goals
* Work closely with engineering, design, marketing, and other cross\-functional teams to deliver high\-quality features, achieving outcomes. Guide the team through key milestones
* Conduct and integrate user research, usability studies, and market analysis to identify pain points and opportunities, ensuring the app meets user needs and expectations
* Support the product development process using Agile methodologies, including sprint planning, backlog management, and feature prioritization
* Define key performance indicators (KPIs). Track and analyze key performance metrics to measure the success of product initiatives, identify areas for improvement, and inform future development
* Regularly update stakeholders on product progress, gather feedback, and ensure alignment across teams
* Plan and execute product launches, working with marketing, public relations, and other teams to ensure successful rollouts
* Champion the voice of our customers, partners, and users in every meeting and interaction, fostering a deep understanding of the impact of our product choices
* Complete any additional tasks as they arise
**Qualifications:**
* Bachelor's degree or equivalent years of experience and/or certification in Computer Science, Business, Engineering Product Management
* 7\+ years of relevant working experience with a demonstrated ability to set and execute against a product backlog with multiple stakeholders
* An ability to adapt to changing business needs and prioritize efforts against the challenges at hand
* A scrappy, positive "impact\-focused" attitude: you don't hesitate to take initiative and address something hands\-on
* Experience with usability testing
* Familiarity working in an agile environment and working with tools such as JIRA
* A passion for using data to make our streets and highways safer
**Nice to have:**
* Proven experience developing consumer\-facing products or experiences that drive engagement, retention, and customer satisfaction
**Compensation and Benefits:**
* Fair and competitive salary based on skills and experience, and annual performance bonus
* Equity may be awarded in the form of Restricted Stock Units (RSUs)
* Medical, Dental, Vision and Life Insurance, matching 401k, short\-term \&amp; long\-term disability and parental leave
* Unlimited Paid Time Off including vacation, sick days \&amp; public holidays
* Flexible scheduling and work from home policy depending on role and responsibilities
**Base Salary Range**
* The base salary range for this position is: $141,100 to $176,400\. This range is specifically for Cambridge, MA
**Additional Perks:**
* Feel great working to improve road safety around the world!
* Join one of our many employee resource groups including Black, AAPI, LGBTQIA\+, Women, Book Club and Health \&amp; Wellness
* Extensive wellness, education and employee assistance programs
* CMT will do all that is possible to support our employees and create a positive and inclusive work environment for all!
**Commitment to Diversity and Inclusion:**
**At CMT, we believe the best ideas come from a mix of backgrounds and perspectives.**
**We are an equal\-opportunity employer committed to creating a workplace and culture where everyone feels valued, respected, and empowered to bring their unique talents and perspectives. Diversity is essential to our success, and we actively seek candidates from all backgrounds to join our growing team.**
*We do not discriminate based on race, religion, color, national origin, gender, sexual orientation, age, marital status, veteran status or disability state. CMT is headquartered in Cambridge, MA. To learn more, visit www.cmtelematics.com and follow us on X @cmtelematics.*</t>
        </is>
      </c>
    </row>
    <row r="30">
      <c r="A30" t="inlineStr">
        <is>
          <t>li-4321297485</t>
        </is>
      </c>
      <c r="B30" t="inlineStr">
        <is>
          <t>Product Manager</t>
        </is>
      </c>
      <c r="C30" t="inlineStr">
        <is>
          <t>The Reynolds and Reynolds Company</t>
        </is>
      </c>
      <c r="D30" t="inlineStr">
        <is>
          <t>linkedin</t>
        </is>
      </c>
      <c r="E30" t="inlineStr"/>
      <c r="F30" t="inlineStr"/>
      <c r="G30" t="inlineStr"/>
      <c r="H30" t="inlineStr"/>
      <c r="I30" t="inlineStr">
        <is>
          <t>**Job Description**
 As a Product Manager, you will be responsible for all aspects of the product life cycle including the technical, functional, and business foundations of our products. You will act as the liaison between cross\-functional teams including but not limited to; Change Management, Design, Software Development, and the Call Center, to create meaningful product features for our customer\-facing applications. Your goal is to assist in managing a roadmap for the product by seeking to deeply understand the relationship between automotive dealerships and their consumers. You will clearly define and prioritize product goals to ensure we are working on the right things at the right time.
 In addition, you will be responsible for contributing in the facilitation of a strong product discovery process including understanding stakeholder needs, and testing a variety of software applications to help ensure our products are to the highest quality and align with our clients business goals. If you feel comfortable working in a fast\-paced, time\-sensitive environment, this is the position for you!
**Requirements**
* Degree in Computer Science/Engineering, Business, or UX Design
* Comfortable working in unknown problem spaces and researching problems with long\-term solutions
* Excellent leadership skills, experience managing a variety of stakeholders is preferred
* Professional and effective communication skills both verbally and written
* Eagerness to solve problems and validate assumptions with data, insight, and peer discussions
* Must have reliable transportation as well as a valid driver’s license, with fewer than 2 moving violations in the last three years and no OVI/DUI/DWI violations in the last five years
**Benefits**
 Our associates receive medical, dental, vision, and life insurance. We also offer company contributions to your HSA, 6% match on 401 (k), and a work/life balance with paid time off. At our College Station facility, you can take advantage of our great training programs and facility amenities, including an onsite dining facility offering complimentary breakfast and lunch, a fitness center, and an onsite medical center. We also offer a wide variety of sports and social leagues to participate in after work, along with volunteering initiatives through our Associate Foundation.
 Reynolds and Reynolds promotes a healthy lifestyle by providing a non\-smoking environment. Reynolds and Reynolds is an equal opportunity employer.</t>
        </is>
      </c>
    </row>
    <row r="31">
      <c r="A31" t="inlineStr">
        <is>
          <t>li-4359996442</t>
        </is>
      </c>
      <c r="B31" t="inlineStr">
        <is>
          <t>Digital Product Manager</t>
        </is>
      </c>
      <c r="C31" t="inlineStr">
        <is>
          <t>BECU</t>
        </is>
      </c>
      <c r="D31" t="inlineStr">
        <is>
          <t>linkedin</t>
        </is>
      </c>
      <c r="E31" t="inlineStr"/>
      <c r="F31" t="inlineStr"/>
      <c r="G31" t="inlineStr">
        <is>
          <t>Washington, United States</t>
        </is>
      </c>
      <c r="H31" t="inlineStr"/>
      <c r="I31" t="inlineStr">
        <is>
          <t>Is it surprising to hear that a financial institution of 1\.5 million members and over $30 billion in managed assets say that success comes from focusing on people, not profits?
 Our “people helping people” philosophy has guided us since 1935, driving our deep commitment to serving our members, communities, and each other. When you join our team, you become part of a purpose\-driven organization where your work makes a real difference.
 While we’re proud of our history, we’re even more excited about our future. With business and technology transformation on the horizon, there’s never been a better time to be part of BECU.
**PAY RANGE**
 The Target Pay Range for this position is $156,200\.00\-$190,800\.00 annually. The full Pay Range is $121,200\.00 \- $225,800\.00 annually. At BECU, compensation decisions are determined using factors such as relevant job\-related skills, experience, and education or training. Should an offer for employment be made, we will consider individual qualifications. In addition to your salary, compensation incentives are available for the hired applicant. Incentives are performance based and targets vary by role.
**BENEFITS – Because People Helping People Starts With Supporting You**
* 401(k) Company Match (up to 3%)
* 4% annual contribution to your 401(k) by BECU
* Medical, Dental and Vision (family contributions as well)
* PTO Program \+ Exchange Program
* Tuition Reimbursement Program
* BECU Cares volunteer time off \+ donation match
**Impact You’ll Make**
 As a Senior Product Manager – Digital Banking, you’ll shape the future of BECU’s digital banking experience. Your strategic vision will guide the selection of platforms, define priorities, and influence how millions of members interact with their finances. From leading vendor evaluations to crafting a roadmap for mobile\-first solutions, you’ll be at the center of innovation—ensuring every decision enhances member experience and drives business growth.
**What You’ll Do**
* Own the Vision and Strategy: Define and lead the roadmap for digital banking capabilities, focusing on mobile\-first experiences that meet member needs.
* Drive Vendor Selection: Manage the RFP process, evaluate solutions, and collaborate with stakeholders to select the right platform for BECU’s future.
* Lead Cross\-Functional Collaboration: Partner with teams across Marketing, Payments, Fraud Ops, Cybersecurity, and more to align priorities and deliver impactful solutions.
* Analyze and Innovate: Use data insights and member feedback to identify pain points, improve adoption, and enhance overall user experience.
* Manage Performance: Establish and monitor key metrics, ensuring products meet business goals and deliver measurable outcomes.
* Champion Continuous Improvement: Capture lessons learned and adjust strategies to keep BECU ahead in the digital banking space.
 This isn’t just about ticking off tasks on a list. It's about making a significant, positive change in BECU’s journey, where your contributions are valued, and your growth is continually fostered.
**What You’ll Gain**
* Strategic Impact: Influence major decisions that shape BECU’s digital banking future.
* High Visibility: Work directly with senior leadership and cross\-functional teams on critical initiatives.
* Innovation at Scale: Drive mobile\-first solutions for a growing member base.
* Professional Growth: Expand your expertise in digital banking strategy and vendor management.
* Collaborative Culture: Join a team that values autonomy, creativity, and results.
**Qualifications**
**Minimum Qualifications:**
* Bachelor’s degree or equivalent experience in technology, business, or related discipline.
* 7\+ years of experience in product management or product development roles.
* Experience managing and maintaining vendor relationships.
* Ability to self\-direct, identify business and customer needs, and deliver solutions.
* Strong communication skills, including writing, editing, and presenting to senior leadership.
* Experience with digital banking and mobile platforms.
**Desired Qualifications**
* Advanced degree preferred.
* Familiarity with Agile and Scrum methodologies.
* Experience developing user stories and domain expertise.
* Strong research, leadership, and negotiation skills.
* Product Owner certification.
* Knowledge of AI/ML concepts as a plus.
* Proficiency in PowerPoint and other presentation tools.
**EEO Statement**
 BECU is an equal opportunity employer. All qualified applicants will receive consideration for employment without regard to race, color, religion, sex, national origin, veteran status, disability, sexual orientation, gender identity, or any other protected status.</t>
        </is>
      </c>
    </row>
    <row r="32">
      <c r="A32" t="inlineStr">
        <is>
          <t>li-4223093408</t>
        </is>
      </c>
      <c r="B32" t="inlineStr">
        <is>
          <t>Principal Product Manager</t>
        </is>
      </c>
      <c r="C32" t="inlineStr">
        <is>
          <t>Circle</t>
        </is>
      </c>
      <c r="D32" t="inlineStr">
        <is>
          <t>linkedin</t>
        </is>
      </c>
      <c r="E32" t="inlineStr"/>
      <c r="F32" t="inlineStr"/>
      <c r="G32" t="inlineStr"/>
      <c r="H32" t="inlineStr"/>
      <c r="I32"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As a Principal Product Manager at Circle, you will own the strategy and execution of our customer onboarding platform, ensuring it scales to support new products, markets, and global regulatory requirements. You will act as a cross\-functional leader, partnering with compliance, risk, legal, engineering, and business stakeholders to align priorities and deliver solutions that balance regulatory rigor with customer experience. By combining product vision, data\-driven insights, and deep compliance expertise, you will enable Circle to expand efficiently into new markets, reduce risk, and uphold the highest standards of trust and integrity.
**What You’ll Work On**
* Define and own the product strategy and roadmap for critical components within the Circle platform, prioritizing and launching scalable solutions that promote reusability and increase developer efficiency across Circle products.
* Lead the evolution of onboarding and compliance capabilities for Circle platform, driving both incremental enhancements and long\-term platform transformation.
* Partner with compliance, legal, risk, engineering, and product teams to design systems that balance regulatory rigor with seamless customer experiences.
* Identify and resolve process gaps, bottlenecks, and inefficiencies that impact onboarding speed, scalability, and compliance outcomes.
* Translate regulatory requirements and business needs into clear product requirements, insights, and user stories for engineering execution.
* Represent onboarding and platform priorities across senior forums, influencing strategy and securing alignment for high\-impact initiatives.
* Build and maintain documentation that clearly explains the design, functionality, and dependencies of onboarding systems and tools.
* Define, monitor, and report on platform performance metrics and risk indicators, highlighting progress and challenges to executives and the Board.
* Engage with regulators, auditors, and examiners to demonstrate how Circle’s onboarding platform scales effectively while meeting compliance obligations.
**Core Requirements**
**What you’ll bring to Circle:**
* 10\+ years of experience delivering large\-scale compliance, onboarding, or risk platforms in fintech, payments, or crypto.
* Hands\-on experience using AI tools for prototyping and generating product mocks to accelerate design and development.
* Proven track record implementing KYB, KYC, and AML technologies to meet global regulatory requirements.
* Expertise in designing compliance workflows and building scalable systems that accelerate customer onboarding.
* Strong ability to translate regulatory and business needs into clear product requirements and platform strategies.
* Demonstrated leadership influencing executives and cross\-functional teams to align on product direction.
* Highly analytical and data\-driven, with experience applying AI/ML to improve onboarding decision\-making, risk detection, and process efficiency.
**Preferred Requirements**
* Background in RegTech, banking, or scaled fintech, with direct exposure to complex regulatory environments.
* Executive presence with the ability to represent Circle externally with regulators, auditors, and industry stakeholders.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33">
      <c r="A33" t="inlineStr">
        <is>
          <t>li-4359769067</t>
        </is>
      </c>
      <c r="B33" t="inlineStr">
        <is>
          <t>Digital Product Manager</t>
        </is>
      </c>
      <c r="C33" t="inlineStr">
        <is>
          <t>BECU</t>
        </is>
      </c>
      <c r="D33" t="inlineStr">
        <is>
          <t>linkedin</t>
        </is>
      </c>
      <c r="E33" t="inlineStr"/>
      <c r="F33" t="inlineStr"/>
      <c r="G33" t="inlineStr">
        <is>
          <t>Texas, United States</t>
        </is>
      </c>
      <c r="H33" t="inlineStr"/>
      <c r="I33" t="inlineStr">
        <is>
          <t>Is it surprising to hear that a financial institution of 1\.5 million members and over $30 billion in managed assets say that success comes from focusing on people, not profits?
 Our “people helping people” philosophy has guided us since 1935, driving our deep commitment to serving our members, communities, and each other. When you join our team, you become part of a purpose\-driven organization where your work makes a real difference.
 While we’re proud of our history, we’re even more excited about our future. With business and technology transformation on the horizon, there’s never been a better time to be part of BECU.
**PAY RANGE**
 The Target Pay Range for this position is $156,200\.00\-$190,800\.00 annually. The full Pay Range is $121,200\.00 \- $225,800\.00 annually. At BECU, compensation decisions are determined using factors such as relevant job\-related skills, experience, and education or training. Should an offer for employment be made, we will consider individual qualifications. In addition to your salary, compensation incentives are available for the hired applicant. Incentives are performance based and targets vary by role.
**BENEFITS – Because People Helping People Starts With Supporting You**
* 401(k) Company Match (up to 3%)
* 4% annual contribution to your 401(k) by BECU
* Medical, Dental and Vision (family contributions as well)
* PTO Program \+ Exchange Program
* Tuition Reimbursement Program
* BECU Cares volunteer time off \+ donation match
**Impact You’ll Make**
 As a Senior Product Manager – Digital Banking, you’ll shape the future of BECU’s digital banking experience. Your strategic vision will guide the selection of platforms, define priorities, and influence how millions of members interact with their finances. From leading vendor evaluations to crafting a roadmap for mobile\-first solutions, you’ll be at the center of innovation—ensuring every decision enhances member experience and drives business growth.
**What You’ll Do**
* Own the Vision and Strategy: Define and lead the roadmap for digital banking capabilities, focusing on mobile\-first experiences that meet member needs.
* Drive Vendor Selection: Manage the RFP process, evaluate solutions, and collaborate with stakeholders to select the right platform for BECU’s future.
* Lead Cross\-Functional Collaboration: Partner with teams across Marketing, Payments, Fraud Ops, Cybersecurity, and more to align priorities and deliver impactful solutions.
* Analyze and Innovate: Use data insights and member feedback to identify pain points, improve adoption, and enhance overall user experience.
* Manage Performance: Establish and monitor key metrics, ensuring products meet business goals and deliver measurable outcomes.
* Champion Continuous Improvement: Capture lessons learned and adjust strategies to keep BECU ahead in the digital banking space.
 This isn’t just about ticking off tasks on a list. It's about making a significant, positive change in BECU’s journey, where your contributions are valued, and your growth is continually fostered.
**What You’ll Gain**
* Strategic Impact: Influence major decisions that shape BECU’s digital banking future.
* High Visibility: Work directly with senior leadership and cross\-functional teams on critical initiatives.
* Innovation at Scale: Drive mobile\-first solutions for a growing member base.
* Professional Growth: Expand your expertise in digital banking strategy and vendor management.
* Collaborative Culture: Join a team that values autonomy, creativity, and results.
**Qualifications**
**Minimum Qualifications:**
* Bachelor’s degree or equivalent experience in technology, business, or related discipline.
* 7\+ years of experience in product management or product development roles.
* Experience managing and maintaining vendor relationships.
* Ability to self\-direct, identify business and customer needs, and deliver solutions.
* Strong communication skills, including writing, editing, and presenting to senior leadership.
* Experience with digital banking and mobile platforms.
**Desired Qualifications**
* Advanced degree preferred.
* Familiarity with Agile and Scrum methodologies.
* Experience developing user stories and domain expertise.
* Strong research, leadership, and negotiation skills.
* Product Owner certification.
* Knowledge of AI/ML concepts as a plus.
* Proficiency in PowerPoint and other presentation tools.
**EEO Statement**
 BECU is an equal opportunity employer. All qualified applicants will receive consideration for employment without regard to race, color, religion, sex, national origin, veteran status, disability, sexual orientation, gender identity, or any other protected status.</t>
        </is>
      </c>
    </row>
    <row r="34">
      <c r="A34" t="inlineStr">
        <is>
          <t>li-4359778262</t>
        </is>
      </c>
      <c r="B34" t="inlineStr">
        <is>
          <t>Digital Product Manager</t>
        </is>
      </c>
      <c r="C34" t="inlineStr">
        <is>
          <t>BECU</t>
        </is>
      </c>
      <c r="D34" t="inlineStr">
        <is>
          <t>linkedin</t>
        </is>
      </c>
      <c r="E34" t="inlineStr"/>
      <c r="F34" t="inlineStr"/>
      <c r="G34" t="inlineStr">
        <is>
          <t>Arizona, United States</t>
        </is>
      </c>
      <c r="H34" t="inlineStr"/>
      <c r="I34" t="inlineStr">
        <is>
          <t>Is it surprising to hear that a financial institution of 1\.5 million members and over $30 billion in managed assets say that success comes from focusing on people, not profits?
 Our “people helping people” philosophy has guided us since 1935, driving our deep commitment to serving our members, communities, and each other. When you join our team, you become part of a purpose\-driven organization where your work makes a real difference.
 While we’re proud of our history, we’re even more excited about our future. With business and technology transformation on the horizon, there’s never been a better time to be part of BECU.
**PAY RANGE**
 The Target Pay Range for this position is $156,200\.00\-$190,800\.00 annually. The full Pay Range is $121,200\.00 \- $225,800\.00 annually. At BECU, compensation decisions are determined using factors such as relevant job\-related skills, experience, and education or training. Should an offer for employment be made, we will consider individual qualifications. In addition to your salary, compensation incentives are available for the hired applicant. Incentives are performance based and targets vary by role.
**BENEFITS – Because People Helping People Starts With Supporting You**
* 401(k) Company Match (up to 3%)
* 4% annual contribution to your 401(k) by BECU
* Medical, Dental and Vision (family contributions as well)
* PTO Program \+ Exchange Program
* Tuition Reimbursement Program
* BECU Cares volunteer time off \+ donation match
**Impact You’ll Make**
 As a Senior Product Manager – Digital Banking, you’ll shape the future of BECU’s digital banking experience. Your strategic vision will guide the selection of platforms, define priorities, and influence how millions of members interact with their finances. From leading vendor evaluations to crafting a roadmap for mobile\-first solutions, you’ll be at the center of innovation—ensuring every decision enhances member experience and drives business growth.
**What You’ll Do**
* Own the Vision and Strategy: Define and lead the roadmap for digital banking capabilities, focusing on mobile\-first experiences that meet member needs.
* Drive Vendor Selection: Manage the RFP process, evaluate solutions, and collaborate with stakeholders to select the right platform for BECU’s future.
* Lead Cross\-Functional Collaboration: Partner with teams across Marketing, Payments, Fraud Ops, Cybersecurity, and more to align priorities and deliver impactful solutions.
* Analyze and Innovate: Use data insights and member feedback to identify pain points, improve adoption, and enhance overall user experience.
* Manage Performance: Establish and monitor key metrics, ensuring products meet business goals and deliver measurable outcomes.
* Champion Continuous Improvement: Capture lessons learned and adjust strategies to keep BECU ahead in the digital banking space.
 This isn’t just about ticking off tasks on a list. It's about making a significant, positive change in BECU’s journey, where your contributions are valued, and your growth is continually fostered.
**What You’ll Gain**
* Strategic Impact: Influence major decisions that shape BECU’s digital banking future.
* High Visibility: Work directly with senior leadership and cross\-functional teams on critical initiatives.
* Innovation at Scale: Drive mobile\-first solutions for a growing member base.
* Professional Growth: Expand your expertise in digital banking strategy and vendor management.
* Collaborative Culture: Join a team that values autonomy, creativity, and results.
**Qualifications**
**Minimum Qualifications:**
* Bachelor’s degree or equivalent experience in technology, business, or related discipline.
* 7\+ years of experience in product management or product development roles.
* Experience managing and maintaining vendor relationships.
* Ability to self\-direct, identify business and customer needs, and deliver solutions.
* Strong communication skills, including writing, editing, and presenting to senior leadership.
* Experience with digital banking and mobile platforms.
**Desired Qualifications**
* Advanced degree preferred.
* Familiarity with Agile and Scrum methodologies.
* Experience developing user stories and domain expertise.
* Strong research, leadership, and negotiation skills.
* Product Owner certification.
* Knowledge of AI/ML concepts as a plus.
* Proficiency in PowerPoint and other presentation tools.
**EEO Statement**
 BECU is an equal opportunity employer. All qualified applicants will receive consideration for employment without regard to race, color, religion, sex, national origin, veteran status, disability, sexual orientation, gender identity, or any other protected status.</t>
        </is>
      </c>
    </row>
    <row r="35">
      <c r="A35" t="inlineStr">
        <is>
          <t>li-4275241774</t>
        </is>
      </c>
      <c r="B35" t="inlineStr">
        <is>
          <t>Product Manager – Automotive Aftermarket</t>
        </is>
      </c>
      <c r="C35" t="inlineStr">
        <is>
          <t>Sensata Technologies</t>
        </is>
      </c>
      <c r="D35" t="inlineStr">
        <is>
          <t>linkedin</t>
        </is>
      </c>
      <c r="E35" t="inlineStr"/>
      <c r="F35" t="inlineStr"/>
      <c r="G35" t="inlineStr">
        <is>
          <t>Attleboro, MA</t>
        </is>
      </c>
      <c r="H35" t="inlineStr"/>
      <c r="I35" t="inlineStr">
        <is>
          <t>As a leading global automotive original equipment "OE" technology provider \&amp; aftermarket supplier, the Sensata Aftermarket team is looking to strengthen our Product Management team by hiring a Product Manager to drive the development and execution of our global tire pressure monitoring system "TPMS" and Radar roadmaps for the Automotive OE and Aftermarket.
 The Product Manager will be responsible for the strategic planning of a global product portfolio and provide operational support for existing products. The role requires the ability to develop roadmaps on new and existing products that align with customer needs and the company’s strategic, operational, and financial objectives.
 The Product Manager is part of a global team and reports to the Global TPMS \&amp; Radar Senior Product Manager.
**General Responsibilities**
* Overseeing the development of actionable product roadmaps by integrating inputs from cross\-functional stakeholders in our business objectives \&amp; product strategy
* Defining a vision for a product and aligning stakeholders around the vision for the product
* Developing product strategy and optimizing product portfolio, providing planning and project prioritization
* Creating strategic alignment across larger teams to empower independent decision\-making
* Understanding and representing user needs
* Monitoring the market and developing competitive analyses
* Selecting and managing strategic partners (e.g. tool partners, packaging vendors, integrators)
* Overseeing product positioning in the marketplace, including rationalizing pricing strategy based on market conditions
* Contributing to the pricing strategy through the product life cycle
* Defining product marketing needs/ requirements and supporting Marketing plan execution including representing the company at industry tradeshows and customer events
* Tracking product and user metrics
* Addressing operational issues associated with quality, delivery, and production
* Supporting Cataloging/ Parts Data Management
* Liaise with legal, contract and compliance teams where necessary
**Experience / Qualifications**
* A university degree required (i.e. Bachelors degree) or equivalent relevant work experience.
* Must be a team player able to work in a fast\-paced environment with demonstrated ability to handle multiple competing tasks and demands
* Strong communication skills; oral, written and presentation
* Strong organization, planning and time management skills to achieve results
* Strong personal and professional ethical values and integrity
* Holds self\-accountable to achieving goals and standards
* Proficient in Microsoft Office programs (Outlook, Word, PowerPoint, and Excel)
* Strong interpersonal \&amp; collaboration skills to work effectively with all levels of the organization including suppliers and/or external customers
* Understanding the automotive/ heavy vehicle OE and/or Aftermarket is a must
* Prior experience or working knowledge of electronic vehicle controls, which may include sensors or cameras, is a plus
* Forward\-thinking, highly influential, and can walk people through the rationale behind a decision
* Willingness to travel up to 20% per year as required
**Base Salary Range:**
 $76,100\.00 \- $104,610\.00
*At Sensata, our employees are the key to our success and growth. We recognize that each individual brings their own unique experience, therefore the base salary range information shown above is a general guideline only. Sensata considers several factors when extending an offer, including, but not limited to, a candidate’s experience and qualifications, as well as internal equity, market and business considerations. In addition to base salary, Sensata offers competitive medical, dental, vision, life and disability insurance plans, along with education reimbursement, wellness programs, a 401(k) retirement plan with Company matching, and a variety of paid time off, such as vacation or flex\-time, sick, bereavement, and parental leave. Certain positions are also eligible for short\-term incentive and long\-term incentive programs.*
 Smarter
 **Together**
* Collaborating at Sensata means working with some of the world’s most talented people in an enriching environment that is constantly pushing towards the next best thing
* Employees work across functions, countries and cultures gaining new perspectives through mutual respect and open communication
* As OneSensata, we are working together to make things work together
 Click here to view Sensata Recruitment Privacy Statement
 Click here to view our Sensata Recruitment Privacy Statement for China
**NOTE: If you are a current Sensata employee (or one of our Affiliates), please back out of this application and log into Workday via the Company Intranet to apply directly. Type "FIND JOBS" in the Workday search bar.**</t>
        </is>
      </c>
    </row>
    <row r="36">
      <c r="A36" t="inlineStr">
        <is>
          <t>li-4295730974</t>
        </is>
      </c>
      <c r="B36" t="inlineStr">
        <is>
          <t>Product Manager - Small Unmanned Vehicle Autonomy</t>
        </is>
      </c>
      <c r="C36" t="inlineStr">
        <is>
          <t>Applied Intuition</t>
        </is>
      </c>
      <c r="D36" t="inlineStr">
        <is>
          <t>linkedin</t>
        </is>
      </c>
      <c r="E36" t="inlineStr"/>
      <c r="F36" t="inlineStr"/>
      <c r="G36" t="inlineStr">
        <is>
          <t>Washington, DC</t>
        </is>
      </c>
      <c r="H36" t="inlineStr"/>
      <c r="I36" t="inlineStr">
        <is>
          <t>**About Applied Intuition**
 Applied Intuition is the vehicle intelligence company that accelerates the global adoption of safe, AI\-driven machines. Founded in 2017 and now valued at $15 billion following its recent Series F funding round, Applied Intuition delivers the Vehicle OS, Self\-Driving System, and toolchain to help customers build intelligent vehicles and shorten time to market. 18 of the top 20 global automakers and major programs across the Department of Defense trust Applied Intuition's solutions to deliver vehicle intelligence. Applied Intuition services the automotive, defense, trucking, construction, mining, and agriculture industries and is headquartered in Mountain View, CA, with offices in Washington, D.C., San Diego, CA, Ft. Walton Beach, FL, Ann Arbor, MI,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**About The Role**
 As a Product Manager, you will own a key part of our product portfolio tailored to the defense autonomy industry. This includes shaping the autonomy and infrastructure for small unmanned systems across multiple domains (e.g. aerospace, maritime). You will thoughtfully balance and prioritize the requirements of users—including internal autonomy teams—and drive new adoption by communicating the value of your products. Working with multi\-disciplinary engineering teams, you will deliver clear, practical solutions with speed.
 At Applied Intuition, you will:
* Synthesize the experiences of your users, understand what drives them, and outline a roadmap to make your product continuously more valuable to our customers
* Drive the pace of product development and uphold high standards for quality
* Represent the product externally – with customers and at industry events
* Develop thought leadership on your product’s potential and communicate it effectively internally and externally while coordinating with business development, marketing, and growth teams
* Coordinate the resources of the entire company, from engineering leads to senior leadership, to ensure your product is winning for the customer
* Build a deep understanding of the autonomy industry and propose where Applied Intuition Defense should invest to meet long\-term demand
 We're looking for someone who has:
* BS degree in Computer Science, Engineering, or an equivalent degree
* Experience with PX4, ArduPilot, MAVLink, or related software for unmanned vehicles
* 7\+ years of experience working in the tech industry, with significant experience in defense
* Eligibility to obtain and hold an active U.S. DoD Security Clearance
* Overseen a product from development to deployment
* Solid technical background in modern software development and infrastructure
* A bias towards action and winning business outcomes
* Excels at written and verbal communication
* A willingness to be on the front lines with customers (10\-25% travel time)
 Nice to have:
* Advanced degree in Computer Science or Engineering
* An active U.S. DoD Top Secret Security Clearance
* Experience founding a company or joining an early\-stage startup
* Experience with Big Tech product management styles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posting’s subtitle for where this position will be located. For pay transparency purposes, the base salary range for this full\-time position in the location listed is: $150,000 \- $200,000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37">
      <c r="A37" t="inlineStr">
        <is>
          <t>li-4332564470</t>
        </is>
      </c>
      <c r="B37" t="inlineStr">
        <is>
          <t>Growth Product Manager, Website</t>
        </is>
      </c>
      <c r="C37" t="inlineStr">
        <is>
          <t>RemoteHunter</t>
        </is>
      </c>
      <c r="D37" t="inlineStr">
        <is>
          <t>linkedin</t>
        </is>
      </c>
      <c r="E37" t="inlineStr"/>
      <c r="F37" t="inlineStr"/>
      <c r="G37" t="inlineStr"/>
      <c r="H37" t="inlineStr"/>
      <c r="I37" t="inlineStr">
        <is>
          <t>About the Opportunity:
 The organization is the creator of a leading time series platform used to collect, store, and analyze time series data at any scale. Developers can query and analyze their time\-stamped data in real\-time to discover, interpret, and share new insights. This remote\-first organization seeks an experienced and entrepreneurial Growth Product Manager to join the Marketing team. The role involves delivering website strategies to increase awareness, drive customer acquisition, and improve product adoption. The position functions as both Product Manager of the main website and driver of customer experience journeys for solution discovery.
 Responsibilities:
 • Own the website as a growth channel, including conversion rate optimization, site performance, and user experience improvements to drive developer signups and product adoption
 • Design and execute marketing experiments focused on product\-led growth and lead generation; prioritize test ideas with cross\-functional teams, run A/B tests, analyze results, and implement successful experiments
 • Develop and execute a technical SEO/GEO roadmap to improve crawlability, indexability, structured data, and discoverability in AI\-powered search results for organic growth
 • Manage the web development roadmap, balancing priorities between conversion optimization, technical improvements, and new capabilities
 • Analyze user behavior, conversion funnels, and test results to identify effective strategies and areas for change
 • Establish regular reporting cadence to communicate website performance, organic growth metrics, and experiment results to leadership and cross\-functional teams
 • Understand B2B SaaS marketing and sales motions to drive cross\-functional success
 Requirements:
 • 4\+ years of growth product management experience, especially in a fast\-paced product\-led growth environment
 • Strong analytical skills with the ability to independently analyze data, identify growth opportunities, and make actionable decisions
 • Expertise in hypotheses\-driven website experimentation and relevant tools including Google Analytics, A/B testing platforms, design collaboration tools such as Figma, and CMS like Contentful or Sanity; knowledge of SQL/Python is a plus
 • Working knowledge of GEO/AEO principles and modern SEO tactics for AI\-powered search engines
 • Exceptional communication, relationship management, and organizational skills, with proven ability to lead complex, multi\-quarter, cross\-functional projects
 • Bias for action and ability to work autonomously; ability to identify opportunities, make quick decisions with imperfect information, and ship iteratively
 • Empathy for developers and enthusiasm for building products they will love
 Benefits \&amp; Perks:
 • Medical, dental, and vision insurance with 100% employee coverage
 • Company contribution to Flexible Spending Account (FSA)
 • Flexible Time Off policy
 • Life insurance, short\-term and long\-term disability insurance
 • 401(k) retirement plan
 • Wellness programs
 • Annual professional development budget
 • Financial planning and legal advice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8">
      <c r="A38" t="inlineStr">
        <is>
          <t>li-4223091673</t>
        </is>
      </c>
      <c r="B38" t="inlineStr">
        <is>
          <t>Principal Product Manager</t>
        </is>
      </c>
      <c r="C38" t="inlineStr">
        <is>
          <t>Circle</t>
        </is>
      </c>
      <c r="D38" t="inlineStr">
        <is>
          <t>linkedin</t>
        </is>
      </c>
      <c r="E38" t="inlineStr"/>
      <c r="F38" t="inlineStr"/>
      <c r="G38" t="inlineStr"/>
      <c r="H38" t="inlineStr"/>
      <c r="I38" t="inlineStr">
        <is>
          <t>Circle (NYSE: CRCL) is one of the world’s leading internet financial platform companies, building the foundation of a more open, global economy through digital assets, payment applications, and programmable blockchain infrastructure. Circle’s platform includes the world’s largest regulated stablecoin network anchored by USDC, Circle Payments Network for global money movement, and Arc, an enterprise\-grade blockchain designed to become the Economic OS for the internet. Enterprises, financial institutions, and developers use Circle to power trusted, internet\-scale financial innovation. Learn more at circle.com.
**What You’ll Be Part Of**
 Circle is committed to visibility and stability in everything we do. As we grow as an organization, we're expanding into some of the world's strongest jurisdictions. Speed and efficiency are motivators for our success and our employees live by our company values: High Integrity, Future Forward, Multistakeholder, Mindful, and Driven by Excellence. We have built a flexible work environment where new ideas are encouraged and everyone is a stakeholder.
**What You’ll Be Responsible For**
 As a Principal Product Manager at Circle, you will own the strategy and execution of our customer onboarding platform, ensuring it scales to support new products, markets, and global regulatory requirements. You will act as a cross\-functional leader, partnering with compliance, risk, legal, engineering, and business stakeholders to align priorities and deliver solutions that balance regulatory rigor with customer experience. By combining product vision, data\-driven insights, and deep compliance expertise, you will enable Circle to expand efficiently into new markets, reduce risk, and uphold the highest standards of trust and integrity.
**What You’ll Work On**
* Define and own the product strategy and roadmap for critical components within the Circle platform, prioritizing and launching scalable solutions that promote reusability and increase developer efficiency across Circle products.
* Lead the evolution of onboarding and compliance capabilities for Circle platform, driving both incremental enhancements and long\-term platform transformation.
* Partner with compliance, legal, risk, engineering, and product teams to design systems that balance regulatory rigor with seamless customer experiences.
* Identify and resolve process gaps, bottlenecks, and inefficiencies that impact onboarding speed, scalability, and compliance outcomes.
* Translate regulatory requirements and business needs into clear product requirements, insights, and user stories for engineering execution.
* Represent onboarding and platform priorities across senior forums, influencing strategy and securing alignment for high\-impact initiatives.
* Build and maintain documentation that clearly explains the design, functionality, and dependencies of onboarding systems and tools.
* Define, monitor, and report on platform performance metrics and risk indicators, highlighting progress and challenges to executives and the Board.
* Engage with regulators, auditors, and examiners to demonstrate how Circle’s onboarding platform scales effectively while meeting compliance obligations.
**Core Requirements**
**What you’ll bring to Circle:**
* 10\+ years of experience delivering large\-scale compliance, onboarding, or risk platforms in fintech, payments, or crypto.
* Hands\-on experience using AI tools for prototyping and generating product mocks to accelerate design and development.
* Proven track record implementing KYB, KYC, and AML technologies to meet global regulatory requirements.
* Expertise in designing compliance workflows and building scalable systems that accelerate customer onboarding.
* Strong ability to translate regulatory and business needs into clear product requirements and platform strategies.
* Demonstrated leadership influencing executives and cross\-functional teams to align on product direction.
* Highly analytical and data\-driven, with experience applying AI/ML to improve onboarding decision\-making, risk detection, and process efficiency.
**Preferred Requirements**
* Background in RegTech, banking, or scaled fintech, with direct exposure to complex regulatory environments.
* Executive presence with the ability to represent Circle externally with regulators, auditors, and industry stakeholders.
*Circle is on a mission to create an inclusive financial future, with transparency at our core. We consider a wide variety of elements when crafting our compensation ranges and total compensation packages.*
*Starting pay is determined by various factors, including but not limited to: relevant experience, skill set, qualifications, and other business and organizational needs. Please note that compensation ranges may differ for candidates in other locations.*
 Base Pay Range: $187,500 \- $240,000
 We are an
 **equal opportunity employer** 
 . We do not discriminate on the basis of race, religion, color, national origin, gender, sexual orientation, age, marital status, veteran status, or disability status, or any other protected status required by the laws in the locations where we hire. Additionally, Circle participates in the E\-Verify Program in certain locations, as required by law.
*Should you require accommodations or assistance in our interview process because of a disability, please reach out to* 
*accommodations@circle.com* 
*for support. We respect your privacy and will connect with you separately from our interview process to accommodate your needs.*</t>
        </is>
      </c>
    </row>
    <row r="39">
      <c r="A39" t="inlineStr">
        <is>
          <t>li-4339854017</t>
        </is>
      </c>
      <c r="B39" t="inlineStr">
        <is>
          <t>Senior Product Manager</t>
        </is>
      </c>
      <c r="C39" t="inlineStr">
        <is>
          <t>Albertsons Companies</t>
        </is>
      </c>
      <c r="D39" t="inlineStr">
        <is>
          <t>linkedin</t>
        </is>
      </c>
      <c r="E39" t="inlineStr"/>
      <c r="F39" t="inlineStr"/>
      <c r="G39" t="inlineStr">
        <is>
          <t>Pleasanton, CA</t>
        </is>
      </c>
      <c r="H39" t="inlineStr"/>
      <c r="I39" t="inlineStr">
        <is>
          <t>**Why choose us?** 
**Are you ready to take the next step in your career? Join us for an exciting opportunity at Albertsons Companies, where innovation and customer service go hand\-in\-hand!** 
 At Albertsons Companies, we are looking for someone who’s not just seeking a job, but someone who wants to make an impact. In this role, you’ll have the opportunity to lead, innovate, and contribute to the growth of a company that values great service and lasting customer relationships. This position offers the chance to work in a fast\-paced, dynamic environment that’s constantly evolving.
 Albertsons Media Collective, The Retail Media division of Albertsons has an opening for a Senior Technical Product Manager, Targeting and Incrementality
 The product team at Albertsons Media Collective plays a crucial role in developing innovative ad products and premium data\-driven solutions that empower advertisers to reach millions of shoppers with highly targeted ads while enhancing the shopping experience. In this position, you will collaborate with diverse business and technical teams, including advertisers, suppliers, partners, and industry standards organizations, to define priorities and develop next\-generation capabilities for retail media.
**Main Responsibilities** 
* Design and launch audience segmentation tools leveraging first\-party and partner data.
* Partner with our ad sales team, engineering and data science to produce the data requirements and build durable, privacy\-compliant targeting and segmentation capabilities
* Work with Engineering, Data Science, Analytics teams to launch ML\-based audience segments.
* Integrate experimentation into product launches and advertiser workflows
* Develop propensity\-to\-buy scoring models to improve targeting and personalization
* Collaborate with analytics teams to leverage behavioral and transactional data for predictive insights
 The position will be based in Pleasanton, CA
**We Are Looking For Candidates Who Possess The Following** 
* 5 to 8 years of experience in product management, leading ad\-supported media experiences within the tech, retail, entertainment, or social media industries.
* Expert understanding of customer identity and customer data in advertising – browser cookies, mobile device identifiers, identity graph, 3rd party identity solutions, privacy compliance, data governance.
* Expert understanding of machine learning, predictive analytics and optimization
* Proven ability to develop vision, strategies, and foster collaborative relationships within complex, matrixed organizations.
* Analytical and wired to consume large amounts of data and insights.
* Passionate technologist with a brilliant growth hacker mindset and business acumen
* Strong communication, storytelling, and presentation skills.
* Equal obsession for customer challenges and engineering complexities
* Bachelor’s or Master’s degree in marketing, Computer Science, Engineering, or a related field.
**We Also Provide a Variety Of Benefits Including** 
* Competitive wages paid weekly
* Associate discounts
* Health and financial well\-being benefits for eligible associates (Medical, Dental, 401k and more!)
* Time off (vacation, holidays, sick pay). For eligibility requirements please visit myACI Benefits
* Leaders invested in your training, career growth and development
* An inclusive work environment with talented colleagues who reflect the communities we serve
**Our Values – Click below to view video:** 
 ACI Values
 The salary range is $145,000 to $188,000 annually. Starting salary will vary based on criteria such as location, experience, and qualifications. There may be flexibility for exceptional candidates.
*A copy of the full job description can be made available to you.*</t>
        </is>
      </c>
    </row>
    <row r="40">
      <c r="A40" t="inlineStr">
        <is>
          <t>li-4316048100</t>
        </is>
      </c>
      <c r="B40" t="inlineStr">
        <is>
          <t>Principal Product Manager, Confluence Onboarding</t>
        </is>
      </c>
      <c r="C40" t="inlineStr">
        <is>
          <t>Atlassian</t>
        </is>
      </c>
      <c r="D40" t="inlineStr">
        <is>
          <t>linkedin</t>
        </is>
      </c>
      <c r="E40" t="inlineStr"/>
      <c r="F40" t="inlineStr"/>
      <c r="G40" t="inlineStr">
        <is>
          <t>Mountain View, CA</t>
        </is>
      </c>
      <c r="H40" t="inlineStr"/>
      <c r="I40" t="inlineStr">
        <is>
          <t>**Overview**
 We are seeking a
 **Principal Product Manager** 
 to lead the
 **Confluence Onboarding** 
 experience, focused on activating new customers from our
 **Land (Acquisition)** 
 and
 **Cross\-sell** 
 motions. This role is critical in shaping how new technical and business user admins first experience Confluence, ensuring they discover its value quickly and stay engaged long\-term.
 You will own the
 **strategy and roadmap** 
 for helping new admins successfully adopt Confluence — understanding who they are, guiding them into the right parts of the product, and enabling them to realize value during their crucial first weeks. This work directly impacts Atlassian’s growth by ensuring new customers not only sign up, but also activate and expand.
**Working at Atlassian**
 Atlassians can choose where they work – whether in an office, from home, or a combination of the two. That way, Atlassians have more control over supporting their family, personal goals, and other priorities. We can hire people in any country where we have a legal entity.
**Responsibilities**
**Responsibilities**
* Define the onboarding strategy for new Confluence admins across acquisition and cross\-sell journeys.
* Deeply understand jobs\-to\-be\-done for both technical and business user admins as they set up Confluence for the first time.
* Shape the first\-time admin experience: landing users into the right product areas, tailoring guidance, and removing friction.
* Partner closely with Design and Research to develop empathetic, intuitive experiences that balance user needs with business goals.
* Collaborate with Marketing, Core Product, and Growth teams to ensure onboarding connects seamlessly with upstream acquisition and cross\-sell motions.
* Work with Engineering and Data Science to define metrics, run experiments, and measure success of onboarding flows.
* Drive alignment across Atlassian to deliver a cohesive, value\-driven admin journey.
**Qualifications**
**Qualifications**
* 7\+ years in product management, with at least 3 years in SaaS Activation/Onboarding, Consumer, or E\-Commerce roles.
* Strong analytical skills; experience with product analytics, experimentation, and data\-driven decision making.
* Proficiency in using prototyping AI tools to rapidly test and validate onboarding concepts and flows.
* Strong written communication skills, with the ability to craft clear, concise onboarding content, documentation, and XFN communication.
* Experience onboarding technical and business user personas in B2B SaaS.
* Familiarity with Atlassian products or similar collaboration platforms.
**Compensation**
 At Atlassian, we strive to design equitable, explainable, and competitive compensation programs. To support this goal, the baseline of our range is higher than that of the typical market range, but in turn we expect to hire most candidates near this baseline. Base pay within the range is ultimately determined by a candidate's skills, expertise, or experience. In the United States, we have three geographic pay zones. For this role, our current base pay ranges for new hires in each zone are:
 Zone A: $193,500 \- $252,625
 Zone B: $174,600 \- $227,950
 Zone C: $161,100 \- $210,325
 This role may also be eligible for benefits, bonuses, commissions, and equity.
 Please visit go.atlassian.com/payzones for more information on which locations are included in each of our geographic pay zones. However, please confirm the zone for your specific location with your recruiter.
**Benefits \&amp; Perks**
 Atlassian offers a wide range of perks and benefits designed to support you, your family and to help you engage with your local community. Our offerings include health and wellbeing resources, paid volunteer days, and so much more. To learn more, visit
 **go.atlassian.com/perksandbenefits** 
**.**
**About Atlassian**
 At Atlassian, we're motivated by a common goal: to unleash the potential of every team. Our software products help teams all over the planet and our solutions are designed for all types of work. Team collaboration through our tools makes what may be impossible alone, possible together.
 We believe that the unique contributions of all Atlassians create our success. To ensure that our products and culture continue to incorporate everyone's perspectives and experience, we never discriminate based on race, religion, national origin, gender identity or expression, sexual orientation, age, or marital, veteran, or disability status. All your information will be kept confidential according to EEO guidelines.
 To provide you the best experience, we can support with accommodations or adjustments at any stage of the recruitment process. Simply inform our Recruitment team during your conversation with them.
 To learn more about our culture and hiring process, visit
 **go.atlassian.com/crh** 
**.**</t>
        </is>
      </c>
    </row>
    <row r="41">
      <c r="A41" t="inlineStr">
        <is>
          <t>li-4315874776</t>
        </is>
      </c>
      <c r="B41" t="inlineStr">
        <is>
          <t>Fixed Income Product Manager</t>
        </is>
      </c>
      <c r="C41" t="inlineStr">
        <is>
          <t>SS&amp;C Technologies</t>
        </is>
      </c>
      <c r="D41" t="inlineStr">
        <is>
          <t>linkedin</t>
        </is>
      </c>
      <c r="E41" t="inlineStr"/>
      <c r="F41" t="inlineStr"/>
      <c r="G41" t="inlineStr">
        <is>
          <t>New Jersey, United States</t>
        </is>
      </c>
      <c r="H41" t="inlineStr"/>
      <c r="I41"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**Job Title:** 
 Fixed Income Product Manager
**Locations** 
 : 100% Remote
**Get To Know Us:**
 We are seeking a strategic and technically proficient Fixed Income Product Manager to lead the evolution of our Fixed Income product offerings. This role demands deep subject matter expertise across the full lifecycle of Fixed Income trading, portfolio management, risk and performance analytics. You will collaborate with cross\-functional teams and senior leadership to define and execute the strategic direction of our Fixed Income platform.
**Why You Will Love It Here!**
*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**Subject Matter Expertise**
* Act as the SME across the full lifecycle of a Fixed Income trade—from pre\-trade analytics and execution to post\-trade processing and reporting.
* Maintain deep knowledge of Fixed Income instruments including:
+ Government and corporate bonds
+ Municipal securities
+ Structured products
+ Credit derivatives and interest rate products
**Portfolio Management \&amp; Analytics**
* Define and support features related to Fixed Income portfolio management, including:
+ Performance measurement
+ Attribution analysis
+ Risk modeling and scenario analysis
+ Benchmarking and compliance
**Product Development \&amp; Requirements Gathering**
* Collaborate with internal stakeholders to flush out detailed requirements for Fixed Income features across trading, modeling, analytics, and market data.
* Translate business needs into clear, actionable technical specifications for Engineering and QA teams.
* Write and maintain high\-quality product documentation and specifications.
**Sales \&amp; Marketing Enablement**
* Support Sales Engineers by demonstrating Fixed Income capabilities and new platform features to clients and prospects.
* Act as a Fixed Income SME in client meetings, webinars, and marketing campaigns.
* Partner with Marketing to develop content that highlights Fixed Income product strengths and differentiators.
**Strategic Planning**
* Work closely with senior management to define and refine the strategic direction of our Fixed Income offering.
* Contribute to long\-term product vision and roadmap planning based on market trends, client feedback, and competitive analysis.
**Client Engagement**
* Engage directly with clients to understand their Fixed Income workflows, pain points, and feature requests.
* Gather feedback and incorporate it into the product roadmap and development cycles.
**Cross\-Functional Collaboration**
* Work closely with Product Managers, Engineers, and QA to ensure timely and high\-quality delivery of Fixed Income features.
* Participate in sprint planning, backlog grooming, and release management processes.
**What You Will Bring:**
* Strong understanding of Fixed Income trading systems and market structure
* Experience with portfolio management platforms and performance attribution tools
* Must have experience with API’s and how they work
* Familiarity with financial modeling and analytics platforms (e.g., Python, R, Excel, SQL)
* Knowledge of APIs, data integration, and financial data providers (e.g., Bloomberg, Refinitiv)
* Ability to write clear and structured business and technical specifications
* Experience with Agile development methodologies and tools (e.g., Jira, Confluence)
**Qualifications:**
* 5\+ years of experience in Fixed Income markets, preferably in product management, portfolio management, or sales engineering role
* Proven ability to demo financial products and articulate value propositions to technical and non\-technical audiences
* Excellent communication and presentation skills; comfortable in client\-facing and executive\-level discussions
* Bachelor’s degree in Finance, Economics, Engineering, or related field; MBA or CFA preferred
 Thank you for your interest in SS\&amp;C! If applicable, to further explore this opportunity, please apply directly with us through our Careers page on our corporate website: www.ssctech.com/careers.
 \#CA\-BP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42">
      <c r="A42" t="inlineStr">
        <is>
          <t>li-4335091514</t>
        </is>
      </c>
      <c r="B42" t="inlineStr">
        <is>
          <t>Senior Product Manager - Cloud</t>
        </is>
      </c>
      <c r="C42" t="inlineStr">
        <is>
          <t>Akamai Technologies</t>
        </is>
      </c>
      <c r="D42" t="inlineStr">
        <is>
          <t>linkedin</t>
        </is>
      </c>
      <c r="E42" t="inlineStr"/>
      <c r="F42" t="inlineStr"/>
      <c r="G42" t="inlineStr">
        <is>
          <t>Cambridge, MA</t>
        </is>
      </c>
      <c r="H42" t="inlineStr"/>
      <c r="I42" t="inlineStr">
        <is>
          <t>**Job Description**
**Do you enjoy solving large\-scale challenges?**
**Would you like to help define the next generation of cloud compute?**
**Come join our Cloud Technology Group!**
 This team's mission is to accelerate innovation by building the next generation of edge applications.We provide the infrastructure and solutions that enable developers and enterprises to scale modern applications at the edge with speed, security, and reliability of Akamai's global network
**Partner with the best**
 As a Senior Product Manager, you'll invent, manage, and optimize Akamai's high\-priority Cloud products, collaborating closely with cross\-functional teams and key third\-party independent software vendors to drive innovation and growth. You will lead the product strategy for these critical partnerships, ensuring joint success between Akamai and our partners, ultimately contributing to Akamai's overall cloud success.
 As a Senior Product Manager, you will be responsible for:
* Leading the product strategy and roadmap for Akamai ISV products that directly contribute to the company's cloud success.
* Developing and executing a plan to drive customer adoption by meeting clear customer and developer requirements.
* Building dynamic relationships with key independent software vendors and internal stakeholders.
* Communicating the vision and value proposition of these products to diverse audiences.
* Collaborating effectively with cross\-functional teams to ensure successful product development, delivery, and growth.
* Defining and implementing processes and tools to streamline product development and integration.
**Do What You Love**
 To be successful in this role you will:
* Have 12 years of relevant experience and a Bachelor's degree or its equivalent
* Have a proven track record of delivering and scaling customer focused products.
* Demonstrate ability to understand, define, and communicate the value of highly technical cloud products.
* Demonstrate experience launching/managing cloud products.
* Have good communication skills, including written, verbal, and presentation skills, to effectively convey complex information to diverse audiences.
* Possess deep relationship\-building skills and experience collaborating with technology partners.
**Work in a way that works for you**
 FlexBase, Akamai's Global Flexible Working Program, is based on the principles that are helping us create the best workplace in the world. When our colleagues said that flexible working was important to them, we listened. We also know flexible working is important to many of the incredible people considering joining Akamai. FlexBase, gives 95% of employees the choice to work from their home, their office, or both (in the country advertised). This permanent workplace flexibility program is consistent and fair globally, to help us find incredible talent, virtually anywhere. We are happy to discuss working options for this role and encourage you to speak with your recruiter in more detail when you apply.
 Learn what makes Akamai a great place to work
 Connect with us on social and see what life at Akamai is like!
**We power and protect life online, by solving the toughest challenges, together.**
 At Akamai, we're curious, innovative, collaborative and tenacious. We celebrate diversity of thought and we hold an unwavering belief that we can make a meaningful difference. Our teams use their global perspectives to put customers at the forefront of everything they do, so if you are people\-centric, you'll thrive here.
**Working for you**
**Benefits**
 At Akamai, we will provide you with opportunities to grow, flourish, and achieve great things. Our benefit options are designed to meet your individual needs for today and in the future. We provide benefits surrounding all aspects of your life:
* Your health
* Your finances
* Your family
* Your time at work
* Your time pursuing other endeavors
 Our benefit plan options are designed to meet your individual needs and budget, both today and in the future.
**About Us**
 Akamai powers and protects life online. Leading companies worldwide choose Akamai to build, deliver, and secure their digital experiences helping billions of people live, work, and play every day. With the world's most distributed compute platform from cloud to edge we make it easy for customers to develop and run applications, while we keep experiences closer to users and threats farther away.
**Join us**
 Are you seeking an opportunity to make a real difference in a company with a global reach and exciting services and clients? Come join us and grow with a team of people who will energize and inspire you!
 Akamai Technologies is an Affirmative Action, Equal Opportunity Employer that values the strength that diversity brings to the workplace. All qualified applicants will receive consideration for employment and will not be discriminated against on the basis of gender, gender identity, sexual orientation, race/ethnicity, protected veteran status, disability, or other protected group status.
 If no date is displayed, applications are being accepted on an ongoing basis until the job is filled.
**Compensation**
 Akamai is committed to fair and equitable compensation practices. For US based candidates only \- the base salary for this position ranges from $126,700 \- $263,300/year; a candidate’s salary is determined by various factors including, but not limited to, relevant work experience, skills, certifications and location. Compensation for candidates outside the US will vary. The compensation package may also include incentive compensation opportunities in the form of annual bonus or incentives, equity awards and an Employee Stock Purchase Plan (ESPP). Akamai provides industry\-leading benefits including healthcare, 401K savings plan, company holidays, vacation (in the form of PTO), sick time, family friendly benefits including parental leave and an employee assistance program including a focus on mental and financial wellness; Eligibility requirements apply.</t>
        </is>
      </c>
    </row>
    <row r="43">
      <c r="A43" t="inlineStr">
        <is>
          <t>li-4334643062</t>
        </is>
      </c>
      <c r="B43" t="inlineStr">
        <is>
          <t>ICG Liquidity Solutions Product Manager</t>
        </is>
      </c>
      <c r="C43" t="inlineStr">
        <is>
          <t>U.S. Bank</t>
        </is>
      </c>
      <c r="D43" t="inlineStr">
        <is>
          <t>linkedin</t>
        </is>
      </c>
      <c r="E43" t="inlineStr"/>
      <c r="F43" t="inlineStr"/>
      <c r="G43" t="inlineStr">
        <is>
          <t>New York, NY</t>
        </is>
      </c>
      <c r="H43" t="inlineStr"/>
      <c r="I43" t="inlineStr">
        <is>
          <t>At U.S. Bank, we’re on a journey to do our best. Helping the customers and businesses we serve to make better and smarter financial decisions and enabling the communities we support to grow and succeed. We believe it takes all of us to bring our shared ambition to life, and each person is unique in their potential. A career with U.S. Bank gives you a wide, ever\-growing range of opportunities to discover what makes you thrive at every stage of your career. Try new things, learn new skills and discover what you excel at—all from Day One.
**Job Description**
 Product Managers at U.S. Bank are customer obsessed in driving product planning, visioning, development, management, and customer experience to deliver on our human \+ digital product strategy and staying one step ahead of evolving economic, technological, and customer needs. We are seeking a Product Manager to support the Money Center product set on the Liquidity Solutions team. The Money Center provides short\-term on\-and off\-balance sheet investment solutions for our clients, including self\-directed investments through the SinglePoint Investment portal.
**Responsibilities of the role include, but are not limited to:**
**PRODUCT PROFITABILITY**
* Structure short\- and long\-term outcomes and business value of product portfolio including connection to roadmap, Objectives and Key Results, and strategic investments.
**PRODUCT STRATEGY, VISION, AND PLANNING**
* Understands and communicates the Money Center product set, along with opportunities, to internal partners, in collaboration with Liquidity Solutions Product Leader.
* Has technical know\-how, understands the product technical architecture and the economics of technical investments, e.g., buy vs build, total cost of ownership ‘TCO’.
**PRODUCT DEVELOPMENT**
* Drives product development and actively engages cross\-functional stakeholders to enable faster speed to market and maximize return on spend in decision making for the product roadmap (e.g., issue resolution, MVP definition, ongoing prioritization).
* Prioritizes resources across developing new products and reimagining existing products.
**CHANNEL ALIGNMENT AND MANAGEMENT**
* Leverages enterprise platforms and capabilities, to improve speed to market and drive both development and ongoing support cost efficiencies (e.g., provide more functionality for same investment or same amount of functionality for less investment).
**TECHNOLOGY PRODUCT SUPPORT AND OWNERSHIP**
* Own relationships between internal Technology teams and external vendors for product enhancements, roadmap, resource allocation, and development.
* Structure RFPs as needed for new vendors, work with procurement on negotiations.
* Collaborate with internal operations teams to ensure program management, handoff support, and organization with any new implementations.
* Stay current on market trends and opportunities for product enhancement and vendor solutions within the wholesale liquidity solution space.
**ADOPTION**
* Prove out product\-market fit by finding raving fans, co\-creating solutions, driving product demand, activation, and engagement.
**Customer Experience Research, Insight, And Execution**
* Identifies initial and ongoing product\-market fit by communicating and incorporating customer/user needs, competitive landscape, business objectives, the bank’s strategic advantage and economic environment to enhance new and existing products.
* Demonstrates deep understanding of target customer through internal/external research (e.g., creation of personas, story maps, product chartering/mapping experience).
**GO TO MARKET AND SALES CHANNELS**
* Engages with enabling functions (e.g., marketing, sales, training, operations, go to market, etc.) to position and promote supported and planned products to achieve business goals.
* Evaluate and onboard vendors as needed.
**PERFORMANCE MEASURE AND OPTIMIZATION**
* Develops, analyzes, monitors, and reports on performance metrics from internal and external sources to identify key trends and opportunities for continuous improvement. Uses performance metrics to drive towards progress on identified strategies and initiatives.
* Influences and drives alignment across functions, channels, and lines of business to set product strategy, manage performance, and optimize execution.
***Hybrid/flexible schedule***
 The role offers a hybrid/flexible schedule, which means there's an in\-office expectation of 3 or more days per week and the flexibility to work outside the office location for the other days.
 If there’s anything we can do to accommodate a disability during any portion of the application or hiring process, please refer to our disability accommodations for applicants.
**Benefits:**
 Our approach to benefits and total rewards considers our team members’ whole selves and what may be needed to thrive in and outside work. That's why our benefits are designed to help you and your family boost your health, protect your financial security and give you peace of mind. Our benefits include the following (some may vary based on role, location or hours):
* Healthcare (medical, dental, vision)
* Basic term and optional term life insurance
* Short\-term and long\-term disability
* Pregnancy disability and parental leave
* 401(k) and employer\-funded retirement plan
* Paid vacation (from two to five weeks depending on salary grade and tenure)
* Up to 11 paid holiday opportunities
* Adoption assistance
* Sick and Safe Leave accruals of one hour for every 30 worked, up to 80 hours per calendar year unless otherwise provided by law
 U.S. Bank is an equal opportunity employer. We consider all qualified applicants without regard to race, religion, color, sex, national origin, age, sexual orientation, gender identity, disability or veteran status, and other factors protected under applicable law.
**E\-Verify**
 U.S. Bank participates in the U.S. Department of Homeland Security E\-Verify program in all facilities located in the United States and certain U.S. territories. The E\-Verify program is an Internet\-based employment eligibility verification system operated by the U.S. Citizenship and Immigration Services. Learn more about the E\-Verify program.
 The salary range reflects figures based on the primary location, which is listed first. The actual range for the role may differ based on the location of the role. In addition to salary, U.S. Bank offers a comprehensive benefits package, including incentive and recognition programs, equity stock purchase 401(k) contribution and pension (all benefits are subject to eligibility requirements). Pay Range: $126,820\.00 \- $149,200\.00
 U.S. Bank will consider qualified applicants with arrest or conviction records for employment. U.S. Bank conducts background checks consistent with applicable local laws, including the Los Angeles County Fair Chance Ordinance and the California Fair Chance Act as well as the San Francisco Fair Chance Ordinance. U.S. Bank is subject to, and conducts background checks consistent with the requirements of Section 19 of the Federal Deposit Insurance Act (FDIA). In addition, certain positions may also be subject to the requirements of FINRA, NMLS registration, Reg Z, Reg G, OFAC, the NFA, the FCPA, the Bank Secrecy Act, the SAFE Act, and/or federal guidelines applicable to an agreement, such as those related to ethics, safety, or operational procedures.
 Applicants must be able to comply with U.S. Bank policies and procedures including the Code of Ethics and Business Conduct and related workplace conduct and safety policies.
**Posting may be closed earlier due to high volume of applicants.**</t>
        </is>
      </c>
    </row>
    <row r="44">
      <c r="A44" t="inlineStr">
        <is>
          <t>li-4345612103</t>
        </is>
      </c>
      <c r="B44" t="inlineStr">
        <is>
          <t>Principal Product Manager - Health Knowledge Platform</t>
        </is>
      </c>
      <c r="C44" t="inlineStr">
        <is>
          <t>Oracle</t>
        </is>
      </c>
      <c r="D44" t="inlineStr">
        <is>
          <t>linkedin</t>
        </is>
      </c>
      <c r="E44" t="inlineStr"/>
      <c r="F44" t="inlineStr"/>
      <c r="G44" t="inlineStr"/>
      <c r="H44" t="inlineStr"/>
      <c r="I44" t="inlineStr">
        <is>
          <t>**Job Description**
 Join us to shape the future of healthcare, transforming how clinicians deliver care through AI\-driven solutions that enhance efficiency, reduce burnout, and improve patient outcomes
**About The Role**
 We are seeking a driven Product Manager to lead the strategy and execution of healthcare knowledge graph initiatives within Oracle’s Clinical AI team. In this role, you will act as a key connector between AI development and the teams building Ambulatory and Acute EHR experiences, ensuring seamless integration of advanced AI capabilities into clinical workflows. You will define product strategies, prioritize initiatives, and manage dependencies across AI agents and knowledge platform projects, translating complex technical opportunities into actionable roadmaps. Your work will directly enable clinicians to leverage AI\-driven insights, improving decision\-making and delivering measurable impact for patients and care teams.
**Key Responsibilities**
* Product Strategy \&amp; Roadmap: Define, align, and maintain product strategies and roadmaps that deliver engaging, user\-centric features, driving adoption of AI\-powered capabilities within clinician and healthcare staff workflows.
* AI \&amp; Emerging Technologies: Monitor advances in NLP, knowledge graphs, large language models, and generative AI; partner with specialists to translate innovation into differentiated clinical applications and measurable improvements in care.
* Cross\-Functional Collaboration: Serve as the connective tissue between engineering, data science, clinical informatics, terminology experts, and EHR product leaders. Enable seamless integration and high\-impact delivery of AI and knowledge graph features.
* Opportunity Identification: Engage with internal stakeholders, clinicians, and researchers to identify high\-value clinical workflows and product opportunities that can be transformed by AI agents and structured knowledge platforms.
* Concept Development \&amp; Feasibility: Translate user needs and abstract ideas into structured product concepts. Define success criteria, coordinate exploration of feasibility with technical teams, and prioritize solutions aligned to clinical and business outcomes.
* Knowledge Platforms: Oversee design and scaling of clinical knowledge and patient graphs, ensuring federation of curated relationships, standards\-based data integration, and enablement of real\-time reasoning, search, and decision support.
* Governance \&amp; Compliance: Design and advocate for robust governance models, validation tooling, and compliance protocols that prioritize data integrity, privacy, and security in accordance with industry standards.
* Product Delivery \&amp; Adoption: Support release planning, enablement, and go\-to\-market strategy for new capabilities; work closely with customer\-facing teams to ensure successful implementation and integration.
* Customer Engagement: Cultivate relationships with key users and partners to validate assumptions, gather feedback, and inform prioritization that keeps clinical needs at the forefront of product evolution.
* Outcomes Measurement: Define and monitor adoption metrics and product impact, using insights to drive continuous improvement and investment recommendations.
**Your Qualifications**
* 8\+ years in product management or platform leadership, with a substantial focus on data, AI/ML, or healthcare technology products
* Proven success building and delivering clinical knowledge graphs, structured knowledge platforms, or advanced healthcare data solutions
* Deep familiarity with clinical ontologies and standards (SNOMED CT, LOINC, RxNorm, ICD), and interoperability protocols (FHIR, HL7\)
* Hands\-on experience with semantic technologies (RDF, OWL, SPARQL) and search infrastructure (OpenSearch/Elasticsearch)
* Demonstrated ability to lead cross\-functional initiatives and manage complex dependencies spanning engineering, clinical, and go\-to\-market teams
* Strong communication skills, able to navigate technical, clinical, and business conversations with diverse stakeholders
* Experience launching new products and achieving market traction in regulated environments
* Bachelor’s degree in Computer Science, Engineering, Healthcare Informatics, or equivalent experience; advanced degree or relevant certifications a plus
**Preferred Qualifications**
* Track record working with clinical AI agents, LLMs, or conversational interfaces in healthcare
* Experience with real\-world model validation, safety protocols, and regulatory compliance in clinical settings
* Capable of translating user needs into system requirements and effective product concepts
* Familiarity with customer engagement, feedback loops, and data\-driven product iteration
**Career Level:** 
 IC4
**The Oracle Clinical AI Agent team’s mission is to deliver an AI platform that serves as the foundation for Oracle’s health applications. By embedding generative and conversational AI into these applications, we empower clinicians to simplify workflows, reduce manual tasks, and focus on patient care. Working at Oracle, you’ll join a diverse team of innovators building the future of healthcare—combining the agility of a start\-up with the impact of an industry leader.**
**Apply now and help us deliver the next generation of intelligent, clinician\-centered healthcare solutions.**
**Responsibilities**
 As a member of the product development division, you will analyze and integrate external customer specifications. Suggest and justify product directions and specifications. Specify, design and implement moderate changes to existing software architecture. Build new products and development tools. Build and execute unit tests and unit test plans. Review integration and regression test plans created by QA. Communicate with QA and porting engineering to discuss major changes to functionality.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$82,500 \- $199,500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IC4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45">
      <c r="A45" t="inlineStr">
        <is>
          <t>li-4338072422</t>
        </is>
      </c>
      <c r="B45" t="inlineStr">
        <is>
          <t>Product Manager - Medium Voltage Products</t>
        </is>
      </c>
      <c r="C45" t="inlineStr">
        <is>
          <t>Industrial Electric Mfg. (IEM)</t>
        </is>
      </c>
      <c r="D45" t="inlineStr">
        <is>
          <t>linkedin</t>
        </is>
      </c>
      <c r="E45" t="inlineStr"/>
      <c r="F45" t="inlineStr"/>
      <c r="G45" t="inlineStr">
        <is>
          <t>Tualatin, OR</t>
        </is>
      </c>
      <c r="H45" t="inlineStr"/>
      <c r="I45" t="inlineStr">
        <is>
          <t>**About IEM**
 Industrial Electric Mfg. (IEM) is the largest independent full\-line manufacturer of custom power distribution systems in North America. Founded more than 75 years ago in Fremont, California, IEM grew alongside Silicon Valley and today operates over 1\.7 million square feet of manufacturing capacity. With $1B\+ in annual sales and 10,000\+ commissioned projects across technology, data centers, commercial, energy, utilities, healthcare, industrial, and infrastructure markets, IEM continues to deliver exceptional product quality, dependable service, and the flexibility to meet complex technical requirements at scale.
**Position Summary**
 The Product Manager is responsible for guiding assigned product lines throughout their lifecycle, from ideation to obsolescence. This role ensures that product strategy aligns with company goals and market needs while driving collaboration across Engineering, Sales, Operations, and Marketing. Product Managers act as product advocates, developing business cases, supporting new product introductions, and ensuring ongoing product success.
**Key Responsibilities**
* Managing assigned product lines throughout the full lifecycle, including planning, development, launch, growth, and end\-of\-life.
* Supporting product roadmap development and aligning requirements with overall company strategy.
* Conducting competitive analysis and validating market requirements in coordination with the Strategy and Sales teams.
* Developing product documentation, including business cases, technical requirements, guide specifications, and other sales tools.
* Collaborating with Engineering, Operations, Marketing, and Sales teams to ensure successful product development and market launch.
* Supporting Steering Committee reviews, R\&amp;D processes, and New Product Introduction deliverables.
* Assisting Sales and Marketing with product launch activities and providing ongoing product training and positioning support.
* Acting as a product ambassador, communicating roadmap updates and product performance to stakeholders.
* Monitoring product performance, analyzing data, and preparing reports for continuous improvement.
**Qualifications**
* Bachelor’s degree in engineering, business, or a related technical field (or equivalent experience). MBA is a plus.
* Minimum 4 years of relevant experience in the power distribution equipment industry or a closely related field, preferably with switchgear.
* Technical knowledge of medium voltage power distribution products, markets, and applications.
* Strong communication skills, ability to collaborate with cross\-functional teams, and comfort working through ambiguity.
* Proficiency with Microsoft Office tools, particularly Word, Excel and PowerPoint.
**Workplace Conditions**
* Hybrid flexibility if located on\-site or fully remote.
* Up to 25% travel may be required.
**Compensation**
 The salary range for this role is $91,200 \-$135,200 per year, based on location, experience, and qualifications.
**Location**
 This position is available in multiple locations, including Vancouver (CAN), Tualatin (OR), Franklin (TN), Fremont (CA), Jacksonville (FL), and Remote.
**Why Join IEM**
 At IEM, you’ll join a team that powers some of the world’s most ambitious projects. We’re engineers, makers, and problem\-solvers who thrive on tackling complex challenges and delivering solutions that keep industries moving forward. If you’re driven, collaborative, and ready to make an impact, we’d love to hear from you. Your creativity and passion can help us achieve great things—come be part of the journey.
 Learn more about IEM at https://www.iemfg.com
 We offer comprehensive and competitive benefits package designed to support our employees' well\-being, growth, and long\-term success. View a snapshot of our benefits at https://www.iemfg.com/careers
**Recruiting Scams**
 Beware of recruiting scams. IEM never charges candidates fees, and all recruiter emails come from an @iemfg.com address. If you suspect fraudulent activity, do not share personal information and report it to us at iemfg.com/contact
**Non\-Discrimination Statement**
 IEM does not discriminate against any applicant based on any characteristic protected by law.
**Privacy**
 Information collected and processed as part of your IEM Careers profile, and any job applications you choose to submit is subject to IEM's Workforce Member Privacy Policy.</t>
        </is>
      </c>
    </row>
    <row r="46">
      <c r="A46" t="inlineStr">
        <is>
          <t>li-4315874775</t>
        </is>
      </c>
      <c r="B46" t="inlineStr">
        <is>
          <t>Fixed Income Product Manager</t>
        </is>
      </c>
      <c r="C46" t="inlineStr">
        <is>
          <t>SS&amp;C Technologies</t>
        </is>
      </c>
      <c r="D46" t="inlineStr">
        <is>
          <t>linkedin</t>
        </is>
      </c>
      <c r="E46" t="inlineStr"/>
      <c r="F46" t="inlineStr"/>
      <c r="G46" t="inlineStr">
        <is>
          <t>Massachusetts, United States</t>
        </is>
      </c>
      <c r="H46" t="inlineStr"/>
      <c r="I46" t="inlineStr">
        <is>
          <t>As a leading financial services and healthcare technology company based on revenue, SS\&amp;C is headquartered in Windsor, Connecticut, and has 27,000\+ employees in 35 countries. Some 20,000 financial services and healthcare organizations, from the world's largest companies to small and mid\-market firms, rely on SS\&amp;C for expertise, scale, and technology.
**Job Description**
**Job Title:** 
 Fixed Income Product Manager
**Locations** 
 : 100% Remote
**Get To Know Us:**
 We are seeking a strategic and technically proficient Fixed Income Product Manager to lead the evolution of our Fixed Income product offerings. This role demands deep subject matter expertise across the full lifecycle of Fixed Income trading, portfolio management, risk and performance analytics. You will collaborate with cross\-functional teams and senior leadership to define and execute the strategic direction of our Fixed Income platform.
**Why You Will Love It Here!**
* Flexibility: Hybrid Work Model and Business Casual Dress Code, including jeans
* Your Future: 401k Matching Program, Professional Development Reimbursement
* Work/Life Balance: Flexible Personal/Vacation Time Off, Sick Leave, Paid Holidays
* Your Wellbeing: Medical, Dental, Vision, Employee Assistance Program, Parental Leave
* Wide Ranging Perspectives: Committed to Celebrating the Variety of Backgrounds, Talents and Experiences of Our Employees
* Training: Hands\-On, Team\-Customized, including SS\&amp;C University
* Extra Perks: Discounts on fitness clubs, travel and more!
**What You Will Get To Do:**
**Subject Matter Expertise**
* Act as the SME across the full lifecycle of a Fixed Income trade—from pre\-trade analytics and execution to post\-trade processing and reporting.
* Maintain deep knowledge of Fixed Income instruments including:
+ Government and corporate bonds
+ Municipal securities
+ Structured products
+ Credit derivatives and interest rate products
**Portfolio Management \&amp; Analytics**
* Define and support features related to Fixed Income portfolio management, including:
+ Performance measurement
+ Attribution analysis
+ Risk modeling and scenario analysis
+ Benchmarking and compliance
**Product Development \&amp; Requirements Gathering**
* Collaborate with internal stakeholders to flush out detailed requirements for Fixed Income features across trading, modeling, analytics, and market data.
* Translate business needs into clear, actionable technical specifications for Engineering and QA teams.
* Write and maintain high\-quality product documentation and specifications.
**Sales \&amp; Marketing Enablement**
* Support Sales Engineers by demonstrating Fixed Income capabilities and new platform features to clients and prospects.
* Act as a Fixed Income SME in client meetings, webinars, and marketing campaigns.
* Partner with Marketing to develop content that highlights Fixed Income product strengths and differentiators.
**Strategic Planning**
* Work closely with senior management to define and refine the strategic direction of our Fixed Income offering.
* Contribute to long\-term product vision and roadmap planning based on market trends, client feedback, and competitive analysis.
**Client Engagement**
* Engage directly with clients to understand their Fixed Income workflows, pain points, and feature requests.
* Gather feedback and incorporate it into the product roadmap and development cycles.
**Cross\-Functional Collaboration**
* Work closely with Product Managers, Engineers, and QA to ensure timely and high\-quality delivery of Fixed Income features.
* Participate in sprint planning, backlog grooming, and release management processes.
**What You Will Bring:**
* Strong understanding of Fixed Income trading systems and market structure
* Experience with portfolio management platforms and performance attribution tools
* Must have experience with API’s and how they work
* Familiarity with financial modeling and analytics platforms (e.g., Python, R, Excel, SQL)
* Knowledge of APIs, data integration, and financial data providers (e.g., Bloomberg, Refinitiv)
* Ability to write clear and structured business and technical specifications
* Experience with Agile development methodologies and tools (e.g., Jira, Confluence)
**Qualifications:**
* 5\+ years of experience in Fixed Income markets, preferably in product management, portfolio management, or sales engineering role
* Proven ability to demo financial products and articulate value propositions to technical and non\-technical audiences
* Excellent communication and presentation skills; comfortable in client\-facing and executive\-level discussions
* Bachelor’s degree in Finance, Economics, Engineering, or related field; MBA or CFA preferred
 Thank you for your interest in SS\&amp;C! If applicable, to further explore this opportunity, please apply directly with us through our Careers page on our corporate website: www.ssctech.com/careers.
 \#CA\-BP
 Unless explicitly requested or approached by SS\&amp;C Technologies, Inc. or any of its affiliated companies, the company will not accept unsolicited resumes from headhunters, recruitment agencies, or fee\-based recruitment services.
 SS\&amp;C offers excellent benefits including health, dental, 401k plan, tuition and professional development reimbursement plan.
 SS\&amp;C Technologies is an Equal Employment Opportunity employer and does not discriminate against any applicant for employment or employee on the basis of race, color, religious creed, gender, age, marital status, sexual orientation, national origin, disability, veteran status or any other classification protected by applicable discrimination laws.</t>
        </is>
      </c>
    </row>
    <row r="47">
      <c r="A47" t="inlineStr">
        <is>
          <t>li-4334707788</t>
        </is>
      </c>
      <c r="B47" t="inlineStr">
        <is>
          <t>eCommerce Operations Product Manager</t>
        </is>
      </c>
      <c r="C47" t="inlineStr">
        <is>
          <t>Rogue Fitness</t>
        </is>
      </c>
      <c r="D47" t="inlineStr">
        <is>
          <t>linkedin</t>
        </is>
      </c>
      <c r="E47" t="inlineStr"/>
      <c r="F47" t="inlineStr"/>
      <c r="G47" t="inlineStr">
        <is>
          <t>Columbus, OH</t>
        </is>
      </c>
      <c r="H47" t="inlineStr"/>
      <c r="I47" t="inlineStr">
        <is>
          <t>**Overview**
**Job Description:**
 As an eCommerce Operations Product Manager, you will join a team responsible for managing and optimizing our eCommerce solutions, including reviews, shipping, product information management (PIM), and various other features and products. You will leverage your 5\-7 years of experience in eCommerce operations to develop industry\-leading and custom solutions within our platform.
 The eCommerce Operations Product Manager is a fully onsite role in Columbus, Ohio. Remote work is not available.
 Applicants must be authorized to work in the United States for any employer.
**Responsibilities**
* Problem solve and execute eCommerce solutions within our existing platform in alignment with business goals.
* Work closely with cross\-functional teams, including web development, UX design, sales, and marketing, to deliver high\-quality eCommerce solutions.
* Stay current with industry trends, technologies, and best practices.
* Analyze customer feedback to inform product improvements and ensure a customer\-centric approach.
* Track and analyze key performance metrics to measure product success and identify areas for improvement.
* Ability to thrive in a fast\-paced, dynamic environment and manage multiple projects simultaneously
**Qualifications**
* 5\+ years’ of software platform operations experience, with a strong focus on eCommerce solution management (reviews, shipping, PIM)
* Magento, ShipperHQ, SiteCore platform operating experience is a plus
* Proficiency in eCommerce platforms, product information management systems, and related technologies.
* Strong analytical and problem\-solving skills, with the ability to interpret data and make informed decisions.
* Excellent verbal and written communication skills, with the ability to articulate complex concepts to diverse audiences.
* Proven ability to lead cross\-functional teams and drive projects to successful completion.
* Deep understanding of customer needs and a commitment to delivering exceptional user experiences.
 By applying to Rogue, regardless of the platform you choose to use, you are agreeing to Rogue's preferred methods of communication (i.e. text message). Submitting an application, through whatever online forum is ultimately used, constitutes a knowing and voluntary agreement to send and receive text messages during the recruitment process.</t>
        </is>
      </c>
    </row>
    <row r="48">
      <c r="A48" t="inlineStr">
        <is>
          <t>li-4338958325</t>
        </is>
      </c>
      <c r="B48" t="inlineStr">
        <is>
          <t>Product Manager, Vice President - Jobs &amp; Skills</t>
        </is>
      </c>
      <c r="C48" t="inlineStr">
        <is>
          <t>JPMorganChase</t>
        </is>
      </c>
      <c r="D48" t="inlineStr">
        <is>
          <t>linkedin</t>
        </is>
      </c>
      <c r="E48" t="inlineStr"/>
      <c r="F48" t="inlineStr"/>
      <c r="G48" t="inlineStr">
        <is>
          <t>Columbus, OH</t>
        </is>
      </c>
      <c r="H48" t="inlineStr"/>
      <c r="I48"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Vice President within the Total Rewards organization at JPMorgan Chase, you are an integral part of the team that innovates new product offerings and leads the end\-to\-end product life cycle. You will utilize your deep understanding of how to get a product off the ground, you guide the successful launch of products, gather crucial feedback, and ensure top\-tier experiences. With a strong commitment to scalability, resiliency, and stability, you collaborate closely with cross\-functional teams to deliver high\-quality products that exceed customer expectations. You will lead the transformation of our organization’s job architecture and skills mapping processes. You will drive the development and implementation of innovative solutions that modernize how we define jobs, map skills, and support multiple employee experiences across the enterprise.
**Job Responsibilities**
* Develops a product strategy and product vision that articulates a vision for the future of job architecture and skills mapping within the organization
* Manages discovery efforts and market research to identify emerging trends in job architecture, skills taxonomies, and talent management and integrate them into the product roadmap
* Owns, maintains, and develops a product backlog that enables development to support the overall strategic roadmap and value proposition
* Pilot and scale innovative solutions, such as dynamic jobs frameworks
* Lead cross\-functional teams to design, build, launch new tools, frameworks, or platforms that streamline job architecture updates and skills mapping
* Communicate progress, insights, and recommendations to stakeholders and leaders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Strong prioritization and execution skills; ability to manage multiple priorities
* Data fluency and analytical capabilities, experience working with large sets of data to drive decision\-making and identify insights
**Preferred Qualifications, Capabilities, And Skills**
* Demonstrated prior experience working in a highly matrixed, complex organization
* General HR domain expertise, particularly in areas of compensation, workforce planning, HR data \&amp; analytics
* Prior experience in job architecture, job design, and/or skills strategy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Our professionals in our Corporate Functions cover a diverse range of areas from finance and risk to human resources and marketing. Our corporate teams are an essential part of our company, ensuring that we’re setting our businesses, clients, customers and employees up for success.</t>
        </is>
      </c>
    </row>
    <row r="49">
      <c r="A49" t="inlineStr">
        <is>
          <t>li-4321770830</t>
        </is>
      </c>
      <c r="B49" t="inlineStr">
        <is>
          <t>Partnerships Product Manager</t>
        </is>
      </c>
      <c r="C49" t="inlineStr">
        <is>
          <t>Fortis Bank</t>
        </is>
      </c>
      <c r="D49" t="inlineStr">
        <is>
          <t>linkedin</t>
        </is>
      </c>
      <c r="E49" t="inlineStr"/>
      <c r="F49" t="inlineStr"/>
      <c r="G49" t="inlineStr">
        <is>
          <t>Denver, CO</t>
        </is>
      </c>
      <c r="H49" t="inlineStr"/>
      <c r="I49" t="inlineStr">
        <is>
          <t>**Summary**
 Fortis Bank is a full\-service premier commercial bank providing a wide range of financial services including self\-directed retirement banking solutions. The Strategic Partnerships line of business manages the growth and long\-term retention of key self\-directed partnerships. The Partnerships Product Manager role will join the Strategic Partnerships group focused on the design and development of new and existing products and integrating self\-directed providers into Fortis Bank’s infrastructure. This role also has the responsibility for managing the partnership product backlog and requires close coordination with compliance, information technology, operations, and software vendors. This individual will play a critical part in shaping the future of our self \-directed technology offerings, leverage strategic thinking, and a client\-centric approach.
**Responsibilities**
* Translate partner agreements into clear, actionable product plans, work closely with Strategic Partnerships leadership to clarify requirements, coordinate internal teams, and deliver smooth launches that meet partner expectations.
* Productize the integration layer by building reusable components, configuration tools, and internal dashboards that reduce developer dependency and accelerate onboarding of new providers.
* Review integration opportunities within existing partner relationships that align with Fortis Bank’s growth objectives.
* Execute product launches relevant to each partnership, including cross functional execution plans.
* Conducts meetings with key internal/external partners and stakeholders to develop new products and enhance existing products using industry best practices.
* Monitor and optimize partnership performance using data\-driven insights via Cognos and Tableau reporting, ensuring alignment with KPIs and strategic goals.
* Act as an internal advocate for partners, while upholding a high standard for performance, innovation, and value creation.
* Collaborate closely with technology and marketing to support roadmaps and campaigns that enhance the success of strategic partners.
* Enhance the self\-directed provider onboarding process through portal, workflow enhancements, and other client application systems.
* Act as a line of defense when product bugs arise – investigate issues, identify causes, and communicate fixes to relevant teams and/or software vendors.
* Implement product feature tracking, and performance measurement frameworks.
* Assist in the definition and maintenance of high standards for quality, reliability, and scale across the product experience.
**Minimum Qualifications**
* 7\+ years of experience in product management, with a focus in financial services, fintech, BaaS, platforms, or embedded services
* Startup or scale\-up background is a plus
* Proven track record of delivering measurable product growth
* Understanding of go\-to\-market strategy development and cross\-functional execution.
* Excellent relationship\-building, communication, and negotiation skills.
* Highly self\-motivated and results\-driven, with a strong sense of ownership and urgency.
* Experience navigating fast\-paced, ambiguous environments with evolving priorities.
* Bachelor’s degree preferred.
**Additional Information**
**Reporting Structure** 
 : Reports to the Head of Strategic Partnerships
**Office Requirements** 
 : This position offers a hybrid work schedule and is required to work in a Fortis Bank office location at least 4\-5 days per week.
**About Fortis Bank**
 Fortis Bancorp is the $1\.3 billion bank holding company for Fortis Bank. Fortis Bank is a full\-service bank that provides loans, deposits, and cash management services to businesses and their principals, with branch locations in Colorado and Utah. More information about Fortis Bank is available at www.fortisbankus.com .
 At Fortis Bank, we pride ourselves in being a partner to our clients by offering comprehensive banking solutions while building trusted, long\-term relationships.
 Every role at Fortis is connected to our company strategy and can drive high impact. Each of our hand\-selected and talented team members work closely together to contribute to the heart of our company culture that combines banking expertise and personalized service to create an unparalleled client experience.
 We recognize, reward, and develop those individuals who make an outsized impact to our client experience and are committed to driving our business forward.
 Fortis is Great Place to Work\-Certified ™
 Join a team where your expertise and passion can make a meaningful impact.
 Learn more today at https://www.fortisbankus.com/working\-at\-fortis .</t>
        </is>
      </c>
    </row>
    <row r="50">
      <c r="A50" t="inlineStr">
        <is>
          <t>li-4345720800</t>
        </is>
      </c>
      <c r="B50" t="inlineStr">
        <is>
          <t>Technical Program Manager - MSL (Meta SuperIntelligence Labs)</t>
        </is>
      </c>
      <c r="C50" t="inlineStr">
        <is>
          <t>Meta</t>
        </is>
      </c>
      <c r="D50" t="inlineStr">
        <is>
          <t>linkedin</t>
        </is>
      </c>
      <c r="E50" t="inlineStr"/>
      <c r="F50" t="inlineStr"/>
      <c r="G50" t="inlineStr">
        <is>
          <t>San Francisco, CA</t>
        </is>
      </c>
      <c r="H50" t="inlineStr"/>
      <c r="I50" t="inlineStr">
        <is>
          <t>The Products and Applied Research organization in MSL is tasked with building new zero\-to\-one AI products, along with supporting many AI features in existing Meta products, used by billions of people every day. As a TPM, you will be responsible for delivering significant business value through AI innovations. You will work across a talent\-dense team of AI engineers, scientists, product managers, data scientists, and other cross\-functional team members to help evaluate models, build state\-of\-the\-art techniques, and build effective tools and strategies to streamline model productionization, while holding a high quality bar. You will be part of a highly technical, AI\-native team that is bold and moves fast.You’ll apply your extensive technical background to define functional requirements for new products and features, guide high\-level goals and roadmaps, monitor and communicate progress, and drive program execution efficiently through cross\-functional and cross\-organizational collaboration. You’ll be an integral part of the team who will drive technical strategy, system architectural discussions, and make future\-proof decisions that align with product strategy and vision. We are in the early stages of MSL’s formation, and as we grow over the next many years, you will grow with the organization and help shape it.
 Technical Program Manager \- MSL (Meta SuperIntelligence Labs) Responsibilities:
* Develop and manage end\-to\-end technical AI/ML product solutions and ensure on\-time delivery
* Manage and own cross\-functional products and programs execution in a matrix organization
* Drive and influence technical and product strategy, proactively identify risks and develop mitigation strategies, align on priorities, and set direction for a broadly cross\-functional area
* Help define the roadmap and long\-term strategy of the teams that you are working with
* Design measurements to track impact and drive internal process improvements
* Communicate the technology, requirements, goals and milestones of your team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Help drive product decisions to align with higher company initiative
 Minimum Qualifications:
* B.S. in Computer Science or a related technical discipline, or equivalent experience
* 12\+ years of software engineering, systems engineering, hardware engineering, or technical product/program management experience
* Experience driving and delivering complex AI/ ML tech programs or products from inception to delivery
* Experience defining strategic direction and identifying new opportunities for impact amongst products, platforms and programs
* Knowledge of user needs, gathering requirements, and defining scope
* Experience operating autonomously across multiple teams and functions, demonstrated critical thinking, and thought leadership
* Organizational, coordination and multi\-tasking experience
* Communication experience at executive level and experience influencing decision. makers and technical management teams to develop systems, solutions, and products
* Analytical and problem\-solving experience with large\-scale systems
* Experience establishing work relationships across multi\-disciplinary teams and multiple partners in different time zones
 Preferred Qualifications:
* Experience with shipping products that rely on large models (LLMs and VLMs)
* Experience evaluating model performance online and offline
* Experience working across modeling and product teams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$199,000/year to $272,000/year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1">
      <c r="A51" t="inlineStr">
        <is>
          <t>li-4284519166</t>
        </is>
      </c>
      <c r="B51" t="inlineStr">
        <is>
          <t>Program Manager</t>
        </is>
      </c>
      <c r="C51" t="inlineStr">
        <is>
          <t>F5</t>
        </is>
      </c>
      <c r="D51" t="inlineStr">
        <is>
          <t>linkedin</t>
        </is>
      </c>
      <c r="E51" t="inlineStr"/>
      <c r="F51" t="inlineStr"/>
      <c r="G51" t="inlineStr"/>
      <c r="H51" t="inlineStr"/>
      <c r="I51" t="inlineStr">
        <is>
          <t>At F5, we strive to bring a better digital world to life. Our teams empower organizations across the globe to create, secure, and run applications that enhance how we experience our evolving digital world. We are passionate about cybersecurity, from protecting consumers from fraud to enabling companies to focus on innovation.
 Everything we do centers around people. That means we obsess over how to make the lives of our customers, and their customers, better. And it means we prioritize a diverse F5 community where each individual can thrive.
**About The Role**
 We are looking for a highly organized and execution\-focused
 **Program Manager** 
 to join our Product Operations team. In this role, you will serve as a
 **critical partner to Product Managers** 
 , enabling them to focus on strategy, innovation, and customer impact by driving operational excellence, cross\-functional alignment, and seamless execution across the product lifecycle.
 You will be responsible for planning and delivering
 **high\-priority product initiatives** 
 , coordinating with teams across engineering, design, marketing, sales, and more to ensure timely, successful outcomes. If you thrive in fast\-paced environments, excel at managing complexity, and are passionate about delivering business and customer value through operational leadership—this role is for you.
 Key Responsibilities
* Lead execution of strategic programs that align with company and product priorities.
* Translate product strategy into executable plans by partnering closely with Product Managers to develop roadmaps, define workstreams, and structure delivery milestones.
* Coordinate cross\-functional teams across Engineering, Design, GTM, and other business units to drive alignment, accountability, and timely delivery.
* Own end\-to\-end program delivery, including scope definition, project planning, dependency tracking, risk mitigation, and retrospectives.
* Manage the full program lifecycle—from initiation through execution, launch, and post\-mortem analysis.
* Provide visibility to stakeholders through regular status reports, dashboards, and communications highlighting progress, blockers, and risks.
* Facilitate cross\-functional collaboration through effective meeting cadences, decision\-making frameworks, and documentation.
* Continuously improve tools, processes, and workflows to scale program management capabilities across the product org.
* Define and monitor KPIs to assess program health, delivery success, and impact.
 What You Bring
* 4\+ years of experience in program management, project management, product operations, or a similar role supporting product development teams.
* Proven success managing complex, cross\-functional programs from initiation to delivery in a fast\-paced tech environment.
* Strong organizational skills with deep experience building and managing detailed execution plans.
* Excellent communication and stakeholder management skills—able to drive alignment across technical and non\-technical teams.
* Proficiency in project and program management tools (e.g., Jira, Asana, Airtable, Smartsheet, Confluence).
* Strong analytical skills with the ability to track key metrics, assess program health, and proactively identify risks.
* A collaborative mindset and the ability to influence without authority across all levels of an organization.
 Why This Role Matters
* As a Program Manager, you'll be the glue that holds strategic product initiatives together, enabling teams to deliver customer\-centric, high\-impact solutions—faster and more efficiently. Your work will ensure Product Managers are empowered to lead with clarity and focus, and that the organization is aligned and informed every step of the way.
 Success in This Role Looks Like:
* High\-priority programs are delivered on time, within scope, and with strong cross\-functional support.
* Product managers are freed up to focus on strategy, thanks to your operational leadership.
* Risks and roadblocks are identified and addressed early, preventing downstream delays.
* Stakeholders remain aligned and confident throughout the lifecycle of key initiatives.
 The Job Description is intended to be a general representation of the responsibilities and requirements of the job. However, the description may not be all\-inclusive, and responsibilities and requirements are subject to change.
 The annual base pay for this position is: $114,400\.00 \- $171,600\.00
*F5 maintains broad salary ranges for its roles in order to account for variations in knowledge, skills, experience, geographic locations, and market conditions, as well as to reflect F5’s differing products, industries, and lines of business. The pay range referenced is as of the time of the job posting and is subject to change.*
*You may also be offered incentive compensation, bonus, restricted stock units, and benefits. More details about F5’s benefits can be found at the following link:* 
*https://www.f5\.com/company/careers/benefits* 
*. F5 reserves the right to change or terminate any benefit plan without notice.*
**Please note that F5 only contacts candidates through F5 email address (ending with @f5\.com) or auto email notification from Workday (ending with f5\.com or** 
**@myworkday.com)** 
**.**
**Equal Employment Opportunity**
 It is the policy of F5 to provide equal employment opportunities to all employees and employment applicants without regard to unlawful considerations of race, religion, color, national origin, sex, sexual orientation, gender identity or expression, age, sensory, physical, or mental disability, marital status, veteran or military status, genetic information, or any other classification protected by applicable local, state, or federal laws. This policy applies to all aspects of employment, including, but not limited to, hiring, job assignment, compensation, promotion, benefits, training, discipline, and termination. F5 offers a variety of reasonable accommodations for candidates. Requesting an accommodation is completely voluntary. F5 will assess the need for accommodations in the application process separately from those that may be needed to perform the job. Request by contacting accommodations@f5\.com.</t>
        </is>
      </c>
    </row>
    <row r="52">
      <c r="A52" t="inlineStr">
        <is>
          <t>li-4334616934</t>
        </is>
      </c>
      <c r="B52" t="inlineStr">
        <is>
          <t>Product Manager (pension &amp; benefits administration)</t>
        </is>
      </c>
      <c r="C52" t="inlineStr">
        <is>
          <t>Deloitte</t>
        </is>
      </c>
      <c r="D52" t="inlineStr">
        <is>
          <t>linkedin</t>
        </is>
      </c>
      <c r="E52" t="inlineStr"/>
      <c r="F52" t="inlineStr"/>
      <c r="G52" t="inlineStr">
        <is>
          <t>Tampa, FL</t>
        </is>
      </c>
      <c r="H52" t="inlineStr"/>
      <c r="I52" t="inlineStr">
        <is>
          <t>Join our Deloitte AI \&amp; Engineering team to transform technology platforms, drive innovation, and help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
**Work You'll Do**
 This position is focused on managing and developing products within the
 **Pension Benefits Administration** 
 domain. The ideal candidate will have direct experience in pension benefits administration, ensuring that products meet the unique needs of this sector. Three \- Five years of experience in understanding end\-to\-end product development cycles, developing products, conducting market research, generating product requirements, determining product road maps and specifications. Supports the discovery phase of a Pension Benefits Administration product by assisting with end\-to\-end product development activities, including conducting market research, gathering and documenting requirements, defining product roadmaps, formulating service\-to\-market strategies, and facilitating stakeholder engagement to inform future product direction.
* End\-to\-End Product Development: Lead the discovery phase of pension benefits products, including conducting market research, gathering requirements, and defining product roadmaps tailored to pension administration.
* Stakeholder Engagement: Facilitate engagement with stakeholders to inform product direction, ensuring alignment with pension benefits administration needs.
* Lifecycle Management: Guide products through each stage of their lifecycle, from concept to market readiness, with a focus on pension benefits solutions.
* Vendor Management: Identify and manage relationships with vendors specializing in pension benefits administration to enhance product capabilities.
* Requirements: Convert business needs into detailed user stories and functional requirements specific to pension benefits administration.
* Product Backlog Management: Develop and manage the product backlog in Jira, prioritizing features that address pension benefits administration challenges.
* Collaboration with UX/UI Designers: Ensure product features are intuitive and meet user experience goals, particularly for pension benefits administration users.
* Technical Collaboration: Partner with developers to translate pension\-specific functional requirements into technical specifications.
**Additional Responsibilities:**
* Requirements Gathering: Lead the process of gathering requirements and converting business needs into well\-defined user stories and functional requirements.
* Product Backlog Management: Develop and manage the product backlog in Jira, ensuring epics, stories, and acceptance criteria are complete and prioritized.
* Collaboration with UX/UI Designers: Work closely with UX/UI designers to ensure product features are intuitive and meet user experience goals.
* Technical Collaboration: Partner with technical developers to translate functional requirements into technical specifications and deliverables.
* Sprint Participation: Engage in sprint ceremonies, including backlog grooming, sprint planning, stand\-ups, demos, and retrospectives.
* Documentation: Provide clear documentation, including process flows, functional specs, data mapping, and requirements traceability.
* Support UAT and Enhancements: Assist in user acceptance testing, defect resolution, and enhancements by validating requirements against delivered features.
* Subject Matter Expertise (SME): Act as a SME for pension and retirement benefits administration concepts, such as annuity calculations, eligibility rules, service credit, overpayments, and Service Purchase buybacks.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Industry Solutions clients seek verticalized solutions that transform how they sell products, deliver services, generate growth, and fulfill mission\-critical operations. The Industry Solutions offering delivers integrated business expertise with repeatable scaled technology solutions that are specifically engineered for each sector's IndustryAdvantageTM.
**Qualifications**
 Required
 **:**
* 3\+ years of experience delivering benefits plans for clients in roles such as a product manager, benefits operations manager, benefits analysts, benefits administration, business analysis etc.
* Experience with product management of benefits administration platforms (pension expertise preferred)
* Must be legally authorized to work in the United States without the need for employer sponsorship, now or at any time in the future
* Ability to travel 0\-50%, on average, based on the work you do and the clients and industries/sectors you serve
 Preferred:
* Pension Knowledge:In\-depth understanding of pension and retirement benefits administration concepts, such as annuity calculations, eligibility rules, and service credit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$113,300 to $188,900\.
 Information for applicants with a need for accommodation: https://www2\.deloitte.com/us/en/pages/careers/articles/join\-deloitte\-assistance\-for\-disabled\-applicants.html</t>
        </is>
      </c>
    </row>
    <row r="53">
      <c r="A53" t="inlineStr">
        <is>
          <t>li-4337939570</t>
        </is>
      </c>
      <c r="B53" t="inlineStr">
        <is>
          <t>Program Manager 5-ProdDev</t>
        </is>
      </c>
      <c r="C53" t="inlineStr">
        <is>
          <t>Oracle</t>
        </is>
      </c>
      <c r="D53" t="inlineStr">
        <is>
          <t>linkedin</t>
        </is>
      </c>
      <c r="E53" t="inlineStr"/>
      <c r="F53" t="inlineStr"/>
      <c r="G53" t="inlineStr"/>
      <c r="H53" t="inlineStr"/>
      <c r="I53" t="inlineStr">
        <is>
          <t>**Job Description**
 Passionate about Business Operations and Technology? Join our Team at OCI (Oracle Cloud Infrastructure) in our brand\-new, state\-of\-the\-art headquarters in Nashville!
 OCI Business Operations is looking for a data\-fluent Program Manager to support our rapidly growing business. In this role, you’ll help to define and drive projects that fulfill our operational strategy while enabling innovation and scalability.
 You are the builder here. You will be part of a team of smart, motivated, and diverse people and given the autonomy and support to do your best work. It is a dynamic and flexible workplace where you’ll belong and be encouraged.
 This role is a
 **Sr Principal Program Manager,** 
 part of the
 **Business Operations** 
 team in OCI. The individual will manage and optimize critical operational processes in high\-growth areas of our business, lead the operationalization of large, custom contracts from intake to recognized revenue, ensuring customer satisfaction and mitigating risk, and champion process excellence to maximize revenue and accelerate scalability.
 Responsibilities:
* Lead the identification, prioritization, and execution of a diverse portfolio of programs and functional initiatives.
* Collaborate with global cross\-functional teams to gather program requirements and ensure alignment.
* Influence and guide internal and external teams to prioritize tasks, resolve risks and issues, and maintain accountability through program closure.
* Define success criteria, establish KPIs, and design dashboards for program performance tracking and self\-service analytics.
* Provide leadership and direction to cross\-functional teams to drive program success.
* Standardize and implement business processes and best practices to optimize organizational efficiency.
 The ideal candidate…
* Expertise: A subject matter expert in business operations with strengths in Finance, Program Management, and Data.
* Leadership: A self\-starter who brings strategic and tactical leadership to resolve business issues and embraces new challenges.
* Data Skills: Demonstrates strong business judgment, exceptional analytic skills, and a passion for data, with a proven ability to deliver insightful reporting to drive business performance.
* Collaborative: Dives deep into problems while effectively working with diverse teams across disciplines.
* Project Management: Defines and executes projects that balance value, effort, and time to delivery, with the foresight to anticipate risks and implement contingencies.
* Interpersonal Abilities: Excels in mentoring, coaching, collaboration, and team building.
* Communication: Possesses outstanding oral and written communication skills, tailoring approaches for audiences at all organizational levels.
* Adaptability: Combines knowledge of both agile and traditional project management principles, applying the right mix to suit project and business environments.
**Basic Qualifications**
* Bachelor or MS degree
* 5\+ years of experience in one or more of the following functional areas in a cloud business: business operations, sales operations, finance/accounting, reporting, project management, systems, and data analysis in a cloud business.
* Highly skilled with Excel, Word, PowerPoint and BI Tools
**Responsibilities**
* Lead the identification, prioritization, and execution of a diverse portfolio of programs and functional initiatives.
* Collaborate with global cross\-functional teams to gather program requirements and ensure alignment.
* Influence and guide internal and external teams to prioritize tasks, resolve risks and issues, and maintain accountability through program closure.
* Define success criteria, establish KPIs, and design dashboards for program performance tracking and self\-service analytics.
* Provide leadership and direction to cross\-functional teams to drive program success.
* Standardize and implement business processes and best practices to optimize organizational efficiency.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$109,200 \- $223,400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4">
      <c r="A54" t="inlineStr">
        <is>
          <t>li-4334398789</t>
        </is>
      </c>
      <c r="B54" t="inlineStr">
        <is>
          <t>Product Manager (pension &amp; benefits administration)</t>
        </is>
      </c>
      <c r="C54" t="inlineStr">
        <is>
          <t>Deloitte</t>
        </is>
      </c>
      <c r="D54" t="inlineStr">
        <is>
          <t>linkedin</t>
        </is>
      </c>
      <c r="E54" t="inlineStr"/>
      <c r="F54" t="inlineStr"/>
      <c r="G54" t="inlineStr">
        <is>
          <t>Arlington, VA</t>
        </is>
      </c>
      <c r="H54" t="inlineStr"/>
      <c r="I54" t="inlineStr">
        <is>
          <t>Join our Deloitte AI \&amp; Engineering team to transform technology platforms, drive innovation, and help make a significant impact on our clients' success. You'll work alongside talented professionals reimagining and reengineering operations and processes that are critical to businesses. Your contributions can help clients improve financial performance, accelerate new digital ventures, and fuel growth through innovation.
**Work You'll Do**
 This position is focused on managing and developing products within the
 **Pension Benefits Administration** 
 domain. The ideal candidate will have direct experience in pension benefits administration, ensuring that products meet the unique needs of this sector. Three \- Five years of experience in understanding end\-to\-end product development cycles, developing products, conducting market research, generating product requirements, determining product road maps and specifications. Supports the discovery phase of a Pension Benefits Administration product by assisting with end\-to\-end product development activities, including conducting market research, gathering and documenting requirements, defining product roadmaps, formulating service\-to\-market strategies, and facilitating stakeholder engagement to inform future product direction.
* End\-to\-End Product Development: Lead the discovery phase of pension benefits products, including conducting market research, gathering requirements, and defining product roadmaps tailored to pension administration.
* Stakeholder Engagement: Facilitate engagement with stakeholders to inform product direction, ensuring alignment with pension benefits administration needs.
* Lifecycle Management: Guide products through each stage of their lifecycle, from concept to market readiness, with a focus on pension benefits solutions.
* Vendor Management: Identify and manage relationships with vendors specializing in pension benefits administration to enhance product capabilities.
* Requirements: Convert business needs into detailed user stories and functional requirements specific to pension benefits administration.
* Product Backlog Management: Develop and manage the product backlog in Jira, prioritizing features that address pension benefits administration challenges.
* Collaboration with UX/UI Designers: Ensure product features are intuitive and meet user experience goals, particularly for pension benefits administration users.
* Technical Collaboration: Partner with developers to translate pension\-specific functional requirements into technical specifications.
**Additional Responsibilities:**
* Requirements Gathering: Lead the process of gathering requirements and converting business needs into well\-defined user stories and functional requirements.
* Product Backlog Management: Develop and manage the product backlog in Jira, ensuring epics, stories, and acceptance criteria are complete and prioritized.
* Collaboration with UX/UI Designers: Work closely with UX/UI designers to ensure product features are intuitive and meet user experience goals.
* Technical Collaboration: Partner with technical developers to translate functional requirements into technical specifications and deliverables.
* Sprint Participation: Engage in sprint ceremonies, including backlog grooming, sprint planning, stand\-ups, demos, and retrospectives.
* Documentation: Provide clear documentation, including process flows, functional specs, data mapping, and requirements traceability.
* Support UAT and Enhancements: Assist in user acceptance testing, defect resolution, and enhancements by validating requirements against delivered features.
* Subject Matter Expertise (SME): Act as a SME for pension and retirement benefits administration concepts, such as annuity calculations, eligibility rules, service credit, overpayments, and Service Purchase buybacks.
**The Team**
 Deloitte's Government \&amp; Public Services (GPS) practice \- our people, ideas, technology and outcomes \- is designed for impact. Serving federal, state, \&amp; local government clients as well as public higher education institutions, our team of professionals brings fresh perspective to help clients anticipate disruption, reimagine the possible, and fulfill their mission promise.
 Our Industry Solutions clients seek verticalized solutions that transform how they sell products, deliver services, generate growth, and fulfill mission\-critical operations. The Industry Solutions offering delivers integrated business expertise with repeatable scaled technology solutions that are specifically engineered for each sector's IndustryAdvantageTM.
**Qualifications**
 Required
 **:**
* 3\+ years of experience delivering benefits plans for clients in roles such as a product manager, benefits operations manager, benefits analysts, benefits administration, business analysis etc.
* Experience with product management of benefits administration platforms (pension expertise preferred)
* Must be legally authorized to work in the United States without the need for employer sponsorship, now or at any time in the future
* Ability to travel 0\-50%, on average, based on the work you do and the clients and industries/sectors you serve
 Preferred:
* Pension Knowledge:In\-depth understanding of pension and retirement benefits administration concepts, such as annuity calculations, eligibility rules, and service credit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$113,300 to $188,900\.
 Information for applicants with a need for accommodation: https://www2\.deloitte.com/us/en/pages/careers/articles/join\-deloitte\-assistance\-for\-disabled\-applicants.html</t>
        </is>
      </c>
    </row>
    <row r="55">
      <c r="A55" t="inlineStr">
        <is>
          <t>li-4360626183</t>
        </is>
      </c>
      <c r="B55" t="inlineStr">
        <is>
          <t>Program Manager</t>
        </is>
      </c>
      <c r="C55" t="inlineStr">
        <is>
          <t>Swooped</t>
        </is>
      </c>
      <c r="D55" t="inlineStr">
        <is>
          <t>linkedin</t>
        </is>
      </c>
      <c r="E55" t="inlineStr"/>
      <c r="F55" t="inlineStr"/>
      <c r="G55" t="inlineStr"/>
      <c r="H55" t="inlineStr"/>
      <c r="I55" t="inlineStr">
        <is>
          <t>**About Our Client** 
 Our client powers manufacturing uptime through the delivery of an unparalleled condition monitoring experience, with a passion to care about the assets customers care for every day. The team includes world\-renowned engineers and distinguished business leaders united by a common goal – To build the future of predictive maintenance. As the organization enters the next phase of rapid growth, people are sought to help lead the journey.
**About The Role** 
 Our client is looking for a driven
 **Program Manager** 
 to serve as the strategy engine for a critical domain within the company. This isn’t a traditional Program Management position – in this role, the individual will ensure the collection of projects and programs are fit for purpose to meet the objectives and key results for the domain while driving specific projects and programs directly. The Program Manager will partner with functions across the company to deeply understand their needs and requirements while also providing relevant and actionable information on their portfolio of projects.
**Key Responsibilities** 
* **PMO Championing and Maturation** 
 : PMO thought partnership. Coaching and organizational change management.
* **Project Management** 
 : Charter, scope and success criteria alignment and management. Stakeholder analysis and communication planning. WBS and schedule development and management. Risk identification and mitigation. Team mobilization. Procedure and SOP oversight. Testing and QA management. Release management/transition to BAU. Lessons learned and continuous improvement.
* **Program Management** 
 : OKR alignment and scoping. Business case creation and vetting. Interdependency identification and management. Cost and return forecasting. Status reporting and communication.
* **Portfolio Management** 
 : Risk and opportunity identification. Demand triage. Prioritization and stack ranking. Resource capacity planning. Aggregate, multi\-stakeholder reporting.
* **Business Analysis** 
 : Assessment and improvement opportunity identification. Change impact assessment: Solution architecture.
* **Requirements Management** 
 : Scope decomposition. Requirements traceability matrix development and management. Test case development oversight.
**Required Qualifications** 
* **PMO experience** 
 : 5\-7 years of leadership experience in program management. Demonstrated success managing cross‑functional teams, collaborating with senior executive stakeholders, and delivering large‑scale innovation initiatives.
* **Cross‑functional delivery** 
 : Experience working across product, operations, finance and marketing functions to drive program success (on\-time, on\-budget, on\-scope).
* **Technical fluency** 
 : Strong understanding of supply\-chain processes and technologies, customer relationship management (CRM) processes and technologies.
* **Communication and stakeholder management** 
 : Excellent communication skills with the ability to introduce new project, program and portfolio management concepts and demonstrate their value.
* **PPM Tool Expert** 
 : Demonstrated ability to navigate and adapt PPM tools for a diverse community of stakeholder needs.
**Preferred Qualifications** 
* **PMI PMP Certification**
* **Education** 
 : Bachelor’s degree in business, supply chain, computer science, data science, artificial intelligence, engineering or a related quantitative field.
* **Continuous learner/growth mindset** 
 : Commitment to staying abreast of emerging capabilities and best practices; known for quickly moving from theoretical knowledge to real\-world application.
* **PMO Adjacent Domain Expertise** 
 : Demonstrated ability to identify and optimize process and technology integrations with peripheral concepts.
**What They Offer** 
 Our client is a remote\-first company that puts people at the center of everything it does. The company wants team members to thrive, offering a range of benefits and perks designed to support well\-being, growth, and work\-life balance.
* Competitive compensation package including stock options
* Flexible work schedule
* Comprehensive benefits including retirement plan match
* Opportunity to make a real impact every day
* Work with a dynamic and growing team
* Unlimited PTO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56">
      <c r="A56" t="inlineStr">
        <is>
          <t>li-4345499701</t>
        </is>
      </c>
      <c r="B56" t="inlineStr">
        <is>
          <t>Technical Program Manager - MSL (Meta SuperIntelligence Labs)</t>
        </is>
      </c>
      <c r="C56" t="inlineStr">
        <is>
          <t>Meta</t>
        </is>
      </c>
      <c r="D56" t="inlineStr">
        <is>
          <t>linkedin</t>
        </is>
      </c>
      <c r="E56" t="inlineStr"/>
      <c r="F56" t="inlineStr"/>
      <c r="G56" t="inlineStr">
        <is>
          <t>Seattle, WA</t>
        </is>
      </c>
      <c r="H56" t="inlineStr"/>
      <c r="I56" t="inlineStr">
        <is>
          <t>The Products and Applied Research organization in MSL is tasked with building new zero\-to\-one AI products, along with supporting many AI features in existing Meta products, used by billions of people every day. As a TPM, you will be responsible for delivering significant business value through AI innovations. You will work across a talent\-dense team of AI engineers, scientists, product managers, data scientists, and other cross\-functional team members to help evaluate models, build state\-of\-the\-art techniques, and build effective tools and strategies to streamline model productionization, while holding a high quality bar. You will be part of a highly technical, AI\-native team that is bold and moves fast.You’ll apply your extensive technical background to define functional requirements for new products and features, guide high\-level goals and roadmaps, monitor and communicate progress, and drive program execution efficiently through cross\-functional and cross\-organizational collaboration. You’ll be an integral part of the team who will drive technical strategy, system architectural discussions, and make future\-proof decisions that align with product strategy and vision. We are in the early stages of MSL’s formation, and as we grow over the next many years, you will grow with the organization and help shape it.
 Technical Program Manager \- MSL (Meta SuperIntelligence Labs) Responsibilities:
* Develop and manage end\-to\-end technical AI/ML product solutions and ensure on\-time delivery
* Manage and own cross\-functional products and programs execution in a matrix organization
* Drive and influence technical and product strategy, proactively identify risks and develop mitigation strategies, align on priorities, and set direction for a broadly cross\-functional area
* Help define the roadmap and long\-term strategy of the teams that you are working with
* Design measurements to track impact and drive internal process improvements
* Communicate the technology, requirements, goals and milestones of your team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Help drive product decisions to align with higher company initiative
 Minimum Qualifications:
* B.S. in Computer Science or a related technical discipline, or equivalent experience
* 12\+ years of software engineering, systems engineering, hardware engineering, or technical product/program management experience
* Experience driving and delivering complex AI/ ML tech programs or products from inception to delivery
* Experience defining strategic direction and identifying new opportunities for impact amongst products, platforms and programs
* Knowledge of user needs, gathering requirements, and defining scope
* Experience operating autonomously across multiple teams and functions, demonstrated critical thinking, and thought leadership
* Organizational, coordination and multi\-tasking experience
* Communication experience at executive level and experience influencing decision. makers and technical management teams to develop systems, solutions, and products
* Analytical and problem\-solving experience with large\-scale systems
* Experience establishing work relationships across multi\-disciplinary teams and multiple partners in different time zones
 Preferred Qualifications:
* Experience with shipping products that rely on large models (LLMs and VLMs)
* Experience evaluating model performance online and offline
* Experience working across modeling and product teams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$199,000/year to $272,000/year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57">
      <c r="A57" t="inlineStr">
        <is>
          <t>li-4295739049</t>
        </is>
      </c>
      <c r="B57" t="inlineStr">
        <is>
          <t>Business Integrations Program Manager</t>
        </is>
      </c>
      <c r="C57" t="inlineStr">
        <is>
          <t>Dodge &amp; Cox</t>
        </is>
      </c>
      <c r="D57" t="inlineStr">
        <is>
          <t>linkedin</t>
        </is>
      </c>
      <c r="E57" t="inlineStr"/>
      <c r="F57" t="inlineStr"/>
      <c r="G57" t="inlineStr">
        <is>
          <t>San Francisco, CA</t>
        </is>
      </c>
      <c r="H57" t="inlineStr"/>
      <c r="I57" t="inlineStr">
        <is>
          <t>Dodge \&amp; Cox is seeking a Business Integrations Program Manager to transform strategic goals into executable actions. The Business Integrations Program Manager serves as a thought partner to executive leadership and is responsible for driving the success of high\-priority initiatives through expert facilitation, strong program management, and the ability to connect and align cross\-functional teams.
 This role requires the ability to maintain objectivity and exercise sound judgement to maximize business value with an effective balance of speed, quality, and stakeholder buy\-in. The ideal candidate will be a self\-starter and problem\-solver, able to seamlessly shift between strategic thinking and tactical implementation to achieve meaningful results. The candidate must also be willing and able to take a hands\-on approach and actively contribute to execution as needed.
**Responsibilities**
* Manage programs, projects, and change for specific initiatives and serve as a center of excellence for project management across the firm
* Support leadership decision\-making processes, strategic planning and execution
* Build and strengthen key partnerships across the organization
* Collaborate closely with technology teams to improve project execution and outcomes
**Key Skills**
**Project** 
**/** 
**Program Management** 
**Expertise**
* Demonstrates strong organizational skills and the ability to oversee multiple projects, tasks, and interdependencies effectively
* Proactively manages timelines and resources and mitigates risks
* Maintains detailed project documentation
* Facilitates meetings with varied stakeholders and cross\-functional teams
**Effective Communication**
* Exhibits excellent written and verbal communication skills, with the ability to convey complex information clearly and effectively to multiple audiences
**Key Competencies**
**Translating Strategy into Executable Steps**
 Demonstrates the ability to think independently and translate strategic goals and initiatives into tactical, detailed, actionable steps. Is anticipatory and proactive. Has a results\-oriented mindset.
**Mosaic Thinking**
 Displays expertise in identifying connections and drawing conclusions from disparate pieces of data, ideas, and conversations. Brings clarity to ambiguity.
**Adaptive Communication**
 Distills large amounts of information and frames communications to meet varied audience needs.
**Collaborative and Results\-Driven Facilitation**
 Cultivates partnerships and uses active listening skills to enhance project/program decision\-making. Facilitates open dialogue and leads discussions to resolve issues and challenges. Effectively identifies the right stakeholders and engages them at the optimal time—neither too early nor too late—to maximize efficiency, resource utilization, and informed decision\-making.
**Rapid and Continuous Learning**
 Is able to quickly absorb and synthesize large amounts of complex information. Dedicated to continuous learning. Possesses intellectual curiosity, open\-mindedness, and humility.
**Influencing and Consensus Building**
 Demonstrates high emotional intelligence to build strong relationships and foster trust. Effectively influences and holds individuals accountable, whether or not explicit authority is provided, by creating a shared commitment to outcomes.
**Change Management**
 Effectively helps teams navigate complex organizational changes.
**Qualifications**
* 5\-10 years of experience in role requiring the key skills and competencies listed for this position
* Proficiency in MS Office as well as collaboration, project management, and data analytics/visualization tools
* Experience in investment and asset management industry (preferred)
* Management and training experience (preferred)
**Requirements:**
* Dodge \&amp; Cox has a 4/1 hybrid work model, and all Dodge \&amp; Cox employees are required to be in their assigned office as noted in the job posting Monday \- Thursday each week, with the option to work remotely on Friday.
 The salary range for this position is $160,000k \- $200,000k.
 The listed pay scale denotes only the pay range of the base salary and does not include discretionary bonus compensation, which may make up an important portion of the total remuneration. Dodge \&amp; Cox encourages applicants to consider the value of the many competitive benefits it offers, including coverage of 100% of all healthcare premiums for employees and their families and fully funding a retirement plan at 25% of the total compensation to the IRS limit. Dodge \&amp; Cox also provides additional benefits such as commuter, health \&amp; wellness, backup care, matching gift, employee assistance, and life and disability insurance. The listed pay scale reflects the base salary Dodge \&amp; Cox reasonably expects to pay for this position and is not a reflection of the highest and lowest base salary of any current Dodge \&amp; Cox employee. Actual base salary will be based on factors such as the candidate's prior relevant experience (including within and external to Dodge \&amp; Cox, as applicable), education, skills, and knowledge.
*The job description above is not designed to cover or contain a comprehensive listing of activities, duties or responsibilities that are required of the employee.* 
*It is the Company’s policy to provide equal opportunity to all persons without regard to race, color, religion, sex, pregnancy, marital or domestic partner status, sexual orientation, gender identity or expression, age, ancestry, national origin, disability, or medical condition, as defined in state and federal laws. This policy covers all aspects of employment including, but not limited to, recruitment, selection, training, promotion, transfer, compensation, demotion, and termination. By applying for a position with Dodge \&amp; Cox, you acknowledge that you have read our* 
 EEO Policy
*All Dodge \&amp; Cox employees must adhere to the Firm’s security policies and Code of Ethics. Pursuant to the San Francisco Fair Chance Ordinance, we will consider for employment qualified applicants with arrest and conviction records.*</t>
        </is>
      </c>
    </row>
    <row r="58">
      <c r="A58" t="inlineStr">
        <is>
          <t>li-4315838306</t>
        </is>
      </c>
      <c r="B58" t="inlineStr">
        <is>
          <t>AI Program Manager</t>
        </is>
      </c>
      <c r="C58" t="inlineStr">
        <is>
          <t>Robert Half</t>
        </is>
      </c>
      <c r="D58" t="inlineStr">
        <is>
          <t>linkedin</t>
        </is>
      </c>
      <c r="E58" t="inlineStr"/>
      <c r="F58" t="inlineStr"/>
      <c r="G58" t="inlineStr">
        <is>
          <t>Cleveland, OH</t>
        </is>
      </c>
      <c r="H58" t="inlineStr"/>
      <c r="I58" t="inlineStr">
        <is>
          <t>We are looking for an experienced AI Program Manager to lead innovative initiatives in Cleveland, Ohio. In this role, you will oversee the development and implementation of AI strategies across departments, ensuring ethical, secure, and impactful use of AI technologies. This position offers an exciting opportunity to work closely with leadership, technology teams, and external partners to drive forward\-thinking solutions for public services.
 Responsibilities:
 • Oversee the initiation and execution of the citywide AI program, including governance structures, policy frameworks, and operational management.
 • Collaborate with city officials to identify and prioritize AI applications that align with strategic goals, compliance standards, and financial resources.
 • Conduct evaluations of existing systems, workforce capabilities, and departmental readiness to establish timelines and success metrics for AI adoption.
 • Create and manage a comprehensive AI roadmap to monitor project milestones, deliverables, and implementation progress.
 • Develop and enforce responsible AI governance policies, ensuring adherence to ethical standards, legal requirements, and data privacy regulations.
 • Lead cross\-departmental committees involving legal, IT security, HR, and public policy teams to address compliance and ethical considerations.
 • Implement bias mitigation strategies, transparency protocols, and safeguards to promote ethical AI practices.
 • Supervise the deployment of AI tools, including Microsoft Copilot, across various city departments, ensuring seamless integration and scalability.
 • Design and deliver training programs to enhance AI literacy and ensure effective utilization of AI platforms by city employees.
 • Drive change management initiatives to support the adoption of AI\-driven processes and engage with community stakeholders to address concerns and communicate benefits.
 • A minimum of 3 years of experience managing AI or IT\-related programs.
 • Proven expertise in Agile Scrum methodologies and project management practices.
 • PMP certification or equivalent project management credentials.
 • Proficiency with tools such as Atlassian Jira and Microsoft Copilot.
 • Familiarity with AI technologies, including Azure Machine Learning and Microsoft Azure.
 • Strong knowledge of AI products, software, and strategic implementation.
 • Exceptional skills in stakeholder engagement and communication.
 • Ability to lead cross\-functional teams and manage complex projects effectively.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t>
        </is>
      </c>
    </row>
    <row r="59">
      <c r="A59" t="inlineStr">
        <is>
          <t>li-4345740587</t>
        </is>
      </c>
      <c r="B59" t="inlineStr">
        <is>
          <t>Technical Program Manager - MSL (Meta SuperIntelligence Labs)</t>
        </is>
      </c>
      <c r="C59" t="inlineStr">
        <is>
          <t>Meta</t>
        </is>
      </c>
      <c r="D59" t="inlineStr">
        <is>
          <t>linkedin</t>
        </is>
      </c>
      <c r="E59" t="inlineStr"/>
      <c r="F59" t="inlineStr"/>
      <c r="G59" t="inlineStr">
        <is>
          <t>Bellevue, WA</t>
        </is>
      </c>
      <c r="H59" t="inlineStr"/>
      <c r="I59" t="inlineStr">
        <is>
          <t>The Products and Applied Research organization in MSL is tasked with building new zero\-to\-one AI products, along with supporting many AI features in existing Meta products, used by billions of people every day. As a TPM, you will be responsible for delivering significant business value through AI innovations. You will work across a talent\-dense team of AI engineers, scientists, product managers, data scientists, and other cross\-functional team members to help evaluate models, build state\-of\-the\-art techniques, and build effective tools and strategies to streamline model productionization, while holding a high quality bar. You will be part of a highly technical, AI\-native team that is bold and moves fast.You’ll apply your extensive technical background to define functional requirements for new products and features, guide high\-level goals and roadmaps, monitor and communicate progress, and drive program execution efficiently through cross\-functional and cross\-organizational collaboration. You’ll be an integral part of the team who will drive technical strategy, system architectural discussions, and make future\-proof decisions that align with product strategy and vision. We are in the early stages of MSL’s formation, and as we grow over the next many years, you will grow with the organization and help shape it.
 Technical Program Manager \- MSL (Meta SuperIntelligence Labs) Responsibilities:
* Develop and manage end\-to\-end technical AI/ML product solutions and ensure on\-time delivery
* Manage and own cross\-functional products and programs execution in a matrix organization
* Drive and influence technical and product strategy, proactively identify risks and develop mitigation strategies, align on priorities, and set direction for a broadly cross\-functional area
* Help define the roadmap and long\-term strategy of the teams that you are working with
* Design measurements to track impact and drive internal process improvements
* Communicate the technology, requirements, goals and milestones of your team
* Move fast in a flat organization by working in concert with technical program managers, product managers and engineers across Meta to establish a shared vision for improving execution and building solutions
* Ongoing communication of planning, project status, issues and risks in a timely fashion to stakeholders
* Help drive product decisions to align with higher company initiative
 Minimum Qualifications:
* B.S. in Computer Science or a related technical discipline, or equivalent experience
* 12\+ years of software engineering, systems engineering, hardware engineering, or technical product/program management experience
* Experience driving and delivering complex AI/ ML tech programs or products from inception to delivery
* Experience defining strategic direction and identifying new opportunities for impact amongst products, platforms and programs
* Knowledge of user needs, gathering requirements, and defining scope
* Experience operating autonomously across multiple teams and functions, demonstrated critical thinking, and thought leadership
* Organizational, coordination and multi\-tasking experience
* Communication experience at executive level and experience influencing decision. makers and technical management teams to develop systems, solutions, and products
* Analytical and problem\-solving experience with large\-scale systems
* Experience establishing work relationships across multi\-disciplinary teams and multiple partners in different time zones
 Preferred Qualifications:
* Experience with shipping products that rely on large models (LLMs and VLMs)
* Experience evaluating model performance online and offline
* Experience working across modeling and product teams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accommodations\-ext@fb.com.
 $199,000/year to $272,000/year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0">
      <c r="A60" t="inlineStr">
        <is>
          <t>li-4306257150</t>
        </is>
      </c>
      <c r="B60" t="inlineStr">
        <is>
          <t>Senior Technical Program Manager, Avionics Manufacturing</t>
        </is>
      </c>
      <c r="C60" t="inlineStr">
        <is>
          <t>Relativity Space</t>
        </is>
      </c>
      <c r="D60" t="inlineStr">
        <is>
          <t>linkedin</t>
        </is>
      </c>
      <c r="E60" t="inlineStr"/>
      <c r="F60" t="inlineStr"/>
      <c r="G60" t="inlineStr">
        <is>
          <t>Long Beach, CA</t>
        </is>
      </c>
      <c r="H60" t="inlineStr"/>
      <c r="I60" t="inlineStr">
        <is>
          <t>At Relativity Space, we’re building rockets to serve today’s needs and tomorrow’s breakthroughs. Our Terran R vehicle will deliver customer payloads to orbit, meeting the growing demand for launch capacity. But that’s just the start. Achieving commercial success with Terran R will unlock new opportunities to advance science, exploration, and innovation, pioneering progress that reaches beyond the known.
 Joining Relativity means becoming part of something where autonomy, ownership, and impact exist at every level. Here, you're not just executing tasks; you're solving problems that haven’t been solved before, helping develop a rocket, a factory, and a business from the ground up. Whether you’re in propulsion, manufacturing, software, avionics, or a corporate function, you’ll collaborate across teams, shape decisions, and see your work come to life in record time. Relativity is a place where creativity and technical rigor go hand in hand, and your voice will help define the stories we’re writing together. Now is a unique moment in time where it’s early enough to leave your mark on the product, the process, and the culture, but far enough along that Terran R is tangible and picking up momentum. The most meaningful work of your career is waiting. Join us.
**About The Team**
 The Stage Manufacturing team turns design into reality, owning the build of Terran R’s primary structures. This isn’t about turning the same bolt every day; it’s about building the systems to build the rocket. Engineers and technicians work side by side, with deep collaboration and real\-time feedback, to shape how we build better and faster. With a manifest and a launch date, it’s up to the team to deliver on Terran R: solving challenges in real time, optimizing for scale, and constantly improving processes. As the vehicle evolves, so will the factory, with opportunities to apply automation, machine learning, and advanced technologies. What we build here sets the blueprint for the future of scaled launch.
**About The Role**
 This role will support the Avionics Manufacturing team as we go from development into production of Avionics boxes, harnessing, and instrumentation. The Avionics team is responsible for the full lifecycle of Terran R’s nervous system, designing, building, testing, installing, and operating the hardware that connects and controls every major electrical system on the vehicle and ground.
* Timeline/Schedule: Analyze requirements, resources, and dependencies, to create and rally the team around a reliable timeline and schedule of Avionics Box, Harness, and Instrumentation delivery. Create and maintain master schedules that drive the program forward.
* Goal Tracking \&amp; Reporting: Monitor and report on the progress towards organizational goals, objectives, and milestones. Facilitate strong communication within the team and ensure transparent communication of program status to relevant stakeholders including Supply Chain, Production, and partner teams.
* Programmatic Risk Management: Identify risks to the program across all variables (time, requirements, resources, dependencies, etc.) and serve as the primary interface between propulsion engineering and our program risk management process. Continuously driving mitigation and recovery plans to get back on track.
* Trades \+ Collaboration: Present trades on items like budget, schedule, technical risk, etc. with recommendations to help improve strategic direction of the Manufacturing program. Working closely with Manufacturing leaders to work on recommendations of trades.
* Resource Management: Identify resource gaps and orchestrate cross\-functional planning for resource allocation, including headcount, budget allocation, and workspace needs. Ensure efficient utilization of resources to support program and departmental objectives.
**About You**
* Bachelor’s degree in engineering, science, mathematics, or related fields; aerospace, electrical, or mechanical engineering degree preferred
* 3\+ years of experience in a program management role on a complex technical project
* Experience managing programs across matrix organizations, building sustainable processes, and coordinating design releases and key engineering trades
* Experience in manufacturing \- developing factories, working on CONOPS, or working closely to a build.
* Proven ability to solve complex technical problems and design robust, scalable solutions
* Robust communication skills across numerous stakeholders and teams as well as navigating both technical and strategic discussions
**Nice To Haves, But Not Required**
* Experience with hardware product development
* Experience in high\-volume operations or project management of large scale and high dollar projects.
* MBA, Master’s in engineering, science, mathematics or related fields, or equivalent experience preferred
 At Relativity Space, we are committed to transparency and fairness in our compensation practices. Actual compensation will be determined based on experience, qualifications, and other job\-related factors.
 Compensation is only one part of our total rewards package. Relativity Space offers competitive salary and equity, a generous PTO and sick leave policy, parental leave, an annual learning and development stipend, and more! To see some of the benefits \&amp; perks we offer, please visit here.
**Hiring Range**
 $142,000—$181,500 USD
**We are an equal opportunity employer and value diversity at our company. We do not discriminate on the basis of race, religion, color, national origin, gender, sexual orientation, age, marital status, veteran status, or disability status.**
***If you need a reasonable accommodation, please contact us at accommodations@relativityspace.com.***</t>
        </is>
      </c>
    </row>
    <row r="61">
      <c r="A61" t="inlineStr">
        <is>
          <t>li-4305162865</t>
        </is>
      </c>
      <c r="B61" t="inlineStr">
        <is>
          <t>Program Manager</t>
        </is>
      </c>
      <c r="C61" t="inlineStr">
        <is>
          <t>Omnicom Health</t>
        </is>
      </c>
      <c r="D61" t="inlineStr">
        <is>
          <t>linkedin</t>
        </is>
      </c>
      <c r="E61" t="inlineStr"/>
      <c r="F61" t="inlineStr"/>
      <c r="G61" t="inlineStr">
        <is>
          <t>Williamsburg, VA</t>
        </is>
      </c>
      <c r="H61" t="inlineStr"/>
      <c r="I61" t="inlineStr">
        <is>
          <t>**PROGRAM MANAGER**
**Patient Experience**
**JOB SUMMARY** 
**:**
 The Program Manager position represents the core of the Snow Companies business model. This position is ultimately responsible for planning and executing patient education programs in a virtual or live setting, as well as responsible for program promotion and attendance. The key transferable skills for this position are: Virtual \&amp; live event planning and coordination, attention to detail, communication, organization, and resourcefulness. Programs team members are responsible for liaising with the Account team members to effectively understand the needs of the clients with regard to program selection and development. Program Managers report directly to Associate or Program Directors. Snow’s business is centered around the patient journey, and the Program Manager, like all positions at Snow, must be open, compassionate, and sensitive to the unique life experiences of these patients and caregivers. The Program Manager must be able to incorporate the unique patient/caregiver experience into the strategies and solutions we provide to our clients.
**Patient Privacy**
 The core of our business is working with patients. It is most likely that you will come in contact with personally identifiable information (PII) and personal health information (PHI) of patients living with chronic illness. The Program Manager will be required to successfully complete and adhere to training courses which may include, but are not limited to:
* Snow Policies and Procedures
* Health Insurance Portability and Accountability Act (HIPAA) requirements such as the Privacy Rule, the Security Rule, and Sunshine Act reporting
* Adverse Event (AE) Reporting
* The promotional requirements for pharmaceuticals under the FDA and FTC and other applicable federal or state regulations
* Privacy and Data Security
**Essential Job Functions And Responsibilities**
 It is preferred that the Program Manager has experience in and is able to perform the following essential duties and functions:
* Coordinate virtual webinars and events geared towards a patient and caregiver audience on behalf of our pharmaceutical clients
* Coordinate live event details including all management of venue set up, menu selection, and Audio/Visual needs
* Understand technical requirements and meeting outcomes to make appropriate platform recommendations (AdobeConnect, Webex, Zoom)
* Create virtual events with the appropriate platform settings and provide training for clients and presenters as needed
* Communicate with clients, pharmaceutical sales representatives, and internal teams to solidify details for events (live or virtual)
* Lead the production of events and take on the role of the production director during the event (live or virtual)
* Provide primary technical support to the client and internal team during the virtual engagement process, including any tech run\-throughs scheduled prior to the actual event
* Perform as the event host or moderator for part of or the entire event (live or virtual)
* Conduct research and analysis of key competitive markets and make recommendations regarding the program platform or location and design of the event
* Participate in client meetings and conference calls to identify issues and make recommendations on how to eliminate future occurrences
* Individuals will be responsible for interfacing with contractors and vendors in a professional manner and assisting the department staff in programs, outreach, promotions, research, and campaigns
* Coordinate with third\-party vendors to provide supervision on contractual details and instruct contractors on details and expectations
* Provide regular communication with client representatives regarding ongoing program development and effectiveness
* Establish an excellent working relationship with assigned clients and continuously strive to improve the level of overall service the company is providing
* This position may include up to 25% in travel
**The Program Manager** 
**may be asked to perform additional duties and responsibilities consistent with those listed above based on business needs.**
**Knowledge**
**KNOWLEDGE, SKILLS, AND ABILITIES** 
**:**
* Proficient working knowledge in a Microsoft Windows environment to include:
* Word processors (Word)
* Spreadsheets (Excel)
* Presentation software (PowerPoint)
* Email (Outlook)
* Salesforce (preferred)
* Zoom (preferred)
* Event planning and coordination
* Basic mathematics and business statistics
**Skills**
* Public speaking
* Teamwork mentality
* Organization and file management
* Multitasking
* Empathy
* Attention to detail
**Abilities** 
* Flexibility in job roles/responsibilities/business hours
+ Although day\-to\-day work should take place mostly during regular office hours (9:00 a.m.–6:00 p.m., Monday–Friday), candidates selected for the Program Manager position should expect that the workload and nature of the work will require hours that may extend past the business hours of the company. This includes working on the weekends
* Comprehension of general documents related to the pharmaceutical/biotechnology industry
* Critical thinking
* Travel
* Problem\-solving
* Conduct outreach calls
+ Outreach calls are a necessary function of those in a Senior Program Manager position. Therefore, candidates selected for this position will be expected to contribute as needed to this important function. Candidates not comfortable or willing to make outreach calls, which are typically “cold calls,” should take this under consideration when applying
**Education, Experience, And Related Qualifications**
 Bachelor's degree from a four\-year college or university and three to five years of related experience and/or training preferred. Candidates must have a valid driver’s license. In some instances, a passport may be necessary.
**Physical Demands**
 The physical demands described here are representative of those that must be met by an employee to successfully perform the essential functions of this job. Reasonable accommodations may be made to enable individuals with disabilities to perform essential functions. While performing the duties of this job, the employee is regularly required to stand, walk, sit, use hands (to finger, handle, or feel), reach with hands and arms, and talk or hear. The employee must regularly lift and/or move up to 25 pounds and occasionally lift and/or move more than 25 pounds. Specific vision abilities required by this job include close vision, color vision, and the ability to adjust focus.
**Work Environment/Environmental Conditions**
 The work environment characteristics described here are representative of those an employee encounters while performing the essential functions of this job. Reasonable accommodations may be made to enable individuals with disabilities to perform essential functions. The noise level in the work environment is usually moderate with no or very limited exposure to physical risk.
*Omnicom Health is committed to hiring and developing exceptional talent. We agree that talent is uniquely distributed, and we’re focused on developing inclusive teams that can bring the best solutions to everything we do. We strongly believe that celebrating what makes us different makes us better together. Join us—we look forward to getting to know you. We will process your personal data in accordance with our* 
*Recruitment Privacy Notice* 
*.*</t>
        </is>
      </c>
    </row>
    <row r="62">
      <c r="A62" t="inlineStr">
        <is>
          <t>li-4315768020</t>
        </is>
      </c>
      <c r="B62" t="inlineStr">
        <is>
          <t>Senior GRC Program Manager</t>
        </is>
      </c>
      <c r="C62" t="inlineStr">
        <is>
          <t>Bumble Inc.</t>
        </is>
      </c>
      <c r="D62" t="inlineStr">
        <is>
          <t>linkedin</t>
        </is>
      </c>
      <c r="E62" t="inlineStr"/>
      <c r="F62" t="inlineStr"/>
      <c r="G62" t="inlineStr">
        <is>
          <t>Austin, TX</t>
        </is>
      </c>
      <c r="H62" t="inlineStr"/>
      <c r="I62" t="inlineStr">
        <is>
          <t>**Inclusion at Bumble Inc.**
 Bumble Inc. is an equal opportunity employer and we strongly encourage people of all ages, colour, lesbian, gay, bisexual, transgender, queer and non\-binary people, veterans, parents, people with disabilities, and neurodivergent people to apply. We're happy to make any reasonable adjustments that will help you feel more confident throughout the process, please don't hesitate to let us know how we can help.
 In your application, please feel free to note which pronouns you use (For example: she/her, he/him, they/them, etc).
**About Bumble** 
 At Bumble, we’re building secure, AI\-driven systems that empower connection and trust globally. Security and privacy are at the heart of that mission.
 We’re looking for a
 **Senior Security GRC Program Manager** 
 to lead our PCI, SOX, ITGC, and GDPR programs — driving audit excellence, automation maturity, and cross\-functional compliance alignment across Bumble’s products and infrastructure.
 This role is ideal for someone who thrives in fast\-moving environments and knows how to transform compliance from a checkpoint into a scalable, automated enabler of trust.
***Please note: We are unable to offer Visa transfers or Visa sponsorship***
**What You’ll Do** 
* **Own Bumble’s Core Compliance Programs:**
* Lead end\-to\-end management of
 **PCI, SOX, ITGC, and GDPR** 
 frameworks — from annual audit planning through evidence collection, remediation, and executive reporting
* **Drive Audit Efficiency \&amp; Automation:**
* Partner with Security Engineering, Finance IT, and Product teams to automate evidence workflows, control attestations, and testing pipelines via tools such as
 **Drata, Vanta, or ServiceNow GRC**
* **Lead SOX \&amp; ITGC Program Delivery:**
* Co\-own SOX ITGC compliance with Finance IT, directly manage external audit partners, and maintain strong control hygiene across identity, change management, and infrastructure layers
* **Oversee PCI Compliance Operations:**
* Maintain Bumble’s PCI program scope, manage annual assessments, and coordinate with payments and infrastructure teams to ensure ongoing adherence and minimal audit fatigue
* **Steward GDPR Alignment:**
* Partner with Legal, Privacy, and Data Engineering to operationalize GDPR requirements, ensuring data protection principles and privacy\-by\-design controls are consistently validated
* **Report Risk \&amp; Remediation Metrics:**
* Build dashboards and KPI reports that provide visibility into audit readiness, control performance, and remediation progress for executive stakeholders
**Must\-Haves** 
* **Program Leadership Experience:**
* **6\+ years** 
 of experience in Security GRC, audit, or compliance within a
 **cloud\-native or technology\-driven environment**
* Proven ownership of
 **PCI, SOX, ITGC, and GDPR** 
 compliance programs — from planning through audit closure
* Demonstrated success driving measurable improvements in audit efficiency, control maturity, or automation adoption
* **Technical Acumen:**
* Strong working knowledge of
 **cloud architectures** 
 (AWS, GCP) and
 **common ITGC control areas** 
 — including access management, change management, and incident response
* Experience
 **integrating GRC tools** 
 with engineering systems (e.g., CI/CD pipelines, Jira, Slack, or identity platforms like Okta)
* Ability to
 **design or refine control automation workflows** 
 and collaborate with engineers on technical control implementation
* Practical understanding of
 **data flow mapping** 
 and
 **system\-of\-record validation** 
 to support GDPR evidence and privacy controls
* **Execution \&amp; Communication:**
* Track record of
 **leading multi\-stakeholder audits** 
 (Finance, Legal, Engineering, Privacy) and aligning diverse teams on deadlines and deliverables
* Skilled at presenting complex audit or risk topics to
 **executive leadership** 
 using concise, data\-driven insights
* Capable of drafting
 **clear, audit\-ready documentation** 
 and control narratives without excessive bureaucracy
* **Mindset \&amp; Operating Style:**
* **Automation\-first:** 
 Seeks opportunities to replace manual audit processes with system\-driven controls
* **Business\-aligned:** 
 Understands how to balance compliance requirements with engineering velocity
* **Outcome\-driven:** 
 Measures success through reduced audit fatigue, improved evidence hygiene, and faster remediation cycles
* **Collaborative:** 
 Builds trust with auditors and internal stakeholders through transparency and consistency
**Nice\-to\-Haves** 
* Hands\-on experience automating evidence collection or audit testing workflows
* Familiarity with
 **data protection impact assessments (DPIAs)** 
 and GDPR privacy operations
* Experience building or maintaining
 **risk registers** 
 ,
 **executive dashboards** 
 , or
 **compliance OKRs/KPIs**
* Certifications such as
 **CISA, CISM, CISSP, CRISC** 
 , or
 **ISO Lead Auditor**
* Background in
 **payments, fintech, or regulated SaaS** 
 environments
**About Us** 
 Bumble Inc. is the parent company of Bumble Date, BFF, and Badoo. The Bumble platform enables people to build healthy and equitable relationships, through Kind Connections. Founded by Whitney Wolfe Herd in 2014, Bumble was one of the first dating apps built with women at the center and connects people across dating (Bumble Date) and friendship (BFF). BFF is a friendship app where people in all stages of life can meet people nearby and create meaningful platonic connections and community based on shared interests. Badoo, which was founded in 2006, is one of the pioneers of web and mobile dating products. 
**AI in Bumble Inc. Hiring**
 At Bumble, we may use AI tools to support parts of our recruitment process — such as helping us record, transcribe, and summarize conversations, and supporting job alignment by comparing resumes and job descriptions to highlight skills and potential roles that may be a good match. These tools help us work more efficiently and stay focused on you during our conversations. Importantly, all hiring decisions are made by people. AI is used only to support our team’s efficiency and improve the candidate experience — not to evaluate or decide on your candidacy. Participation in AI\-supported interviews and conversations is completely voluntary and will not impact your candidacy. If you’d prefer to opt out, simply let your recruiter or interviewer know at the start of a call, or anytime during the interview or conversation. Summaries and related data are retained only as long as needed in line with our internal data retention policies. If at any point you’d like a transcription or summary deleted, please contact your recruiter directly.
 For further information on how we hold and manage your data, please refer to our
 Privacy Policy
 .
***Please note: We are unable to offer Visa transfers or Visa sponsorship***
**Location**
 This role is based in Austin, and we ask that you’re within a commutable distance to this office, so that you’re able to come onsite regularly to collaborate across engineering teams, Monday \- Wednesday.
 We have a hybrid work style and ask that all Engineers be onsite Monday \- Wednesday.
***Please note: We are unable to offer Visa sponsorship at this time***
**Global benefits**
**Maven Fertility** 
 We offer a $10,000 lifetime benefit opportunity to all employees and their partners around the world. This benefit can be used to support your reproductive journey \- from abortion care and related travel costs to fertility treatment, egg\-freezing, adoption, surrogacy, and more. 
**Family \&amp; compassionate paid leave** 
 Family leave to support you and your loved ones when needed (including victims of domestic abuse or violent crime).
**26 weeks parental leave** 
  26 weeks paid leave for the primary caregiver following the birth, adoption, surrogacy or foster care of a child. The secondary caregiver will also receive 26 weeks paid leave after 1 year of employment.
**Unlimited paid time off** 
 Take the time you need when you need it. 
**Company\-wide week off** 
 Once a year, we have a company\-wide week off (it’s essential for some teams to continue working and they will be offered alternative time off instead).
**Focus Fridays** 
 Every Friday we try to have a no meeting, no deadline, no email and no Slack rule on a Friday so you can focus without distraction.
 Check out more of our local benefits here</t>
        </is>
      </c>
    </row>
    <row r="63">
      <c r="A63" t="inlineStr">
        <is>
          <t>li-4305239093</t>
        </is>
      </c>
      <c r="B63" t="inlineStr">
        <is>
          <t>Program Manager - Diablo Canyon Feedwater Heater Replacement</t>
        </is>
      </c>
      <c r="C63" t="inlineStr">
        <is>
          <t>Westinghouse Electric Company</t>
        </is>
      </c>
      <c r="D63" t="inlineStr">
        <is>
          <t>linkedin</t>
        </is>
      </c>
      <c r="E63" t="inlineStr"/>
      <c r="F63" t="inlineStr"/>
      <c r="G63" t="inlineStr">
        <is>
          <t>Cranberry Township, PA</t>
        </is>
      </c>
      <c r="H63" t="inlineStr"/>
      <c r="I63" t="inlineStr">
        <is>
          <t>Are you interested in being part of an innovative team that supports Westinghouse’s mission to provide clean energy solutions? At Westinghouse, we recognize that our employees are our most valuable asset and we seek to identify, attract and recruit the most qualified talent while recognizing and encouraging the value of diversity in the global workplace.
 As a Program Manager on our OMS Major Projects team, you will lead the successful execution of the Diablo Canyon Feedwater Heater Replacement project. This role combines hands\-on field leadership with strategic program oversight, ensuring alignment across scope, schedule, cost, and risk for a critical nuclear outage initiative. You will manage complex EPC\-type activities, coordinate multi\-disciplinary teams, and serve as the primary interface with the customer for all on\-site execution matters..
 You will report to the Project Director, Major Projects, and be located at the Diablo Canyon Power Plant in San Luis Obispo, CA.
**Key Responsibilities**
* Own on\-site program delivery for the Feedwater Heater Replacement, including scope, schedule, cost, and risk management.
* Develop and implement integrated execution strategies, ensuring alignment with outage milestones and customer objectives.
* Provide guidance and oversight to supporting PMs and matrixed resources as needed.
* Lead on\-site activities including MMC, nuclear welding, and oversight of subcontracted rigging vendors.
* Monitor field progress, identify issues, and implement corrective actions to maintain performance.
* Ensure readiness through coordination with engineering, procurement, and project controls teams.
* Serve as the primary interface with the customer for program and field execution matters.
* Report program status, risks, and opportunities at various organizational levels.
* Ensure adherence to nuclear safety, quality, and regulatory standards.
* Promote a culture of safety and continuous improvement.
* Archive work in financial, scheduling, and document management systems.
* Identify and communicate lessons learned for future improvement.
**Qualifications:**
* Bachelor's degree in Engineering, Construction Management, or related technical discipline required.
* PMP certification preferred. MBA or advanced degree preferred
* 10\+ years of progressive experience managing large, complex EPC or nuclear outage projects.
* Strong understanding of outage planning and execution in a regulated environment.
* Experience managing subcontractors and coordinating multi\-disciplinary field teams.
* Advanced knowledge of project management principles including scope, schedule, cost, risk, and quality.
* Proficient in project management tools (Primavera P6, SAP, ARM) and Earned Value Management.
 We are committed to transparency and equity in all of our people practices. The base salary range for this position, which is dependent upon experience, qualifications and skills, is estimated to be $130,400\.00 to $163,000\.00 per year.
**Why Westinghouse?**
**Benefits**
**Our benefits package is tailored to meet the diverse needs of our employees, while also promoting wellness and career growth. The following are representative of what we offer:**
* Comprehensive Medical benefits which could include medical, dental, vision, prescription coverage and Health Savings Account (HSA) with employer contributions options
* Wellness Programs designed to support employees in maintaining their health and well\-being including Employee Assistance Program providing support for our employees and their household members
* 401(k) with Company Match Contributions to support employees' retirement
* Paid Vacations and Company Holidays
* Opportunities for Flexible Work Arrangements to promote work\-life balance
* Educational Reimbursement and Comprehensive Career Programs to help employees grow in their careers
* Global Recognition and Service Programs to celebrate employee accomplishments and service
* Employee Referral Program
 Westinghouse Electric Company Is The Global Nuclear Energy Industry's First Choice For Safe, Clean, And Efficient Energy Solutions. We Enable Our Delivery Of This Vision By Living Our Value System
* Safety and Quality
* Integrity and Trust
* Customer Focus and Innovation
* Speed and Passion to Win
* Teamwork and Accountability
**While our Global Headquarters are located in Cranberry Township, PA, we have over 11,000 employees working at locations in 19 different countries. You can learn more by visiting** 
 http://www.westinghousenuclear.com .
 Westinghouse is an Equal Opportunity Employer including Veterans and Individuals with Disabilities
**Get connected with Westinghouse on social media:** 
**Twitter** 
**\|** 
**Facebook** 
**\|** 
**LinkedIn** 
**\|** 
**YouTube**</t>
        </is>
      </c>
    </row>
    <row r="64">
      <c r="A64" t="inlineStr">
        <is>
          <t>li-4345415296</t>
        </is>
      </c>
      <c r="B64" t="inlineStr">
        <is>
          <t>Sr Talent Readiness Program Manager</t>
        </is>
      </c>
      <c r="C64" t="inlineStr">
        <is>
          <t>SailPoint</t>
        </is>
      </c>
      <c r="D64" t="inlineStr">
        <is>
          <t>linkedin</t>
        </is>
      </c>
      <c r="E64" t="inlineStr"/>
      <c r="F64" t="inlineStr"/>
      <c r="G64" t="inlineStr">
        <is>
          <t>Austin, TX</t>
        </is>
      </c>
      <c r="H64" t="inlineStr"/>
      <c r="I64" t="inlineStr">
        <is>
          <t>**Sr. Talent Readiness Program Manager**
**Location:**
 Austin, TX or Remote U.S.  
**Employment Type:**
 Full\-time 
**Reports To:**
 Director, Crew Member Success (Talent Management) 
**Direct Reports:**
 None – this is an individual contributor role 
**Travel Requirements:**
 10\-15% domestic U.S. 
*Note: This role requires an in\-person interview at our headquarters in Austin, TX during the interview process.*
**About SailPoint
 :**
 SailPoint is the leader in identity security for the cloud enterprise. Our identity security solutions secure and enable thousands of companies worldwide, giving our customers unmatched visibility into the entirety of their digital workforce and ensuring that workers have the right access to do their job—no more and no less. 
 Built on a foundation of AI and ML, our Identity Security Cloud Platform delivers the right level of access to the right identities and resources at the right time—matching the scale, velocity, and changing needs of today’s cloud\-oriented, modern enterprise.  
**About the Role**
 : 
 This is a newly created role to support and help drive SailPoint’s growth. You'll own the design and execution of workforce planning activities, talent reviews, and succession planning processes—giving leaders the data and tools they need to make smarter talent decisions. 
 Expect to spend approximately 50% of your time building new programs and infrastructure and 50% operating and enhancing existing programs, including our annual 9\-box talent review and Early Impact performance framework. 
**Key Context
 :**
* You’ll join SailPoint’s Crew Member Success (Talent Management) team which is focused on ensuring our crew members develop the right skills, in the right roles, at the right time.
* We use Workday Talent for core HR data; you’ll help select and implement workforce planning specific tools that integrate with our tech stack.
* In addition to being an integral member of the Crew Member Success team, your stakeholders will include HR business partners, our HRIT team, Talent Acquisition, and business leaders across the organization.
**What You’ll Do**
**1\. Design \&amp; Operate Strategic Talent Activities \&amp; Systems (40% of role)**
 Workforce Planning 
* Partner with HRBPs and leaders across the company to assess existing workforce planning activities and build new ones that directly support talent readiness to meet business strategy
* Create a talent readiness playbook with practical tools that drive workforce planning strategy
* Select and implement digital methods and systems to support workforce planning and prioritize user experience
* Develop career pathing visualizations that connect skills profiles to internal mobility opportunities
 Talent Review Process 
* Enhance our 9\-box talent review process by integrating skills and competencies, making reviews more data\-driven and action\-oriented
* Facilitate talent discussions with senior leaders and HRBPs across the organization
* Maintain succession plans for key roles and track development progress of identified successors
* Partner with HRBPs to ensure consistent application and follow\-through
**2\.  Drive Early Impact \&amp; Performance Programs (25% of role)**
* Partner with HRBPs to enhance and scale our Early Impact program—  a 6\-month onboarding performance framework — to accelerate time\-to\-productivity
* Deliver performance management activities (goal setting, mid\-year check ins, annual reviews); evolve as necessary based on talent readiness
* Partner with HRIT to improve the user experience and measurement capabilities of all performance programs
**3\.  Deliver Workforce Analytics \&amp; Insights (20% of role)**
* Design and deliver regular reporting on organizational health metrics (productivity, performance, capability gaps)
* Translate data into recommended interventions for teams and functions; track progress over time
* Collaborate with Talent Program Managers to build linkages between capability gaps and development programs
* Connect organizational health metrics to business outcomes
**4\.  Enable Strategic Change (15% of the role)**
* Help leaders identify capability gaps and change readiness required to execute business strategy
* Develop change management strategies using proven frameworks (Prosci, Kotter) to drive adoption
* Partner with Talent Acquisition to align hiring with workforce planning strategies
**Roadmap for Success**
**Within 30 Days:**
* Complete discovery: review existing workforce planning processes, systems, and documentation
* Conduct stakeholder interviews (Director, HRBPs, 3\+ business leaders)
* Deliver assessment report with prioritized opportunities
**By 90 Days:**
* Partner with HRIT to enhance Early Impact UX and expand to 2\-3 new functions and with Talent Programs Manager and Talent Acquisition to create support documentation for both managers and new hires
* Develop a detailed project plan for workforce planning activities and talent review enhancements
* Obtain stakeholder sign\-off on scope, timelines, and resources
* Draft initial talent readiness playbook
**By 6 Months:**
* Launch enhanced Early Impact program
* Pilot talent readiness program with 2 departments
* Complete technology vendor evaluation for workforce planning tools
* Present progress report with key wins and adjustments
**By 12 Months:**
* Implement talent readiness program across all functions
* Complete regular talent reviews with measurable improvement in succession bench strength, internal mobility rate, and development planning
* Launch ongoing analytics reporting cadence
* Expand Early Impact to 4\-5 additional departments
**What You’ll Bring**
**Education (preferred, not required) \&amp; Experience**
* Bachelor's degree in human resources, organizational development, industrial\-organizational psychology, or related field
* 6–10 years in HR, talent management, or organizational consulting
* 2–3 years designing and implementing workforce planning activities that yield measurable business outcomes
* Experience with Workday Talent or similar HRIS/talent management platform
* Proven track record facilitating senior leadership discussions and talent calibration sessions
* Experience with change management frameworks (Prosci, Kotter, or similar)
* Technology industry or high\-growth SaaS environment a plus
* Leadership development or coaching background a plus
**Core Skills:**
* **Facilitation \&amp; Influence:**
 Ability to guide executives through complex talent decisions and build consensus
* **Program \&amp; Project Management:**
 Track record designing and launching enterprise\-wide initiatives on time
* **Analytical Thinking:**
 Comfortable interpreting workforce data and translating insights into strategy
* **Consulting Mindset:**
 Meet leaders where they are; tailor solutions to business context
* **Systems Thinking:**
 Connect competency frameworks to hiring, performance, development, and succession
* **Change Leadership:**
 Navigate resistance and build adoption across diverse stakeholder groups
 Benefits and Compensation listed vary based on the location of your employment and the nature of your employment with SailPoint.
 As a part of the total compensation package, this role may be eligible for the SailPoint Corporate Bonus Plan or a role\-specific commission, along with potential eligibility for equity participation. SailPoint maintains broad salary ranges for its roles to account for variations in knowledge, skills, experience, market conditions and locations, as well as reflect SailPoint’s differing products, industries, and lines of business. Candidates are typically placed into the range based on the preceding factors as well as internal peer equity.
 We estimate the base salary, for US\-based employees, will be in this range from (min\-mid\-max, USD):
 $90,200 \- $128,800 \- $167,400
 Base salaries for employees based in other locations are competitive for the employee’s home location.
 Benefits Overview
 1\. Health and wellness coverage: Medical, dental, and vision insurance
 2\. Disability coverage: Short\-term and long\-term disability
 3\. Life protection: Life insurance and Accidental Death \&amp; Dismemberment (AD\&amp;D)
 4\. Additional life coverage options: Supplemental life insurance for employees, spouses, and children
 5\. Flexible spending accounts for health care, and dependent care; limited purpose flexible spending account
 6\. Financial security: 401(k) Savings and Investment Plan with company matching
 7\. Time off benefits: Flexible vacation policy
 8\. Holidays: 8 paid holidays annually
 9\. Sick leave
 10\. Parental support: Paid parental leave
 11\. Employee Assistance Program (EAP) and Care Counselors
 12\. Voluntary benefits: Legal Assistance, Critical Illness, Accident, Hospital Indemnity and Pet Insurance options
 13\. Health Savings Account (HSA) with employer contribution
 SailPoint is an equal opportunity employer and we welcome all qualified candidates to apply to join our team.  All qualified applicants will receive consideration for employment without regard to race, color, religion, sex, sexual orientation, gender identity, national origin, disability, protected veteran status, or any other category protected by applicable law.  
 Alternative methods of applying for employment are available to individuals unable to submit an application through this site because of a disability. Contact applicationassistance@sailpoint.com or mail to 11120 Four Points Dr, Suite 100, Austin, TX 78726, to discuss reasonable accommodations.  NOTE: Any unsolicited resumes sent by candidates or agencies to this email will not be considered for current openings at SailPoint.</t>
        </is>
      </c>
    </row>
    <row r="65">
      <c r="A65" t="inlineStr">
        <is>
          <t>li-4286551177</t>
        </is>
      </c>
      <c r="B65" t="inlineStr">
        <is>
          <t>Program Manager / STRTP Administrator</t>
        </is>
      </c>
      <c r="C65" t="inlineStr">
        <is>
          <t>Rite of Passage</t>
        </is>
      </c>
      <c r="D65" t="inlineStr">
        <is>
          <t>linkedin</t>
        </is>
      </c>
      <c r="E65" t="inlineStr"/>
      <c r="F65" t="inlineStr"/>
      <c r="G65" t="inlineStr">
        <is>
          <t>Costa Mesa, CA</t>
        </is>
      </c>
      <c r="H65" t="inlineStr"/>
      <c r="I65" t="inlineStr">
        <is>
          <t>✨Join a group of passionate advocates on our mission to improve the lives of youth! Rite of Passage Team is hiring for a
 ***Program Manager / STRTP Administrator***
 at
 ***Southern California Treatment Program***
 in
 ***Costa Mesa, CA***
 ✨
 Rite of Passage’s Southern California Treatment Program is located in a thriving community known for its cultural diversity, sunny weather, and proximity to world\-class educational institutions, that allows our team members to enjoy an inspiring and supportive environment where they can make a meaningful impact while growing both personally and professionally.
**Pay:** 
 Rate starting at $68,640 per year
**Perks and Benefits:** 
 Medical, Dental, Vision, company paid Life Insurance, eligibility for a 403(b) match of up to 6% after 1 year of employment, Paid Time Off that begins accruing on the first day, and more! See complete list here: ATCS Benefits \&amp; Perks
**What you will do:** 
 You will oversee the daily operations for two short\-term residential therapeutic programs, including scheduling, logistics, management, and training for all staff. You will be the house Administrator responsible for the continuous quality improvement of the homes and quality delivery of treatment, ensuring client health and welfare services are conducted in accordance with all licensing, regulations, and laws.
**To be considered you must:** 
 Be empathetic, patient, and respectful, with a genuine desire to work with troubled teens. \~ Pass a criminal background check, drug screening, physical exam, and TB test. \~ Have a current State Driver’s License with an acceptable driving record for the past 3 years. \~Retain
 **one** 
 of the following qualifications: Have a master's degree plus two years of employment as a social worker in an agency serving children or in a residential congregate care program for children; OR Have a bachelor's degree plus three years’ administrative or supervisory experience providing direct services to children in an agency or in a community care facility with a licensed capacity of six or more; OR Have completed at least two years of a college degree plus five years’ administrative or supervisory experience providing direct services to children in an agency or in a community care facility with a licensed capacity of six or more.
**Information Regarding Schedule/hours/shifts**
* Shifts: Monday – Friday 9:00 am \- 6:00 pm
**Apply today and Make a Difference in the Lives of Youth!**
 After 40 years of improving the lives of youth, we are looking for passionate advocates to continue the legacy of helping young people become successful adults. As an
 ***Program Manager / STRTP Administrator***
***,***
 you will have the unique opportunity to create a positive, safe and supportive environment for the youth we serve while building a career rich in growth opportunities and self\-fulfillment.
**Follow us on Social!**
 Instagram / Facebook / Linkedin / Tik Tok / YouTube</t>
        </is>
      </c>
    </row>
    <row r="66">
      <c r="A66" t="inlineStr">
        <is>
          <t>li-4360690304</t>
        </is>
      </c>
      <c r="B66" t="inlineStr">
        <is>
          <t>Curriculum Program Manager, Zucker School of Medicine at Hofstra/Northwell</t>
        </is>
      </c>
      <c r="C66" t="inlineStr">
        <is>
          <t>Inside Higher Ed</t>
        </is>
      </c>
      <c r="D66" t="inlineStr">
        <is>
          <t>linkedin</t>
        </is>
      </c>
      <c r="E66" t="inlineStr"/>
      <c r="F66" t="inlineStr"/>
      <c r="G66" t="inlineStr">
        <is>
          <t>Hempstead, NY</t>
        </is>
      </c>
      <c r="H66" t="inlineStr"/>
      <c r="I66" t="inlineStr">
        <is>
          <t>**About Hofstra**
 Hofstra University is nationally ranked and recognized as Long Island’s largest private university located in Hempstead, N.Y. When you work at Hofstra, you join a team of talented professionals committed to preparing students for the challenges of tomorrow, in an environment that cultivates learning through the free and open exchange of ideas for the betterment of humankind. The work we do at Hofstra supports the education and well\-being of our students, and the workforce of the future. While working towards this mission, employees can take advantage of many enriching experiences on campus. Whether it’s a lunchtime lecture, a Division I NCAA athletics game, a musical concert, a theatre performance, or a visit to one of our two accredited museums, there is always something exciting to do at Hofstra. Enjoy the ease of going to the fitness center, taking a swim, or grabbing a bite to eat without having to leave our beautiful campus! Hofstra University is dedicated to recruiting and retaining a highly qualified and diverse academic community of students, faculty, staff, and administrators respectful of the contributions and dignity of each of its members. We welcome applications from individuals of all backgrounds and experiences and are committed to building a diverse and inclusive community.
**Position Title**
 Curriculum Program Manager, Zucker School of Medicine at Hofstra/Northwell
**Position Number**
 896315
**Position Category**
 Administration
**School/Division**
 School of Medicine
**Department**
 Zucker School of Medicine \- Medical Education Administration
**Full\-Time Or Part\-Time**
 Full\-Time
**Description**
 Reporting to the Assistant Dean for Medical Education Administration, the Curriculum Program Manager is a unique role that combines support for clinical skills with support for the Curriculum Committee and all of its subcommittees. The position requires availability for occasional early mornings, evenings, or weekend hours to monitor program activities and manage workload.
**Responsibilities Include, But Are Not Limited To**
* Collaborates with the Integrated Learning team, Clinical Experiences team, Testing Manager, Clinical Skills faculty, and Center for Learning and Innovation staff to plan, implement, and evaluate the clinical skills program and related activities, ensuring alignment with organizational mission and goals.
* Maintains comprehensive program documentation and develops strategic scheduling forecasts for student and faculty activities while managing faculty recruitment for Clinical Skills Examination events in partnership with Clinical Skills Co\-Directors.
* Coordinates and implements clinical skills curriculum components, including standardized patient sessions, formative reviews, and assessment activities, ensuring seamless delivery of educational programming.
* Provides comprehensive administrative support through calendar management, meeting coordination, and operational oversight of educational platforms including Canvas, One45, and facility scheduling systems while ensuring accuracy of examination documentation and grading processes.
* Develops and maintains systems for organizing and distributing clinical skills educational and assessment materials to support student and faculty needs.
* Manages program evaluation processes, including survey development, data analysis, and recommendations for program enhancement, supporting continuous quality improvement initiatives.
* Provides administrative support to the Curriculum Committee and subcommittees.
* Works closely with committee chairs to ensure that important committee work is accomplished in a timely manner.
* Works closely with the Assistant Dean for Medical Education Administration to create and maintain the curriculum map.
* Acts as project manager for completion of the AAMC SCOPE survey.
* Performs other related duties and additional special projects as assigned.
**Qualifications**
* Bachelor’s degree or equivalent required.
* 3\-5 years of relevant administrative experience, preferably in an education or health care setting.
* Proficient in Microsoft Office Suite, Zoom, and related software tools.
* Excellent interpersonal, verbal, and written communication skills.
* Strong organizational skills and attention to detail, with the ability to manage multiple priorities independently.
* Must demonstrate excellent interpersonal and communication skills as well as a high degree of judgement, discretion, and confidentiality.
* Must have the ability to establish and maintain positive working relationships with staff, faculty, and students.
* Ability to work in a fast\-paced, deadline driven work environment, and approach challenges with creativity and innovation.
* Must be able to provide own transportation to and from off\-site meetings.
**Deadline**
 Open Until Filled
**Date Posted**
 10/03/2025
**EEO Statement**
 Hofstra University is an equal opportunity employer and is committed to extending equal opportunity in employment to all qualified individuals without regard to race, color, religion, sex, sexual orientation, gender identity or expression, age, national or ethnic origin, physical or mental disability, marital or veteran status or any other characteristic protected by law.
**Salary/Salary Range**
 $64,500 \- $70,000</t>
        </is>
      </c>
    </row>
    <row r="67">
      <c r="A67" t="inlineStr">
        <is>
          <t>li-4359787137</t>
        </is>
      </c>
      <c r="B67" t="inlineStr">
        <is>
          <t>Product Manager, Integrations</t>
        </is>
      </c>
      <c r="C67" t="inlineStr">
        <is>
          <t>Equal Parts</t>
        </is>
      </c>
      <c r="D67" t="inlineStr">
        <is>
          <t>linkedin</t>
        </is>
      </c>
      <c r="E67">
        <f>HYPERLINK("https://www.linkedin.com/jobs/view/4359787137", "https://www.linkedin.com/jobs/view/4359787137")</f>
        <v/>
      </c>
      <c r="F67" t="inlineStr"/>
      <c r="G67" t="inlineStr">
        <is>
          <t>Austin, TX</t>
        </is>
      </c>
      <c r="H67" t="inlineStr"/>
      <c r="I67" t="inlineStr">
        <is>
          <t>$150k \- $175k
* 0\.1\-0\.2% Equity
 Austin, TX
* On\-Site
* Turn Acquisitions into Repeatable Product
 We are looking for a Product Manager, Integrations to own and productize how data, systems, and people migrate onto the Equal Parts platform following an acquisition. This role is central to our ability to scale quickly and repeatably, with a clear mandate: newly acquired agencies fully live on our platform within 7 days of close.
 Reporting to the Head of Integration, this PM will sit at the intersection of product, data, operations, and M\&amp;A. You will turn messy, inconsistent, and often incomplete acquisition inputs into structured workflows, repeatable tooling, and durable integration playbooks.
 This is not a feature roadmap role. This is a high\-ownership execution role for someone who thrives in ambiguity, loves systems thinking, and can impose order on complex operational reality.
**What You'll Own**
* The end\-to\-end integration product surface, defining how acquired agencies transition onto the Equal Parts platform
* The 7\-day integration standard, including success criteria, sequencing, and measurable readiness milestones
* Productized workflows for migrating data, systems, access, and operating structure from acquired agencies
* The strategy and execution of ETL and data ingestion processes, including validation, reconciliation, and exception handling
* Identification and resolution paths for data gaps and operational blind spots not uncovered during diligence
* Cross\-functional alignment across Product, Engineering, Data, Operations, Finance, and Shared Services during integrations
* Internal tooling, dashboards, and playbooks that make integrations repeatable, observable, and scalable
* Continuous improvement of integration speed, reliability, and clarity as acquisition volume increases
**Requirements**
* 7\+ years of experience across product management, integrations, data, or operations
* Direct experience owning or building ETL pipelines or complex data migrations
* Strong project management instincts with a systems\-level mindset
* Experience operating in acquisition\-driven or highly operational environments
* Proven ability to turn messy, real\-world processes into structured, repeatable systems
* Comfort working with incomplete information and driving progress anyway
* Highly organized, detail\-oriented, and deadline\-driven
* Ability to influence across teams without direct authority
* Experience partnering closely with senior operators or executive leadership
**Nice to Have**
* Experience in fintech, insurance, vertical SaaS, or multi\-entity platforms
* Familiarity with agency management systems, financial data, or commission workflows
* Hands\-on experience with SQL, data modeling, or integration tooling
* Prior exposure to M\&amp;A diligence or post\-close integration environments
**Benefits**
 For eligible employees, Equal Parts offers a comprehensive benefits package designed to support your health, well\-being, and financial stability, including:
* Major Medical Health Insurance with employer premium contributions
* Voluntary benefits including dental, vision, supplemental life, disability, and accident coverage</t>
        </is>
      </c>
    </row>
    <row r="68">
      <c r="A68" t="inlineStr">
        <is>
          <t>li-4360665212</t>
        </is>
      </c>
      <c r="B68" t="inlineStr">
        <is>
          <t>Senior Product Manager</t>
        </is>
      </c>
      <c r="C68" t="inlineStr">
        <is>
          <t>Hanwha Vision America</t>
        </is>
      </c>
      <c r="D68" t="inlineStr">
        <is>
          <t>linkedin</t>
        </is>
      </c>
      <c r="E68">
        <f>HYPERLINK("https://www.linkedin.com/jobs/view/4360665212", "https://www.linkedin.com/jobs/view/4360665212")</f>
        <v/>
      </c>
      <c r="F68" t="inlineStr"/>
      <c r="G68" t="inlineStr">
        <is>
          <t>Carlsbad, CA</t>
        </is>
      </c>
      <c r="H68" t="inlineStr"/>
      <c r="I68" t="inlineStr">
        <is>
          <t>Position: Sr. Product Manager – WAVE VMS \&amp; Recording Appliances
 Location: Carlsbad, CA
 Hanwha Vision America (HVA) is an affiliate of the Hanwha Group, a Fortune Global 500 company. HVA is an industry\-leading provider of advanced network video surveillance products, including IP cameras, storage devices, and video management systems, founded on world\-class technologies. We offer end\-to\-end security solutions and have achieved global success across a wide range of industry verticals, including retail, transportation, education, banking, healthcare, hospitality, and airports.
 We are seeking a results\-driven Product Manager to lead the software and hardware related to WAVE VMS. The ideal candidate will have a strong background in VMS and COTS products, as well as networking, throughput, and the related technologies that drive key specifications in recording devices (NVRs). A basic finance \&amp; math skillset is also needed to calculate business cases, profit, etc. Also key is a proven ability to collaborate across global cross\-functional teams to deliver high\-quality results.
**Key Specific Responsibilities**
* Coordinate WAVE software releases with our OEM provider as well as internal test teams, sales, and other stakeholders
* Coordinate WAVE Recording Appliance releases with your counterparts in South Korea
* Coordinate WAVE Recording Appliance releases with 3rd party OEM vendors
* Based on market demand and specifically Hanwha customer demand, respond by introducing OEM recording appliances for the US Market
* Act as an escalation point for issues related to WAVE VMS or Recording Appliances
* Knowledge of Linux and Windows OS
**General Responsibilities**
* Product Strategy \&amp; Roadmap: Developing and maintaining the product roadmap based on market research, customer feedback, and business objectives.
* Requirements Gathering: Collaborating with stakeholders to define detailed product requirements and features.
* Project Management: Coordinating with engineering and design teams to ensure the timely delivery of features, balancing scope, quality, and deadlines.
* Market Analysis: Conducting competitor analysis and staying updated on industry trends to inform product decisions.
* Product Launch \&amp; Lifecycle: Managing product launches, ensuring proper positioning, marketing strategies, and post\-launch support to enhance product performance and customer satisfaction.
**Preference Will Be Given To Candidates Who Can Demonstrate**
* 5\+ years in the video security industry
* Strong track record of successfully leading the delivery of hardware or software products
* Track record of continuous improvement across a product or service, whether internal or external
* Strong technical acumen with the ability to articulate complex solutions to both technical and non\-technical audiences.
* Flexibility to attend late\-night meetings with stakeholders in South Korea, where you will participate in discussions, provide updates, and collaborate with cross\-functional teams during hours that align with the Korea time zone.
* Willingness to travel locally and internationally as required, up to 10%
*Hanwha Vision America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t>
        </is>
      </c>
    </row>
    <row r="69">
      <c r="A69" t="inlineStr">
        <is>
          <t>li-4359936731</t>
        </is>
      </c>
      <c r="B69" t="inlineStr">
        <is>
          <t>Product Manager</t>
        </is>
      </c>
      <c r="C69" t="inlineStr">
        <is>
          <t>Swooped</t>
        </is>
      </c>
      <c r="D69" t="inlineStr">
        <is>
          <t>linkedin</t>
        </is>
      </c>
      <c r="E69">
        <f>HYPERLINK("https://www.linkedin.com/jobs/view/4359936731", "https://www.linkedin.com/jobs/view/4359936731")</f>
        <v/>
      </c>
      <c r="F69" t="inlineStr"/>
      <c r="G69" t="inlineStr"/>
      <c r="H69" t="inlineStr"/>
      <c r="I69" t="inlineStr">
        <is>
          <t>**About Our Client** 
 Our client is the leading food ordering platform built for companies to feed their employees. Its platform allows employees to place meal orders with their favorite restaurants while helping to combat food insecurity in local communities. Every meal ordered on the platform results in a meal donation through local partners, and to date, over 15 million meals have been donated.
 Being well fed is an essential ingredient for employee wellbeing, team performance, and company culture. Join the team and help bring do\-good, feel\-good eating to the world.
**About The Role** 
 As a
 **Product Manager** 
 , you will own the strategy and roadmap for a specific product area, transforming business goals into delivered value that enhances and redefines the corporate food space. You will translate customer needs and market opportunities into clear product requirements, prioritized backlogs, and measurable outcomes that drive adoption, retention, and business growth.
 You will partner closely with Engineering, Design, Growth, and Data teams to ship high\-impact features quickly, balance competing priorities, and raise the bar for product excellence across the organization. This role blends product strategy and ownership with hands\-on execution \- leading discovery, defining requirements, and representing Product leadership at the squad level to build products that move the business forward.
**Key Responsibilities** 
* Own strategy and roadmap for your product area by identifying and defining problems, prioritizing solutions, and driving measurable business outcomes from discovery through delivery and iteration.
* Translate business objectives and customer pain points into clear problem statements, hypotheses, prioritized opportunities, and success metrics.
* Plan and lead discovery through user interviews, data analysis, competitive research, and market insights. Synthesize findings into user stories and actionable product scope.
* Help balance out short\-term wins with long\-term vision, while clearly communicating trade\-offs and aligning stakeholders expectations.
* Write detailed product specs, user stories, and acceptance criteria with edge cases, business logic, data requirements, and success metrics to guide engineering implementation.
* Lead sprint planning, backlog refinement, and release planning for your product areas, and make real\-time prioritization decisions that balance scope, quality, and velocity.
* Partner closely with Engineering, Design and other stakeholders throughout the software development life cycle to validate implementation and ensure delivery meets requirements.
* Define go\-to\-market strategies with Growth, Marketing, and Customer Success.
* Plan rollouts, measure adoption, and iterate based on user feedback and performance data.
* Monitor product performance post\-launch through analytics dashboards, user feedback, and OKRs, and identify opportunities for optimization.
* Lead cross\-functional squad meetings with clear agendas and outcomes. Help in representing Product perspective in company\-wide planning and strategic initiatives.
* Operate with ownership and urgency by balancing out speed with rigor, advocate for users while driving business results, and consistently deliver outcomes that move the company and mission forward.
**Required Qualifications** 
* 4–7\+ years of product management experience shipping B2B SaaS, marketplace, or platform products at scale, including ownership of a core product area with measurable business impact.
* Strong product strategy skills with ability to build multi\-quarter roadmaps, prioritize ruthlessly based on data and customer insights, and articulate compelling product vision to diverse stakeholders.
* Comfortable conducting user interviews, analyzing behavioral data, running experiments, and synthesizing insights into clear product requirements and opportunity assessments.
* Deep collaboration with Engineering, Design and key stakeholders from discovery through delivery, making clear and pragmatic decisions on scope, trade\-offs, and technical constraints with strong technical fluency.
* Proficient in defining KPIs, collaborating on instrumentation and analytics, interpreting A/B test results, and iterating based on quantitative and qualitative feedback to drive product decisions.
* Expertise in agile methodologies and product development processes including sprint planning, backlog management, user story writing, and leading cross\-functional squads through delivery cycles.
* Excellent written and verbal communication skills, producing clear PRDs, concise stakeholder updates, and effective async collaboration while aligning teams around shared goals and priorities.
* High bias for action with ability to move fast and manage ambiguity while maintaining focus on long\-term business outcomes, shipping iteratively without sacrificing strategic thinking or product quality.
* Customer\-centric approach that serves as the voice of the user within the building, builds empathy across teams, and balances user needs with business constraints and technical feasibility.
* Strong leadership and influence skills that enable leading without authority, giving and receiving feedback constructively, elevating product thinking across peers, and helping establish best practices for the product organization.
**Salary Range** 
 The base compensation range for this role is
 **$125k \- $150k** 
 per year, however actual compensation packages are based on a wide array of factors unique to each candidate including but not limited to skill set, years \&amp; depth of experience, and location.
**Note:** 
 “We are not the EOR (Employer of Record) for this position. Our role in this specific opportunity is to connect outstanding candidates with a top\-tier employer. Swooped helps candidates around the world to discover and stay focused on the jobs they want until they can complete a full application in the hiring company career page/ATS.”</t>
        </is>
      </c>
    </row>
    <row r="70">
      <c r="A70" t="inlineStr">
        <is>
          <t>li-4359778773</t>
        </is>
      </c>
      <c r="B70" t="inlineStr">
        <is>
          <t>Product Owner</t>
        </is>
      </c>
      <c r="C70" t="inlineStr">
        <is>
          <t>Novir</t>
        </is>
      </c>
      <c r="D70" t="inlineStr">
        <is>
          <t>linkedin</t>
        </is>
      </c>
      <c r="E70">
        <f>HYPERLINK("https://www.linkedin.com/jobs/view/4359778773", "https://www.linkedin.com/jobs/view/4359778773")</f>
        <v/>
      </c>
      <c r="F70" t="inlineStr"/>
      <c r="G70" t="inlineStr">
        <is>
          <t>Milwaukee, WI</t>
        </is>
      </c>
      <c r="H70" t="inlineStr"/>
      <c r="I70" t="inlineStr">
        <is>
          <t>Who We Are
 Novir is an emerging diagnostic biotechnology company with an unmatched team of professionals and trusted partners delivering smart, fast and flexible testing solutions supported by reliable, cost\-effective screening products and best\-in\-class technology.
 Our Values
 Care for Tomorrow. Create a lasting, positive difference in the lives of others. Serve people with compassion and understanding. Recognize what truly matters and center every action around meeting the needs of our community both now and into the future.
 Delight our Customers. Appreciate every interaction with our customers and find ways to bring them joy. See through the Customer’s eyes, understand and anticipate their needs to consistently deliver solutions exceeding their expectations.
 Be Bold – Say It. Be direct and open. Speak with honesty and courage, and respect others for doing the same. Say what you think, embrace passionate debate, and always bring the issue to the table. Communicate with confidence.
 Bring Your Best Self. Show up and be authentic. Utilize your greatest strengths and stay true to who you are. Bring positive energy, be genuine in your approach, and continually seek ways to grow. Be uncompromisingly you.
 Innovate Relentlessly. Explore new possibilities and be willing to take a risk. Challenge status quo. Try new ideas, learn from mistakes, and rally the team to raise the bar.
 What We Do
 We offer a variety of on demand health screening services. Most recently, we have successfully scaled our first offering of rapid COVID\-19 screening solutions with on\-site delivery, Insta OnSite (do\-it\-yourself testing) and Virtual Proctoring enabled by our own proprietary Track platform.  We are taking the capabilities we have built and applying them to revolutionize preventative screening in the digital health space to launch and scale our offerings in our pipeline including: lead\-testing at schools, vaccinations in schools and senior living, virtual drug testing, and preventative health screenings.
 About This Role:
 We’re looking for an experienced Product Owner to join our team. In this role you will lead and manage a custom\-built software platform for Novir. In this role, you will be the voice of the customer while gathering requirements, designing, and delivering new product features to development teams. We drive innovation, and you as the Product Owner will be an integral part in creating our core platform as we continue to evolve and launch our future offerings. You will breakdown feature requests, prioritize work, and coordinate sprints with our engineering development team.
 *This position requires onsite attendance at Novir Headquarters a minimum of 3 days per week.*
**What You'll Do:**
* Gather and prioritize requirements to build new features for our platform
* Lead weekly standups and check\-ins with engineering development team
* Provide direction to development team, consistently ensuring they are aligned with the needs of the business
* Meet with business stakeholders regularly to gather, analyze and document requirements throughout the lifecycle of a project
* Provide the business updates on features and projects
* Manage backlog according to business priority features, enhancement, and bug fixes
* Use agile methodologies to manage full lifecycle development on the platform
* Interview and observe use of features in the field to ensure usability and customer delight
* Test new features while identifying bugs and documenting needed adjustments
**Key Experience We’re Looking For:**
* 3\-5 years recent experience as a Product Owner working with development teams to build new offerings, features, integrations that drive business growth
* 5 years' experience working in a digital healthcare environment
* Deep experience with small scrappy start\-up team waring multiple hats with a growing development team
* A strong understanding of coding including a technical background with fingers to keyboard and the possibilities as they relate to building new features
* Strong experience in writing clear and concise user stories and acceptance criteria and aligning priorities
* Flexible, fast\-paced, independent thinker that can work in a flat, unstructured environment and bring order to chaos and weed through priorities to gain consensus to drive development priorities
* Ability to test against acceptance criteria across devices and Operating Systems and develop and execute testcases with support from the business
* Build and own strategic roadmap of epics and integrations to align with business goals and strategy on an annual planning basis
* Experience with best practice project management tools and experience managing an AGILE process (Jira or other backlog management tools) using a Kan Ban or Sprint methodology
* Weekly management processes with stakeholders and daily stand\-ups with developers
* A bachelor's degree from an accredited university
**Who You Are:**
* You’re Customer Focused: The customer journey is at the core of everything you do, and you keep it top of mind while designing features
* You’re Organized: You have strong attention to detail, never miss the little things, and have focused productivity and accuracy
* You’re A Strong Communicator: You are comfortable communicating with engineers, and business stakeholders clearly and concisely
* You’re Analytical: You consider multiple factors when making decisions, and use data when and where possible to inform your decisions
* You’re Open\-Minded: You are comfortable giving and receiving feedback
**Perks of Working @ Novir:**
* Competitive total compensation offerings
* Generous paid time off policy
* Medical, dental and vision insurance, some of which is covered by the company
* Company provided Disability and Life Insurance
* Flexible schedule and work from home policy
* A friendly office atmosphere in our office space in the heart of Milwaukee’s Third Ward
* Opportunity to build something incredible while being surrounded by intelligent, hardworking and motivated coworkers
 Novir is a fast\-growing startup with a work hard, play hard attitude. We look for smart, motivated individuals who are excited to build something incredible from the ground up!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71">
      <c r="A71" t="inlineStr">
        <is>
          <t>li-4352721352</t>
        </is>
      </c>
      <c r="B71" t="inlineStr">
        <is>
          <t>Senior Product Manager</t>
        </is>
      </c>
      <c r="C71" t="inlineStr">
        <is>
          <t>TRM Labs</t>
        </is>
      </c>
      <c r="D71" t="inlineStr">
        <is>
          <t>linkedin</t>
        </is>
      </c>
      <c r="E71">
        <f>HYPERLINK("https://www.linkedin.com/jobs/view/4352721352", "https://www.linkedin.com/jobs/view/4352721352")</f>
        <v/>
      </c>
      <c r="F71" t="inlineStr"/>
      <c r="G71" t="inlineStr"/>
      <c r="H71" t="inlineStr"/>
      <c r="I71" t="inlineStr">
        <is>
          <t>Build to Protect Civilization
 TRM is a blockchain intelligence company that’s on a mission to build a safer financial system for billions of people. We’re a lean, high\-impact team tackling some of the world’s most critical challenges, ranging from human trafficking and financial fraud to terrorist financing. We are builders who power governments, financial institutions, and crypto companies when the clock is running and the consequences are real. This is why every TRMer is a bet on our future and has the power to change our trajectory.
 We are seeking a
 **Senior Product Manager, National Security** 
 to join our team and lead the end\-to\-end delivery of impactful features and products. In this role, you will own the product roadmap, prioritize features, and collaborate across teams to deliver solutions that meet customer needs while navigating technical and resource constraints. You will act as the bridge between customers, product design, engineering, and go\-to\-market teams, ensuring that every feature delivers value and aligns with our strategic objectives.
**The impact you will have:**
* Define and prioritize the product roadmap based on customer impact, technical feasibility, dependencies, and resource availability.
* Translate customer needs and feedback into detailed product specifications, breaking down epics into actionable user stories.
* Collaborate with Product Design and Engineering teams to deliver intuitive, user\-centric solutions while managing development milestones.
* Drive end\-to\-end feature delivery, from ideation through testing, quality assurance, and post\-launch analysis.
* Partner with go\-to\-market teams to ensure successful product launches, including demos, marketing collateral, and customer enablement.
* Monitor product performance, gather insights, and iterate to continuously improve customer satisfaction and usage metrics.
* Stay informed about customer workflows, market trends, and competitive landscapes to influence product strategy.
**What we’re looking for:**
* 5\+ years of product management experience, preferably within enterprise SaaS startup environments, ideally working with National Security customers
* Strong communication and problem\-solving skills to write clear product specs and transform product visions into actionable user stories.
* Proven ability to collaborate across functions, including engineering, design, and marketing, to deliver high\-impact solutions.
* Analytical mindset to measure product impact, leverage data insights, and refine strategies.
* Basic technical knowledge to scope features, manage dependencies, and ensure feasibility.
* Customer\-focused with empathy and active listening skills to understand personas, workflows, and pain points.
* Flexible and adaptable to changing priorities in a fast\-paced environment.
**About the Team:**
* The Product Management team is composed of experienced PMs who have shown a strong track record of success at early stage startups
* We don’t mind getting in the weeds and executing ourselves while we scale
* We are continuing to build out the team and add more A\-players to push us in new directions, bringing creativity and grit
* We’re not a very hierarchical organization, so there’s still an expectation that everyone on the team can and will dive in wherever is needed
**Learn about TRM Speed in this position:**
* We aim to ship value in days or weeks, not months or quarters. You’ll have the autonomy and urgency to make that real.
* Understand product priorities efficiently, organize tasks and align with the team to assign the right scope for a feature and deciding whether you need to build the 1 day, 1 week, or 1 month version.
 Life at TRM
 We build to protect civilization. That promise shows up in how we work every day.
 TRM runs fast. Really fast. We’re a high\-velocity team that expects ownership, clarity, and follow\-through. People who thrive here are inspired by hard problems, experimentation, direct feedback. If it takes months elsewhere, it often ships here in days. If you are optimizing primarily for consistent work\-life balance, use the interview process to pressure\-test fit. We want teammates who thrive here, not just survive here.
 We coach directly, assume positive intent, and play for the front of the jersey.
 Leadership Principles
* Impact\-Oriented Trailblazer: We put customers first, driving for speed, focus, and adaptability.
* Master Craftsperson: We prioritize speed, high standards, and distributed ownership.
* Inspiring Colleague: We value humility, candor, and a one\-team mindset.
 Want to learn more about how we interview at TRM Labs? Check out more about our leadership principles and hiring process here.
 What You’ll Do Here
 This work has teeth. At TRM, your week might include:
* Driving critical investigations that can’t wait for typical business hours.
* Shipping products in days when others would schedule quarters.
* Partnering with teams across time zones to deliver insights while the story is still unfolding.
* Building new solutions from first principles when the playbook doesn’t yet exist.
* Protecting victims and customers by tracing illicit activity and disrupting criminal networks.
 Join our Mission
 We look for people who want their work to matter, who build with speed and rigor, and who take pride in protecting others through their craft. If you’re excited by TRM’s mission but don’t check every box, apply anyway. We hire for slope, judgment, and the will to learn fast.
 Build to protect civilization. Let’s do it together.
**Recruitment agencies**
 TRM Labs does not accept unsolicited agency resumes. Please do not forward resumes to TRM employees. TRM Labs is not responsible for any fees related to unsolicited resumes and will not pay fees to any third\-party agency or company without a signed agreement.
**Privacy Policy**
 By submitting your application, you are agreeing to allow TRM to process your personal information in accordance with the TRM Privacy Policy
**Learn More** 
 : Company Values \| Interviewing \| FAQs</t>
        </is>
      </c>
    </row>
    <row r="72">
      <c r="A72" t="inlineStr">
        <is>
          <t>li-4345324924</t>
        </is>
      </c>
      <c r="B72" t="inlineStr">
        <is>
          <t>Senior Product Manager, GMPT - API and Ecosystems</t>
        </is>
      </c>
      <c r="C72" t="inlineStr">
        <is>
          <t>TikTok</t>
        </is>
      </c>
      <c r="D72" t="inlineStr">
        <is>
          <t>linkedin</t>
        </is>
      </c>
      <c r="E72">
        <f>HYPERLINK("https://www.linkedin.com/jobs/view/4345324924", "https://www.linkedin.com/jobs/view/4345324924")</f>
        <v/>
      </c>
      <c r="F72" t="inlineStr"/>
      <c r="G72" t="inlineStr">
        <is>
          <t>Seattle, WA</t>
        </is>
      </c>
      <c r="H72" t="inlineStr"/>
      <c r="I72" t="inlineStr">
        <is>
          <t>**Responsibilities**
 About the team
 The API Product Team facilitates partners, advertisers, and developers in buying Ads on TikTok at scale. We collaborate with developers to define, build, and launch features that address key pain points and leverage partners' unique capabilities during the ads buying process.
 We are currently innovating to redefine the marketing experience and how third\-party companies interact with advertisers. This is a high\-visibility role that lays the foundation for future developer collaboration. The role entails working with cross\-functional stakeholders to set and align the strategic direction of the product.
 Responsibilities:
 \- Lead product development and execution for their product by collaborating with various stakeholders across the organization.
 \- Collaborate with Product Marketing and Partner Management teams to clearly understand customer pain points.
 \- Work closely with engineering and design teams to deliver high\-quality products from concept to launch.
 \- Write Product Specifications to clearly define requirements, make thoughtful product decisions to solve customer problems, make trade\-off decisions, and communicate effectively.
 \- Define success metrics and closely collaborate with the Data Science team to analyze product success.
**Qualifications**
 Minimum Qualifications:
 \- BA/BS degree
 \- 3\+ years of experience as a Product Manager, managing full product cycles, integrating customer feedback, and driving prioritization. (Note: this refers to product management experience, not total work experience.)
 \- Experience in solving ambiguous problems and executing complex projects by aligning leadership.
 \- Experience in the advertising tech industry.
 \- Strong internal and external communication skills
 \- Analytical and data/result\-driven. Understand shifting priorities in a fast\-paced environment.
 Preferred Qualifications:
 \- Experience with API integrations and platform development.
 \- Familiarity with TikTok's advertising ecosystem.
 \- Previous experience working in a startup or fast\-growing environment.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
**Job Information**
 【For Pay Transparency】Compensation Description (Annually)
 The base salary range for this position in the selected city is $156864 \- $296020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73">
      <c r="A73" t="inlineStr">
        <is>
          <t>li-4345384735</t>
        </is>
      </c>
      <c r="B73" t="inlineStr">
        <is>
          <t>Sr. Product Owner</t>
        </is>
      </c>
      <c r="C73" t="inlineStr">
        <is>
          <t>University of South Florida Libraries</t>
        </is>
      </c>
      <c r="D73" t="inlineStr">
        <is>
          <t>linkedin</t>
        </is>
      </c>
      <c r="E73">
        <f>HYPERLINK("https://www.linkedin.com/jobs/view/4345384735", "https://www.linkedin.com/jobs/view/4345384735")</f>
        <v/>
      </c>
      <c r="F73" t="inlineStr"/>
      <c r="G73" t="inlineStr">
        <is>
          <t>Tampa, FL</t>
        </is>
      </c>
      <c r="H73" t="inlineStr"/>
      <c r="I73" t="inlineStr">
        <is>
          <t>Tampa, FL, United States
 Trending
* Job Identification 42364
* Job Category Technology
* Posting Date 01/05/2026, 04:15 PM
* Apply Before 01/19/2026, 04:15 PM
* Degree Level Bachelor's Degree
* Locations 4202 East Fowler Avenue, Tampa, FL, 33620, US
* Hiring Salary $103,394
* Essential Personnel No
**Job Description**
**ORGANIZATIONAL SUMMARY** 
 :
 Located in the vibrant and diverse Tampa Bay region of Florida’s gulf coast, the University of South Florida (USF) is a Preeminent State Research University with campuses in Tampa, St. Petersburg and Sarasota\-Manatee. Rated as one of the top places to live in the U.S., Tampa Bay offers a high quality of life, year\-round sunshine, and easy access to top\-rated entertainment. USF is one of the nation’s largest public universities, serving more than 50,000 students with an annual budget of $1\.8 billon. Over the past five years, USF has been the fastest\-rising university in the nation, public or private, on the U.S. News and World Report's list of best universities, which it ranks as the 44th best public university in America.
 USF is proud to be an innovating partner within the Tampa Bay region, listed by
 **Forbes** 
 as the top emerging tech city in the country.
**USF Information Technology (USF IT) provides technology services and support for the University of South Florida. The IT team, led by the Vice President and CIO, provides the following services: Administrative Services, Client Support, Communication Services, Teaching and Learning, Analytics and Reporting, Mobile and Web Services, Consulting Services, Cybersecurity Service and Research Technologies. For more information, please visit** 
 : Information Technology \| University of South Florida (usf.edu)
**Additional Info For Applicants**
**The selected candidate must have current work authorization in the United States. This position is not eligible for Visa Sponsorship.**
**USF offers GREAT BENEFITS to full time employees!!**
* Medical Insurance
* Dental Insurance
* Vision Insurance
* Paid Vacation Days
* Paid Sick Days
* 11 Paid Holidays
* Various Retirement Options, including 401K employer match
* Tuition Assistance (available for yourself, spouse, partner or dependent)
 For more information about your total compensation package and other USF benefits, please visit: Work at USF
**Responsibilities**
**Primary Job Duties:**
* 30% Customer / Stakeholder Relations:
 Provides strategic consultation and participates in quality reviews and provides feedback sessions. Advises on options, risks, costs versus benefits, and impacts on end\-user
 products and services, business processes and system priorities. Create reports and communications to both Stakeholders and Senior Management. Devises and evaluates plans that integrate system components across existing and new businesses. Set and articulate clear product vision aligned to the overall strategy for the product. Negotiate and mediate problems with stakeholders.
* 30% Project Management and Product Backlog:
 Lead complex, major or highly visible tasks in support of multiple projects that require multiple areas of expertise and that may span a broad range of applications. Analyze and interpret complex enterprise\-wide problems or processes, identify and understand requirements, and develop alternate solutions while educating senior leaders as to their solution. Establish strategic goals with a long\-term view and builds a shared vision with others. Use formal methodologies to forecast trends and define innovative strategic choices in response to the potential implications of multiple integrated options. Use MoSCoW, Story Mapping, Kano Analysis and other prioritization methods while considering the value of the feature including impact on the individual, team and organization,
 story cost, estimated time to implement, impact on other stories, risk and opportunity costs when prioritizing. Create Business Model/ Product Canvas, Product Roadmap, and Product Launch Strategy. Conduct SWOT and competitive analysis Guide Product Owners in the use of appropriate requirements gathering methods. Prioritize urgent customer requests with the team to negotiate inclusion in current sprint and adjustments to other planned work as needed.
* 10% Review/Testing:
 Write and approve Acceptance Criteria.
 Provide final acceptance of the User Story.
 Create and validate prototypes.
* 10% Agile Project Management:
 Understand and keep abreast of Scrum and other Agile methodologies. Apply methodologies and tools as needed to ensure an effective, and transparent agile project. Partner with the Scrum Master who is the owner of the Scrum process, to ensure continuous improvement on project tasks.
* 15% Mentorship:
 Mentors and guides Product Owners. Review and monitors the Project Management of the Product Owner and identify areas of improvement. Gradually allow more autonomy on Projects to Product Owner as their experience and skills increase.
* 5% Performs other duties as assigned.
**Qualifications**
**Minimum Education \&amp; Experience**
 Bachelor’s degree Business, Engineering, Computer Science or IT related field and three years of IT or Project Management experience OR seven years of IT or Project Management experience, or a combination of relevant experience and education.
**Industry Knowledge**
 Certifications \- Certified Product Owner
 Degree Equivalency Clause: Four years of direct experience for a bachelor’s degree.
* Senate Bill 1310\- The Florida Senate (https://www.flsenate.gov/Session/Bill/2023/1310\) is conditional upon meeting all employment eligibility requirements in the U.S.
* SB 1310: Substitution of Work Experience for Postsecondary Education Requirements
* A public employer may include a postsecondary degree as a baseline requirement only as an alternative to the number of years of direct experience required, not to exceed:
* (a) Two years of direct experience for an associate degree;
* (b) Four years of direct experience for a bachelor’s degree;
* (c) Six years of direct experience for a master’s degree;
* (d) Seven years of direct experience for a professional degree; or
* (e) Nine years of direct experience for a doctoral degree
* Related work experience may not substitute for any required licensure, certification, or registration required for the position of employment as established by the public employer and indicated in the advertised description of the position of employment.
* Minimum Qualifications that require a high school diploma are exempt from SB 1310\.
**About Us**
**Working at USF**
 With approximately 16,000 employees, the University of South Florida is one of the largest employers in the Tampa Bay area. We are dedicated to cultivating a talented, engaged and driven workforce that strives to be bold. Employees excel in USF‘s rich academic environment, which fosters their development and advancement. In 2025, Forbes recognized USF as one of Florida’s best large employers, ranked No. 1 among the state’s 12 public universities. Our first\-class benefits package includes medical, dental and life insurance plans, retirement plan options, employee and dependent tuition programs, generous leave, and hundreds of employee perks and discounts.
**About USF**
 The University of South Florida is a top\-ranked research university serving approximately 50,000 students from across the globe at campuses in Tampa, St. Petersburg, Sarasota\-Manatee and USF Health. USF is recognized by U.S. News \&amp; World Report as a top 50 public university and the best value in Florida. U.S. News also ranks the USF Health Morsani College of Medicine as the No. 1 medical school in Florida and in the highest tier nationwide. USF is a member of the Association of American Universities (AAU), a group that includes only the top 3% of universities in the U.S. With an all\-time high of $738 million in research funding in 2024 and as a top 20 public university for producing U.S. patents, USF uses innovation to transform lives and shape a better future. The university generates an annual economic impact of more than $6 billion. USF’s Division I athletics teams compete in the American Athletic Conference. Learn more at www.usf.edu.
**Compliance and Federal Notices**
*This position may be subject to a Level 1 or Level 2 criminal background check.*
**Applicants Have Rights Under Federal Employment Laws**
 The University of South Florida is an equal opportunity employer that does not discriminate against any employee or applicant for employment based on any characteristic protected by law. The University maintains programs for protected veterans and individuals with disabilities in accordance with all applicable federal and state laws.
 Family and Medical Leave Act (FMLA)
 Applicants for USF employment are entitled to request reasonable accommodation(s) in the application process. A request is to be made at least five (5\) working days prior to the time the accommodation(s) is needed. Visit the Central Human Resources ADA Accommodations webpage for more information on requesting an accommodation during the application/interview process.
**Equal Employment Opportunity**
 The University of South Florida is an equal opportunity employer that does not discriminate against any employee or applicant for employment based on any characteristic protected by law. The University maintains affirmative action programs for protected veterans and individuals with disabilities in accordance with all applicable federal and state laws. This job description does not constitute an employment contract.
 Similar Jobs</t>
        </is>
      </c>
    </row>
    <row r="74">
      <c r="A74" t="inlineStr">
        <is>
          <t>li-4339845861</t>
        </is>
      </c>
      <c r="B74" t="inlineStr">
        <is>
          <t>Technical Product Manager</t>
        </is>
      </c>
      <c r="C74" t="inlineStr">
        <is>
          <t>CNH</t>
        </is>
      </c>
      <c r="D74" t="inlineStr">
        <is>
          <t>linkedin</t>
        </is>
      </c>
      <c r="E74">
        <f>HYPERLINK("https://www.linkedin.com/jobs/view/4339845861", "https://www.linkedin.com/jobs/view/4339845861")</f>
        <v/>
      </c>
      <c r="F74" t="inlineStr"/>
      <c r="G74" t="inlineStr">
        <is>
          <t>Oak Brook, IL</t>
        </is>
      </c>
      <c r="H74" t="inlineStr"/>
      <c r="I74" t="inlineStr">
        <is>
          <t>**About Us**
 Innovation. Sustainability. Productivity. This is how we are Breaking New Ground in our mission to sustainably advance the noble work of farmers and builders everywhere. With a growing global population and increased demands on resources, our products are instrumental to feeding and sheltering the world.
 From developing products that run on alternative power to productivity\-enhancing precision tech, we are delivering solutions that benefit people – and they are possible thanks to people like you. If the opportunity to build your skills as part of a collaborative, global team excites you, you’re in the right place.
**Grow a Career. Build a Future!**
 Be part of this company at the forefront of agriculture and construction, that passionately innovates to drive customer efficiency and success. And we know innovation can’t happen without collaboration. So, everything we do at CNH Industrial is about reaching new heights as one team, always delivering for the good of our customers.
**Job Purpose**
 The Technical Product Manager will collaborate across operations, customer support, sales, and engineering teams to ensure we develop and implement technology and product strategies that will ensure delivery of superior value to our customers including product performance/functionality, flexibility, and reliability.
**Key Responsibilities**
* Customer obsessed.
* Participate in product discovery efforts to identify customer needs.
* Gather and analyze data to create technical product requirements.
* Assist with the creation of technical product roadmaps for assigned products.
* Stay up to date with technical trends in the industry.
* Prepare various documents and report as needed.
* Demonstrates support for company culture in their daily actions.
* Maintain a clean and safe work area.
* May be called upon to perform comparable duties of a similar or related nature and/or assist in other areas as needed.
* Learning, understanding, continuously improving, and promoting the quality management system in accordance with ISO standards.Essential Functions as outlined in Associate Technical Product Manager.
* Lead product discovery efforts to identify customer needs.
* Create and manage technical product roadmaps.
* Work with architecture, development teams, and project management to control scope and enable Agile development cycles.
* Serve as product evangelist and subject matter expert.
* Assess and address technical risks.
* Work with Sales and Marketing teams to launch and support products.
* Keep internal teams informed of competitive information gained regarding pricing, products, or general issues in the market.
* Initiate corrective actions as necessary as they relate to the product(s).
**Experience Required**
* Bachelor’s degree in Computer Science, Engineering, Business, or related field.
* Minimum 4 years related experience required; or equivalent combination of education and experience.
**Preferred Qualifications**
**Pay Transparency**
 The annual salary for this role is \- $105,750 to $141,000 plus any applicable bonus
 *(Actual salaries will vary and will be based on various factors, such as skill, experience and qualification for the role.)*
**What We Offer**
 We offer dynamic career opportunities across an international landscape. As an equal opportunity employer, we are committed to delivering value for all our employees and fostering a culture of respect.
**Benefits**
 At CNH, we understand that the best solutions come from the diverse experiences and skills of our people. Here, you will be empowered to grow your career, to follow your passion, and help build a better future. To support our employees, we offer regional comprehensive benefits, including:
* Flexible work arrangements
* Savings \&amp; Retirement benefits
* Tuition reimbursement
* Parental leave
* Adoption assistance
* Fertility \&amp; Family building support
* Employee Assistance Programs
* Charitable contribution matching and Volunteer Time Off
 Click here to learn more about our benefits offerings! (US only)
 US applicants: CNH Industrial is an equal opportunity employer. This company considers candidates regardless of race, color, religion, sex, sexual orientation, gender identity, national origin, disability, or veteran status. Applicants can learn more about their rights by viewing the federal "Know Your Rights" poster here. CNH Industrial participates in E\-Verify and will provide the federal government with your Form I\-9 information to confirm that you are authorized to work in the U.S. You can view additional information here.
 Canada applicants: CNH Industrial is an equal opportunity employer. This company considers candidates regardless of race, color, religion, sex, sexual orientation, gender identity, nationality, place of origin, disability, marital status, family status, age, or any other ground prohibited by applicable provincial human rights legislation.
 If you need reasonable accommodation with the application process, please contact us at narecruitingmailbox@cnhind.com.</t>
        </is>
      </c>
    </row>
    <row r="75">
      <c r="A75" t="inlineStr">
        <is>
          <t>li-4345304653</t>
        </is>
      </c>
      <c r="B75" t="inlineStr">
        <is>
          <t>Product Owner II</t>
        </is>
      </c>
      <c r="C75" t="inlineStr">
        <is>
          <t>University of South Florida Libraries</t>
        </is>
      </c>
      <c r="D75" t="inlineStr">
        <is>
          <t>linkedin</t>
        </is>
      </c>
      <c r="E75">
        <f>HYPERLINK("https://www.linkedin.com/jobs/view/4345304653", "https://www.linkedin.com/jobs/view/4345304653")</f>
        <v/>
      </c>
      <c r="F75">
        <f>HYPERLINK("https://fa-ewkd-saasfaprod1.fa.ocs.oraclecloud.com/hcmUI/CandidateExperience/en/sites/USF/job/42048/?mode=location&amp;urlHash=p_0M", "https://fa-ewkd-saasfaprod1.fa.ocs.oraclecloud.com/hcmUI/CandidateExperience/en/sites/USF/job/42048/?mode=location&amp;urlHash=p_0M")</f>
        <v/>
      </c>
      <c r="G75" t="inlineStr">
        <is>
          <t>Tampa, FL</t>
        </is>
      </c>
      <c r="H75" t="inlineStr"/>
      <c r="I75" t="inlineStr">
        <is>
          <t>Tampa, FL, United States
 Trending
* Job Identification 42048
* Job Category Technology
* Posting Date 01/05/2026, 06:14 PM
* Apply Before 01/16/2026, 05:00 AM
* Degree Level Bachelor's Degree
* Locations 4202 East Fowler Avenue, Tampa, FL, 33620, US
* Hiring Salary $91,637
* Essential Personnel No
**Job Description**
**PRIMARY PURPOSE:**
 This position will act as Product Owner II on a production team utilizing Scrum methodology and implementing Agile ideology. The Product Owner II serves as a bridge between the product development process, business stakeholders, and clients. The Product Owner's primary goal is to provide value for the business/customers and align the business needs with the overall business strategy. These responsibilities include meeting with stakeholders, developing and adapting product vision, writing user stories, prioritizing and grooming the backlog, release planning, etc. This position attends daily stand up, sprint planning, and retro. The ultimate goal of an Agile team is to understand business needs and develop optimal business and/or IT solutions in partnership with department stakeholders and functional experts.
**Organizational Summary**
 Located in the vibrant and diverse Tampa Bay region of Florida’s gulf coast, the University of South Florida (USF) is a Preeminent State Research University with campuses in Tampa, St. Petersburg and Sarasota\-Manatee. Rated as one of the top places to live in the U.S., Tampa Bay offers a high quality of life, year\-round sunshine, and easy access to top\-rated entertainment. USF is one of the nation’s largest public universities, serving more than 50,000 students with an annual budget of $1\.8 billon. Over the past five years, USF has been the fastest\-rising university in the nation, public or private, on the U.S. News and World Report's list of best universities, which it ranks as the 44th best public university in America.
 USF is proud to be an innovating partner within the Tampa Bay region, listed by Forbes as the top emerging tech city in the country.
 USF Information Technology (USF IT) provides technology services and support for the University of South Florida. The IT team, led by the Vice President and CIO, provides the following services: Administrative Services, Client Support, Communication Services, Teaching and Learning, Analytics and Reporting, Mobile and Web Services, Consulting Services, Cybersecurity Service and Research Technologies. For more information, please visit: Information Technology \| University of South Florida (usf.edu)
**Additional Info For Applicants**
 The selected candidate must have current work authorization in the United States. This position is not eligible for Visa Sponsorship.
 USF offers GREAT BENEFITS to full time employees!!
* Medical Insurance
* Dental Insurance
* Vision Insurance
* Paid Vacation Days
* Paid Sick Days
* 11 Paid Holidays
* Various Retirement Options, including 401K employer match
* Tuition Assistance (available for yourself, spouse, partner or dependent)
 For more information about your total compensation package and other USF benefits, please visit: Work at USF
**Responsibilities**
* Serves as a liaison between stakeholders, vendors and senior management.
* Works with the Stakeholder and Strategic Product Owner to define and articulate a clear product vision aligned to the overall strategy for the product.
* Negotiates and mediates problems with stakeholders.
* Identifies problems that require more strategic analysis and works with the Strategic Product Owner to mediate or escalate.
* Communicates the needs of all internal stakeholders and works with the team to identify solutions based on the need of the audience.
* Identifies barriers that impact customer service.
* Leads small to medium programs or projects with moderate to complex tasks in support of one or more projects that require a singular area of expertise.
* Identifies domain constraints (characteristics of the business environment specific to the application domain) that limit the functionality or performance of the system or product to be built.
* Conducts Strengths and Weaknesses portion of SWOT internal analysis.
* Employs MoSCoW, Scorecard, Kano Analysis and other prioritization techniques to build and refine the product backlog.
* Uses Story Mapping on small projects and creates Impact Maps.
* Writes and communicates well\-written User Stories and Acceptance Criteria.
* Writes and approves Acceptance Criteria.
* Provides final acceptance of the User Story.
* Creates and validates prototypes.
* Understands and keeps abreast of Scrum and other Agile methodologies.
* Works closely with the Scrum Master who is the owner of the Scrum process.
**Qualifications**
**MINIMUM QUALIFICATIONS:**
 Bachelor’s degree in Business, Engineering, Computer Science or IT related field and one year of IT or Project Management experience, OR five years of IT or Project Management experience, or a combination of relevant experience and education.
**Knowledge, Skills, And Abilities (ksas)**
* Jira/Confluence proficiency for story/feature/backlog management
* Experience writing clear user stories, acceptance criteria, process mapping
* Ability to interpret agile metrics (velocity, burn\-down, throughput)
* QA/UAT/test oversight knowledge including rollout/production monitoring
* Vendor/technical stakeholder collaboration skills
* Exposure to scaled agile frameworks (SAFe, Release Train, multi\-team dependencies)
* Ability to define success metrics and monitor feature adoption/value delivery
**Soft Skills**
* Clear, empathetic, and transparent communication
* Strong stakeholder management and alignment
* Servant leadership and influence across teams
* Analytical judgment guided by data and business value
* Adaptability and resilience in complex, changing environments
* Commitment to inclusive collaboration and continuous improvement
**Industry Knowledge**
* SAFe
* Agile
* Scrum
 Degree Equivalency Clause: Four years of direct experience for a bachelor’s degree.
* Senate Bill 1310\- The Florida Senate (https://www.flsenate.gov/Session/Bill/2023/1310\) is conditional upon meeting all employment eligibility requirements in the U.S.
* SB 1310: Substitution of Work Experience for Postsecondary Education Requirements
* A public employer may include a postsecondary degree as a baseline requirement only as an alternative to the number of years of direct experience required, not to exceed:
* (a) Two years of direct experience for an associate degree;
* (b) Four years of direct experience for a bachelor’s degree;
* (c) Six years of direct experience for a master’s degree;
* (d) Seven years of direct experience for a professional degree; or
* (e) Nine years of direct experience for a doctoral degree
* Related work experience may not substitute for any required licensure, certification, or registration required for the position of employment as established by the public employer and indicated in the advertised description of the position of employment.
* Minimum Qualifications that require a high school diploma are exempt from SB 1310\.
**About Us**
**Working at USF**
 With approximately 16,000 employees, the University of South Florida is one of the largest employers in the Tampa Bay area. We are dedicated to cultivating a talented, engaged and driven workforce that strives to be bold. Employees excel in USF‘s rich academic environment, which fosters their development and advancement. In 2025, Forbes recognized USF as one of Florida’s best large employers, ranked No. 1 among the state’s 12 public universities. Our first\-class benefits package includes medical, dental and life insurance plans, retirement plan options, employee and dependent tuition programs, generous leave, and hundreds of employee perks and discounts.
**About USF**
 The University of South Florida is a top\-ranked research university serving approximately 50,000 students from across the globe at campuses in Tampa, St. Petersburg, Sarasota\-Manatee and USF Health. USF is recognized by U.S. News \&amp; World Report as a top 50 public university and the best value in Florida. U.S. News also ranks the USF Health Morsani College of Medicine as the No. 1 medical school in Florida and in the highest tier nationwide. USF is a member of the Association of American Universities (AAU), a group that includes only the top 3% of universities in the U.S. With an all\-time high of $738 million in research funding in 2024 and as a top 20 public university for producing U.S. patents, USF uses innovation to transform lives and shape a better future. The university generates an annual economic impact of more than $6 billion. USF’s Division I athletics teams compete in the American Athletic Conference. Learn more at www.usf.edu.
**Compliance and Federal Notices**
*This position may be subject to a Level 1 or Level 2 criminal background check.*
**Applicants Have Rights Under Federal Employment Laws**
 The University of South Florida is an equal opportunity employer that does not discriminate against any employee or applicant for employment based on any characteristic protected by law. The University maintains programs for protected veterans and individuals with disabilities in accordance with all applicable federal and state laws.
 Family and Medical Leave Act (FMLA)
 Applicants for USF employment are entitled to request reasonable accommodation(s) in the application process. A request is to be made at least five (5\) working days prior to the time the accommodation(s) is needed. Visit the Central Human Resources ADA Accommodations webpage for more information on requesting an accommodation during the application/interview process.
**Equal Employment Opportunity**
 The University of South Florida is an equal opportunity employer that does not discriminate against any employee or applicant for employment based on any characteristic protected by law. The University maintains affirmative action programs for protected veterans and individuals with disabilities in accordance with all applicable federal and state laws. This job description does not constitute an employment contract.
 Similar Jobs</t>
        </is>
      </c>
    </row>
    <row r="76">
      <c r="A76" t="inlineStr">
        <is>
          <t>li-4360655113</t>
        </is>
      </c>
      <c r="B76" t="inlineStr">
        <is>
          <t>Vendor Program Manager</t>
        </is>
      </c>
      <c r="C76" t="inlineStr">
        <is>
          <t>Finalsite</t>
        </is>
      </c>
      <c r="D76" t="inlineStr">
        <is>
          <t>linkedin</t>
        </is>
      </c>
      <c r="E76">
        <f>HYPERLINK("https://www.linkedin.com/jobs/view/4360655113", "https://www.linkedin.com/jobs/view/4360655113")</f>
        <v/>
      </c>
      <c r="F76" t="inlineStr"/>
      <c r="G76" t="inlineStr"/>
      <c r="H76" t="inlineStr"/>
      <c r="I76" t="inlineStr">
        <is>
          <t>**Finalsite is the first community relationship management platform for K\-12 schools, transforming how schools attract students, engage families, build community — and thrive. More than 7,000 schools and districts worldwide trust Finalsite’s integrated platform for their websites, communications, mobile apps, enrollment, and marketing services. Finalsite is headquartered in Glastonbury, CT, USA with employees who work remotely in nearly every state in the U.S. as well as Europe, South America, and Asia. For more information, please visit www.finalsite.com.**
**VISION**
 Finalsite will transform the way school communities engage with their schools.
**Summary Of The Role**
 The Vendor Program Manager is responsible for driving strategic cross\-functional initiatives. This individual contributor role will be a key component in aligning people, processes, and systems across different departments. The person in this role will own and manage operational initiatives to deliver them on time, with high quality, to pre\-defined success metrics, and in a repeatable manner that will enable efficiency, accountability, and scalability across all of Finalsite.
**LOCATION**
 100% Remote \- Anywhere within the US
**Responsibilities**
* Coordinate and manage cross\-functional programs focused on operational alignment, process optimization, and future\-state planning
* Map current state operational processes across teams and propose future state models to support solutions
* Identify gaps and redundancies in workflows, tools, and process; propose scalable solutions
* Collaborate with external departments and other key stakeholders to define program goals, success metrics, and timelines
* Maintain clear documentation, reporting, and communication for initiatives in flight
* Support the development of RACI models and governance structures for key operational activities
* Utilize frameworks for accountability and continuous improvement to translate analytics into actionable recommendations
* Act as a connector across departments, driving alignment on shared priorities and handoffs
* Track KPIs for initiative success and business\-wide operational performance
* Support post\-mortem reviews and lessons learned to refine operational strategies
* Develop and execute a scalable vendor management strategy aligned with organizational goals, budget, and compliance requirements.
* Aide in vendor selection processes, including RFPs/RFIs, cost\-benefit analyses, and contract negotiation in partnership with department owners, Legal and Security.
* Ensure all vendors have been reviewed by the Security and Legal teams with proper vendor setup and PO management.
**Qualifications And Skills**
* 5\+ years in program manager role with focus in vendor management, procurement, operations program management, or partner management in B2B SaaS or technology environment
* Demonstrated success leading initiatives
* Strong contract and commercial acumen with pricing models (e.g., SaaS licensing, usage\-based, SLAs, renewal levers)
* Proven ability to build scalable processes and operate with high attention to detail
* Excellent communication and stakeholder management \- able to influence without authority
* Comfort with data: building business cases, ROI models, and performance reporting
**RESIDENCY REQUIREMENT**
 Finalsite offers 100% fully remote employment opportunities, however, these opportunities are limited to permanent residents of the United States. Current residency, as well as continued residency, within the United States is required to obtain (and retain) employment with Finalsite.
**DISCLOSURES**
 Finalsite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EEO is the Law. If you have a disability or special need that requires accommodation, please contact Finalsite's People Operations Team. Finalsite is committed to the full inclusion of all qualified individuals. As part of this commitment, Finalsite will ensure that persons with disabilities or special needs are provided a reasonable accommodation. Ensure your Finalsite job offer is legitimate and don't fall victim to fraud. Ask your recruiter for a phone call or other type of verbal communication and ensure all email correspondence is from a finalsite.com email address. For added security, where possible, apply through our company website at finalsite.com/jobs.</t>
        </is>
      </c>
    </row>
    <row r="77">
      <c r="A77" t="inlineStr">
        <is>
          <t>li-4332594939</t>
        </is>
      </c>
      <c r="B77" t="inlineStr">
        <is>
          <t>Growth Product Manager, Website</t>
        </is>
      </c>
      <c r="C77" t="inlineStr">
        <is>
          <t>RemoteHunter</t>
        </is>
      </c>
      <c r="D77" t="inlineStr">
        <is>
          <t>linkedin</t>
        </is>
      </c>
      <c r="E77">
        <f>HYPERLINK("https://www.linkedin.com/jobs/view/4332594939", "https://www.linkedin.com/jobs/view/4332594939")</f>
        <v/>
      </c>
      <c r="F77" t="inlineStr"/>
      <c r="G77" t="inlineStr"/>
      <c r="H77" t="inlineStr"/>
      <c r="I77" t="inlineStr">
        <is>
          <t>About the Opportunity:
 The organization is the creator of a leading time series platform used to collect, store, and analyze time series data at any scale. Developers can query and analyze their time\-stamped data in real\-time to discover, interpret, and share new insights. This remote\-first organization seeks an experienced and entrepreneurial Growth Product Manager to join the Marketing team. The role involves delivering website strategies to increase awareness, drive customer acquisition, and improve product adoption. The position functions as both Product Manager of the main website and driver of customer experience journeys for solution discovery.
 Responsibilities:
 • Own the website as a growth channel, including conversion rate optimization, site performance, and user experience improvements to drive developer signups and product adoption
 • Design and execute marketing experiments focused on product\-led growth and lead generation; prioritize test ideas with cross\-functional teams, run A/B tests, analyze results, and implement successful experiments
 • Develop and execute a technical SEO/GEO roadmap to improve crawlability, indexability, structured data, and discoverability in AI\-powered search results for organic growth
 • Manage the web development roadmap, balancing priorities between conversion optimization, technical improvements, and new capabilities
 • Analyze user behavior, conversion funnels, and test results to identify effective strategies and areas for change
 • Establish regular reporting cadence to communicate website performance, organic growth metrics, and experiment results to leadership and cross\-functional teams
 • Understand B2B SaaS marketing and sales motions to drive cross\-functional success
 Requirements:
 • 4\+ years of growth product management experience, especially in a fast\-paced product\-led growth environment
 • Strong analytical skills with the ability to independently analyze data, identify growth opportunities, and make actionable decisions
 • Expertise in hypotheses\-driven website experimentation and relevant tools including Google Analytics, A/B testing platforms, design collaboration tools such as Figma, and CMS like Contentful or Sanity; knowledge of SQL/Python is a plus
 • Working knowledge of GEO/AEO principles and modern SEO tactics for AI\-powered search engines
 • Exceptional communication, relationship management, and organizational skills, with proven ability to lead complex, multi\-quarter, cross\-functional projects
 • Bias for action and ability to work autonomously; ability to identify opportunities, make quick decisions with imperfect information, and ship iteratively
 • Empathy for developers and enthusiasm for building products they will love
 Benefits \&amp; Perks:
 • Medical, dental, and vision insurance with 100% employee coverage
 • Company contribution to Flexible Spending Account (FSA)
 • Flexible Time Off policy
 • Life insurance, short\-term and long\-term disability insurance
 • 401(k) retirement plan
 • Wellness programs
 • Annual professional development budget
 • Financial planning and legal advice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78">
      <c r="A78" t="inlineStr">
        <is>
          <t>li-4332564986</t>
        </is>
      </c>
      <c r="B78" t="inlineStr">
        <is>
          <t>Product Manager, Vice President â Teller Branch Operations</t>
        </is>
      </c>
      <c r="C78" t="inlineStr">
        <is>
          <t>hackajob</t>
        </is>
      </c>
      <c r="D78" t="inlineStr">
        <is>
          <t>linkedin</t>
        </is>
      </c>
      <c r="E78">
        <f>HYPERLINK("https://www.linkedin.com/jobs/view/4332564986", "https://www.linkedin.com/jobs/view/4332564986")</f>
        <v/>
      </c>
      <c r="F78" t="inlineStr"/>
      <c r="G78" t="inlineStr">
        <is>
          <t>Plano, TX</t>
        </is>
      </c>
      <c r="H78" t="inlineStr"/>
      <c r="I78" t="inlineStr">
        <is>
          <t>***hackajob** 
 is collaborating with
 **J.P. Morgan** 
 to connect them with exceptional tech professionals for this role.*
**Job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in Consumer Banking – Branch Operations Modernization,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Develops a product strategy and product vision that delivers value to customers
* Manages discovery efforts and market research to uncover customer problems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**Required Qualifications, Capabilities, And Skills**
* 5\+ years of experience or equivalent expertise in product management in Financial Services
* Advanced knowledge of the product development life cycle, design, and data analytics
* Proven ability to lead product life cycle activities including discovery, ideation, strategic development, requirements definition, and value management
* Established knowledge of banking operations, including transactions, compliance, and risk management.
* Proficient experience with authentication protocols (e.g., MFA, SSO, biometrics) to ensure secure access to banking systems.
**Preferred Qualifications, Capabilities, And Skills**
* Demonstrated prior experience working in a highly matrixed, complex organization
* Excellent numerical, analytical, and strategic problem\-solving skills
* Intermediate to expert level knowledge of JIRA and confluence tools, with ability to build dashboards and pull data for analysis
* Full understanding of software development lifecycle best practices
* Experience leading teams with both direct and indirect (matrix) reporting relationships.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are here to help you manage your money with checking, savings and credit cards, combining the latest banking technology with comprehensive solutions to meet the financial needs of nearly half of U.S. households.</t>
        </is>
      </c>
    </row>
    <row r="79">
      <c r="A79" t="inlineStr">
        <is>
          <t>li-4334117819</t>
        </is>
      </c>
      <c r="B79" t="inlineStr">
        <is>
          <t>Global Associate Product Manager - Dispensing Systems</t>
        </is>
      </c>
      <c r="C79" t="inlineStr">
        <is>
          <t>Franklin Electric</t>
        </is>
      </c>
      <c r="D79" t="inlineStr">
        <is>
          <t>linkedin</t>
        </is>
      </c>
      <c r="E79">
        <f>HYPERLINK("https://www.linkedin.com/jobs/view/4334117819", "https://www.linkedin.com/jobs/view/4334117819")</f>
        <v/>
      </c>
      <c r="F79">
        <f>HYPERLINK("https://franklin-electric.pinpointhq.com/postings/95744a69-297a-45d6-9c1a-0299a3bded11/applications/new?utm_medium=job_board&amp;utm_source=linkedIn&amp;urlHash=IEuQ", "https://franklin-electric.pinpointhq.com/postings/95744a69-297a-45d6-9c1a-0299a3bded11/applications/new?utm_medium=job_board&amp;utm_source=linkedIn&amp;urlHash=IEuQ")</f>
        <v/>
      </c>
      <c r="G79" t="inlineStr">
        <is>
          <t>Madison, WI</t>
        </is>
      </c>
      <c r="H79" t="inlineStr"/>
      <c r="I79" t="inlineStr">
        <is>
          <t>**Application Deadline:** 
 1 April 2026
**Department:** 
 Sales / Marketing
**Location:** 
 US \- Wisconsin \- Madison
**Description**
**GENERAL DESCRIPTION OF POSITION**
 Within the assigned portfolio of products and their respective markets, responsible for overall product management including, but not limited to, forecasting, financial analysis, identifying product needs, working across functions to develop new products, understanding competition, overseeing application engineering as needed, and providing technical support. Concurrently, this position is also responsible for understanding the markets into which the assigned product line is marketed and sold. This requires maintaining an in\-depth understanding of market segments, business models, market trends, and technology drivers.
**Key Responsibilities**
* Play integral role in assuring the Franklin 5 Key Factors – Quality, Availability, Service, Innovation, and Value are effectively maintained for assigned products.
* Analyzes new product requests, pricing research, and competitor research to manage products and product lines.
* Manages existing product lines based on forecast, performance, profitability, and required changes or modifications.
* Regularly performs pricing, profitability, and competitive analysis and recommends strategies to improve market position, improve quality, or reduce costs.
* Oversees the applications engineering function for product specifications and quote completions.
* Monitors specification sheets, instructions, presentations, and other marketing services.
* Identifies opportunities to achieve corporate sales goals, objectives, and action plans. Seeks new customer opportunities and maintains current customer relationships.
* In conjunction with Market Development team, analyzes market segments to identify “wants \&amp; needs” of segments, competitive positioning, market drivers, technology trends, market size, and sub\-segments.
* Develops short\- and long\-term forecasts, budgets, strategies, and marketing programs required to meet sales objectives.
* Develops value proposition for each market segment that supports Franklin’s leadership position and value promise.
* Defines new product opportunities and develops robust business case in support of new product development projects.
* Leads assigned product teams in prioritization of key projects and activities including new product development, quality improvement, and value improvement projects
* Attends market specific trade shows and reports on key trends, customers, competitors, market drivers and technologies.
* Works with the marketing team to ensure that marketing tools such as collateral, packaging, catalogs, Internet presence, etc., meets customer demand.
* Provides customer service as necessary through open houses, product application and sizing, and informing customers of product changes.
* Inputs relevant information into the CRM software to track contacts, progress, including written reports concerning market segments, dealer, distributor, end user, and competitor information.
* Performs other related duties as required or assigned.
**Skills Knowledge and Expertise**
* Strong business and analytical skills to formulate strategic options including pursuing opportunities, identifying key partners and potential acquisition candidates.
* Works effectively leading cross functional teams including both technical and commercial resources.
* Knows arithmetic, algebra, geometry, statistics, and their applications.
* Deals with problems involving several known variables in situations of routine nature.
* Analyzes information and evaluates results to choose the best solution and solve problems.
* Identifies the underlying principles, reasons, facts, or information by breaking down information or data into separate parts.
* Effectively communicates information and responds to questions in person\-to\-person and small group situations with customers, clients, the general public, and other employees of the organization.
* Maintains confidentiality and uses discretion with business information.
* Reads and understands documents such as policy manuals, safety rules, operating and maintenance instructions, and procedure manuals.
* Writes routine reports and correspondence.
* Utilizes common\-sense understanding in order to carry out written, oral, or diagrammed instructions.
* Plans the time, method, manner, and/or performance sequence of own work; may also occasionally assist in planning work assignments performed by others within a limited area of operation.
* Frequently makes decisions of both minor and major importance, which may affect the work operations of other employees and/or clientele to a moderate degree.
**Education and Experience** 
* Bachelor’s degree in engineering, Technology, or Marketing or related field (required). MBA (preferred).
* Two or more years of experience in product management or a related field (preferred).
**Computer Skills** 
* Intermediate: Word processing/typing, spreadsheet.
* Basic: Alphanumeric data entry.
**PHYSICAL ACTIVITIES** 
* While performing the functions of this job, the employee is:
* Continually required to sit; use hands to finger, handle, or feel; and talk or hear.
* Regularly required to reach with hands and arms.
* Occasionally required to stand or walk.
* The employee must occasionally lift and/or move up to 25 pounds.
* Specific vision abilities required by this job include close vision.
* *The company will make reasonable accommodations to enable individuals with disabilities to perform the essential functions and expectations.*
**ENVIRONMENTAL CONDITIONS** 
* This position is not subjected to harmful environmental conditions.
* The noise level in the work environment is usually moderate.
* Franklin Electric has reviewed this job description to ensure that it includes the role’s essential functions and basic duties. The job description is intended to provide guidelines for job expectations and the employee’s ability to perform the work described. It is not intended to be construed as an exhaustive list of all functions, responsibilities, skills, and abilities. Supervisors may assign additional functions and requirements as appropriate. This document does not represent a contract of employment, and Franklin Electric reserves the right to change this job description and/or assign tasks for the employee to perform as the company deems appropriate.
**Why Work at Franklin Electric?**
 Becoming a part of the Franklin Electric team not only provides outstanding benefits, it also opens doors to opportunities for future growth. Enjoy peace of mind with a world\-class company. But more importantly, be satisfied in knowing you make a difference.</t>
        </is>
      </c>
    </row>
    <row r="80">
      <c r="A80" t="inlineStr">
        <is>
          <t>li-4359787056</t>
        </is>
      </c>
      <c r="B80" t="inlineStr">
        <is>
          <t>Senior Product Manager (SPM), P2P Engagements (Remote)</t>
        </is>
      </c>
      <c r="C80" t="inlineStr">
        <is>
          <t>BioSpace</t>
        </is>
      </c>
      <c r="D80" t="inlineStr">
        <is>
          <t>linkedin</t>
        </is>
      </c>
      <c r="E80">
        <f>HYPERLINK("https://www.linkedin.com/jobs/view/4359787056", "https://www.linkedin.com/jobs/view/4359787056")</f>
        <v/>
      </c>
      <c r="F80">
        <f>HYPERLINK("https://jobs.biospace.com/job/3025254/?TrackID=433984&amp;utm_source=Partner_JS&amp;utm_medium=Aggregator_Paid&amp;utm_campaign=LinkedIn-Slots&amp;urlHash=wF8c", "https://jobs.biospace.com/job/3025254/?TrackID=433984&amp;utm_source=Partner_JS&amp;utm_medium=Aggregator_Paid&amp;utm_campaign=LinkedIn-Slots&amp;urlHash=wF8c")</f>
        <v/>
      </c>
      <c r="G80" t="inlineStr"/>
      <c r="H80" t="inlineStr"/>
      <c r="I80" t="inlineStr">
        <is>
          <t>By clicking the “Apply” button, I understand that my employment application process with Takeda will commence and that the information I provide in my application will be processed in line with Takeda’s Privacy Notice and Terms of Use. I further attest that all information I submit in my employment application is true to the best of my knowledge.
**Job Description**
**About the role:**
 The Senior Product Manager (SPM), P2P Engagements, will partner with the Dermatology Brand Marketing team to support the development and implementation of peer\-to\-peer programs and engagements. This role involves coordinating logistics, facilitating participant engagement, and ensuring alignment with strategic objectives to foster meaningful education and knowledge exchange among peers
 You will report to the Associate Director, Customer Engagements and P2P Strategy
**How You Will Contribute**
* Strong understanding and execution of the Dermatology Peer\-to\-Peer Engagement Strategy.
* Lead tactical pull\-through at product theaters and promotional speaker programs.
* Monitor the planning process from submission to execution of different formats, including but not limited to:
+ Submit marketing\-led request forms, relevant documentation, content forms, and training records.
+ Identify areas that may need exceptions, escalations, or approvals.
+ Coordinate execution details with the field sales team and/or program owners, and close out all program activities.
* Develop Needs Assessment Forms (NAFS) for Ethics \&amp; Compliance (E\&amp;C) and Legal alignment on tactics, bureau, and consulting opportunities.
* Partner with Medical, Legal, Regulatory and Compliance to ensure all materials meet internal and external standards.
* Help identify appropriate HCP speakers who will compliantly present approved and educational content within the community, regional areas, and nation.
* Represent the brand as the 'Speaker Selector'. Understand the audience needs for each event and compliantly select speakers for programs from the bureau.
* Assist with on\-label training of speaker bureau members.
* Assist with development of educational content.
* Attend programs (minimum 1x per speaker) to observe, coach, and develop individual speakers to ensure medically accurate and compliant execution of approved content.
* Collaborate closely with program owners to help facilitate plans and execution to meet the objectives of each event and assume program performance.
* Manage the bureau with consistency and accuracy to ensure all speakers have an opportunity to reach the contractually agreed two\-event minimum per year.
* Stay abreast of industry trends and the competitive landscape to inform program types and opportunities.
* Assist program owners in identifying educational opportunities.
* Monitor and evaluate program performance and initiate recommendations and adjustments to align with strategy.
* Performance Measurement: Define key performance indicators (KPIs) and metrics to track the progress and process of program planning and execution.
* Partner with brand and franchise marketing, professional engagements, ethics \&amp; compliance, and agency partners on the execution of peer\-to\-peer and contracted activities.
* Attend routine status meetings with cross\-functional partners and the brand to review progress weekly.
* Work with the highest degree of professionalism and in accordance with Takeda’s code of ethics and business conduct.
**Minimum Requirements/Qualifications**
* A Bachelor’s degree is required, with a focus in Biology, Marketing, Strategy, and/or Business Administration preferred.
* 5\+ years of progressively responsible marketing or sales experience within the bio\-pharmaceutical industry, with a minimum of 2 years of experience in speaker bureau management.
* Experience working with a Speaker Bureau, speaker training, content development, and execution.
* Strong leadership skills with an ability to generate commitment, identify and resolve issues, and evaluate risk.
* Equally important is the ability to collaborate and work effectively with cross\-functional teams, with a proven ability to influence without authority.
* Strong analytical, problem\-solving, and strategic thinking skills.
* Strong financial management and budgeting capabilities.
* Willingness to travel to occasional programs that could include overnight stays
* High comfort level with emerging technologies, adaptability to digital tools, and openness to AI\-enabled processes
**More About Us**
 At Takeda, we are transforming patient care through the development of novel specialty pharmaceuticals and best in class patient support programs. Takeda is a patient\-focused company that will inspire and empower you to grow through life\-changing work.
 Certified as a Global Top Employer, Takeda offers stimulating careers, encourages innovation, and strives for excellence in everything we do. We foster an inclusive, collaborative workplace, in which our teams are united by an unwavering commitment to deliver Better Health and a Brighter Future to people around the world.
**Takeda Compensation And Benefits Summary**
 We understand compensation is an important factor as you consider the next step in your career. We are committed to equitable pay for all employees, and we strive to be more transparent with our pay practices.
**For Location:**
 Massachusetts \- Virtual
**U.S. Base Salary Range**
 $137,000\.00 \- $215,270\.00
 The estimated salary range reflects an anticipated range for this position. The actual base salary offered may depend on a variety of factors, including the qualifications of the individual applicant for the position, years of relevant experience, specific and unique skills, level of education attained, certifications or other professional licenses held, and the location in which the applicant lives and/or from which they will be performing the job. The actual base salary offered will be in accordance with state or local minimum wage requirements for the job location.
 U.S. based employees may be eligible for short\-term and/ or long\-term incentives. U.S. based employees may be eligible to participate in medical, dental, vision insurance, a 401(k) plan and company match, short\-term and long\-term disability coverage, basic life insurance, a tuition reimbursement program, paid volunteer time off, company holidays, and well\-being benefits, among others. U.S. based employees are also eligible to receive, per calendar year, up to 80 hours of sick time, and new hires are eligible to accrue up to 120 hours of paid vacation.
**EEO Statement**
*Takeda is proud in its commitment to creating a diverse workforce and providing equal employment opportunities to all employees and applicants for employment without regard to race, color, religion, sex, sexual orientation, gender identity, gender expression, parental status, national origin, age, disability, citizenship status, genetic information or characteristics, marital status, status as a Vietnam era veteran, special disabled veteran, or other protected veteran in accordance with applicable federal, state and local laws, and any other characteristic protected by law.*
**Locations** 
 Massachusetts \- Virtual
**Worker Type** 
 Employee
**Worker Sub\-Type** 
 Regular
**Time Type** 
 Full time
**Job Exempt**
 Yes
 It is unlawful in Massachusetts to require or administer a lie detector test as a condition of employment or continued employment. An employer who violates this law shall be subject to criminal penalties and civil liability.</t>
        </is>
      </c>
    </row>
    <row r="81">
      <c r="A81" t="inlineStr">
        <is>
          <t>li-4330756436</t>
        </is>
      </c>
      <c r="B81" t="inlineStr">
        <is>
          <t>Digital Product Manager</t>
        </is>
      </c>
      <c r="C81" t="inlineStr">
        <is>
          <t>Jobs via Dice</t>
        </is>
      </c>
      <c r="D81" t="inlineStr">
        <is>
          <t>linkedin</t>
        </is>
      </c>
      <c r="E81">
        <f>HYPERLINK("https://www.linkedin.com/jobs/view/4330756436", "https://www.linkedin.com/jobs/view/4330756436")</f>
        <v/>
      </c>
      <c r="F81">
        <f>HYPERLINK("https://click.appcast.io/t/emlxf_7yzrE_sRs7psO-3OHub-GMqBmZcZBNRo7-QiE=&amp;urlHash=957Q", "https://click.appcast.io/t/emlxf_7yzrE_sRs7psO-3OHub-GMqBmZcZBNRo7-QiE=&amp;urlHash=957Q")</f>
        <v/>
      </c>
      <c r="G81" t="inlineStr">
        <is>
          <t>Chandler, AZ</t>
        </is>
      </c>
      <c r="H81" t="inlineStr"/>
      <c r="I81" t="inlineStr">
        <is>
          <t>job summary:
 Seeking a Senior Lead Digital Product Manager to support modernization efforts across our Credit Card business. In this role you will act as the Business Authority at the Product Area level, you will develop, evolve, and communicate the product area vision, priorities, and strategy to key partners and stakeholders while obtaining feedback, managing risk, and ensuring regulatory and policy compliance. You will collaborate with the product manager on the overall product intention map, establish and monitor product area goals and performance indicators, and actively own the prioritization of a clearly understood product area backlog aligned to product area vision and goals.
 location: Chandler, Arizona
 job type: Contract
 salary: $52\.54 \- 54\.00 per hour
 work hours: 8am to 5pm
 education: Bachelors
 responsibilities:
 In this role, you will:
* Act as the single accountable Product Owner for the product area, ensuring clarity of vision and priorities.
* Develop and communicate the product area vision, goals, and performance indicators to stakeholders and teams.
* Own and prioritize a transparent, well\-maintained backlog aligned to product area objectives.
* Define and refine user stories and features with clear acceptance criteria; accept stories once they meet the definition of done.
* Collaborate closely with delivery teams, product managers, and cross\-functional partners to refine features and ensure alignment.
* Facilitate frequent collaboration between customers, stakeholders, and teams throughout the product lifecycle.
* Coordinate with other product owners to deliver a seamless customer experience across products and journeys.
* Maintain continuous communication with product managers and delivery teams to manage dependencies and resolve sequencing conflicts.
* Inspire and lead high\-performing, cross\-functional teams while fostering a culture of transparency and empowerment.
* Ensure compliance with regulatory and policy requirements while managing risk effectively.
* Influence prioritization and roadmaps by advocating for user needs across the full product scope.
* Support product and cross\-functional teams in applying human\-centered design practices.
* Translate customer insights into strategic design direction that scales across multiple teams.
* Develop and maintain standards to promote reusability and consistency.
 7\+ years of digital product management experience, or equivalent demonstrated through one or a combination of the following: work experience, training, military experience, education
 qualifications:
 7\+ years of digital product management experience, or equivalent demonstrated through one or a combination of the following: work experience, training, military experience, education
 Experience with agile methodologies and cross\-functional team collaboration in Consumer Lending and/or Credit Card sectors.
 Strong communication and stakeholder engagement skills, including the ability to communicate effectively at all levels of the organization, including senior executive leadership.
 Understanding of data\-driven product development and performance measurement.
 Exposure to AI/ML models for conversion/balance deepening optimization.
 Ability to translate business objectives into technical requirements and product roadmaps.
 Experience with human\-centered design principles.
 Strong risk management and dependency management skills, including experience with control ownership.
 Ability to influence and lead organizational change in a dynamic environment and work successfully within a matrix structure.
 Experience collaborating with delivery teams and refining features/user stories, ensuring acceptance criteria are clear and met.
 Comfortable with ambiguity and skilled at facilitating discussions to explore optimal solutions. Comfortable with ambiguity and skilled at facilitating discussions to explore optimal solutions.
 Experience with agile practices and tools such as Confluence and Jira.
 Equal Opportunity Employer: Race, Color, Religion, Sex, Sexual Orientation, Gender Identity, National Origin, Age, Genetic Information, Disability, Protected Veteran Status, or any other legally protected group status.
 At Randstad Digital, we welcome people of all abilities and want to ensure that our hiring and interview process meets the needs of all applicants. If you require a reasonable accommodation to make your application or interview experience a great one, please contact
 Pay offered to a successful candidate will be based on several factors including the candidate's education, work experience, work location, specific job duties, certifications, etc. In addition, Randstad Digital offers a comprehensive benefits package, including: medical, prescription, dental, vision, AD\&amp;D, and life insurance offerings, short\-term disability, and a 401K plan (all benefits are based on eligibility).
 This posting is open for thirty (30\) days.</t>
        </is>
      </c>
    </row>
    <row r="82">
      <c r="A82" t="inlineStr">
        <is>
          <t>li-4345314888</t>
        </is>
      </c>
      <c r="B82" t="inlineStr">
        <is>
          <t>Principal Program Manager (REMOTE)</t>
        </is>
      </c>
      <c r="C82" t="inlineStr">
        <is>
          <t>RemoteHunter</t>
        </is>
      </c>
      <c r="D82" t="inlineStr">
        <is>
          <t>linkedin</t>
        </is>
      </c>
      <c r="E82">
        <f>HYPERLINK("https://www.linkedin.com/jobs/view/4345314888", "https://www.linkedin.com/jobs/view/4345314888")</f>
        <v/>
      </c>
      <c r="F82" t="inlineStr"/>
      <c r="G82" t="inlineStr"/>
      <c r="H82" t="inlineStr"/>
      <c r="I82" t="inlineStr">
        <is>
          <t>About the Opportunity:
 The organization seeks a Principal Portfolio Program Manager to lead large multi\-year strategic programs focused on evolving and scaling the Merchandising portfolio. This role oversees program management including strategy, process definition, organization design, and technology delivery. The position manages a team of business, technology, and third\-party vendor stakeholders and supports the Inventory 360 initiative, which integrates Merchandising, Supply Chain, Space Management, and Reporting \&amp; Analytics to optimize the inventory ecosystem.
 Responsibilities:
 • Provide strategic leadership in Merchandising and Supply Chain
 • Implement best practices and program standards for multi\-year, cross\-functional initiatives
 • Drive transformation and change management with executive leadership
 • Lead program management activities across business and technology teams to deliver technology\-enabled solutions
 • Own all aspects of program planning including prioritization, estimation, budgeting, and goal setting
 • Facilitate executive\-level planning, prioritization, and status updates with stakeholders
 • Produce and approve program plans ensuring alignment with organizational processes and governance
 • Communicate strategy implementation actions internally and externally
 • Motivate teams by connecting program goals to organizational mission and values
 • Lead a large cross\-functional team, defining vision and coordinating activities
 • Manage program budgets with accurate forecasting and variance reporting
 • Clarify roles and responsibilities to enable rapid decision\-making
 • Identify and manage risks, issues, dependencies, and constraints, escalating as needed
 • Manage program reviews and assurance processes to maintain delivery confidence
 • Define stakeholder engagement plans ensuring balanced participation
 • Partner with stakeholders to assess and track business benefit realization
 • Support strategic planning across product and technology portfolios
 • Lead portfolio prioritization, budgeting, and goal setting
 • Ensure alignment of organization and stakeholders with portfolio direction
 Requirements:
 • Proven experience leading large, multi\-year strategic programs
 • Strong program and portfolio management skills
 • Expertise in cross\-functional team leadership and stakeholder management
 • Ability to drive transformation and change management
 • Skilled in risk identification and mitigation
 • Experience managing budgets and resource allocation
 • Effective communication and motivational skills
 • Knowledge of merchandising, supply chain, and inventory management concepts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3">
      <c r="A83" t="inlineStr">
        <is>
          <t>li-4345394639</t>
        </is>
      </c>
      <c r="B83" t="inlineStr">
        <is>
          <t>Staff Product Manager - Digital Strategy (Remote)</t>
        </is>
      </c>
      <c r="C83" t="inlineStr">
        <is>
          <t>Ad Hoc LLC</t>
        </is>
      </c>
      <c r="D83" t="inlineStr">
        <is>
          <t>linkedin</t>
        </is>
      </c>
      <c r="E83">
        <f>HYPERLINK("https://www.linkedin.com/jobs/view/4345394639", "https://www.linkedin.com/jobs/view/4345394639")</f>
        <v/>
      </c>
      <c r="F83" t="inlineStr"/>
      <c r="G83" t="inlineStr">
        <is>
          <t>Atlanta, GA</t>
        </is>
      </c>
      <c r="H83" t="inlineStr"/>
      <c r="I83" t="inlineStr">
        <is>
          <t>****Staff Product Manager****
**This is a remote position with heavy travel for the first 3\-6 months**
 Ad Hoc is a technology company that empowers organizations to deliver scalable, impactful digital services. Using modern, agile methods, our team creates products that meet people’s needs and transform their experience of government.
**Work on things that matter**
 Our collaborations have shaped some of the defining moments in public\-sector service delivery. We’ve helped build products that connect Veterans to tailored services, help millions access affordable health care, and support important programs like Head Start. As we work with agencies to deliver critical services, we’re also changing how the government approaches technology.
**Built for a remote life**
 Our culture, communications, and tools are built for remote work, enabling us to bring together top talent nationwide. At Ad Hoc, remote life empowers our teams to design work environments that fit their lives and that foster flexibility and collaboration to achieve positive outcomes for our customers.
**Committed to high expectations and a welcoming culture**
 Ad Hoc values acceptance, accountability, and humility. We aren’t heroes. We learn from our mistakes and improve the process for the next time. We build small, inclusive teams to collaborate closely with our partners to solve the right problems and deliver software that works.
 The
 **Federal Civilian** 
 business unit supports many customers spanning the federal, commercial, and nonprofit space. Our customers include NASA, the General Services Administration, Office of Personnel Management, the Library of Congress, Health \&amp; Human Services, and the FDIC. We partner with these agencies to build new capabilities, deliver products, establish data as a strategic asset for informed decision\-making, modernize legacy systems, and build the digital service infrastructure necessary to scale their mission impact.
**Primary Responsibilities**
 Staff Product Manager serves as an emerging subject matter expert, while serving as an individual contributor that exhibits a high level of trust, autonomy and empowerment. With minimal oversight from leadership, you will be essential to leading and guiding a unified product strategy across a multi\-channel communication efforts, and modernizing one of the federal government’s most mission\-critical digital properties. Given highly distributed organizational structure with the HHS portfolio and the need to provide clear, timely public health information across web, mobile, social, and API\-driven channels, a senior product leader ensures alignment across communications, policy, design, and technology teams. This role drives cohesive content governance, streamlines operations, reduces redundancies, and supports a user\-centered approach to information architecture, accessibility, and omnichannel delivery. The ultimate outcomes of this role is to strengthen public trust, accelerates digital modernization, and ensures health guidance is consistently understood—regardless of platform or audience.
**Skills**
 A Staff Product Manager exhibits strong influential skills to represent the product management practice in planning sessions, advocating for the best solution, while communicating tradeoffs. You will serve as the primary lead and proactively communicate with stakeholders; while utilizing strong influential skills to drive improvements in product management processes and practices. Primary expectations of a Staff Product Manager:
* Strong influential skills to garner consensus among stakeholders, leadership, programs, and practice teams
* Primarily supports a program/portfolio, but may support business unit initiatives in order to drive thought leadership among practice and delivery
* Serves as a mentor to individuals within the assigned business unit or Program, providing constructive feedback to support employee development and practice innovations
* Presents to a wide variety of audiences, inclusive of internal and external stakeholders
* Primarily focused on program/portfolio strategic initiatives, but may support tactical assignments
* Exhibits strong communications skills in order to gain consensus, mitigate conflict, and serves as a stewardess of innovation or change
* Responsible for defining the vision and strategy for products and identifying areas of growth for a program or portfolio of work
* Demonstrates the ability to make educated decisions and understands when to pivot and how to experiment in order to reduce uncertainty and inform next steps
* Utilizes effective communication skills and understands how to translate complex issues for a wide variety of audiences in order to influence decision making for the highest value outcome
* May support growth opportunities, inclusive of proposal writing, solution development, presentations, and briefings
* Serves as a partner to Project and Program Managers to support the delivery of required scope and deliverables
**Required Qualifications**
* Bachelor’s degree and 9\+ years of experience directing cross\-functional team
* Strong understanding of content management systems (CMS) and multi\-channel platforms, a strategic mindset for defining content goals and user experiences, and excellent communication and data analysis skills to guide the execution of content and campaigns across various channels
* Be adept at defining target audiences, developing content strategies, choosing the right channels, and using analytics to measure performance.
* Heath policy and/or health content implementation experience
**Technical And Strategic Skills**
* Technical understanding: Possess a strong grasp of content management systems, web and mobile architecture, and publishing tools
* Strategic planning: Be able to define clear goals, KPIs, and metrics to measure success for both the CMS and multi\-channel communication efforts
* Content strategy: Understand how to develop a content strategy, including identifying target audiences, defining content types, and planning a content calendar.
* Channel expertise: Know how to select the right mix of channels based on the target audience, business goals, and available resources
* User experience (UX): Have a passion for creating optimal user experiences across all digital products.
**Execution And Analysis**
* Data\-driven decision\-making: Use customer data and analytics to make informed decisions about product features and content performance
* Performance monitoring: Continuously monitor and analyze performance across all channels using metrics like website traffic, engagement rates, and conversion rates
* Optimization: Use insights from analytics to continually refine and optimize the strategy and content
**Leadership And Communication**
* Cross\-functional collaboration: Be able to work effectively with engineers, designers, marketing, and other teams
* Clear communication: Translate complex technical and strategic information so that all stakeholders can understand it
* "Evangelism": Act as a product champion, articulating the product's vision and value to the market
* Leadership and decision\-making: Make tough decisions when necessary and be able to manage competing requests while keeping the product's best interests in mind
* Culture of innovation: Foster a culture of discovery and continuous learning within the team
**Preferred Qualifications** 
* .gov and social media background
* Ability to obtain/maintain any of the following:
+ CSPO, CPM, CSM or other related certifications
**To learn more about working at Ad Hoc, please visit:** 
 https://adhocteam.us/join
**Benefits**
* Company\-subsidized health, dental, and vision insurance
* Flexible PTO
* 401K with employer match
* Paid parental leave after one year of service
* Employee Assistance Program
 Ad Hoc LLC is an Equal Opportunity/Affirmative Action Employer. All qualified applicants will receive consideration for employment without regard to race, color, national origin, ancestry, sex, sexual orientation, gender identity or expression, religion, age, pregnancy, disability, work\-related injury, covered veteran status, political ideology, marital status, or any other factor that the law protects from employment discrimination.
 In support of various state and city equal pay transparency laws, Ad Hoc job descriptions feature the starting range we reasonably expect to pay to candidates who would join our team with little to no need for training on the responsibilities we've outlined above. Actual compensation is influenced by a wide range of factors including but not limited to skill set, level of experience, and responsibility. The range of starting pay for this role is $140,000 \- $155,000\. Our recruiters will be happy to answer any questions you may have, and we look forward to learning more about your salary requirements.</t>
        </is>
      </c>
    </row>
    <row r="84">
      <c r="A84" t="inlineStr">
        <is>
          <t>li-4352521097</t>
        </is>
      </c>
      <c r="B84" t="inlineStr">
        <is>
          <t>Program Manager</t>
        </is>
      </c>
      <c r="C84" t="inlineStr">
        <is>
          <t>KBI Biopharma</t>
        </is>
      </c>
      <c r="D84" t="inlineStr">
        <is>
          <t>linkedin</t>
        </is>
      </c>
      <c r="E84">
        <f>HYPERLINK("https://www.linkedin.com/jobs/view/4352521097", "https://www.linkedin.com/jobs/view/4352521097")</f>
        <v/>
      </c>
      <c r="F84">
        <f>HYPERLINK("https://jsrglobal.wd1.myworkdayjobs.com/KBI_Biopharma/job/USA\u002d\u002d-NC\u002d\u002d-Remote/Program-Manager_R00008042?source=LinkedIn&amp;urlHash=N2dY", "https://jsrglobal.wd1.myworkdayjobs.com/KBI_Biopharma/job/USA\u002d\u002d-NC\u002d\u002d-Remote/Program-Manager_R00008042?source=LinkedIn&amp;urlHash=N2dY")</f>
        <v/>
      </c>
      <c r="G84" t="inlineStr"/>
      <c r="H84" t="inlineStr"/>
      <c r="I84" t="inlineStr">
        <is>
          <t>The Program Manager is the primary client account and relationship manager for KBI\-PM, driving business delivery with exemplary client service to maximum benefit for the company in a sustainable manner. Candidates may be considered for this role at the Sr Program Manager level depending on experience level. The Sr Program Manager is able to manage a small team within Program Management, ensures project and business management is executed appropriately within the team. With personal responsibility for a portfolio, the role holder is the primary client account and relationship manager for KBI PMO, driving business delivery and exemplary client service to maximum benefit for the company in a sustainable manner. The incumbent may provide training and mentorship to others.
 Job Responsibility
* Client Management : Responsible for relationship and account management for assigned clients/portfolios
* Cultivates Client relationship and escalates any Client and team concerns through appropriate leadership channels
* Primary point of contact for all Client communications and coordination of third\-party vendor and project needs
* Supports PM\-VOC process and works to identify and address opportunities to improve client service
 Program Management
* Manages project timelines through all phases of development, from project award and kick\-off through close\-out
* Ensures that projects are conducted on time, within scope and budget, and meet Client agreed upon quality standards and expectations through cross\-functional project team alignment
* Develops, manages, and updates project plans in a timely manner. Communicates project status, progress, timelines, changes in schedule, scope changes, technical and/or quality issues to all relevant personnel in the company, and with the Client
* Schedules, facilitates and documents program related client team meetings, including issuance of agenda, action items, meeting minutes, client communications, etc.
* Leads cross\-functional teams without direct authority by casting a clear vision of project objectives/priorities and motivate the team to achieve them. Able to resolve conflict and foster collaborative partnerships with others to achieve peak performance, seeking direction and support from PMO leadership as required
* Analyzes risk, establishes contingency plans and identifies trigger events and responsibility for initiating mitigating action. Gathers stakeholder input and ranks the top project risks in terms of total impact
 Business/Financial Management
* Schedules and facilitates strategic client discussions and Joint Steering Committee meetings as required with Senior/Executive Leadership participation and support. Generates meeting minutes and actions items for follow\-up
* Manages the technical and strategic development of the program drawing on relevant Technical leadership from across the organization. This process includes generating and presenting resulting proposals and change orders to the client as appropriate
* Manages all contractual and financial aspects of the project, including finalization of change order and subsequent amendments, monthly budget reviews, forecasting, materials review, assessment of work performed and appropriate Client invoicing and vendor payments
* Supports PMO with PLF readiness as required. May generate or contribute project\-specific information and status updates, and present at scheduled cross\-department meetings
* Assists Business Development Department in development of proposals as needed
 PMO Support
* Acts as a contributing member of Program Management Organization
* Leads or contributes to departmental initiatives as appropriate, including procedure development and improvement
* Develop and support achieving site goals and objectives (Balanced Score Card)
* Other duties as required
 Requirements for Program Manager
* Minimum bachelor’s degree required, preferably in science or related discipline PMP certification (current or planned in the future)
* Minimum 5 years industry experience, with some direct project management experience Familiarity with Good Manufacturing Practices
* Language Ability Proficiency in English required.
* Excellent written and oral communication skills.
* Reasoning Ability Client interface and strong negotiating skills an advantage. Strong attention to detail. Well organized with ability to prioritize multiple tasks Ability to make and meet commitments
*KBI Biopharma, Inc. is an EEO/AA employer and actively seeks to diversify its work force. Therefore, all qualified applicants, regardless of race, color, national origin, religion, gender, gender identity, sexual orientation, age, disability or veteran status, are strongly encouraged to apply.*
*I understand that neither the completion of this application nor any other part of my consideration for employment establishes any obligation for KBI Biopharma, Inc. to hire me. If I am hired, I understand that either KBI Biopharma, Inc. or I can terminate my employment at any time and for any reason, with or without cause and without prior notice. I understand that no representative of KBI Biopharma, Inc. has the authority to make any assurance to the contrary.*
*I attest with my signature below that I have given to KBI Biopharma, Inc. true and complete information on this application. No requested information has been concealed. I authorize KBI Biopharma, Inc. to contact references provided for employment reference checks. If any information I have provided is untrue, or if I have concealed material information, I understand that this will constitute cause for the denial of employment or immediate dismissal.*</t>
        </is>
      </c>
    </row>
    <row r="85">
      <c r="A85" t="inlineStr">
        <is>
          <t>li-4332555266</t>
        </is>
      </c>
      <c r="B85" t="inlineStr">
        <is>
          <t>Civil Rights and Strategic Initiatives Program Manager - Washington State Ferries</t>
        </is>
      </c>
      <c r="C85" t="inlineStr">
        <is>
          <t>Washington State Department of Transportation</t>
        </is>
      </c>
      <c r="D85" t="inlineStr">
        <is>
          <t>linkedin</t>
        </is>
      </c>
      <c r="E85">
        <f>HYPERLINK("https://www.linkedin.com/jobs/view/4332555266", "https://www.linkedin.com/jobs/view/4332555266")</f>
        <v/>
      </c>
      <c r="F85" t="inlineStr"/>
      <c r="G85" t="inlineStr">
        <is>
          <t>Seattle, WA</t>
        </is>
      </c>
      <c r="H85" t="inlineStr"/>
      <c r="I85" t="inlineStr">
        <is>
          <t>The Washington State Ferries (WSF) a Division of the Washington State Department of Transportation (WSDOT) currently seeking a Civil Rights \&amp; Strategic Initiatives Program Manager. In this role, you will provide strategic direction for division\-wide civil rights, equity, and accessibility programs, ensuring measurable outcomes in compliance, service delivery, and continuous improvement across one of the nation's largest ferry systems. Working with a high degree of independence, you will lead policy and initiative development, collaborate with teams across WSF, and respond to evolving legal requirements and community expectations directly shaping how WSF serves the public, supports its workforce, and lives its values.
 See the link for more information, including details on how to apply: \[LINK](https://www.governmentjobs.com/careers/washington/wsdot/jobs/5191500/civil\-rights\-and\-strategic\-initiatives\-program\-manager\-washington\-state\-ferries){rel\="noopener" target\="\_blank"}</t>
        </is>
      </c>
    </row>
    <row r="86">
      <c r="A86" t="inlineStr">
        <is>
          <t>li-4352651079</t>
        </is>
      </c>
      <c r="B86" t="inlineStr">
        <is>
          <t>Senior Program Manager - Global PMO Operations</t>
        </is>
      </c>
      <c r="C86" t="inlineStr">
        <is>
          <t>KBI Biopharma</t>
        </is>
      </c>
      <c r="D86" t="inlineStr">
        <is>
          <t>linkedin</t>
        </is>
      </c>
      <c r="E86">
        <f>HYPERLINK("https://www.linkedin.com/jobs/view/4352651079", "https://www.linkedin.com/jobs/view/4352651079")</f>
        <v/>
      </c>
      <c r="F86">
        <f>HYPERLINK("https://jsrglobal.wd1.myworkdayjobs.com/KBI_Biopharma/job/USA\u002d\u002d-NC\u002d\u002d-Remote/Senior-Program-Manager\u002d\u002d-Global-PMO-Operations_R00007149?source=LinkedIn&amp;urlHash=WK5L", "https://jsrglobal.wd1.myworkdayjobs.com/KBI_Biopharma/job/USA\u002d\u002d-NC\u002d\u002d-Remote/Senior-Program-Manager\u002d\u002d-Global-PMO-Operations_R00007149?source=LinkedIn&amp;urlHash=WK5L")</f>
        <v/>
      </c>
      <c r="G86" t="inlineStr"/>
      <c r="H86" t="inlineStr"/>
      <c r="I86" t="inlineStr">
        <is>
          <t>At KBI Biopharma, we are advancing science and accelerating breakthroughs. As a global leader in biopharmaceutical development and manufacturing, we empower life science companies to bring new medicines and vaccines to the world faster. Explore your potential at KBI, where innovation meets impact.
**Position Summary:**
 KBI Biopharma is seeking a highly skilled Senior Program Manager (Global PMO Operations) to support critical project management initiatives, ensure financial oversight, and support multiple Programs across the global portfolio. Lead customer survey efforts, support global PMO operations, assisting the refinement of business processes, schedule management, overseeing global financial reporting, and data transitions to SAP and driving data migration efforts. The ideal candidate will have a strong background in program management, financial reporting, and enterprise system migrations, ensuring alignment with business objectives and operational excellence.
**Responsibilities:**
* Ensure alignment of PMO operations with corporate objectives, driving efficiency and continuous improvement.
* Support business intelligence data collection for programs in the global portfolio.
* Collaborate cross\-functionally with stakeholders, ensuring project timelines are tracked and budgets are effectively managed.
* Develop and implement best practices, processes, and governance frameworks to optimize project execution within the Global PMO Operations.
* Provide regular updates, reports, dashboards and presentations on project status, risks, and mitigation strategies.
* Perform global financial reporting efforts, ensuring accuracy and compliance with organizational financial policies.
* Generate and analyze revenue backlog reports, providing insights to leadership for strategic decision\-making.
* Monitor and manage the product intelligence data for the projects in global portfolio.
* Revision of customer survey, follow\-up and metric analysis.
* Upkeep of SOPs for various business processes to streamline PMO operations
* Collaborate with business stakeholders and technical teams to understand data requirements and provide insights to support decision\-making processes.
* Design and develop custom reports in Planview to support cross\-functional teams across the organization.
* Design and develop interactive dashboards and reports using Planview tool and partner with stakeholders to develop KPIs and performance metrics to track business performance.
* Serve as the Data Lead for the preparation, cleansing, and validation of data for transition/migration to SAP from Planview to SAP\-ERP system especially for strategic clients.
* Perform testing in QA and production environments to support the SAP\-ERP readiness.
* Work closely with IT and business teams to streamline the data transition process and troubleshoot migration challenges for strategic clients.
* Act as the key liaison between senior leadership, finance teams, IT, and project technical teams to ensure seamless communication.
* Oversee and manage programs and projects, including building project structure on Planview \&amp; Propel, and perform financial management activities.
**Requirements:**
* Bachelor's or master's degree in business, Finance, Project Management, or a related field.
* 7\+ years of experience in project/program management within a global PMO or similar operational function.
* Experience in managing large\-scale financial reporting, revenue backlog management, and enterprise system transitions (SAP preferred).
* Strong proficiency in Planview, Propel, and financial management tools.
* Expertise in data migration, cleansing, and governance for enterprise systems.
* Excellent communication, stakeholder management, and problem\-solving skills.
* Expertise in generation of business and product intelligence data.
**Salary Range:** 
 $118,000 \- $162,800
 Salary range provided per current averages and expectations. The salary and job title for this opening will be based on the selected candidate’s qualifications and experience and may be outside this range. KBI has a robust total rewards strategy which includes an annual bonus structure for all employees, medical, dental, and vision coverage, paid PTO and holidays, Sabbatical program, 401K matching with 100% vesting in 60 days and employee recognition programs.
**About KBI:**
 KBI Biopharma, Inc., a JSR Life Sciences company, is a global contract development and manufacturing organization (CDMO) providing fully integrated and accelerated drug development and biologics manufacturing services to life science companies. KBI supports its 500\+ customers in advancing more than 160 drug candidates from preclinical and clinical stages to market, including the manufacture of ten commercial products. Recognized for quality manufacturing, KBI delivers robust process development and cGMP manufacturing services across its six global locations in the USA and Europe. For more information, visit www.kbibiopharma.com.
*KBI is a proud EEO/AA employer dedicated to building a diverse and inclusive workforce. We believe that innovation thrives in an environment where all voices are heard and valued. That's why we actively seek individuals from all backgrounds – regardless of race, color, national origin, religion, gender, gender identity, sexual orientation, age, disability, or veteran status – and strongly encourage all qualified candidates to apply and bring their unique perspectives to our team.*
*KBI Biopharma is committed to providing a safe and healthy workplace. Any employee entering a KBI site located in the US must inform KBI Biopharma of their vaccination status and must submit their vaccination status. All vaccinated employees are required to provide proof of their COVID\-19 vaccination, with a COVID\-19 vaccination which has been granted FDA approval or Emergency Use Authorization.*
*KBI Biopharma, Inc. is an EEO/AA employer and actively seeks to diversify its work force. Therefore, all qualified applicants, regardless of race, color, national origin, religion, gender, gender identity, sexual orientation, age, disability or veteran status, are strongly encouraged to apply.*
*I understand that neither the completion of this application nor any other part of my consideration for employment establishes any obligation for KBI Biopharma, Inc. to hire me. If I am hired, I understand that either KBI Biopharma, Inc. or I can terminate my employment at any time and for any reason, with or without cause and without prior notice. I understand that no representative of KBI Biopharma, Inc. has the authority to make any assurance to the contrary.*
*I attest with my signature below that I have given to KBI Biopharma, Inc. true and complete information on this application. No requested information has been concealed. I authorize KBI Biopharma, Inc. to contact references provided for employment reference checks. If any information I have provided is untrue, or if I have concealed material information, I understand that this will constitute cause for the denial of employment or immediate dismissal.*</t>
        </is>
      </c>
    </row>
    <row r="87">
      <c r="A87" t="inlineStr">
        <is>
          <t>li-4273376580</t>
        </is>
      </c>
      <c r="B87" t="inlineStr">
        <is>
          <t>Program Manager</t>
        </is>
      </c>
      <c r="C87" t="inlineStr">
        <is>
          <t>Alaka`ina Foundation Family of Companies</t>
        </is>
      </c>
      <c r="D87" t="inlineStr">
        <is>
          <t>linkedin</t>
        </is>
      </c>
      <c r="E87">
        <f>HYPERLINK("https://www.linkedin.com/jobs/view/4273376580", "https://www.linkedin.com/jobs/view/4273376580")</f>
        <v/>
      </c>
      <c r="F87" t="inlineStr"/>
      <c r="G87" t="inlineStr">
        <is>
          <t>Albuquerque, NM</t>
        </is>
      </c>
      <c r="H87" t="inlineStr"/>
      <c r="I87" t="inlineStr">
        <is>
          <t>The Alaka\`ina Foundation Family of Companies (FOCs) has a potential need for a
 **Program Manager** 
 to support DOE NNSA CATS in
 ***Albuquerque, NM***
 .
* This position is primarily remote, but individual must reside in/near Albuquerque, NM and be able to report to the office no longer than three (3\) hours from the request being made.
**DESCRIPTION OF RESPONSIBILITIES:**
* Management, planning, coordination, and reporting of all activities to the COR and Integrated Project Team (IPT)
* Coordinate all activities performed with NA\-IM operations and cyber divisions, and DOE IT Services as necessary
* Participate as a member of the IPT that will provide joint NA\-74\-Contractor management oversight of the project. The IPT will meet for bi\-weekly demonstrations. NA\-74 reserves the right to adjust IPT membership and the frequency of these meeting as necessary
* Within one business day following the completion of each Sprint, the PM will provide the COR with a demonstration, presentation or status report, documenting the actual bugs and PBIs completed within that Sprint, the amount of resources, and level of effort
* Provide the COR with reports summarizing accomplishments and development completed when requested. Report formats shall be consistent and approved by the COR
**REQUIRED DEGREE/EDUCATION/CERTIFICATION:**
* Must possess a Bachelor’s Degree in Business Information Systems or similar Information Technology related discipline
* Strongly desired certifications include Project Management, Agile, SAFe for Government, and Capability Maturity Model Integration (CMMI) level 3 (or higher) accreditation
**REQUIRED SKILLS AND EXPERIENCE:**
* Must have minimum of fifteen (15\) years of experience in information systems/technology, five (5\) of which must be as a manager for cross\-functional software engineering teams supporting DOE or NNSA
* Must have experience in agile software engineering/development and in directing an organization with a diverse mix of management, technical and administrative functions
* Must possess excellent oral and written communication skills
* Must have the ability to meet deadlines and perform under pressure
* Must have a thorough and detailed knowledge of DOE and NNSA Information Technology programs, policies, and processes
* Must experience in achieving or maintaining accreditation of Capability Maturity Model Integration (CMMI) Level 3 or higher
* Experience in or knowledge of Personnel Vetting programs, policies, and processes is strongly desired
**REQUIRED CITIZENSHIP AND CLEARANCE:**
* Must be a U.S. Citizen; for the purposes of this work a Green card or Visa will not meet this requirement
* Must have Q Clearance
 The Alaka\`ina Foundation Family of Companies (FOCs) is a fast\-growing government service provider. Employees enjoy competitive salaries. Eligible employees enjoy a 401K plan with company match; medical, dental, disability, and life insurance coverage; tuition reimbursement; paid time off; and 11 paid holidays.
**We are an Equal Opportunity/Affirmative Action Employer of individuals with disabilities and veterans. We are proud to state that we do not illegally discriminate in employment decisions on the basis of any protected categories. If you are a person with a disability and you need an accommodation during the application process, please click** 
**here** 
**to request accommodation. We E\-Verify all employees**
**“EOE, including Disability/Vets” OR “Equal Opportunity Employer, including Disability/Veterans”**
 The Alaka\`ina Foundation Family of Companies (FOCs) is comprised of industry\-recognized government service firms designated as Native Hawaiian Organization (NHO)\-owned and 8(a) certified businesses. The Family of Companies (FOCs) includes Ke\`aki Technologies, Laulima Government Solutions, Kūpono Government Services, and Kapili Services, Po\`okela Solutions, Kīkaha Solutions, LLC, and Pololei Solutions, LLC. Alaka\`ina Foundation activities principally benefit the youth of Hawaii through charitable efforts which includes providing innovative educational programs that combine leadership, science \&amp; technology, and environmental stewardship.
 For additional information, please visit www.alakainafoundation.com
 \#ClearanceJobs</t>
        </is>
      </c>
    </row>
    <row r="88">
      <c r="A88" t="inlineStr">
        <is>
          <t>li-4345334750</t>
        </is>
      </c>
      <c r="B88" t="inlineStr">
        <is>
          <t>Program Manager– IT PMO</t>
        </is>
      </c>
      <c r="C88" t="inlineStr">
        <is>
          <t>Infor</t>
        </is>
      </c>
      <c r="D88" t="inlineStr">
        <is>
          <t>linkedin</t>
        </is>
      </c>
      <c r="E88">
        <f>HYPERLINK("https://www.linkedin.com/jobs/view/4345334750", "https://www.linkedin.com/jobs/view/4345334750")</f>
        <v/>
      </c>
      <c r="F88" t="inlineStr"/>
      <c r="G88" t="inlineStr">
        <is>
          <t>Dallas, TX</t>
        </is>
      </c>
      <c r="H88" t="inlineStr"/>
      <c r="I88" t="inlineStr">
        <is>
          <t>This role will be responsible for optimizing productivity and nurturing program success from inception through operational optimization. Program Manager will also be a key driver of innovation at the core of IT PMO, spearheading AI\-based transformation initiatives that enhance program management capabilities, accelerate decision\-making, and increase overall value delivery. This role involves providing leadership in the implementation of portfolio and program management best practices, as well as mentoring and coaching team members to build a high\-performing organization.
 A Day in The Life Typically Includes:
 \* Follow PMO framework guidelines to manage multiple related projects, ensuring on\-time delivery, budget adherence, and alignment with strategic business goals.
 \* Establish and enforce program governance structures, implement robust escalation paths, performance tracking, and risk mitigation strategies to maintain control and transparency.
 \* Identify and manage project dependencies, impacts, and gaps to integrate outputs into a cohesive, value\-driven program delivery and champion and facilitate the adoption of Scaled Agile Framework (SAFe) methodologies, including organizing and leading Scrum of Scrums meetings to ensure cross\-team coordination and alignment.
 \* Drive innovation within the PMO by identifying opportunities to leverage AI\-based tools and methodologies, enhancing program management efficiency, decision\-making, and value delivery and own program\-level reporting, providing clear, timely updates to stakeholders and executive leadership.
 \* Create and maintain master\-level program plans and roadmaps, coordinating with Portfolio Managers and business partners on upcoming demand and priorities.
 \* Schedule and lead Governance Board meetings to guide program demand prioritization and decision\-making processes.
 \* Assess, estimate, and optimize resource allocation by coordinating with multiple supervisors to balance scope, cost, and capacity for maximum delivery effectiveness and drive post\-project value realization efforts, ensuring that planned benefits are achieved and sustained.
 Required skills:
 \* Experience tracking and reporting on project value delivered, ensuring programs achieve measurable business outcomes and some exposure to KPI metrics for PMO.
 \* Experience managing complex technology programs comprised of multiple interdependent projects within a dynamic environment.
 \* Experience with program and portfolio management methodologies, frameworks, and best practices.
 \* Experience establishing and implementing governance, risk management, and performance reporting mechanisms to drive accountability and transparency.
 \* Experience using Jira for project management, including building and maintaining portfolio\-level dashboards that provide real\-time visibility into program status, risks, and key metrics.
 \* Experience building, growing, and leading high\-performing teams of IT project managers while ensuring alignment with strategic objectives and maintaining high employee engagement.
 Preferred skills:
 \* Experience with AI tools and platforms applied in project or program management.
 \* Experience driving digital transformation initiatives and embedding automation or AI\-driven workflows in PMO processes.
 \* Experience with business intelligence and leveraging data\-driven insights for program decision\-making.
 Hybrid\-Dallas, Texas or Alpharetta, Georgia
 About Infor
 Infor is a global leader in business cloud software products for companies in industry specific markets. Infor builds complete industry suites in the cloud and efficiently deploys technology that puts the user experience first, leverages data science, and integrates easily into existing systems. Over 60,000 organizations worldwide rely on Infor to help overcome market disruptions and achieve business\-wide digital transformation.
 For more information visit www.infor.com
 Our Values
 At Infor, we strive for an environment that is founded on a business philosophy called \[1] Principle Based Management™ (PBM™) and eight Guiding Principles: integrity, stewardship \&amp; compliance, transformation, principled entrepreneurship, knowledge, humility, respect, self\-actualization. Increasing diversity is important to reflect our markets, customers, partners, and communities we serve in now and in the future.
 We have a relentless commitment to a culture based on PBM. Informed by the principles that allow a free and open society to flourish, PBM™ prepares individuals to innovate, improve, and transform while fostering a healthy, growing organization that creates long\-term value for its clients and supporters and fulfillment for its employees.
 Infor is an Equal Opportunity Employer. We are committed to creating a diverse and inclusive work environment. Infor does not discriminate against candidates or employees because of their sex, race, gender identity, disability, age, sexual orientation, religion, national origin, veteran status, or any other protected status under the law. If you require accommodation or assistance at any time during the application or selection processes, please submit a request by following the directions located in the FAQ section at the bottom of the infor.com/about/careers webpage.
 At Infor we value your privacy that’s why we created a policy that you can read \[2] here.
 References
 Visible links
 1\. https://www.kochind.com/about/business\-philosophy
 2\. https://www.infor.com/about/privacy</t>
        </is>
      </c>
    </row>
    <row r="89">
      <c r="A89" t="inlineStr">
        <is>
          <t>li-4352551482</t>
        </is>
      </c>
      <c r="B89" t="inlineStr">
        <is>
          <t>Grants &amp; Program Manager</t>
        </is>
      </c>
      <c r="C89" t="inlineStr">
        <is>
          <t>Jobot</t>
        </is>
      </c>
      <c r="D89" t="inlineStr">
        <is>
          <t>linkedin</t>
        </is>
      </c>
      <c r="E89">
        <f>HYPERLINK("https://www.linkedin.com/jobs/view/4352551482", "https://www.linkedin.com/jobs/view/4352551482")</f>
        <v/>
      </c>
      <c r="F89" t="inlineStr"/>
      <c r="G89" t="inlineStr">
        <is>
          <t>Los Angeles, CA</t>
        </is>
      </c>
      <c r="H89" t="inlineStr"/>
      <c r="I89" t="inlineStr">
        <is>
          <t>Want to learn more about this role and Jobot? Click our Jobot logo and follow
 our LinkedIn page!
 Job details:
**Leading Non\-Profit. Accelerating ideas into action to advance the public good!**
 This Jobot Job is hosted by: Milan Kacar
 Are you a fit? Easy Apply now by clicking the "Easy Apply" button
 and sending us your resume.
 Salary: $80,000 \- $100,000 per year
**A bit about us:**
 Los Angeles based nonprofit that creates new charitable projects, and manages major philanthropic initiatives to benefit the region.
**Why join us?**
* Great compensation
* Opportunity to work with a company that has a strong impact on its community
* Comprehensive Health Benefits as a consultant through Jobot!
**Job Details**
 We are seeking a Grant Accountant, ideally someone with a Non\-Profit background, to join our team on an interim basis:
* Managing revenue related to grants, contracts, cooperative agreements, and subawards.
* Oversee the invoicing with crossover responsibilities in fiscal and program compliance
* Review journal entries created by staff to ensure GAAP compliance
* Lead the optimization of the AR team’s business processes and workflows
 DO YOU HAVE:
* 2\+ years of experience in grant management and grant accounting
* Strong written and verbal communication skills
* Bachelors Degree or equivalent work experience
* Experience with multiple financial systems
 PLEASE APPLY IF YOU MEET MOST OF THESE REQUIREMENTS!
 Interested in hearing more? Easy Apply now by clicking the "Easy Apply" button.
**Want to learn more about this role
 and Jobot?**
 Click our Jobot logo and follow our LinkedIn page!\\n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2026-01-11T21:03:05Z</dcterms:created>
  <dcterms:modified xsi:type="dcterms:W3CDTF">2026-01-11T21:03:05Z</dcterms:modified>
</cp:coreProperties>
</file>