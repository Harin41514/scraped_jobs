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ed" sheetId="1" state="visible" r:id="rId1"/>
    <sheet name="linkedin" sheetId="2" state="visible" r:id="rId2"/>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15"/>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in-5bc2447bdf7acbda</t>
        </is>
      </c>
      <c r="B2" t="inlineStr">
        <is>
          <t>Sr. Applied Scientist, Amazon Ads</t>
        </is>
      </c>
      <c r="C2" t="inlineStr">
        <is>
          <t>Amazon.com</t>
        </is>
      </c>
      <c r="D2" t="inlineStr">
        <is>
          <t>indeed</t>
        </is>
      </c>
      <c r="E2" t="inlineStr"/>
      <c r="F2" t="inlineStr"/>
      <c r="G2" t="inlineStr">
        <is>
          <t>Santa Monica, CA, US</t>
        </is>
      </c>
      <c r="H2" s="2" t="n">
        <v>45998</v>
      </c>
      <c r="I2"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3">
      <c r="A3" t="inlineStr">
        <is>
          <t>in-f0707192c58770dd</t>
        </is>
      </c>
      <c r="B3" t="inlineStr">
        <is>
          <t>Sr. Applied Scientist, Amazon Ads</t>
        </is>
      </c>
      <c r="C3" t="inlineStr">
        <is>
          <t>Amazon.com</t>
        </is>
      </c>
      <c r="D3" t="inlineStr">
        <is>
          <t>indeed</t>
        </is>
      </c>
      <c r="E3" t="inlineStr"/>
      <c r="F3" t="inlineStr"/>
      <c r="G3" t="inlineStr">
        <is>
          <t>Boston, MA, US</t>
        </is>
      </c>
      <c r="H3" s="2" t="n">
        <v>45998</v>
      </c>
      <c r="I3"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4">
      <c r="A4" t="inlineStr">
        <is>
          <t>in-2534025937600ef0</t>
        </is>
      </c>
      <c r="B4" t="inlineStr">
        <is>
          <t>Sr. Applied Scientist, Amazon Ads</t>
        </is>
      </c>
      <c r="C4" t="inlineStr">
        <is>
          <t>Amazon.com</t>
        </is>
      </c>
      <c r="D4" t="inlineStr">
        <is>
          <t>indeed</t>
        </is>
      </c>
      <c r="E4" t="inlineStr"/>
      <c r="F4" t="inlineStr"/>
      <c r="G4" t="inlineStr">
        <is>
          <t>Corvallis, OR, US</t>
        </is>
      </c>
      <c r="H4" s="2" t="n">
        <v>45998</v>
      </c>
      <c r="I4"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5">
      <c r="A5" t="inlineStr">
        <is>
          <t>in-d31f88b08bfa8fa6</t>
        </is>
      </c>
      <c r="B5" t="inlineStr">
        <is>
          <t>Sr. Applied Scientist, Amazon Ads</t>
        </is>
      </c>
      <c r="C5" t="inlineStr">
        <is>
          <t>Amazon.com</t>
        </is>
      </c>
      <c r="D5" t="inlineStr">
        <is>
          <t>indeed</t>
        </is>
      </c>
      <c r="E5" t="inlineStr"/>
      <c r="F5" t="inlineStr"/>
      <c r="G5" t="inlineStr">
        <is>
          <t>New York, NY, US</t>
        </is>
      </c>
      <c r="H5" s="2" t="n">
        <v>45998</v>
      </c>
      <c r="I5"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6">
      <c r="A6" t="inlineStr">
        <is>
          <t>in-93cb50bb6df7c5c2</t>
        </is>
      </c>
      <c r="B6" t="inlineStr">
        <is>
          <t>Sr. Applied Scientist, Amazon Ads</t>
        </is>
      </c>
      <c r="C6" t="inlineStr">
        <is>
          <t>Amazon.com</t>
        </is>
      </c>
      <c r="D6" t="inlineStr">
        <is>
          <t>indeed</t>
        </is>
      </c>
      <c r="E6" t="inlineStr"/>
      <c r="F6" t="inlineStr"/>
      <c r="G6" t="inlineStr">
        <is>
          <t>Tukwila, WA, US</t>
        </is>
      </c>
      <c r="H6" s="2" t="n">
        <v>45998</v>
      </c>
      <c r="I6"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7">
      <c r="A7" t="inlineStr">
        <is>
          <t>in-0b41ab35727193fa</t>
        </is>
      </c>
      <c r="B7" t="inlineStr">
        <is>
          <t>Sr. Applied Scientist, Amazon Ads</t>
        </is>
      </c>
      <c r="C7" t="inlineStr">
        <is>
          <t>Amazon.com</t>
        </is>
      </c>
      <c r="D7" t="inlineStr">
        <is>
          <t>indeed</t>
        </is>
      </c>
      <c r="E7" t="inlineStr"/>
      <c r="F7" t="inlineStr"/>
      <c r="G7" t="inlineStr">
        <is>
          <t>Palo Alto, CA, US</t>
        </is>
      </c>
      <c r="H7" s="2" t="n">
        <v>45998</v>
      </c>
      <c r="I7"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8">
      <c r="A8" t="inlineStr">
        <is>
          <t>in-78fefaef719e28f8</t>
        </is>
      </c>
      <c r="B8" t="inlineStr">
        <is>
          <t>Sr. Applied Scientist, Amazon Ads</t>
        </is>
      </c>
      <c r="C8" t="inlineStr">
        <is>
          <t>Amazon.com</t>
        </is>
      </c>
      <c r="D8" t="inlineStr">
        <is>
          <t>indeed</t>
        </is>
      </c>
      <c r="E8" t="inlineStr"/>
      <c r="F8" t="inlineStr"/>
      <c r="G8" t="inlineStr">
        <is>
          <t>Sunnyvale, CA, US</t>
        </is>
      </c>
      <c r="H8" s="2" t="n">
        <v>45998</v>
      </c>
      <c r="I8"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9">
      <c r="A9" t="inlineStr">
        <is>
          <t>in-28e4d7f2906d8a85</t>
        </is>
      </c>
      <c r="B9" t="inlineStr">
        <is>
          <t>Sr. Applied Scientist, Amazon Ads</t>
        </is>
      </c>
      <c r="C9" t="inlineStr">
        <is>
          <t>Amazon.com</t>
        </is>
      </c>
      <c r="D9" t="inlineStr">
        <is>
          <t>indeed</t>
        </is>
      </c>
      <c r="E9" t="inlineStr"/>
      <c r="F9" t="inlineStr"/>
      <c r="G9" t="inlineStr">
        <is>
          <t>Boulder, CO, US</t>
        </is>
      </c>
      <c r="H9" s="2" t="n">
        <v>45998</v>
      </c>
      <c r="I9"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0">
      <c r="A10" t="inlineStr">
        <is>
          <t>in-1e43fa853f91c6ae</t>
        </is>
      </c>
      <c r="B10" t="inlineStr">
        <is>
          <t>Sr. Applied Scientist, Amazon Ads</t>
        </is>
      </c>
      <c r="C10" t="inlineStr">
        <is>
          <t>Amazon.com</t>
        </is>
      </c>
      <c r="D10" t="inlineStr">
        <is>
          <t>indeed</t>
        </is>
      </c>
      <c r="E10" t="inlineStr"/>
      <c r="F10" t="inlineStr"/>
      <c r="G10" t="inlineStr">
        <is>
          <t>Seattle, WA, US</t>
        </is>
      </c>
      <c r="H10" s="2" t="n">
        <v>45998</v>
      </c>
      <c r="I10"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1">
      <c r="A11" t="inlineStr">
        <is>
          <t>in-16a7f98ff28595ce</t>
        </is>
      </c>
      <c r="B11" t="inlineStr">
        <is>
          <t>Applied Scientist II, Prime Video - Personalization and Discovery Science, Personalization and Discovery Science</t>
        </is>
      </c>
      <c r="C11" t="inlineStr">
        <is>
          <t>Amazon.com</t>
        </is>
      </c>
      <c r="D11" t="inlineStr">
        <is>
          <t>indeed</t>
        </is>
      </c>
      <c r="E11" t="inlineStr"/>
      <c r="F11" t="inlineStr"/>
      <c r="G11" t="inlineStr">
        <is>
          <t>New York, NY, US</t>
        </is>
      </c>
      <c r="H11" s="2" t="n">
        <v>45930</v>
      </c>
      <c r="I1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
      <c r="A12" t="inlineStr">
        <is>
          <t>in-ef220584b79cf0a6</t>
        </is>
      </c>
      <c r="B12" t="inlineStr">
        <is>
          <t>Applied Scientist II, Prime Video - Personalization and Discovery Science, Personalization and Discovery Science</t>
        </is>
      </c>
      <c r="C12" t="inlineStr">
        <is>
          <t>Amazon.com</t>
        </is>
      </c>
      <c r="D12" t="inlineStr">
        <is>
          <t>indeed</t>
        </is>
      </c>
      <c r="E12" t="inlineStr"/>
      <c r="F12" t="inlineStr"/>
      <c r="G12" t="inlineStr">
        <is>
          <t>Sunnyvale, CA, US</t>
        </is>
      </c>
      <c r="H12" s="2" t="n">
        <v>45930</v>
      </c>
      <c r="I1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
      <c r="A13" t="inlineStr">
        <is>
          <t>in-0d50294fdfefe215</t>
        </is>
      </c>
      <c r="B13" t="inlineStr">
        <is>
          <t>Applied Scientist II, Prime Video - Personalization and Discovery Science, Personalization and Discovery Science</t>
        </is>
      </c>
      <c r="C13" t="inlineStr">
        <is>
          <t>Amazon.com</t>
        </is>
      </c>
      <c r="D13" t="inlineStr">
        <is>
          <t>indeed</t>
        </is>
      </c>
      <c r="E13" t="inlineStr"/>
      <c r="F13" t="inlineStr"/>
      <c r="G13" t="inlineStr">
        <is>
          <t>Seattle, WA, US</t>
        </is>
      </c>
      <c r="H13" s="2" t="n">
        <v>45930</v>
      </c>
      <c r="I1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
      <c r="A14" t="inlineStr">
        <is>
          <t>in-6c84b619efdec4b4</t>
        </is>
      </c>
      <c r="B14" t="inlineStr">
        <is>
          <t>Sr. Applied Scientist, Prime Video - Personalization and Discovery Science</t>
        </is>
      </c>
      <c r="C14" t="inlineStr">
        <is>
          <t>Amazon.com</t>
        </is>
      </c>
      <c r="D14" t="inlineStr">
        <is>
          <t>indeed</t>
        </is>
      </c>
      <c r="E14" t="inlineStr"/>
      <c r="F14" t="inlineStr"/>
      <c r="G14" t="inlineStr">
        <is>
          <t>New York, NY, US</t>
        </is>
      </c>
      <c r="H14" s="2" t="n">
        <v>45881</v>
      </c>
      <c r="I1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
      <c r="A15" t="inlineStr">
        <is>
          <t>in-43f18e6748d29cec</t>
        </is>
      </c>
      <c r="B15" t="inlineStr">
        <is>
          <t>Applied Scientist II, Prime Video - Personalization and Discovery Science</t>
        </is>
      </c>
      <c r="C15" t="inlineStr">
        <is>
          <t>Amazon.com</t>
        </is>
      </c>
      <c r="D15" t="inlineStr">
        <is>
          <t>indeed</t>
        </is>
      </c>
      <c r="E15" t="inlineStr"/>
      <c r="F15" t="inlineStr"/>
      <c r="G15" t="inlineStr">
        <is>
          <t>Sunnyvale, CA, US</t>
        </is>
      </c>
      <c r="H15" s="2" t="n">
        <v>45881</v>
      </c>
      <c r="I1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
      <c r="A16" t="inlineStr">
        <is>
          <t>in-20bd14f6f4c349db</t>
        </is>
      </c>
      <c r="B16" t="inlineStr">
        <is>
          <t>Applied Scientist II, Prime Video - Personalization and Discovery Science</t>
        </is>
      </c>
      <c r="C16" t="inlineStr">
        <is>
          <t>Amazon.com</t>
        </is>
      </c>
      <c r="D16" t="inlineStr">
        <is>
          <t>indeed</t>
        </is>
      </c>
      <c r="E16" t="inlineStr"/>
      <c r="F16" t="inlineStr"/>
      <c r="G16" t="inlineStr">
        <is>
          <t>Seattle, WA, US</t>
        </is>
      </c>
      <c r="H16" s="2" t="n">
        <v>45881</v>
      </c>
      <c r="I1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
      <c r="A17" t="inlineStr">
        <is>
          <t>in-4733abb789838f35</t>
        </is>
      </c>
      <c r="B17" t="inlineStr">
        <is>
          <t>Applied Scientist II, Prime Video - Personalization and Discovery Science</t>
        </is>
      </c>
      <c r="C17" t="inlineStr">
        <is>
          <t>Amazon.com</t>
        </is>
      </c>
      <c r="D17" t="inlineStr">
        <is>
          <t>indeed</t>
        </is>
      </c>
      <c r="E17" t="inlineStr"/>
      <c r="F17" t="inlineStr"/>
      <c r="G17" t="inlineStr">
        <is>
          <t>New York, NY, US</t>
        </is>
      </c>
      <c r="H17" s="2" t="n">
        <v>45881</v>
      </c>
      <c r="I1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
      <c r="A18" t="inlineStr">
        <is>
          <t>in-498515a1e9d82d81</t>
        </is>
      </c>
      <c r="B18" t="inlineStr">
        <is>
          <t>Sr. Applied Scientist, Prime Video - Personalization and Discovery Science</t>
        </is>
      </c>
      <c r="C18" t="inlineStr">
        <is>
          <t>Amazon.com</t>
        </is>
      </c>
      <c r="D18" t="inlineStr">
        <is>
          <t>indeed</t>
        </is>
      </c>
      <c r="E18" t="inlineStr"/>
      <c r="F18" t="inlineStr"/>
      <c r="G18" t="inlineStr">
        <is>
          <t>Sunnyvale, CA, US</t>
        </is>
      </c>
      <c r="H18" s="2" t="n">
        <v>45881</v>
      </c>
      <c r="I1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
      <c r="A19" t="inlineStr">
        <is>
          <t>in-8057534d5762eb07</t>
        </is>
      </c>
      <c r="B19" t="inlineStr">
        <is>
          <t>Sr. Applied Scientist, Prime Video - Personalization and Discovery Science</t>
        </is>
      </c>
      <c r="C19" t="inlineStr">
        <is>
          <t>Amazon.com</t>
        </is>
      </c>
      <c r="D19" t="inlineStr">
        <is>
          <t>indeed</t>
        </is>
      </c>
      <c r="E19" t="inlineStr"/>
      <c r="F19" t="inlineStr"/>
      <c r="G19" t="inlineStr">
        <is>
          <t>Seattle, WA, US</t>
        </is>
      </c>
      <c r="H19" s="2" t="n">
        <v>45881</v>
      </c>
      <c r="I1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
      <c r="A20" t="inlineStr">
        <is>
          <t>in-d662fda9a9ae118a</t>
        </is>
      </c>
      <c r="B20" t="inlineStr">
        <is>
          <t>Applied Scientist, Prime Video - Personalization and Discovery Science</t>
        </is>
      </c>
      <c r="C20" t="inlineStr">
        <is>
          <t>Amazon.com</t>
        </is>
      </c>
      <c r="D20" t="inlineStr">
        <is>
          <t>indeed</t>
        </is>
      </c>
      <c r="E20" t="inlineStr"/>
      <c r="F20" t="inlineStr"/>
      <c r="G20" t="inlineStr">
        <is>
          <t>New York, NY, US</t>
        </is>
      </c>
      <c r="H20" s="2" t="n">
        <v>45845</v>
      </c>
      <c r="I2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
      <c r="A21" t="inlineStr">
        <is>
          <t>in-d6b77c26dc35413b</t>
        </is>
      </c>
      <c r="B21" t="inlineStr">
        <is>
          <t>Applied Scientist, Prime Video - Personalization and Discovery Science</t>
        </is>
      </c>
      <c r="C21" t="inlineStr">
        <is>
          <t>Amazon.com</t>
        </is>
      </c>
      <c r="D21" t="inlineStr">
        <is>
          <t>indeed</t>
        </is>
      </c>
      <c r="E21" t="inlineStr"/>
      <c r="F21" t="inlineStr"/>
      <c r="G21" t="inlineStr">
        <is>
          <t>Sunnyvale, CA, US</t>
        </is>
      </c>
      <c r="H21" s="2" t="n">
        <v>45845</v>
      </c>
      <c r="I2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
      <c r="A22" t="inlineStr">
        <is>
          <t>in-0bbca68b48968324</t>
        </is>
      </c>
      <c r="B22" t="inlineStr">
        <is>
          <t>Applied Scientist, Prime Video - Personalization and Discovery Science</t>
        </is>
      </c>
      <c r="C22" t="inlineStr">
        <is>
          <t>Amazon.com</t>
        </is>
      </c>
      <c r="D22" t="inlineStr">
        <is>
          <t>indeed</t>
        </is>
      </c>
      <c r="E22" t="inlineStr"/>
      <c r="F22" t="inlineStr"/>
      <c r="G22" t="inlineStr">
        <is>
          <t>Seattle, WA, US</t>
        </is>
      </c>
      <c r="H22" s="2" t="n">
        <v>45845</v>
      </c>
      <c r="I2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
      <c r="A23" t="inlineStr">
        <is>
          <t>in-4eccf88cfed25c8b</t>
        </is>
      </c>
      <c r="B23" t="inlineStr">
        <is>
          <t>Staff Data Scientist</t>
        </is>
      </c>
      <c r="C23" t="inlineStr">
        <is>
          <t>CSC Generation</t>
        </is>
      </c>
      <c r="D23" t="inlineStr">
        <is>
          <t>indeed</t>
        </is>
      </c>
      <c r="E23" t="inlineStr"/>
      <c r="F23" t="inlineStr"/>
      <c r="G23" t="inlineStr">
        <is>
          <t>Remote, US</t>
        </is>
      </c>
      <c r="H23" s="2" t="n">
        <v>46059</v>
      </c>
      <c r="I23" t="inlineStr">
        <is>
          <t>CSC Generation is the AI\-native holding company re\-engineering omni\-channel retail. We acquire iconic brands and transform them with Genesis—our operating platform unifying a Data Fabric, Automation Engine, proprietary tools, and shared services—to modernize operations, elevate customer experience, and expand margins.
With $1B\+ in revenue across 13 brands, our portfolio includes Sur La Table, Backcountry, One Kings Lane, and more—premier home and outdoor banners that double as real\-world innovation hubs. CSC Generation continues to grow through M\&amp;A, revitalizing companies with strong brand recognition and loyal customers.  
We are looking for a **Staff Data Scientist** to lead the development of production\-grade machine learning solutions that drive measurable business impact.  
This is a **senior individual contributor role** requiring deep technical expertise, independent judgment, and the ability to influence cross\-functional teams. You will own complex, ambiguous problems end\-to\-end, from problem framing through deployment and iteration.
### **Key Responsibilities – Technical Leadership:**
* Lead the design and development of ML systems that solve complex, ambiguous business problems
* Make sound technical decisions on model architecture, evaluation methodology, and tradeoffs
* Set standards for model validation, testing, and monitoring across the team
* Identify when "good enough" is appropriate vs. when deeper investment is warranted
* Debug and troubleshoot models that fail in production \- understand why they fail, not just that they fail
### **Key Responsibilities – End\-to\-End Model Development \&amp; Evaluation:**
* Frame business problems as well\-defined ML tasks with clear success criteria
* Build robust predictive models (classification, regression, time series, causal inference)
* Implement rigorous train/validation/test methodology to ensure real\-world generalization
* Identify and prevent data leakage, overfitting, and other failure modes before they reach production
* Define metrics that align model performance with actual business outcomes
* Conduct holdout testing on true out\-of\-sample data \- recognize when CV metrics are misleading
* Design and analyze experiments to measure causal impact
* Communicate model limitations, uncertainty, and risk to technical and non\-technical stakeholders
### **Key Responsibilities – Influence \&amp; Collaboration:**
* Partner with product, engineering, and business teams to ensure ML solutions solve real problems
* Translate complex technical concepts into actionable recommendations for stakeholders
* Contribute to hiring and technical interviews
### **Required Qualifications:**
* MS in a quantitative field (Statistics, Computer Science, Operations Research or related discipline)
* 7\+ years applied ML / data science experience
* Expert\-level proficiency in Python / R, and SQL
* Familiarity with cloud data \&amp; ML platforms (GCP/Vertex AI, AWS/SageMaker)
* Proven track record of building production ML systems that delivered measurable business impact
* Deep understanding of model evaluation methodology, experimental design, and causal inference
* Ability to work with messy, incomplete, real\-world data and make pragmatic tradeoffs
* Strong communication and influence skills
* Self\-directed and autonomous
### **Preferred Qualifications:**
* Hands\-on experience in e\-commerce retail and pricing
* PhD in a quantitative field
* Track record of mentoring junior data scientists and leading technical projects
### **What We're NOT Looking For**
* Someone who only knows how to call .fit() and .predict() without understanding the underlying mechanics
* Someone who builds black\-box models they can't explain, debug, or defend
* Someone who needs detailed instructions or hand\-holding for ambiguous problems
* Someone who over\-engineers solutions when a simple approach would suffice
For US\-based candidates, this posting is intended for candidates that reside in the following states:
AZ, DE, FL, GA, IN, LA, MI, MS, MO, NV, NC, OK, PA, TN, TX, UT, WV, WI, and WY.
Our preference is for candidates who reside near our hubs in Northwest Indiana, Austin, Texas, and Toronto, Ontario.
Washington state applicants only: If you believe that this job posting does not comply with applicable Washington state law, please notify us by sending an email to WACandidates@cscshared.com.  
The CSC family of brands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provincial, state or local laws.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Washington state applicants only: If you believe that this job posting does not comply with applicable Washington state law, please notify us by sending an email to WACandidates@cscshared.com.  
It is unlawful in Massachusetts to require or administer a lie\-detector test as a condition of employment or continued employment. An employer who violates this law shall be subject to criminal penalties and civil liability.
The CSC family of brands is committed to providing reasonable accommodations for qualified individuals with disabilities in our job application procedures. If you need assistance or an accommodation due to a disability, please contact hrbenefits@cscshared.com.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24">
      <c r="A24" t="inlineStr">
        <is>
          <t>in-831f0d2f493f57b9</t>
        </is>
      </c>
      <c r="B24" t="inlineStr">
        <is>
          <t>Data Scientist- Apple Maps</t>
        </is>
      </c>
      <c r="C24" t="inlineStr">
        <is>
          <t>Apple</t>
        </is>
      </c>
      <c r="D24" t="inlineStr">
        <is>
          <t>indeed</t>
        </is>
      </c>
      <c r="E24" t="inlineStr"/>
      <c r="F24" t="inlineStr"/>
      <c r="G24" t="inlineStr">
        <is>
          <t>Seattle, WA, US</t>
        </is>
      </c>
      <c r="H24" s="2" t="n">
        <v>46059</v>
      </c>
      <c r="I24" t="inlineStr">
        <is>
          <t>Join Apple Maps, where our mission is to build the best map in the world. As a Data Scientist in the Maps Evaluation organization, you will be instrumental in harnessing the power of user data to inform critical decisions across the Maps organization. We work in a highly collaborative, fast\-paced environment where you’ll have runway to own significant projects, make a tangible impact, and contribute your unique perspective to a team committed to creating something truly wonderful.  
**Description**  
We are seeking a talented and experienced Data Scientist to join our cross\-functional team dedicated to understanding and optimizing user engagement, retention, and growth within Apple Maps. You will partner closely with Product and Program teams, leveraging data to inform strategic direction and prioritization. This role offers significant scope to define and build the next generation of metrics and analytical frameworks. We're looking for a creative problem\-solver who can innovate within our robust privacy commitments, evolving our current metrics foundation into a comprehensive insights platform. Your day\-to\-day responsibilities will span the full data lifecycle, from exploratory data analysis and metrics design to conducting deep dives, crafting executive reports and presentations, and building intuitive dashboards.","responsibilities":"Design, create, and validate new metrics in the area of user engagement, retention, and growth.  
Build data products such as user segmentation models, churn propensity scores, and growth forecasting.  
Conduct in\-depth analysis and deep dives to answer key business questions, uncover insights into feature usage, and identify drivers of engagement and retention.  
Communicate with partners and leadership to influence product strategy and roadmap.  
Transform ambiguous product goals and business problems into well\-defined and solvable data science challenges.  
Contribute to tools and automated data pipelines (primarily using Python and SQL\-based ETL frameworks) to streamline analysis and improve efficiency.  
**Preferred Qualifications**  
Prior industry experience with user engagement analytics and/or causal inference  
Prior proven industry experience with large data sets using technologies like Hadoop and Spark  
Experience writing pipelines for automating analytics tasks at scale  
Experience working in highly cross\-functional teams  
Experience leading projects of varying sizes and scopes  
**Minimum Qualifications**  
MS/PhD in Computer Science, Statistics, Data Science, Physics, Operations Research, or similar quantitative domain  
2\+ years experience with data analysis at web scale or relevant work experience  
Proficient in Python  
Proficient in at least one database language (e.g., SQL, Snowflake)  
Strong communication and presentation skills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  
**Pay \&amp; Benefits**  
At Apple, base pay is one part of our total compensation package and is determined within a range. This provides the opportunity to progress as you grow and develop within a role. The base pay range for this role is between $134,800 and $245,800,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t>
        </is>
      </c>
    </row>
    <row r="25">
      <c r="A25" t="inlineStr">
        <is>
          <t>in-82524419afbcc909</t>
        </is>
      </c>
      <c r="B25" t="inlineStr">
        <is>
          <t>Applied Scientist, Safety ML</t>
        </is>
      </c>
      <c r="C25" t="inlineStr">
        <is>
          <t>Amazon.com</t>
        </is>
      </c>
      <c r="D25" t="inlineStr">
        <is>
          <t>indeed</t>
        </is>
      </c>
      <c r="E25" t="inlineStr"/>
      <c r="F25" t="inlineStr"/>
      <c r="G25" t="inlineStr">
        <is>
          <t>Seattle, WA, US</t>
        </is>
      </c>
      <c r="H25" s="2" t="n">
        <v>46037</v>
      </c>
      <c r="I25"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looking for applied scientists to solve challenging and open\-ended problems in the domain of user and content safety. As an applied scientist on Twitch's Community team, you will use machine learning to develop data products tackling problems such as harassment, spam, and illegal content. You will use a wide toolbox of ML tools to handle multiple types of data, including user behavior, metadata, and user generated content such as text and video. You will collaborate with a team of passionate scientists and engineers to develop these models and put them into production, where they can help Twitch's creators and viewers succeed and build communities.  
You will report to our Senior Applied Science Manager in San Francisco, CA. You can work from San Francisco, CA or Seattle, WA.  
You Will  
* Build machine learning products to protect Twitch and its users from abusive behavior such as harassment, spam, and violent or illegal content.
* Work backwards from customer problems to develop the right solution for the job, whether a classical ML model or a state\-of\-the\-art one.
* Collaborate with Community Health's engineering and product management team to productionize your models into flexible data pipelines and ML\-based services.
* Continue to learn and experiment with new techniques in ML, software engineering, or safety so that we can better help communities on Twitch grow and stay safe.
Perks  
* Medical, Dental, Vision \&amp; Disability Insurance
* 401(k)
* Maternity \&amp; Parental Leave
* Flexible PTO
* Amazon Employee Discount
**BASIC QUALIFICATIONS**
------------------------
* 2\+ years of building production software experience
* 2\+ years of hands\-on industry experience building models for NLP, deep learning, bot detection, anomaly detection or in another practical ML domain.
* PhD / MSc Degree in Computer Science, Mathematics, Statistics, Physics, Engineering, or similar quantitative field OR equivalent hands on experience.
* Expertise with: Python and SQL, modern open source ML libraries (Pytorch, Tensorflow, etc.).
* Familiarity with operating in AWS or similar cloud\-computing services.
**PREFERRED QUALIFICATIONS**
----------------------------
* PhD with a specialization in Machine Learning.
* 1\+ years of experience working in the safety or fraud prevention domain (not necessarily as a scientist).
* Experience communicating with both technical and non\-technical partners and stakeholders.
* Familiarity with Twitch, its business, and its community.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\- 171,600\.00 \- 222,200\.00 USD annually  
USA, WA, SEATTLE \- 142,800\.00 \- 193,200\.00 USD annually  
USA, WA, Seattle \- 142,800\.00 \- 193,200\.00 USD annually</t>
        </is>
      </c>
    </row>
    <row r="26">
      <c r="A26" t="inlineStr">
        <is>
          <t>in-c1c1e0eb0e16e46a</t>
        </is>
      </c>
      <c r="B26" t="inlineStr">
        <is>
          <t>Applied Scientist, Safety ML</t>
        </is>
      </c>
      <c r="C26" t="inlineStr">
        <is>
          <t>Amazon.com</t>
        </is>
      </c>
      <c r="D26" t="inlineStr">
        <is>
          <t>indeed</t>
        </is>
      </c>
      <c r="E26" t="inlineStr"/>
      <c r="F26" t="inlineStr"/>
      <c r="G26" t="inlineStr">
        <is>
          <t>San Francisco, CA, US</t>
        </is>
      </c>
      <c r="H26" s="2" t="n">
        <v>46037</v>
      </c>
      <c r="I26"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looking for applied scientists to solve challenging and open\-ended problems in the domain of user and content safety. As an applied scientist on Twitch's Community team, you will use machine learning to develop data products tackling problems such as harassment, spam, and illegal content. You will use a wide toolbox of ML tools to handle multiple types of data, including user behavior, metadata, and user generated content such as text and video. You will collaborate with a team of passionate scientists and engineers to develop these models and put them into production, where they can help Twitch's creators and viewers succeed and build communities.  
You will report to our Senior Applied Science Manager in San Francisco, CA. You can work from San Francisco, CA or Seattle, WA.  
You Will  
* Build machine learning products to protect Twitch and its users from abusive behavior such as harassment, spam, and violent or illegal content.
* Work backwards from customer problems to develop the right solution for the job, whether a classical ML model or a state\-of\-the\-art one.
* Collaborate with Community Health's engineering and product management team to productionize your models into flexible data pipelines and ML\-based services.
* Continue to learn and experiment with new techniques in ML, software engineering, or safety so that we can better help communities on Twitch grow and stay safe.
Perks  
* Medical, Dental, Vision \&amp; Disability Insurance
* 401(k)
* Maternity \&amp; Parental Leave
* Flexible PTO
* Amazon Employee Discount
**BASIC QUALIFICATIONS**
------------------------
* 2\+ years of building production software experience
* 2\+ years of hands\-on industry experience building models for NLP, deep learning, bot detection, anomaly detection or in another practical ML domain.
* PhD / MSc Degree in Computer Science, Mathematics, Statistics, Physics, Engineering, or similar quantitative field OR equivalent hands on experience.
* Expertise with: Python and SQL, modern open source ML libraries (Pytorch, Tensorflow, etc.).
* Familiarity with operating in AWS or similar cloud\-computing services.
**PREFERRED QUALIFICATIONS**
----------------------------
* PhD with a specialization in Machine Learning.
* 1\+ years of experience working in the safety or fraud prevention domain (not necessarily as a scientist).
* Experience communicating with both technical and non\-technical partners and stakeholders.
* Familiarity with Twitch, its business, and its community.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\- 171,600\.00 \- 222,200\.00 USD annually  
USA, WA, SEATTLE \- 142,800\.00 \- 193,200\.00 USD annually  
USA, WA, Seattle \- 142,800\.00 \- 193,200\.00 USD annually</t>
        </is>
      </c>
    </row>
    <row r="27">
      <c r="A27" t="inlineStr">
        <is>
          <t>in-20ae37f2da4c6a3a</t>
        </is>
      </c>
      <c r="B27" t="inlineStr">
        <is>
          <t>Applied Scientist, LLM Code Agents, Kiro Science</t>
        </is>
      </c>
      <c r="C27" t="inlineStr">
        <is>
          <t>Amazon.com</t>
        </is>
      </c>
      <c r="D27" t="inlineStr">
        <is>
          <t>indeed</t>
        </is>
      </c>
      <c r="E27" t="inlineStr"/>
      <c r="F27" t="inlineStr"/>
      <c r="G27" t="inlineStr">
        <is>
          <t>Santa Clara, CA, US</t>
        </is>
      </c>
      <c r="H27" s="2" t="n">
        <v>46035</v>
      </c>
      <c r="I27" t="inlineStr">
        <is>
          <t>**DESCRIPTION**
---------------
Amazon Web Services (AWS) is assembling an elite team of world\-class scientists and engineers to pioneer the next generation of AI\-driven development tools. Join the Amazon Kiro LLM\-Training team and help create groundbreaking generative AI technologies including Kiro IDE and Amazon Q Developer that are transforming the software development landscape.  
Key job responsibilities  
As a key member of our team, you'll be at the forefront of innovation, where cutting\-edge research meets real\-world application:  
* Push the boundaries of reinforcement learning and post\-training methodologies for large language models specialized in code intelligence
* Invent and implement state\-of\-the\-art machine learning solutions that operate at unprecedented Amazon scale
* Deploy revolutionary products that directly impact the daily workflows of millions of developers worldwide
* Break new ground in AI and machine learning, challenging what's possible in intelligent code assistance
* Publish and present your pioneering work at premier ML and NLP conferences (NeurIPS, ICML, ICLR , ACL, EMNLP)
* Accelerate innovation by working directly with customers to rapidly transition research breakthroughs into production systems
About the team  
The AWS Developer Agents and Experiences (DAE) team is reimagining the builder experience through generative AI and foundation models. We're leveraging the latest advances in AI to transform how engineers work from IDE environments to web\-based tools and services, empowering developers to tackle projects of any scale with unprecedented efficiency.  
Broadly,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\- 171,600\.00 \- 222,200\.00 USD annually  
USA, WA, Seattle \- 142,800\.00 \- 193,200\.00 USD annually</t>
        </is>
      </c>
    </row>
    <row r="28">
      <c r="A28" t="inlineStr">
        <is>
          <t>in-1eacaeecd03cb8b7</t>
        </is>
      </c>
      <c r="B28" t="inlineStr">
        <is>
          <t>Applied Scientist, LLM Code Agents, Kiro Science</t>
        </is>
      </c>
      <c r="C28" t="inlineStr">
        <is>
          <t>Amazon.com</t>
        </is>
      </c>
      <c r="D28" t="inlineStr">
        <is>
          <t>indeed</t>
        </is>
      </c>
      <c r="E28" t="inlineStr"/>
      <c r="F28" t="inlineStr"/>
      <c r="G28" t="inlineStr">
        <is>
          <t>Seattle, WA, US</t>
        </is>
      </c>
      <c r="H28" s="2" t="n">
        <v>46035</v>
      </c>
      <c r="I28" t="inlineStr">
        <is>
          <t>**DESCRIPTION**
---------------
Amazon Web Services (AWS) is assembling an elite team of world\-class scientists and engineers to pioneer the next generation of AI\-driven development tools. Join the Amazon Kiro LLM\-Training team and help create groundbreaking generative AI technologies including Kiro IDE and Amazon Q Developer that are transforming the software development landscape.  
Key job responsibilities  
As a key member of our team, you'll be at the forefront of innovation, where cutting\-edge research meets real\-world application:  
* Push the boundaries of reinforcement learning and post\-training methodologies for large language models specialized in code intelligence
* Invent and implement state\-of\-the\-art machine learning solutions that operate at unprecedented Amazon scale
* Deploy revolutionary products that directly impact the daily workflows of millions of developers worldwide
* Break new ground in AI and machine learning, challenging what's possible in intelligent code assistance
* Publish and present your pioneering work at premier ML and NLP conferences (NeurIPS, ICML, ICLR , ACL, EMNLP)
* Accelerate innovation by working directly with customers to rapidly transition research breakthroughs into production systems
About the team  
The AWS Developer Agents and Experiences (DAE) team is reimagining the builder experience through generative AI and foundation models. We're leveraging the latest advances in AI to transform how engineers work from IDE environments to web\-based tools and services, empowering developers to tackle projects of any scale with unprecedented efficiency.  
Broadly,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\- 171,600\.00 \- 222,200\.00 USD annually  
USA, WA, Seattle \- 142,800\.00 \- 193,200\.00 USD annually</t>
        </is>
      </c>
    </row>
    <row r="29">
      <c r="A29" t="inlineStr">
        <is>
          <t>in-357dc1262b8367bd</t>
        </is>
      </c>
      <c r="B29" t="inlineStr">
        <is>
          <t>Senior Data Scientist, Amazon Stores Finance Science, Amazon Stores Finance Science</t>
        </is>
      </c>
      <c r="C29" t="inlineStr">
        <is>
          <t>Amazon.com</t>
        </is>
      </c>
      <c r="D29" t="inlineStr">
        <is>
          <t>indeed</t>
        </is>
      </c>
      <c r="E29" t="inlineStr"/>
      <c r="F29" t="inlineStr"/>
      <c r="G29" t="inlineStr">
        <is>
          <t>Seattle, WA, US</t>
        </is>
      </c>
      <c r="H29" s="2" t="n">
        <v>46034</v>
      </c>
      <c r="I29" t="inlineStr">
        <is>
          <t>**DESCRIPTION**
---------------
WW Amazon Stores Finance Science (ASFS) works to leverage science and economics to drive improved financial results, foster data backed decisions, and embed science within Finance. ASFS is focused on developing products that empower controllership, improve business decisions and financial planning by understanding financial drivers, and innovate science capabilities for efficiency and scale.  
We are looking for a data scientist to lead high visibility initiatives for forecasting Amazon Stores' financials. You will develop new science\-based forecasting methodologies and build scalable models to improve financial decision making and planning for senior leadership up to VP and SVP level. You will build new ML and statistical models from the ground up that aim to transform financial planning for Amazon Stores.  
We prize creative problem solvers with the ability to draw on an expansive methodological toolkit to transform financial decision\-making with science. The ideal candidate combines data\-science acumen with strong business judgment. You have versatile modeling skills and are comfortable owning and extracting insights from data. You are excited to learn from and alongside seasoned scientists, engineers, and business leaders. You are an excellent communicator and effectively translate technical findings into business action.  
Key job responsibilities  
Demonstrating thorough technical knowledge, effective exploratory data analysis, and model building using industry standard ML models  
Working with technical and non\-technical stakeholders across every step of science project life cycle  
Collaborating with finance, product, data engineering, and software engineering teams to create production implementations for large\-scale ML models  
Innovating by adapting new modeling techniques and procedures  
Presenting research results to our internal research community
**BASIC QUALIFICATIONS**
------------------------
* 5\+ years of data querying languages (e.g. SQL), scripting languages (e.g. Python) or statistical/mathematical software (e.g. R, SAS, Matlab, etc.) experience
* 4\+ years of data scientist experience
* Experience with statistical models e.g. multinomial logistic regression
* Bachelor's degree in a quantitative field such as statistics, mathematics, data science, business analytics, economics, finance, engineering, or computer science
* Experience managing data pipelines
**PREFERRED QUALIFICATIONS**
----------------------------
* Experience as a leader and mentor on a data science team
* Knowledge of AWS tech stack (e.g., AWS Redshift, S3, EC2, Glue)
* Master's degree
* Experience in forecasting analyses
* Experience working with Data \&amp; AI related technologies, including, but not limited to, AI/ML, GenAI, Analytics, Database, and/or Storage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\- 183,000\.00 \- 247,600\.00 USD annually  
USA, WA, Bellevue \- 159,200\.00 \- 215,300\.00 USD annually  
USA, WA, Seattle \- 159,200\.00 \- 215,300\.00 USD annually</t>
        </is>
      </c>
    </row>
    <row r="30">
      <c r="A30" t="inlineStr">
        <is>
          <t>in-0b10ee590dbd1304</t>
        </is>
      </c>
      <c r="B30" t="inlineStr">
        <is>
          <t>Senior Data Scientist, Amazon Stores Finance Science, Amazon Stores Finance Science</t>
        </is>
      </c>
      <c r="C30" t="inlineStr">
        <is>
          <t>Amazon.com</t>
        </is>
      </c>
      <c r="D30" t="inlineStr">
        <is>
          <t>indeed</t>
        </is>
      </c>
      <c r="E30" t="inlineStr"/>
      <c r="F30" t="inlineStr"/>
      <c r="G30" t="inlineStr">
        <is>
          <t>Bellevue, WA, US</t>
        </is>
      </c>
      <c r="H30" s="2" t="n">
        <v>46034</v>
      </c>
      <c r="I30" t="inlineStr">
        <is>
          <t>**DESCRIPTION**
---------------
WW Amazon Stores Finance Science (ASFS) works to leverage science and economics to drive improved financial results, foster data backed decisions, and embed science within Finance. ASFS is focused on developing products that empower controllership, improve business decisions and financial planning by understanding financial drivers, and innovate science capabilities for efficiency and scale.  
We are looking for a data scientist to lead high visibility initiatives for forecasting Amazon Stores' financials. You will develop new science\-based forecasting methodologies and build scalable models to improve financial decision making and planning for senior leadership up to VP and SVP level. You will build new ML and statistical models from the ground up that aim to transform financial planning for Amazon Stores.  
We prize creative problem solvers with the ability to draw on an expansive methodological toolkit to transform financial decision\-making with science. The ideal candidate combines data\-science acumen with strong business judgment. You have versatile modeling skills and are comfortable owning and extracting insights from data. You are excited to learn from and alongside seasoned scientists, engineers, and business leaders. You are an excellent communicator and effectively translate technical findings into business action.  
Key job responsibilities  
Demonstrating thorough technical knowledge, effective exploratory data analysis, and model building using industry standard ML models  
Working with technical and non\-technical stakeholders across every step of science project life cycle  
Collaborating with finance, product, data engineering, and software engineering teams to create production implementations for large\-scale ML models  
Innovating by adapting new modeling techniques and procedures  
Presenting research results to our internal research community
**BASIC QUALIFICATIONS**
------------------------
* 5\+ years of data querying languages (e.g. SQL), scripting languages (e.g. Python) or statistical/mathematical software (e.g. R, SAS, Matlab, etc.) experience
* 4\+ years of data scientist experience
* Experience with statistical models e.g. multinomial logistic regression
* Bachelor's degree in a quantitative field such as statistics, mathematics, data science, business analytics, economics, finance, engineering, or computer science
* Experience managing data pipelines
**PREFERRED QUALIFICATIONS**
----------------------------
* Experience as a leader and mentor on a data science team
* Knowledge of AWS tech stack (e.g., AWS Redshift, S3, EC2, Glue)
* Master's degree
* Experience in forecasting analyses
* Experience working with Data \&amp; AI related technologies, including, but not limited to, AI/ML, GenAI, Analytics, Database, and/or Storage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\- 183,000\.00 \- 247,600\.00 USD annually  
USA, WA, Bellevue \- 159,200\.00 \- 215,300\.00 USD annually  
USA, WA, Seattle \- 159,200\.00 \- 215,300\.00 USD annually</t>
        </is>
      </c>
    </row>
    <row r="31">
      <c r="A31" t="inlineStr">
        <is>
          <t>in-18cdee246ce406b2</t>
        </is>
      </c>
      <c r="B31" t="inlineStr">
        <is>
          <t>Senior Data Scientist, Amazon Stores Finance Science, Amazon Stores Finance Science</t>
        </is>
      </c>
      <c r="C31" t="inlineStr">
        <is>
          <t>Amazon.com</t>
        </is>
      </c>
      <c r="D31" t="inlineStr">
        <is>
          <t>indeed</t>
        </is>
      </c>
      <c r="E31" t="inlineStr"/>
      <c r="F31" t="inlineStr"/>
      <c r="G31" t="inlineStr">
        <is>
          <t>Sunnyvale, CA, US</t>
        </is>
      </c>
      <c r="H31" s="2" t="n">
        <v>46034</v>
      </c>
      <c r="I31" t="inlineStr">
        <is>
          <t>**DESCRIPTION**
---------------
WW Amazon Stores Finance Science (ASFS) works to leverage science and economics to drive improved financial results, foster data backed decisions, and embed science within Finance. ASFS is focused on developing products that empower controllership, improve business decisions and financial planning by understanding financial drivers, and innovate science capabilities for efficiency and scale.  
We are looking for a data scientist to lead high visibility initiatives for forecasting Amazon Stores' financials. You will develop new science\-based forecasting methodologies and build scalable models to improve financial decision making and planning for senior leadership up to VP and SVP level. You will build new ML and statistical models from the ground up that aim to transform financial planning for Amazon Stores.  
We prize creative problem solvers with the ability to draw on an expansive methodological toolkit to transform financial decision\-making with science. The ideal candidate combines data\-science acumen with strong business judgment. You have versatile modeling skills and are comfortable owning and extracting insights from data. You are excited to learn from and alongside seasoned scientists, engineers, and business leaders. You are an excellent communicator and effectively translate technical findings into business action.  
Key job responsibilities  
Demonstrating thorough technical knowledge, effective exploratory data analysis, and model building using industry standard ML models  
Working with technical and non\-technical stakeholders across every step of science project life cycle  
Collaborating with finance, product, data engineering, and software engineering teams to create production implementations for large\-scale ML models  
Innovating by adapting new modeling techniques and procedures  
Presenting research results to our internal research community
**BASIC QUALIFICATIONS**
------------------------
* 5\+ years of data querying languages (e.g. SQL), scripting languages (e.g. Python) or statistical/mathematical software (e.g. R, SAS, Matlab, etc.) experience
* 4\+ years of data scientist experience
* Experience with statistical models e.g. multinomial logistic regression
* Bachelor's degree in a quantitative field such as statistics, mathematics, data science, business analytics, economics, finance, engineering, or computer science
* Experience managing data pipelines
**PREFERRED QUALIFICATIONS**
----------------------------
* Experience as a leader and mentor on a data science team
* Knowledge of AWS tech stack (e.g., AWS Redshift, S3, EC2, Glue)
* Master's degree
* Experience in forecasting analyses
* Experience working with Data \&amp; AI related technologies, including, but not limited to, AI/ML, GenAI, Analytics, Database, and/or Storage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\- 183,000\.00 \- 247,600\.00 USD annually  
USA, WA, Bellevue \- 159,200\.00 \- 215,300\.00 USD annually  
USA, WA, Seattle \- 159,200\.00 \- 215,300\.00 USD annually</t>
        </is>
      </c>
    </row>
    <row r="32">
      <c r="A32" t="inlineStr">
        <is>
          <t>in-06b6390d45312c9b</t>
        </is>
      </c>
      <c r="B32" t="inlineStr">
        <is>
          <t>Sr Applied Scientist, AWS Proactive Security</t>
        </is>
      </c>
      <c r="C32" t="inlineStr">
        <is>
          <t>Amazon.com</t>
        </is>
      </c>
      <c r="D32" t="inlineStr">
        <is>
          <t>indeed</t>
        </is>
      </c>
      <c r="E32" t="inlineStr"/>
      <c r="F32" t="inlineStr"/>
      <c r="G32" t="inlineStr">
        <is>
          <t>Herndon, VA, US</t>
        </is>
      </c>
      <c r="H32" s="2" t="n">
        <v>46030</v>
      </c>
      <c r="I32" t="inlineStr">
        <is>
          <t>**DESCRIPTION**
---------------
In this role, you will design and build a foundational data mapping utility that enables next\-gen security automation across the Amazon business. As GenAI takes foot into the daily lives of every worker at Amazon, it is clear that high quality data context enables high quality outcomes.  
Your work includes designing a scalable and dependable database system that connects and enriches data from many of our internal data providers in way that is consumable by Agentic AI workflows.  
Key job responsibilities  
Lead the research, selection, and development of the appropriate data mechanisms to scale to meet the data context needs of Proactive Security and Security Assurance programs, to the ultimate goal of reducing the manual interaction between security and Amazon builders, while maintaining a high security bar. Work closely with Software Engineers and Applied Scientists to leverage the latest generative AI models to solve complex data mapping problems and increase our data mapping coverage and reasoning capabilities.  
About the team  
Diverse Experiences  
Amazon Security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Amazon Security?  
At Amazon, security is central to maintaining customer trust and delivering delightful customer experiences. Our organization is responsible for creating and maintaining a high bar for security across all of Amazon’s products and services. We offer talented security professionals the chance to accelerate their careers with opportunities to build experience in a wide variety of areas including cloud, devices, retail, entertainment, healthcare, operations, and physical stores.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\&amp; Career Growth  
We’re continuously raising our performance bar as we strive to become Earth’s Best Employer. That’s why you’ll find endless knowledge\-sharing, training, and other career\-advancing resources here to help you develop into a better\-rounded professional.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VA, Arlington \- 167,100\.00 \- 226,100\.00 USD annually  
USA, VA, Herndon \- 167,100\.00 \- 226,100\.00 USD annually</t>
        </is>
      </c>
    </row>
    <row r="33">
      <c r="A33" t="inlineStr">
        <is>
          <t>in-4833079f457ea726</t>
        </is>
      </c>
      <c r="B33" t="inlineStr">
        <is>
          <t>Sr Applied Scientist, AWS Proactive Security</t>
        </is>
      </c>
      <c r="C33" t="inlineStr">
        <is>
          <t>Amazon.com</t>
        </is>
      </c>
      <c r="D33" t="inlineStr">
        <is>
          <t>indeed</t>
        </is>
      </c>
      <c r="E33" t="inlineStr"/>
      <c r="F33" t="inlineStr"/>
      <c r="G33" t="inlineStr">
        <is>
          <t>Sunnyvale, CA, US</t>
        </is>
      </c>
      <c r="H33" s="2" t="n">
        <v>46030</v>
      </c>
      <c r="I33" t="inlineStr">
        <is>
          <t>**DESCRIPTION**
---------------
In this role, you will design and build a foundational data mapping utility that enables next\-gen security automation across the Amazon business. As GenAI takes foot into the daily lives of every worker at Amazon, it is clear that high quality data context enables high quality outcomes.  
Your work includes designing a scalable and dependable database system that connects and enriches data from many of our internal data providers in way that is consumable by Agentic AI workflows.  
Key job responsibilities  
Lead the research, selection, and development of the appropriate data mechanisms to scale to meet the data context needs of Proactive Security and Security Assurance programs, to the ultimate goal of reducing the manual interaction between security and Amazon builders, while maintaining a high security bar. Work closely with Software Engineers and Applied Scientists to leverage the latest generative AI models to solve complex data mapping problems and increase our data mapping coverage and reasoning capabilities.  
About the team  
Diverse Experiences  
Amazon Security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Amazon Security?  
At Amazon, security is central to maintaining customer trust and delivering delightful customer experiences. Our organization is responsible for creating and maintaining a high bar for security across all of Amazon’s products and services. We offer talented security professionals the chance to accelerate their careers with opportunities to build experience in a wide variety of areas including cloud, devices, retail, entertainment, healthcare, operations, and physical stores.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\&amp; Career Growth  
We’re continuously raising our performance bar as we strive to become Earth’s Best Employer. That’s why you’ll find endless knowledge\-sharing, training, and other career\-advancing resources here to help you develop into a better\-rounded professional.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VA, Arlington \- 167,100\.00 \- 226,100\.00 USD annually  
USA, VA, Herndon \- 167,100\.00 \- 226,100\.00 USD annually</t>
        </is>
      </c>
    </row>
    <row r="34">
      <c r="A34" t="inlineStr">
        <is>
          <t>in-910c883fd4927666</t>
        </is>
      </c>
      <c r="B34" t="inlineStr">
        <is>
          <t>Sr Applied Scientist, AWS Proactive Security</t>
        </is>
      </c>
      <c r="C34" t="inlineStr">
        <is>
          <t>Amazon.com</t>
        </is>
      </c>
      <c r="D34" t="inlineStr">
        <is>
          <t>indeed</t>
        </is>
      </c>
      <c r="E34" t="inlineStr"/>
      <c r="F34" t="inlineStr"/>
      <c r="G34" t="inlineStr">
        <is>
          <t>Arlington, VA, US</t>
        </is>
      </c>
      <c r="H34" s="2" t="n">
        <v>46030</v>
      </c>
      <c r="I34" t="inlineStr">
        <is>
          <t>**DESCRIPTION**
---------------
In this role, you will design and build a foundational data mapping utility that enables next\-gen security automation across the Amazon business. As GenAI takes foot into the daily lives of every worker at Amazon, it is clear that high quality data context enables high quality outcomes.  
Your work includes designing a scalable and dependable database system that connects and enriches data from many of our internal data providers in way that is consumable by Agentic AI workflows.  
Key job responsibilities  
Lead the research, selection, and development of the appropriate data mechanisms to scale to meet the data context needs of Proactive Security and Security Assurance programs, to the ultimate goal of reducing the manual interaction between security and Amazon builders, while maintaining a high security bar. Work closely with Software Engineers and Applied Scientists to leverage the latest generative AI models to solve complex data mapping problems and increase our data mapping coverage and reasoning capabilities.  
About the team  
Diverse Experiences  
Amazon Security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Amazon Security?  
At Amazon, security is central to maintaining customer trust and delivering delightful customer experiences. Our organization is responsible for creating and maintaining a high bar for security across all of Amazon’s products and services. We offer talented security professionals the chance to accelerate their careers with opportunities to build experience in a wide variety of areas including cloud, devices, retail, entertainment, healthcare, operations, and physical stores.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\&amp; Career Growth  
We’re continuously raising our performance bar as we strive to become Earth’s Best Employer. That’s why you’ll find endless knowledge\-sharing, training, and other career\-advancing resources here to help you develop into a better\-rounded professional.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VA, Arlington \- 167,100\.00 \- 226,100\.00 USD annually  
USA, VA, Herndon \- 167,100\.00 \- 226,100\.00 USD annually</t>
        </is>
      </c>
    </row>
    <row r="35">
      <c r="A35" t="inlineStr">
        <is>
          <t>in-a45d6b8e642fab9d</t>
        </is>
      </c>
      <c r="B35" t="inlineStr">
        <is>
          <t>Applied Scientist, Last Mile Delivery Automation</t>
        </is>
      </c>
      <c r="C35" t="inlineStr">
        <is>
          <t>Amazon.com</t>
        </is>
      </c>
      <c r="D35" t="inlineStr">
        <is>
          <t>indeed</t>
        </is>
      </c>
      <c r="E35" t="inlineStr"/>
      <c r="F35" t="inlineStr"/>
      <c r="G35" t="inlineStr">
        <is>
          <t>Bellevue, WA, US</t>
        </is>
      </c>
      <c r="H35" s="2" t="n">
        <v>46026</v>
      </c>
      <c r="I35" t="inlineStr">
        <is>
          <t>**DESCRIPTION**
---------------
As an Applied Scientist for Last Mile Delivery Automation, you will be at the forefront of developing AI and ML solutions that power our delivery solutions. This role combines deep expertise in machine learning, computer vision, and robotics to solve complex challenges in real\-world perception, navigation, and path planning. You will work closely with applied scientists, software developers, and product teams to research, design, and implement sophisticated algorithms that enable safe and efficient operations. This position requires a unique blend of theoretical knowledge and practical implementation skills, with a focus on transforming research concepts into production\-ready solutions that can operate reliably in diverse real\-world environments.  
Key job responsibilities  
* Design and develop advanced machine learning models and algorithms for perception, navigation and planning.
* Lead research initiatives in areas such as computer vision, sensor fusion, behavioral prediction, and path planning
* Transform research concepts into production\-ready solutions that meet strict safety and performance requirements
* Develop novel approaches to solve complex technical challenges in perception, navigation and planning
* Create and implement metrics and evaluation frameworks to measure model performance
* Collaborate with engineering teams to integrate ML solutions into production stack
* Publish research findings and represent Amazon at technical conferences
About the team  
The Applied Science team within Amazon's Last Mile Delivery Automation organization focuses on developing machine learning solutions for autonomous systems. We work at the intersection of computer vision, deep learning, robotics, and control systems to create robust and scalable algorithms that enable safe autonomous operation. Our team combines expertise from diverse scientific backgrounds to tackle fundamental challenges in perception, prediction, and decision\-making.
**BASIC QUALIFICATIONS**
------------------------
* 3\+ years of building models for business application experience
* PhD, or Master's degree and 4\+ years of CS, CE, ML or related field experience
* Experience in patents or publications at top\-tier peer\-reviewed conferences or journals
* Experience in building machine learning models for business application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6">
      <c r="A36" t="inlineStr">
        <is>
          <t>in-bf7b07c8b2dbd24f</t>
        </is>
      </c>
      <c r="B36" t="inlineStr">
        <is>
          <t>Applied Scientist, Last Mile Delivery Automation</t>
        </is>
      </c>
      <c r="C36" t="inlineStr">
        <is>
          <t>Amazon.com</t>
        </is>
      </c>
      <c r="D36" t="inlineStr">
        <is>
          <t>indeed</t>
        </is>
      </c>
      <c r="E36" t="inlineStr"/>
      <c r="F36" t="inlineStr"/>
      <c r="G36" t="inlineStr">
        <is>
          <t>Santa Clara, CA, US</t>
        </is>
      </c>
      <c r="H36" s="2" t="n">
        <v>46026</v>
      </c>
      <c r="I36" t="inlineStr">
        <is>
          <t>**DESCRIPTION**
---------------
As an Applied Scientist for Last Mile Delivery Automation, you will be at the forefront of developing AI and ML solutions that power our delivery solutions. This role combines deep expertise in machine learning, computer vision, and robotics to solve complex challenges in real\-world perception, navigation, and path planning. You will work closely with applied scientists, software developers, and product teams to research, design, and implement sophisticated algorithms that enable safe and efficient operations. This position requires a unique blend of theoretical knowledge and practical implementation skills, with a focus on transforming research concepts into production\-ready solutions that can operate reliably in diverse real\-world environments.  
Key job responsibilities  
* Design and develop advanced machine learning models and algorithms for perception, navigation and planning.
* Lead research initiatives in areas such as computer vision, sensor fusion, behavioral prediction, and path planning
* Transform research concepts into production\-ready solutions that meet strict safety and performance requirements
* Develop novel approaches to solve complex technical challenges in perception, navigation and planning
* Create and implement metrics and evaluation frameworks to measure model performance
* Collaborate with engineering teams to integrate ML solutions into production stack
* Publish research findings and represent Amazon at technical conferences
About the team  
The Applied Science team within Amazon's Last Mile Delivery Automation organization focuses on developing machine learning solutions for autonomous systems. We work at the intersection of computer vision, deep learning, robotics, and control systems to create robust and scalable algorithms that enable safe autonomous operation. Our team combines expertise from diverse scientific backgrounds to tackle fundamental challenges in perception, prediction, and decision\-making.
**BASIC QUALIFICATIONS**
------------------------
* 3\+ years of building models for business application experience
* PhD, or Master's degree and 4\+ years of CS, CE, ML or related field experience
* Experience in patents or publications at top\-tier peer\-reviewed conferences or journals
* Experience in building machine learning models for business application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7">
      <c r="A37" t="inlineStr">
        <is>
          <t>in-35da3b994e37a137</t>
        </is>
      </c>
      <c r="B37" t="inlineStr">
        <is>
          <t>Senior Applied Scientist, Distributed SQL</t>
        </is>
      </c>
      <c r="C37" t="inlineStr">
        <is>
          <t>Amazon Web Services</t>
        </is>
      </c>
      <c r="D37" t="inlineStr">
        <is>
          <t>indeed</t>
        </is>
      </c>
      <c r="E37" t="inlineStr"/>
      <c r="F37" t="inlineStr"/>
      <c r="G37" t="inlineStr">
        <is>
          <t>Seattle, WA, US</t>
        </is>
      </c>
      <c r="H37" s="2" t="n">
        <v>46012</v>
      </c>
      <c r="I37" t="inlineStr">
        <is>
          <t>**DESCRIPTION**
---------------
Amazon Aurora DSQL is a serverless, distributed SQL database with virtually unlimited scale, highest availability, and zero infrastructure management. Aurora DSQL provides active\-active high availability, providing strong data consistency designed for 99\.99% single\-Region and 99\.999% multi\-Region availability. Aurora DSQL automatically manages and scales system resources, so you don't have to worry about maintenance downtime and provisioning, patching, or upgrading infrastructure.  
As a Senior Applied Scientist, you will be expected to lead research and development in advanced query optimization techniques for distributed sql services. You will innovate in the query planning and execution layer to help Aurora DSQL succeed at delivering high performance for complex OLTP workloads. You will develop novel approaches to stats collection, query planning, execution and optimization. You will drive industry leading research, publish your research and help convert your research into implementations to make Aurora DSQL the fastest sql database for OLTP workloads.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Key job responsibilities  
Our engineers collaborate across diverse teams, projects, and environments to have a firsthand impact on our global customer base. You’ll bring a passion for innovation, data, search, analytics, and distributed systems. You’ll also:  
Solve challenging technical problems, often ones not solved before, at every layer of the stack.  
Design, implement, test, deploy and maintain innovative software solutions to transform service performance, durability, cost, and security.  
Build high\-quality, highly available, always\-on products.  
Research implementations that deliver the best possible experiences for customers.  
A day in the life  
As you design and code solutions to help our team drive efficiencies in software architecture, you’ll create metrics, implement automation and other improvements, and resolve the root cause of software defects. You’ll also:  
Build high\-impact solutions to deliver to our large customer base.  
Participate in design discussions, code review, and communicate with internal and external stakeholders.  
Work cross\-functionally to help drive business decisions with your technical input.  
Work in a startup\-like development environment, where you’re always working on the most important stuff.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East Palo Alto \- 192,200\.00 \- 260,000\.00 USD annually  
USA, WA, Seattle \- 167,100\.00 \- 226,100\.00 USD annually</t>
        </is>
      </c>
    </row>
    <row r="38">
      <c r="A38" t="inlineStr">
        <is>
          <t>in-8f2c07a11ee32a5c</t>
        </is>
      </c>
      <c r="B38" t="inlineStr">
        <is>
          <t>Senior Applied Scientist, Distributed SQL</t>
        </is>
      </c>
      <c r="C38" t="inlineStr">
        <is>
          <t>Amazon Web Services</t>
        </is>
      </c>
      <c r="D38" t="inlineStr">
        <is>
          <t>indeed</t>
        </is>
      </c>
      <c r="E38" t="inlineStr"/>
      <c r="F38" t="inlineStr"/>
      <c r="G38" t="inlineStr">
        <is>
          <t>East Palo Alto, CA, US</t>
        </is>
      </c>
      <c r="H38" s="2" t="n">
        <v>46012</v>
      </c>
      <c r="I38" t="inlineStr">
        <is>
          <t>**DESCRIPTION**
---------------
Amazon Aurora DSQL is a serverless, distributed SQL database with virtually unlimited scale, highest availability, and zero infrastructure management. Aurora DSQL provides active\-active high availability, providing strong data consistency designed for 99\.99% single\-Region and 99\.999% multi\-Region availability. Aurora DSQL automatically manages and scales system resources, so you don't have to worry about maintenance downtime and provisioning, patching, or upgrading infrastructure.  
As a Senior Applied Scientist, you will be expected to lead research and development in advanced query optimization techniques for distributed sql services. You will innovate in the query planning and execution layer to help Aurora DSQL succeed at delivering high performance for complex OLTP workloads. You will develop novel approaches to stats collection, query planning, execution and optimization. You will drive industry leading research, publish your research and help convert your research into implementations to make Aurora DSQL the fastest sql database for OLTP workloads.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Key job responsibilities  
Our engineers collaborate across diverse teams, projects, and environments to have a firsthand impact on our global customer base. You’ll bring a passion for innovation, data, search, analytics, and distributed systems. You’ll also:  
Solve challenging technical problems, often ones not solved before, at every layer of the stack.  
Design, implement, test, deploy and maintain innovative software solutions to transform service performance, durability, cost, and security.  
Build high\-quality, highly available, always\-on products.  
Research implementations that deliver the best possible experiences for customers.  
A day in the life  
As you design and code solutions to help our team drive efficiencies in software architecture, you’ll create metrics, implement automation and other improvements, and resolve the root cause of software defects. You’ll also:  
Build high\-impact solutions to deliver to our large customer base.  
Participate in design discussions, code review, and communicate with internal and external stakeholders.  
Work cross\-functionally to help drive business decisions with your technical input.  
Work in a startup\-like development environment, where you’re always working on the most important stuff.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East Palo Alto \- 192,200\.00 \- 260,000\.00 USD annually  
USA, WA, Seattle \- 167,100\.00 \- 226,100\.00 USD annually</t>
        </is>
      </c>
    </row>
    <row r="39">
      <c r="A39" t="inlineStr">
        <is>
          <t>in-5ed028ddb4e09140</t>
        </is>
      </c>
      <c r="B39" t="inlineStr">
        <is>
          <t>Applied Scientist, GenAI Evaluation Media</t>
        </is>
      </c>
      <c r="C39" t="inlineStr">
        <is>
          <t>Amazon.com</t>
        </is>
      </c>
      <c r="D39" t="inlineStr">
        <is>
          <t>indeed</t>
        </is>
      </c>
      <c r="E39" t="inlineStr"/>
      <c r="F39" t="inlineStr"/>
      <c r="G39" t="inlineStr">
        <is>
          <t>New York, NY, US</t>
        </is>
      </c>
      <c r="H39" s="2" t="n">
        <v>46006</v>
      </c>
      <c r="I39" t="inlineStr">
        <is>
          <t>**DESCRIPTION**
---------------
We are seeking an Applied Scientist to join our Generate AI Visual Media \- Core Experiences Science team. This organization drives significant business value by revolutionizing how customers interact with product imagery and videos across Amazon. Working at the intersection of Computer Vision and Generative AI, you will help customers make confident purchase decisions through optimized visual content. Our goal is to transform shopping into a personalized journey of inspiration, discovery, and evaluation by helping customers evaluate how products will fit and flatter their unique self before they ship. In this role, you will be responsible for building scalable computer vision and machine learning (CVML) models, and automating their application and expansion to power customer\-facing features.  
We are seeking domain expertise specifically in 3D Generative AI and Inverse Rendering. Relevant topics include Neural Fields, Implicit 3D Representations, NeRFs, Differentiable Rendering/Simulation, and Physically Based Rendering (PBR) Materials. We expect strong expertise at the intersection of Computer Graphics, Computer Vision, and Deep Learning. An inclination towards Generative AI, such as GANs, VQ\-VAE/GAN, and Diffusion Models, is essential. Additionally, experience in application\-specific domains such as Neural Avatars, Parametric Body Models, and Differentiable Rendering/Simulation will be highly advantageous.  
Key job responsibilities  
* Explore, collect, and process data
* Frame and transform ambiguous business challenges into science hypotheses. Design and implement offline and online experiments to evaluate them
* Develop prototypes to test new concepts/proposals for models and algorithms
* Design and build automated, scalable pipelines to train and deploy ML models
**BASIC QUALIFICATIONS**
------------------------
* PhD, or Master's degree and 5\+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developing and implementing deep learning algorithms, particularly with respect to computer vision algorithms
* Experience in patents or publications at top\-tier peer\-reviewed conferences or journals
* Experience with popular deep learning frameworks such as Tensor Flow and PyTorch.
* Usage of generative AI tools to enhance workflow efficiency, with a willingness to learn effective prompting and evaluation practices.
* Ability to recognize opportunities where generative AI could enhance products, workflows, or customer experiences.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40">
      <c r="A40" t="inlineStr">
        <is>
          <t>in-52766b8e87e68805</t>
        </is>
      </c>
      <c r="B40" t="inlineStr">
        <is>
          <t>Applied Scientist, GenAI Evaluation Media</t>
        </is>
      </c>
      <c r="C40" t="inlineStr">
        <is>
          <t>Amazon.com</t>
        </is>
      </c>
      <c r="D40" t="inlineStr">
        <is>
          <t>indeed</t>
        </is>
      </c>
      <c r="E40" t="inlineStr"/>
      <c r="F40" t="inlineStr"/>
      <c r="G40" t="inlineStr">
        <is>
          <t>Sunnyvale, CA, US</t>
        </is>
      </c>
      <c r="H40" s="2" t="n">
        <v>46006</v>
      </c>
      <c r="I40" t="inlineStr">
        <is>
          <t>**DESCRIPTION**
---------------
We are seeking an Applied Scientist to join our Generate AI Visual Media \- Core Experiences Science team. This organization drives significant business value by revolutionizing how customers interact with product imagery and videos across Amazon. Working at the intersection of Computer Vision and Generative AI, you will help customers make confident purchase decisions through optimized visual content. Our goal is to transform shopping into a personalized journey of inspiration, discovery, and evaluation by helping customers evaluate how products will fit and flatter their unique self before they ship. In this role, you will be responsible for building scalable computer vision and machine learning (CVML) models, and automating their application and expansion to power customer\-facing features.  
We are seeking domain expertise specifically in 3D Generative AI and Inverse Rendering. Relevant topics include Neural Fields, Implicit 3D Representations, NeRFs, Differentiable Rendering/Simulation, and Physically Based Rendering (PBR) Materials. We expect strong expertise at the intersection of Computer Graphics, Computer Vision, and Deep Learning. An inclination towards Generative AI, such as GANs, VQ\-VAE/GAN, and Diffusion Models, is essential. Additionally, experience in application\-specific domains such as Neural Avatars, Parametric Body Models, and Differentiable Rendering/Simulation will be highly advantageous.  
Key job responsibilities  
* Explore, collect, and process data
* Frame and transform ambiguous business challenges into science hypotheses. Design and implement offline and online experiments to evaluate them
* Develop prototypes to test new concepts/proposals for models and algorithms
* Design and build automated, scalable pipelines to train and deploy ML models
**BASIC QUALIFICATIONS**
------------------------
* PhD, or Master's degree and 5\+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developing and implementing deep learning algorithms, particularly with respect to computer vision algorithms
* Experience in patents or publications at top\-tier peer\-reviewed conferences or journals
* Experience with popular deep learning frameworks such as Tensor Flow and PyTorch.
* Usage of generative AI tools to enhance workflow efficiency, with a willingness to learn effective prompting and evaluation practices.
* Ability to recognize opportunities where generative AI could enhance products, workflows, or customer experiences.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41">
      <c r="A41" t="inlineStr">
        <is>
          <t>in-78f9d7cf1e8f37e2</t>
        </is>
      </c>
      <c r="B41" t="inlineStr">
        <is>
          <t>Applied Scientist, GenAI Evaluation Media</t>
        </is>
      </c>
      <c r="C41" t="inlineStr">
        <is>
          <t>Amazon.com</t>
        </is>
      </c>
      <c r="D41" t="inlineStr">
        <is>
          <t>indeed</t>
        </is>
      </c>
      <c r="E41" t="inlineStr"/>
      <c r="F41" t="inlineStr"/>
      <c r="G41" t="inlineStr">
        <is>
          <t>Seattle, WA, US</t>
        </is>
      </c>
      <c r="H41" s="2" t="n">
        <v>46006</v>
      </c>
      <c r="I41" t="inlineStr">
        <is>
          <t>**DESCRIPTION**
---------------
We are seeking an Applied Scientist to join our Generate AI Visual Media \- Core Experiences Science team. This organization drives significant business value by revolutionizing how customers interact with product imagery and videos across Amazon. Working at the intersection of Computer Vision and Generative AI, you will help customers make confident purchase decisions through optimized visual content. Our goal is to transform shopping into a personalized journey of inspiration, discovery, and evaluation by helping customers evaluate how products will fit and flatter their unique self before they ship. In this role, you will be responsible for building scalable computer vision and machine learning (CVML) models, and automating their application and expansion to power customer\-facing features.  
We are seeking domain expertise specifically in 3D Generative AI and Inverse Rendering. Relevant topics include Neural Fields, Implicit 3D Representations, NeRFs, Differentiable Rendering/Simulation, and Physically Based Rendering (PBR) Materials. We expect strong expertise at the intersection of Computer Graphics, Computer Vision, and Deep Learning. An inclination towards Generative AI, such as GANs, VQ\-VAE/GAN, and Diffusion Models, is essential. Additionally, experience in application\-specific domains such as Neural Avatars, Parametric Body Models, and Differentiable Rendering/Simulation will be highly advantageous.  
Key job responsibilities  
* Explore, collect, and process data
* Frame and transform ambiguous business challenges into science hypotheses. Design and implement offline and online experiments to evaluate them
* Develop prototypes to test new concepts/proposals for models and algorithms
* Design and build automated, scalable pipelines to train and deploy ML models
**BASIC QUALIFICATIONS**
------------------------
* PhD, or Master's degree and 5\+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developing and implementing deep learning algorithms, particularly with respect to computer vision algorithms
* Experience in patents or publications at top\-tier peer\-reviewed conferences or journals
* Experience with popular deep learning frameworks such as Tensor Flow and PyTorch.
* Usage of generative AI tools to enhance workflow efficiency, with a willingness to learn effective prompting and evaluation practices.
* Ability to recognize opportunities where generative AI could enhance products, workflows, or customer experiences.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42">
      <c r="A42" t="inlineStr">
        <is>
          <t>in-27b0575ff58e2acc</t>
        </is>
      </c>
      <c r="B42" t="inlineStr">
        <is>
          <t>Principal Applied Scientist, Kiro Science</t>
        </is>
      </c>
      <c r="C42" t="inlineStr">
        <is>
          <t>Amazon Web Services</t>
        </is>
      </c>
      <c r="D42" t="inlineStr">
        <is>
          <t>indeed</t>
        </is>
      </c>
      <c r="E42" t="inlineStr"/>
      <c r="F42" t="inlineStr"/>
      <c r="G42" t="inlineStr">
        <is>
          <t>Santa Clara, CA, US</t>
        </is>
      </c>
      <c r="H42" s="2" t="n">
        <v>45999</v>
      </c>
      <c r="I42" t="inlineStr">
        <is>
          <t>**DESCRIPTION**
---------------
AWS Agentic AI is looking for a Principal Applied Scientist who will partner with world\-class scientists and engineers to pioneer the next generation of AI\-driven development tools. Join the Amazon Kiro LLM\-Training team and help create groundbreaking generative AI technologies including Kiro IDE and Amazon Q Developer that are transforming the software development landscape.  
Key job responsibilities  
As a key member of our team, you'll be at the forefront of innovation, where cutting\-edge research meets real\-world application:  
* Push the boundaries of reinforcement learning and post\-training methodologies for large language models specialized in code intelligence
* Invent and implement state\-of\-the\-art machine learning solutions that operate at unprecedented Amazon scale
* Deploy revolutionary products that directly impact the daily workflows of millions of developers worldwide
* Break new ground in AI and machine learning, challenging what's possible in intelligent code assistance
* Publish and present your pioneering work at premier ML and NLP conferences (NeurIPS, ICML, ICLR , ACL, EMNLP)
* Accelerate innovation by working directly with customers to rapidly transition research breakthroughs into production systems
About the team  
The AWS Developer Agents and Experiences (DAE) team is reimagining the builder experience through generative AI and foundation models. We're leveraging the latest advances in AI to transform how engineers work from IDE environments to web\-based tools and services, empowering developers to tackle projects of any scale with unprecedented efficiency.  
Broadly,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offices.**BASIC QUALIFICATIONS**
------------------------
* PhD, or Master's degree and 10\+ years of CS, CE, ML or related field experience
* 8\+ years of building models for business application experience
* Experience in patents or publications at top\-tier peer\-reviewed conferences or journals
* Experience programming in Java, C\+\+, Python or related language
* Experience in any of the following areas: AI (NLP or multi\-modality models), Deep Learning, LLM model training, graph learning, software engineering.
**PREFERRED QUALIFICATIONS**
----------------------------
* First author publications at Tier\-1 ML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t>
        </is>
      </c>
    </row>
    <row r="43">
      <c r="A43" t="inlineStr">
        <is>
          <t>in-2770c1cb30cbbfac</t>
        </is>
      </c>
      <c r="B43" t="inlineStr">
        <is>
          <t>Principal Applied Scientist, Kiro Science</t>
        </is>
      </c>
      <c r="C43" t="inlineStr">
        <is>
          <t>Amazon Web Services</t>
        </is>
      </c>
      <c r="D43" t="inlineStr">
        <is>
          <t>indeed</t>
        </is>
      </c>
      <c r="E43" t="inlineStr"/>
      <c r="F43" t="inlineStr"/>
      <c r="G43" t="inlineStr">
        <is>
          <t>New York, NY, US</t>
        </is>
      </c>
      <c r="H43" s="2" t="n">
        <v>45999</v>
      </c>
      <c r="I43" t="inlineStr">
        <is>
          <t>**DESCRIPTION**
---------------
AWS Agentic AI is looking for a Principal Applied Scientist who will partner with world\-class scientists and engineers to pioneer the next generation of AI\-driven development tools. Join the Amazon Kiro LLM\-Training team and help create groundbreaking generative AI technologies including Kiro IDE and Amazon Q Developer that are transforming the software development landscape.  
Key job responsibilities  
As a key member of our team, you'll be at the forefront of innovation, where cutting\-edge research meets real\-world application:  
* Push the boundaries of reinforcement learning and post\-training methodologies for large language models specialized in code intelligence
* Invent and implement state\-of\-the\-art machine learning solutions that operate at unprecedented Amazon scale
* Deploy revolutionary products that directly impact the daily workflows of millions of developers worldwide
* Break new ground in AI and machine learning, challenging what's possible in intelligent code assistance
* Publish and present your pioneering work at premier ML and NLP conferences (NeurIPS, ICML, ICLR , ACL, EMNLP)
* Accelerate innovation by working directly with customers to rapidly transition research breakthroughs into production systems
About the team  
The AWS Developer Agents and Experiences (DAE) team is reimagining the builder experience through generative AI and foundation models. We're leveraging the latest advances in AI to transform how engineers work from IDE environments to web\-based tools and services, empowering developers to tackle projects of any scale with unprecedented efficiency.  
Broadly,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offices.**BASIC QUALIFICATIONS**
------------------------
* PhD, or Master's degree and 10\+ years of CS, CE, ML or related field experience
* 8\+ years of building models for business application experience
* Experience in patents or publications at top\-tier peer\-reviewed conferences or journals
* Experience programming in Java, C\+\+, Python or related language
* Experience in any of the following areas: AI (NLP or multi\-modality models), Deep Learning, LLM model training, graph learning, software engineering.
**PREFERRED QUALIFICATIONS**
----------------------------
* First author publications at Tier\-1 ML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t>
        </is>
      </c>
    </row>
    <row r="44">
      <c r="A44" t="inlineStr">
        <is>
          <t>in-6777008d878474f3</t>
        </is>
      </c>
      <c r="B44" t="inlineStr">
        <is>
          <t>Sr. Applied Scientist, Amazon Ads</t>
        </is>
      </c>
      <c r="C44" t="inlineStr">
        <is>
          <t>Amazon.com</t>
        </is>
      </c>
      <c r="D44" t="inlineStr">
        <is>
          <t>indeed</t>
        </is>
      </c>
      <c r="E44" t="inlineStr"/>
      <c r="F44" t="inlineStr"/>
      <c r="G44" t="inlineStr">
        <is>
          <t>Brooklyn, NY, US</t>
        </is>
      </c>
      <c r="H44" s="2" t="n">
        <v>45998</v>
      </c>
      <c r="I44"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45">
      <c r="A45" t="inlineStr">
        <is>
          <t>in-90f4020ee1a6ee44</t>
        </is>
      </c>
      <c r="B45" t="inlineStr">
        <is>
          <t>Principal Applied Scientist, Sponsored Products and Brands</t>
        </is>
      </c>
      <c r="C45" t="inlineStr">
        <is>
          <t>Amazon.com</t>
        </is>
      </c>
      <c r="D45" t="inlineStr">
        <is>
          <t>indeed</t>
        </is>
      </c>
      <c r="E45" t="inlineStr"/>
      <c r="F45" t="inlineStr"/>
      <c r="G45" t="inlineStr">
        <is>
          <t>Seattle, WA, US</t>
        </is>
      </c>
      <c r="H45" s="2" t="n">
        <v>45979</v>
      </c>
      <c r="I45"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 Principal Scientist for the team, you will have the opportunity to apply your deep subject matter expertise in the area of ML, LLM and GenAI models. You will invent new product experiences that enable novel advertiser and shopper experiences. This role will liaise with internal Amazon partners and work on bringing state\-of\-the\-art GenAI models to production, and stay abreast of the latest developments in the space of GenAI and identify opportunities to improve the efficiency and productivity of the team. Additionally, you will define a long\-term science vision for our advertising business, driven by our customer’s needs, and translate it into actionable plans for our team of applied scientists and engineers.  
This role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org.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PhD in Computer Science, Statistics or related field.
* 10\+ years of programming in Java, Python or related language.
* 10\+ years of applied ML experience in building complex, real\-time systems involving AI, ML with successful delivery to customers.
* 3\+ years in LLMs, model fine tuning and prompt engineering.
* 3\+ years in digital advertising technology.
**PREFERRED QUALIFICATIONS**
----------------------------
* Demonstrated track record of innovative AI solution development.
* Experience with generative model architectures.
* Research publications or patents in generative AI technologies.
* Experience in Reinforcement Learning from Human Feedback (RLHF), Retrieval\-Augmented Generation (RAG) and AI model trade\-offs (e.g., model size, latency, cost, and output quality).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6">
      <c r="A46" t="inlineStr">
        <is>
          <t>in-8cd648bf156ea281</t>
        </is>
      </c>
      <c r="B46" t="inlineStr">
        <is>
          <t>Principal Applied Scientist, Sponsored Products and Brands</t>
        </is>
      </c>
      <c r="C46" t="inlineStr">
        <is>
          <t>Amazon.com</t>
        </is>
      </c>
      <c r="D46" t="inlineStr">
        <is>
          <t>indeed</t>
        </is>
      </c>
      <c r="E46" t="inlineStr"/>
      <c r="F46" t="inlineStr"/>
      <c r="G46" t="inlineStr">
        <is>
          <t>New York, NY, US</t>
        </is>
      </c>
      <c r="H46" s="2" t="n">
        <v>45979</v>
      </c>
      <c r="I46"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 Principal Scientist for the team, you will have the opportunity to apply your deep subject matter expertise in the area of ML, LLM and GenAI models. You will invent new product experiences that enable novel advertiser and shopper experiences. This role will liaise with internal Amazon partners and work on bringing state\-of\-the\-art GenAI models to production, and stay abreast of the latest developments in the space of GenAI and identify opportunities to improve the efficiency and productivity of the team. Additionally, you will define a long\-term science vision for our advertising business, driven by our customer’s needs, and translate it into actionable plans for our team of applied scientists and engineers.  
This role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org.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PhD in Computer Science, Statistics or related field.
* 10\+ years of programming in Java, Python or related language.
* 10\+ years of applied ML experience in building complex, real\-time systems involving AI, ML with successful delivery to customers.
* 3\+ years in LLMs, model fine tuning and prompt engineering.
* 3\+ years in digital advertising technology.
**PREFERRED QUALIFICATIONS**
----------------------------
* Demonstrated track record of innovative AI solution development.
* Experience with generative model architectures.
* Research publications or patents in generative AI technologies.
* Experience in Reinforcement Learning from Human Feedback (RLHF), Retrieval\-Augmented Generation (RAG) and AI model trade\-offs (e.g., model size, latency, cost, and output quality).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7">
      <c r="A47" t="inlineStr">
        <is>
          <t>in-52d1b82af0c51d98</t>
        </is>
      </c>
      <c r="B47" t="inlineStr">
        <is>
          <t>Applied Scientist, Personalization, DTx Science</t>
        </is>
      </c>
      <c r="C47" t="inlineStr">
        <is>
          <t>Amazon.com</t>
        </is>
      </c>
      <c r="D47" t="inlineStr">
        <is>
          <t>indeed</t>
        </is>
      </c>
      <c r="E47" t="inlineStr"/>
      <c r="F47" t="inlineStr"/>
      <c r="G47" t="inlineStr">
        <is>
          <t>Seattle, WA, US</t>
        </is>
      </c>
      <c r="H47" s="2" t="n">
        <v>45979</v>
      </c>
      <c r="I47" t="inlineStr">
        <is>
          <t>**DESCRIPTION**
---------------
Amazon Advertising is one of Amazon's fastest growing and most profitable businesses, responsible for defining and delivering a collection of advertising products that drive discovery and sales. Our products and solutions are strategically important to enable our Retail and Marketplace businesses to drive long\-term growth. We deliver billions of ad impressions and millions of clicks and break fresh ground in product and technical innovations every day!  
Our team owns personalization, guidance and experimentation science and is placed centrally in the organization which owns the Amazon Advertising Console from UX design to components and services. We leverage a breadth of state\-of\-the\-art techniques such as deep learning, reinforcement learning, LLMs, long term causal modeling as well as sophisticated A/B testing to develop personalized experiences with directly quantifiable business and advertiser success outcomes. We are looking for an accomplished machine learning expert to lead the Applied Science strategy for our recommendation creation and recommendation personalziation program.
In this role, you will work closely with business leaders, stakeholders and cross\-functional teams to drive program success through ML\-driven solutions. You will shape the applied science roadmap, promote a culture of data\-driven decision\-making, and deliver significant business impact for millions of advertisers worldwide and the company using advanced data techniques and applied science methodologies.  
Key job responsibilities  
As an Applied Scientist on this team, you will  
* Serve as the technical leader in Machine Learning, driving collaboration between scientists and engineers, guiding efforts within the team and collaborating with other teams.
* Conduct hands\-on analysis and modeling of large\-scale data to generate insights that boost ads revenue while maintaining a positive advertiser and shopper experience.
* Lead end\-to\-end Machine Learning projects that involve high levels of ambiguity, scale, and complexity.
* Build, experiment, optimize, and deploy machine learning models, collaborating with software engineers to bring your models into production.
* Run A/B experiments, gather data, and perform statistical analysis to validate your models.
* Develop scalable and automated processes for large\-scale data analysis, model development, validation, and serving.
* Explore and research innovative machine learning approaches to push the boundaries of what’s possible.
**BASIC QUALIFICATIONS**
------------------------
* 3\+ years of building models for business application experience
* PhD, or Master's degree and 5\+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48">
      <c r="A48" t="inlineStr">
        <is>
          <t>in-ebc80d1a1a53791c</t>
        </is>
      </c>
      <c r="B48" t="inlineStr">
        <is>
          <t>Applied Scientist, Personalization, DTx Science</t>
        </is>
      </c>
      <c r="C48" t="inlineStr">
        <is>
          <t>Amazon.com</t>
        </is>
      </c>
      <c r="D48" t="inlineStr">
        <is>
          <t>indeed</t>
        </is>
      </c>
      <c r="E48" t="inlineStr"/>
      <c r="F48" t="inlineStr"/>
      <c r="G48" t="inlineStr">
        <is>
          <t>New York, NY, US</t>
        </is>
      </c>
      <c r="H48" s="2" t="n">
        <v>45979</v>
      </c>
      <c r="I48" t="inlineStr">
        <is>
          <t>**DESCRIPTION**
---------------
Amazon Advertising is one of Amazon's fastest growing and most profitable businesses, responsible for defining and delivering a collection of advertising products that drive discovery and sales. Our products and solutions are strategically important to enable our Retail and Marketplace businesses to drive long\-term growth. We deliver billions of ad impressions and millions of clicks and break fresh ground in product and technical innovations every day!  
Our team owns personalization, guidance and experimentation science and is placed centrally in the organization which owns the Amazon Advertising Console from UX design to components and services. We leverage a breadth of state\-of\-the\-art techniques such as deep learning, reinforcement learning, LLMs, long term causal modeling as well as sophisticated A/B testing to develop personalized experiences with directly quantifiable business and advertiser success outcomes. We are looking for an accomplished machine learning expert to lead the Applied Science strategy for our recommendation creation and recommendation personalziation program.
In this role, you will work closely with business leaders, stakeholders and cross\-functional teams to drive program success through ML\-driven solutions. You will shape the applied science roadmap, promote a culture of data\-driven decision\-making, and deliver significant business impact for millions of advertisers worldwide and the company using advanced data techniques and applied science methodologies.  
Key job responsibilities  
As an Applied Scientist on this team, you will  
* Serve as the technical leader in Machine Learning, driving collaboration between scientists and engineers, guiding efforts within the team and collaborating with other teams.
* Conduct hands\-on analysis and modeling of large\-scale data to generate insights that boost ads revenue while maintaining a positive advertiser and shopper experience.
* Lead end\-to\-end Machine Learning projects that involve high levels of ambiguity, scale, and complexity.
* Build, experiment, optimize, and deploy machine learning models, collaborating with software engineers to bring your models into production.
* Run A/B experiments, gather data, and perform statistical analysis to validate your models.
* Develop scalable and automated processes for large\-scale data analysis, model development, validation, and serving.
* Explore and research innovative machine learning approaches to push the boundaries of what’s possible.
**BASIC QUALIFICATIONS**
------------------------
* 3\+ years of building models for business application experience
* PhD, or Master's degree and 5\+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49">
      <c r="A49" t="inlineStr">
        <is>
          <t>in-72ab7fce5d78cb26</t>
        </is>
      </c>
      <c r="B49" t="inlineStr">
        <is>
          <t>Senior Applied Scientist, Sponsored Products and Brands</t>
        </is>
      </c>
      <c r="C49" t="inlineStr">
        <is>
          <t>Amazon.com</t>
        </is>
      </c>
      <c r="D49" t="inlineStr">
        <is>
          <t>indeed</t>
        </is>
      </c>
      <c r="E49" t="inlineStr"/>
      <c r="F49" t="inlineStr"/>
      <c r="G49" t="inlineStr">
        <is>
          <t>New York, NY, US</t>
        </is>
      </c>
      <c r="H49" s="2" t="n">
        <v>45979</v>
      </c>
      <c r="I49" t="inlineStr">
        <is>
          <t>**DESCRIPTION**
---------------
The Sponsored Products and Brands team at Amazon Ads is re\-imagining the advertising landscape through novel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Key job responsibilities  
As an applied scientist on our team, you will  
* Develop AI solutions for Sponsored Brands advertiser and shopper experiences. Build recommendation systems that leverage generative models to develop and improve campaigns.
* You invent and design new solutions for scientifically\-complex problem areas and/or opportunities in new business initiatives.
* You drive or heavily influence the design of scientifically\-complex software solutions or systems, for which you personally write significant parts of the critical scientific novelty. You take ownership of these components, providing a system\-wide view and design guidance. These systems or solutions can be brand new or evolve from existing ones.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Work closely with engineers and product managers to design, implement and launch AI solutions end\-to\-end;
* Design and conduct A/B experiments to evaluate proposed solutions based on in\-depth data analyses;
* Think big about the arc of development of Gen AI over a multi\-year horizon, and identify new opportunities to apply these technologies to solve real\-world problems
* Effectively communicate technical and non\-technical ideas with teammates and stakeholders;
* Translate complex scientific challenges into clear and impactful solutions for business stakeholders.
* Mentor and guide junior scientists, fostering a collaborative and high\-performing team culture.
* Stay up\-to\-date with advancements and the latest modeling techniques in the field
About the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\#GenAI**BASIC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Deep curiosity, and basic knowledge on Gen AI
* Deep curiosity, and basic knowledge on Gen AI
**PREFERRED QUALIFICATIONS**
----------------------------
* Experience with modeling tools such as R, scikit\-learn, Spark MLLib, MxNet, Tensorflow, numpy, scipy etc.
* Experience with large scale distributed systems such as Hadoop, Spark etc.
* Previous work on agents or LLMs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WA, Seattle \- 167,100\.00 \- 226,100\.00 USD annually</t>
        </is>
      </c>
    </row>
    <row r="50">
      <c r="A50" t="inlineStr">
        <is>
          <t>in-fbdb9ff442738437</t>
        </is>
      </c>
      <c r="B50" t="inlineStr">
        <is>
          <t>Senior Applied Scientist, Sponsored Products and Brands</t>
        </is>
      </c>
      <c r="C50" t="inlineStr">
        <is>
          <t>Amazon.com</t>
        </is>
      </c>
      <c r="D50" t="inlineStr">
        <is>
          <t>indeed</t>
        </is>
      </c>
      <c r="E50" t="inlineStr"/>
      <c r="F50" t="inlineStr"/>
      <c r="G50" t="inlineStr">
        <is>
          <t>Seattle, WA, US</t>
        </is>
      </c>
      <c r="H50" s="2" t="n">
        <v>45979</v>
      </c>
      <c r="I50" t="inlineStr">
        <is>
          <t>**DESCRIPTION**
---------------
The Sponsored Products and Brands team at Amazon Ads is re\-imagining the advertising landscape through novel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Key job responsibilities  
As an applied scientist on our team, you will  
* Develop AI solutions for Sponsored Brands advertiser and shopper experiences. Build recommendation systems that leverage generative models to develop and improve campaigns.
* You invent and design new solutions for scientifically\-complex problem areas and/or opportunities in new business initiatives.
* You drive or heavily influence the design of scientifically\-complex software solutions or systems, for which you personally write significant parts of the critical scientific novelty. You take ownership of these components, providing a system\-wide view and design guidance. These systems or solutions can be brand new or evolve from existing ones.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Work closely with engineers and product managers to design, implement and launch AI solutions end\-to\-end;
* Design and conduct A/B experiments to evaluate proposed solutions based on in\-depth data analyses;
* Think big about the arc of development of Gen AI over a multi\-year horizon, and identify new opportunities to apply these technologies to solve real\-world problems
* Effectively communicate technical and non\-technical ideas with teammates and stakeholders;
* Translate complex scientific challenges into clear and impactful solutions for business stakeholders.
* Mentor and guide junior scientists, fostering a collaborative and high\-performing team culture.
* Stay up\-to\-date with advancements and the latest modeling techniques in the field
About the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\#GenAI**BASIC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Deep curiosity, and basic knowledge on Gen AI
* Deep curiosity, and basic knowledge on Gen AI
**PREFERRED QUALIFICATIONS**
----------------------------
* Experience with modeling tools such as R, scikit\-learn, Spark MLLib, MxNet, Tensorflow, numpy, scipy etc.
* Experience with large scale distributed systems such as Hadoop, Spark etc.
* Previous work on agents or LLMs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WA, Seattle \- 167,100\.00 \- 226,100\.00 USD annually</t>
        </is>
      </c>
    </row>
    <row r="51">
      <c r="A51" t="inlineStr">
        <is>
          <t>in-5b4780b20cd6abb5</t>
        </is>
      </c>
      <c r="B51" t="inlineStr">
        <is>
          <t>Principal Applied Scientist, Amazon AGI</t>
        </is>
      </c>
      <c r="C51" t="inlineStr">
        <is>
          <t>Amazon.com</t>
        </is>
      </c>
      <c r="D51" t="inlineStr">
        <is>
          <t>indeed</t>
        </is>
      </c>
      <c r="E51" t="inlineStr"/>
      <c r="F51" t="inlineStr"/>
      <c r="G51" t="inlineStr">
        <is>
          <t>San Francisco, CA, US</t>
        </is>
      </c>
      <c r="H51" s="2" t="n">
        <v>45964</v>
      </c>
      <c r="I51" t="inlineStr">
        <is>
          <t>**DESCRIPTION**
---------------
The Artificial General Intelligence (AGI) team is looking for a passionate, talented, and inventive Principal Applied Scientist with a strong deep learning and generative AI background, to focus on the development of software development skills of Nova foundational models.  
As a Principal Applied Scientist,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Key job responsibilities  
You will be responsible for defining key research directions, adopting or inventing new machine learning techniques, conducting rigorous experiments, publishing results,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strong and with a passion for building scalable science and engineering solutions. You will serve as a key scientific resource in full\-cycle development (conception, design, implementation, testing to documentation, delivery, and maintenance).
**BASIC QUALIFICATIONS**
------------------------
* 5\+ years of hands\-on work in predictive modeling and analysis experience
* PhD in Electrical Engineering, Computer Science, Mathematics, or a related technical field
* Experience working in predictive modeling and analysis
* Experience distilling informal customer requirements into problem definitions, dealing with ambiguity and competing objectives
* Experience programming in Java, C\+\+, Python or related language
* Experience with leading experienced scientists as well as having a record of developing junior members from academia or industry to a career track in a business environment
**PREFERRED QUALIFICATIONS**
----------------------------
* 10\+ years of relevant work in industry or academia experience
* Knowledge of problem solving, algorithm design and complexity analysis
* Experience creating novel algorithms and advancing the state of the art
* Have peer\-reviewed scientific contributions in premier journals and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2">
      <c r="A52" t="inlineStr">
        <is>
          <t>in-484e6fcc249fc1c8</t>
        </is>
      </c>
      <c r="B52" t="inlineStr">
        <is>
          <t>Principal Applied Scientist, Amazon AGI</t>
        </is>
      </c>
      <c r="C52" t="inlineStr">
        <is>
          <t>Amazon.com</t>
        </is>
      </c>
      <c r="D52" t="inlineStr">
        <is>
          <t>indeed</t>
        </is>
      </c>
      <c r="E52" t="inlineStr"/>
      <c r="F52" t="inlineStr"/>
      <c r="G52" t="inlineStr">
        <is>
          <t>Boston, MA, US</t>
        </is>
      </c>
      <c r="H52" s="2" t="n">
        <v>45964</v>
      </c>
      <c r="I52" t="inlineStr">
        <is>
          <t>**DESCRIPTION**
---------------
The Artificial General Intelligence (AGI) team is looking for a passionate, talented, and inventive Principal Applied Scientist with a strong deep learning and generative AI background, to focus on the development of software development skills of Nova foundational models.  
As a Principal Applied Scientist,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Key job responsibilities  
You will be responsible for defining key research directions, adopting or inventing new machine learning techniques, conducting rigorous experiments, publishing results,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strong and with a passion for building scalable science and engineering solutions. You will serve as a key scientific resource in full\-cycle development (conception, design, implementation, testing to documentation, delivery, and maintenance).
**BASIC QUALIFICATIONS**
------------------------
* 5\+ years of hands\-on work in predictive modeling and analysis experience
* PhD in Electrical Engineering, Computer Science, Mathematics, or a related technical field
* Experience working in predictive modeling and analysis
* Experience distilling informal customer requirements into problem definitions, dealing with ambiguity and competing objectives
* Experience programming in Java, C\+\+, Python or related language
* Experience with leading experienced scientists as well as having a record of developing junior members from academia or industry to a career track in a business environment
**PREFERRED QUALIFICATIONS**
----------------------------
* 10\+ years of relevant work in industry or academia experience
* Knowledge of problem solving, algorithm design and complexity analysis
* Experience creating novel algorithms and advancing the state of the art
* Have peer\-reviewed scientific contributions in premier journals and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3">
      <c r="A53" t="inlineStr">
        <is>
          <t>in-82c66b8e1b2581af</t>
        </is>
      </c>
      <c r="B53" t="inlineStr">
        <is>
          <t>Applied Scientist, AWS Agentic AI</t>
        </is>
      </c>
      <c r="C53" t="inlineStr">
        <is>
          <t>Amazon Web Services</t>
        </is>
      </c>
      <c r="D53" t="inlineStr">
        <is>
          <t>indeed</t>
        </is>
      </c>
      <c r="E53" t="inlineStr"/>
      <c r="F53" t="inlineStr"/>
      <c r="G53" t="inlineStr">
        <is>
          <t>New York, NY, US</t>
        </is>
      </c>
      <c r="H53" s="2" t="n">
        <v>45962</v>
      </c>
      <c r="I53"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4">
      <c r="A54" t="inlineStr">
        <is>
          <t>in-ef1948d263d638ec</t>
        </is>
      </c>
      <c r="B54" t="inlineStr">
        <is>
          <t>Applied Scientist, AWS Agentic AI</t>
        </is>
      </c>
      <c r="C54" t="inlineStr">
        <is>
          <t>Amazon Web Services</t>
        </is>
      </c>
      <c r="D54" t="inlineStr">
        <is>
          <t>indeed</t>
        </is>
      </c>
      <c r="E54" t="inlineStr"/>
      <c r="F54" t="inlineStr"/>
      <c r="G54" t="inlineStr">
        <is>
          <t>Seattle, WA, US</t>
        </is>
      </c>
      <c r="H54" s="2" t="n">
        <v>45962</v>
      </c>
      <c r="I54"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5">
      <c r="A55" t="inlineStr">
        <is>
          <t>in-e54ab16c4e16112a</t>
        </is>
      </c>
      <c r="B55" t="inlineStr">
        <is>
          <t>Applied Scientist, AWS Agentic AI</t>
        </is>
      </c>
      <c r="C55" t="inlineStr">
        <is>
          <t>Amazon Web Services</t>
        </is>
      </c>
      <c r="D55" t="inlineStr">
        <is>
          <t>indeed</t>
        </is>
      </c>
      <c r="E55" t="inlineStr"/>
      <c r="F55" t="inlineStr"/>
      <c r="G55" t="inlineStr">
        <is>
          <t>Santa Clara, CA, US</t>
        </is>
      </c>
      <c r="H55" s="2" t="n">
        <v>45962</v>
      </c>
      <c r="I55"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6">
      <c r="A56" t="inlineStr">
        <is>
          <t>in-6ccb9fffe7bbd0ad</t>
        </is>
      </c>
      <c r="B56" t="inlineStr">
        <is>
          <t>Applied Scientist, Prime Video - Content Understanding, Localization &amp; Enrichment Team</t>
        </is>
      </c>
      <c r="C56" t="inlineStr">
        <is>
          <t>Amazon.com</t>
        </is>
      </c>
      <c r="D56" t="inlineStr">
        <is>
          <t>indeed</t>
        </is>
      </c>
      <c r="E56" t="inlineStr"/>
      <c r="F56" t="inlineStr"/>
      <c r="G56" t="inlineStr">
        <is>
          <t>Seattle, WA, US</t>
        </is>
      </c>
      <c r="H56" s="2" t="n">
        <v>45943</v>
      </c>
      <c r="I5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subscriptions such as Apple TV\+, HBO Max, Peacock,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team member,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We are looking for passionate, hard\-working, and talented individuals to help us push the envelope of content localization. We work on a broad array of research areas and applications, including but not limited to multimodal machine translation, speech synthesis, speech analysis, and asset quality assessment. Candidates should be prepared to help drive innovation in one or more areas of machine learning, audio processing, and natural language understanding.  
The ideal candidate would have experience in audio processing, natural language understanding and machine learning. Familiarity with machine translation, foundational models, and speech synthesis will be a plus. As an Applied Scientist, you should be a strong communicator, able to describe scientifically rigorous work to business stakeholders of varying levels of technical sophistication. You will closely partner with the solution development teams, and should be intensely curious about how the research is moving the needle for business. Strong inter\-personal and mentoring skills to develop applied science talent in the team is another important requirement.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\- 171,600\.00 \- 222,200\.00 USD annually  
USA, WA, Seattle \- 142,800\.00 \- 193,200\.00 USD annually</t>
        </is>
      </c>
    </row>
    <row r="57">
      <c r="A57" t="inlineStr">
        <is>
          <t>in-cf186ac043c8739c</t>
        </is>
      </c>
      <c r="B57" t="inlineStr">
        <is>
          <t>Applied Scientist, Prime Video - Content Understanding, Localization &amp; Enrichment Team</t>
        </is>
      </c>
      <c r="C57" t="inlineStr">
        <is>
          <t>Amazon.com</t>
        </is>
      </c>
      <c r="D57" t="inlineStr">
        <is>
          <t>indeed</t>
        </is>
      </c>
      <c r="E57" t="inlineStr"/>
      <c r="F57" t="inlineStr"/>
      <c r="G57" t="inlineStr">
        <is>
          <t>San Francisco, CA, US</t>
        </is>
      </c>
      <c r="H57" s="2" t="n">
        <v>45943</v>
      </c>
      <c r="I5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subscriptions such as Apple TV\+, HBO Max, Peacock,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team member,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We are looking for passionate, hard\-working, and talented individuals to help us push the envelope of content localization. We work on a broad array of research areas and applications, including but not limited to multimodal machine translation, speech synthesis, speech analysis, and asset quality assessment. Candidates should be prepared to help drive innovation in one or more areas of machine learning, audio processing, and natural language understanding.  
The ideal candidate would have experience in audio processing, natural language understanding and machine learning. Familiarity with machine translation, foundational models, and speech synthesis will be a plus. As an Applied Scientist, you should be a strong communicator, able to describe scientifically rigorous work to business stakeholders of varying levels of technical sophistication. You will closely partner with the solution development teams, and should be intensely curious about how the research is moving the needle for business. Strong inter\-personal and mentoring skills to develop applied science talent in the team is another important requirement.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\- 171,600\.00 \- 222,200\.00 USD annually  
USA, WA, Seattle \- 142,800\.00 \- 193,200\.00 USD annually</t>
        </is>
      </c>
    </row>
    <row r="58">
      <c r="A58" t="inlineStr">
        <is>
          <t>in-b7b1ad66069c87ca</t>
        </is>
      </c>
      <c r="B58" t="inlineStr">
        <is>
          <t>Principal Applied Scientist, Advertiser Growth, Amazon Sponsored Products &amp; Brands</t>
        </is>
      </c>
      <c r="C58" t="inlineStr">
        <is>
          <t>Amazon.com</t>
        </is>
      </c>
      <c r="D58" t="inlineStr">
        <is>
          <t>indeed</t>
        </is>
      </c>
      <c r="E58" t="inlineStr"/>
      <c r="F58" t="inlineStr"/>
      <c r="G58" t="inlineStr">
        <is>
          <t>Seattle, WA, US</t>
        </is>
      </c>
      <c r="H58" s="2" t="n">
        <v>45942</v>
      </c>
      <c r="I58"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9">
      <c r="A59" t="inlineStr">
        <is>
          <t>in-38db6093838f4cc5</t>
        </is>
      </c>
      <c r="B59" t="inlineStr">
        <is>
          <t>Principal Applied Scientist, Advertiser Growth, Amazon Sponsored Products &amp; Brands</t>
        </is>
      </c>
      <c r="C59" t="inlineStr">
        <is>
          <t>Amazon.com</t>
        </is>
      </c>
      <c r="D59" t="inlineStr">
        <is>
          <t>indeed</t>
        </is>
      </c>
      <c r="E59" t="inlineStr"/>
      <c r="F59" t="inlineStr"/>
      <c r="G59" t="inlineStr">
        <is>
          <t>New York, NY, US</t>
        </is>
      </c>
      <c r="H59" s="2" t="n">
        <v>45942</v>
      </c>
      <c r="I59"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0">
      <c r="A60" t="inlineStr">
        <is>
          <t>in-e2b1bfc3e7e4d819</t>
        </is>
      </c>
      <c r="B60" t="inlineStr">
        <is>
          <t>Principal Applied Scientist, Advertiser Growth, Amazon Sponsored Products &amp; Brands</t>
        </is>
      </c>
      <c r="C60" t="inlineStr">
        <is>
          <t>Amazon.com</t>
        </is>
      </c>
      <c r="D60" t="inlineStr">
        <is>
          <t>indeed</t>
        </is>
      </c>
      <c r="E60" t="inlineStr"/>
      <c r="F60" t="inlineStr"/>
      <c r="G60" t="inlineStr">
        <is>
          <t>Palo Alto, CA, US</t>
        </is>
      </c>
      <c r="H60" s="2" t="n">
        <v>45942</v>
      </c>
      <c r="I60"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1">
      <c r="A61" t="inlineStr">
        <is>
          <t>in-9125dd3e1b57a4cf</t>
        </is>
      </c>
      <c r="B61" t="inlineStr">
        <is>
          <t>Sr. Applied Scientist, SPB Advertiser Guidance</t>
        </is>
      </c>
      <c r="C61" t="inlineStr">
        <is>
          <t>Amazon.com</t>
        </is>
      </c>
      <c r="D61" t="inlineStr">
        <is>
          <t>indeed</t>
        </is>
      </c>
      <c r="E61" t="inlineStr"/>
      <c r="F61" t="inlineStr"/>
      <c r="G61" t="inlineStr">
        <is>
          <t>Seattle, WA, US</t>
        </is>
      </c>
      <c r="H61" s="2" t="n">
        <v>45939</v>
      </c>
      <c r="I61"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Lead business, science and engineering strategy and roadmap for Sponsored Products Agentic Advertiser Guidance.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2">
      <c r="A62" t="inlineStr">
        <is>
          <t>in-fbba26e00bbedfb0</t>
        </is>
      </c>
      <c r="B62" t="inlineStr">
        <is>
          <t>Applied Scientist</t>
        </is>
      </c>
      <c r="C62" t="inlineStr">
        <is>
          <t>Amazon.com</t>
        </is>
      </c>
      <c r="D62" t="inlineStr">
        <is>
          <t>indeed</t>
        </is>
      </c>
      <c r="E62" t="inlineStr"/>
      <c r="F62" t="inlineStr"/>
      <c r="G62" t="inlineStr">
        <is>
          <t>Seattle, WA, US</t>
        </is>
      </c>
      <c r="H62" s="2" t="n">
        <v>45939</v>
      </c>
      <c r="I62"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3">
      <c r="A63" t="inlineStr">
        <is>
          <t>in-b9f380b00ac46d7b</t>
        </is>
      </c>
      <c r="B63" t="inlineStr">
        <is>
          <t>Applied Scientist</t>
        </is>
      </c>
      <c r="C63" t="inlineStr">
        <is>
          <t>Amazon.com</t>
        </is>
      </c>
      <c r="D63" t="inlineStr">
        <is>
          <t>indeed</t>
        </is>
      </c>
      <c r="E63" t="inlineStr"/>
      <c r="F63" t="inlineStr"/>
      <c r="G63" t="inlineStr">
        <is>
          <t>New York, NY, US</t>
        </is>
      </c>
      <c r="H63" s="2" t="n">
        <v>45939</v>
      </c>
      <c r="I63"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4">
      <c r="A64" t="inlineStr">
        <is>
          <t>in-5cfa863a93bad5c7</t>
        </is>
      </c>
      <c r="B64" t="inlineStr">
        <is>
          <t>Sr. Applied Scientist, SPB Advertiser Guidance</t>
        </is>
      </c>
      <c r="C64" t="inlineStr">
        <is>
          <t>Amazon.com</t>
        </is>
      </c>
      <c r="D64" t="inlineStr">
        <is>
          <t>indeed</t>
        </is>
      </c>
      <c r="E64" t="inlineStr"/>
      <c r="F64" t="inlineStr"/>
      <c r="G64" t="inlineStr">
        <is>
          <t>Palo Alto, CA, US</t>
        </is>
      </c>
      <c r="H64" s="2" t="n">
        <v>45939</v>
      </c>
      <c r="I64"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Lead business, science and engineering strategy and roadmap for Sponsored Products Agentic Advertiser Guidance.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5">
      <c r="A65" t="inlineStr">
        <is>
          <t>in-61c98751d08c2e29</t>
        </is>
      </c>
      <c r="B65" t="inlineStr">
        <is>
          <t>Sr. Applied Scientist, SPB Advertiser Guidance</t>
        </is>
      </c>
      <c r="C65" t="inlineStr">
        <is>
          <t>Amazon.com</t>
        </is>
      </c>
      <c r="D65" t="inlineStr">
        <is>
          <t>indeed</t>
        </is>
      </c>
      <c r="E65" t="inlineStr"/>
      <c r="F65" t="inlineStr"/>
      <c r="G65" t="inlineStr">
        <is>
          <t>New York, NY, US</t>
        </is>
      </c>
      <c r="H65" s="2" t="n">
        <v>45939</v>
      </c>
      <c r="I65"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Lead business, science and engineering strategy and roadmap for Sponsored Products Agentic Advertiser Guidance.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6">
      <c r="A66" t="inlineStr">
        <is>
          <t>in-17c1b13a9cedecb9</t>
        </is>
      </c>
      <c r="B66" t="inlineStr">
        <is>
          <t>Applied Scientist</t>
        </is>
      </c>
      <c r="C66" t="inlineStr">
        <is>
          <t>Amazon.com</t>
        </is>
      </c>
      <c r="D66" t="inlineStr">
        <is>
          <t>indeed</t>
        </is>
      </c>
      <c r="E66" t="inlineStr"/>
      <c r="F66" t="inlineStr"/>
      <c r="G66" t="inlineStr">
        <is>
          <t>Palo Alto, CA, US</t>
        </is>
      </c>
      <c r="H66" s="2" t="n">
        <v>45939</v>
      </c>
      <c r="I66"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7">
      <c r="A67" t="inlineStr">
        <is>
          <t>in-66966565f32d7a19</t>
        </is>
      </c>
      <c r="B67" t="inlineStr">
        <is>
          <t>Applied Scientist, Workplace Health &amp; Safety</t>
        </is>
      </c>
      <c r="C67" t="inlineStr">
        <is>
          <t>Amazon.com</t>
        </is>
      </c>
      <c r="D67" t="inlineStr">
        <is>
          <t>indeed</t>
        </is>
      </c>
      <c r="E67" t="inlineStr"/>
      <c r="F67" t="inlineStr"/>
      <c r="G67" t="inlineStr">
        <is>
          <t>Bellevue, WA, US</t>
        </is>
      </c>
      <c r="H67" s="2" t="n">
        <v>45917</v>
      </c>
      <c r="I67" t="inlineStr">
        <is>
          <t>**DESCRIPTION**
---------------
Are you driven by the challenge of solving complex problems that directly impact the safety and well\-being of millions of Amazon Associates worldwide? Do you want to push the boundaries of AI to build innovative solutions that make workplaces safer and more efficient? If so, we invite you to join our WHS DataTech team as an Applied Scientist and take your career to the next level!  
At WHS DataTech, we leverage Large Language Models (LLMs), Computer Vision, and AI\-driven innovations to develop industry\-leading solutions that proactively enhance workplace safety. Our work spans real\-time risk assessment, predictive analytics, and AI\-powered insights, all aimed at creating a safer work environment at scale.  
As an Applied Scientist specializing in LLMs and Computer Vision, you will play a pivotal role in shaping our next\-generation safety solutions. You’ll be at the forefront of innovation, designing and implementing AI\-powered features that redefine workplace safety. Your work will drive strategic decisions, optimize system architecture, and influence best practices, ensuring our technology remains industry\-leading.  
Key job responsibilities  
* Apply LLM model to analyze complex unstructured datasets and extract meaningful insights.
* Collaborate with software engineers to implement and deploy machine learning (LLM or CV) solutions.
* Conduct experiments and evaluate model performance, iterating and improving as needed.
* Stay up\-to\-date with the latest advancements in machine learning and related fields.
* Collaborate with cross\-functional teams to understand business needs and identify areas for application of machine learning.
* Present findings and recommendations to stakeholders and contribute to the overall research and development strategy.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WHS DataTech is a multidisciplinary team of scientists and engineers dedicated to building AI\-powered solutions that improve workplace safety across Amazon. We work at the intersection of large\-scale data, advanced machine learning, and computer vision, delivering innovations that enhance decision\-making, streamline operations, and protect millions of associates worldwide. Our collaborative culture emphasizes scientific rigor, engineering excellence, and a strong mission focus on creating safer, more efficient workplaces.**BASIC QUALIFICATIONS**
------------------------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 PhD degree in Computer Science or Computer engineering
* A formal PhD degree in Computer Science or Computer engineering or can be replaced by 5 years of relevant experience on top of a MSc, and 7 years on top of a BSc.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8">
      <c r="A68" t="inlineStr">
        <is>
          <t>in-3e0f58e1a977f09c</t>
        </is>
      </c>
      <c r="B68" t="inlineStr">
        <is>
          <t>Applied Scientist, Workplace Health &amp; Safety</t>
        </is>
      </c>
      <c r="C68" t="inlineStr">
        <is>
          <t>Amazon.com</t>
        </is>
      </c>
      <c r="D68" t="inlineStr">
        <is>
          <t>indeed</t>
        </is>
      </c>
      <c r="E68" t="inlineStr"/>
      <c r="F68" t="inlineStr"/>
      <c r="G68" t="inlineStr">
        <is>
          <t>Nashville, TN, US</t>
        </is>
      </c>
      <c r="H68" s="2" t="n">
        <v>45917</v>
      </c>
      <c r="I68" t="inlineStr">
        <is>
          <t>**DESCRIPTION**
---------------
Are you driven by the challenge of solving complex problems that directly impact the safety and well\-being of millions of Amazon Associates worldwide? Do you want to push the boundaries of AI to build innovative solutions that make workplaces safer and more efficient? If so, we invite you to join our WHS DataTech team as an Applied Scientist and take your career to the next level!  
At WHS DataTech, we leverage Large Language Models (LLMs), Computer Vision, and AI\-driven innovations to develop industry\-leading solutions that proactively enhance workplace safety. Our work spans real\-time risk assessment, predictive analytics, and AI\-powered insights, all aimed at creating a safer work environment at scale.  
As an Applied Scientist specializing in LLMs and Computer Vision, you will play a pivotal role in shaping our next\-generation safety solutions. You’ll be at the forefront of innovation, designing and implementing AI\-powered features that redefine workplace safety. Your work will drive strategic decisions, optimize system architecture, and influence best practices, ensuring our technology remains industry\-leading.  
Key job responsibilities  
* Apply LLM model to analyze complex unstructured datasets and extract meaningful insights.
* Collaborate with software engineers to implement and deploy machine learning (LLM or CV) solutions.
* Conduct experiments and evaluate model performance, iterating and improving as needed.
* Stay up\-to\-date with the latest advancements in machine learning and related fields.
* Collaborate with cross\-functional teams to understand business needs and identify areas for application of machine learning.
* Present findings and recommendations to stakeholders and contribute to the overall research and development strategy.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WHS DataTech is a multidisciplinary team of scientists and engineers dedicated to building AI\-powered solutions that improve workplace safety across Amazon. We work at the intersection of large\-scale data, advanced machine learning, and computer vision, delivering innovations that enhance decision\-making, streamline operations, and protect millions of associates worldwide. Our collaborative culture emphasizes scientific rigor, engineering excellence, and a strong mission focus on creating safer, more efficient workplaces.**BASIC QUALIFICATIONS**
------------------------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 PhD degree in Computer Science or Computer engineering
* A formal PhD degree in Computer Science or Computer engineering or can be replaced by 5 years of relevant experience on top of a MSc, and 7 years on top of a BSc.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9">
      <c r="A69" t="inlineStr">
        <is>
          <t>in-b36f8aa9abc8a881</t>
        </is>
      </c>
      <c r="B69" t="inlineStr">
        <is>
          <t>Applied Scientist II, Creative X - RAPID</t>
        </is>
      </c>
      <c r="C69" t="inlineStr">
        <is>
          <t>Amazon.com</t>
        </is>
      </c>
      <c r="D69" t="inlineStr">
        <is>
          <t>indeed</t>
        </is>
      </c>
      <c r="E69" t="inlineStr"/>
      <c r="F69" t="inlineStr"/>
      <c r="G69" t="inlineStr">
        <is>
          <t>New York, NY, US</t>
        </is>
      </c>
      <c r="H69" s="2" t="n">
        <v>45908</v>
      </c>
      <c r="I69" t="inlineStr">
        <is>
          <t>**DESCRIPTION**
---------------
About Amazon Advertising:  
Amazon Advertising operates at the intersection of eCommerce and advertising, offering a rich array of digital display advertising solutions with the goal of helping our customers find and discover anything they want to buy. We help advertisers of all types to reach Amazon customers on Amazon.com, across our other owned and operated sites, on other high quality sites across the web, and on millions of mobile devices. We start with the customer and work backwards in everything we do, including advertising. If you’re interested in joining a rapidly growing team working to build a unique, world\-class advertising group with a relentless focus on the customer, you’ve come to the right place.  
About our team:  
Our team, CreativeX optimizations, is responsible for tailoring the visual experience of ads to each context in real time. To accomplish this, we are investing in latent\-diffusion models, large language models (LLM), reinforced learning (RL), Computer Vision, and related methods.  
Key job responsibilities  
We are looking for talented Applied Scientists who are adept at a variety of skills, especially with reinforcement learning and recommendations, and familiarity with LLMs, latent diffusion, or related foundational models that will accelerate our plans to dynamically optimize ad creatives on behalf of advertisers. Every member of the team is expected to build customer (advertiser) facing features, contribute to the collaborative spirit within the team, publish, patent, and bring state\-of\-the\-art research to raise the bar within the team.
**BASIC QUALIFICATIONS**
------------------------
* PhD, or Master's degree and 3\+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 Experience building machine learning models or developing algorithms for business application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70">
      <c r="A70" t="inlineStr">
        <is>
          <t>in-f03159ac341c04bd</t>
        </is>
      </c>
      <c r="B70" t="inlineStr">
        <is>
          <t>Applied Scientist II, Creative X - RAPID</t>
        </is>
      </c>
      <c r="C70" t="inlineStr">
        <is>
          <t>Amazon.com</t>
        </is>
      </c>
      <c r="D70" t="inlineStr">
        <is>
          <t>indeed</t>
        </is>
      </c>
      <c r="E70" t="inlineStr"/>
      <c r="F70" t="inlineStr"/>
      <c r="G70" t="inlineStr">
        <is>
          <t>Seattle, WA, US</t>
        </is>
      </c>
      <c r="H70" s="2" t="n">
        <v>45908</v>
      </c>
      <c r="I70" t="inlineStr">
        <is>
          <t>**DESCRIPTION**
---------------
About Amazon Advertising:  
Amazon Advertising operates at the intersection of eCommerce and advertising, offering a rich array of digital display advertising solutions with the goal of helping our customers find and discover anything they want to buy. We help advertisers of all types to reach Amazon customers on Amazon.com, across our other owned and operated sites, on other high quality sites across the web, and on millions of mobile devices. We start with the customer and work backwards in everything we do, including advertising. If you’re interested in joining a rapidly growing team working to build a unique, world\-class advertising group with a relentless focus on the customer, you’ve come to the right place.  
About our team:  
Our team, CreativeX optimizations, is responsible for tailoring the visual experience of ads to each context in real time. To accomplish this, we are investing in latent\-diffusion models, large language models (LLM), reinforced learning (RL), Computer Vision, and related methods.  
Key job responsibilities  
We are looking for talented Applied Scientists who are adept at a variety of skills, especially with reinforcement learning and recommendations, and familiarity with LLMs, latent diffusion, or related foundational models that will accelerate our plans to dynamically optimize ad creatives on behalf of advertisers. Every member of the team is expected to build customer (advertiser) facing features, contribute to the collaborative spirit within the team, publish, patent, and bring state\-of\-the\-art research to raise the bar within the team.
**BASIC QUALIFICATIONS**
------------------------
* PhD, or Master's degree and 3\+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 Experience building machine learning models or developing algorithms for business application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71">
      <c r="A71" t="inlineStr">
        <is>
          <t>in-e358e94ab9c62ba1</t>
        </is>
      </c>
      <c r="B71" t="inlineStr">
        <is>
          <t>Applied Scientist II, Prime Video , Personalization and Discovery Science</t>
        </is>
      </c>
      <c r="C71" t="inlineStr">
        <is>
          <t>Amazon.com</t>
        </is>
      </c>
      <c r="D71" t="inlineStr">
        <is>
          <t>indeed</t>
        </is>
      </c>
      <c r="E71" t="inlineStr"/>
      <c r="F71" t="inlineStr"/>
      <c r="G71" t="inlineStr">
        <is>
          <t>New York, NY, US</t>
        </is>
      </c>
      <c r="H71" s="2" t="n">
        <v>45886</v>
      </c>
      <c r="I7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City \- 172,400\.00 \- 223,400\.00 USD annually  
USA, OR, Corvallis \- 142,800\.00 \- 193,200\.00 USD annually  
USA, WA, SEATTLE \- 142,800\.00 \- 193,200\.00 USD annually  
USA, WA, Seattle \- 142,800\.00 \- 193,200\.00 USD annually</t>
        </is>
      </c>
    </row>
    <row r="72">
      <c r="A72" t="inlineStr">
        <is>
          <t>in-81f5c25efe4a12eb</t>
        </is>
      </c>
      <c r="B72" t="inlineStr">
        <is>
          <t>Applied Scientist II, Prime Video , Personalization and Discovery Science</t>
        </is>
      </c>
      <c r="C72" t="inlineStr">
        <is>
          <t>Amazon.com</t>
        </is>
      </c>
      <c r="D72" t="inlineStr">
        <is>
          <t>indeed</t>
        </is>
      </c>
      <c r="E72" t="inlineStr"/>
      <c r="F72" t="inlineStr"/>
      <c r="G72" t="inlineStr">
        <is>
          <t>Sunnyvale, CA, US</t>
        </is>
      </c>
      <c r="H72" s="2" t="n">
        <v>45886</v>
      </c>
      <c r="I7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City \- 172,400\.00 \- 223,400\.00 USD annually  
USA, OR, Corvallis \- 142,800\.00 \- 193,200\.00 USD annually  
USA, WA, SEATTLE \- 142,800\.00 \- 193,200\.00 USD annually  
USA, WA, Seattle \- 142,800\.00 \- 193,200\.00 USD annually</t>
        </is>
      </c>
    </row>
    <row r="73">
      <c r="A73" t="inlineStr">
        <is>
          <t>in-07d8ea5116142950</t>
        </is>
      </c>
      <c r="B73" t="inlineStr">
        <is>
          <t>Applied Scientist II, Prime Video , Personalization and Discovery Science</t>
        </is>
      </c>
      <c r="C73" t="inlineStr">
        <is>
          <t>Amazon.com</t>
        </is>
      </c>
      <c r="D73" t="inlineStr">
        <is>
          <t>indeed</t>
        </is>
      </c>
      <c r="E73" t="inlineStr"/>
      <c r="F73" t="inlineStr"/>
      <c r="G73" t="inlineStr">
        <is>
          <t>Seattle, WA, US</t>
        </is>
      </c>
      <c r="H73" s="2" t="n">
        <v>45886</v>
      </c>
      <c r="I7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City \- 172,400\.00 \- 223,400\.00 USD annually  
USA, OR, Corvallis \- 142,800\.00 \- 193,200\.00 USD annually  
USA, WA, SEATTLE \- 142,800\.00 \- 193,200\.00 USD annually  
USA, WA, Seattle \- 142,800\.00 \- 193,200\.00 USD annually</t>
        </is>
      </c>
    </row>
    <row r="74">
      <c r="A74" t="inlineStr">
        <is>
          <t>in-ff5b854ae404d69b</t>
        </is>
      </c>
      <c r="B74" t="inlineStr">
        <is>
          <t>Applied Scientist III, StoreGen</t>
        </is>
      </c>
      <c r="C74" t="inlineStr">
        <is>
          <t>Amazon.com</t>
        </is>
      </c>
      <c r="D74" t="inlineStr">
        <is>
          <t>indeed</t>
        </is>
      </c>
      <c r="E74" t="inlineStr"/>
      <c r="F74" t="inlineStr"/>
      <c r="G74" t="inlineStr">
        <is>
          <t>Seattle, WA, US</t>
        </is>
      </c>
      <c r="H74" s="2" t="n">
        <v>45868</v>
      </c>
      <c r="I74" t="inlineStr">
        <is>
          <t>**DESCRIPTION**
---------------
Join our Generative AI focus team to innovate Software Development at Amazon  
Are you ready to be part of a team that's redefining the future of software engineering? Our team is Amazon's ambitious initiative to pioneer AI development practices that will fundamentally transform how we build software at scale.  
Our Mission  
We’re building the next generation of development tools — uncovering how LLMs can originate new ways of thinking, building, and collaborating.  
What Makes Us Different  
* Ground\-floor opportunity to shape the future of software development
* Direct impact on Amazon's global engineering practices
* Working with the latest technologies and large language models
* Culture of experimentation and innovative thinking
What We’re Looking For  
You’ll lead the research, design, and development of AI technologies that challenge conventional software practices and uncover new ways for engineers to build and collaborate.  
You’re comfortable working in ambiguous spaces, exploring emergent behaviors, and collaborating with designers, prototypers, and engineers to test hypotheses in live, evolving systems.  
You explore where LLMs behave in unexpected yet promising ways, especially in tasks like context retention, code reasoning, or agent behavior , and use those moments to uncover new AI\-native workflows.  
We’re looking for applied scientists with experience in areas like:  
\+ Information retrieval  
\+ Context and memory modeling  
\+ Agent behavior and autonomy  
\+ Code understanding and generation  
\+ Human\-AI interaction  
What You'll Do  
* Prototype new ways of working with LLMs in engineering workflows
* Help shape and evaluate scientific approaches behind agentic systems and engineering tools
* Move fast with engineers and prototypers to guide design decisions and model choices
* Make sense of unexpected model behavior and guide what to try next
Impact  
Your work will surface where LLMs can meaningfully change how Amazon engineers build.  
You’ll help the team uncover which surprises are worth pursuing and where to push beyond what’s already known.  
Always find a way ️**BASIC QUALIFICATIONS**
------------------------
* 3\+ years of building machine learning models for business application experience
* PhD, or Master's degree and 6\+ years of applied research experience
* Experience in patents or publications at top\-tier peer\-reviewed conferences or journals
* Strong analytical, mathematical, and coding skills (e.g., Python, C\+\+, or Java)
* Previous work on agents or LLMs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5">
      <c r="A75" t="inlineStr">
        <is>
          <t>in-47b07346a271b9e9</t>
        </is>
      </c>
      <c r="B75" t="inlineStr">
        <is>
          <t>Applied Scientist III, StoreGen</t>
        </is>
      </c>
      <c r="C75" t="inlineStr">
        <is>
          <t>Amazon.com</t>
        </is>
      </c>
      <c r="D75" t="inlineStr">
        <is>
          <t>indeed</t>
        </is>
      </c>
      <c r="E75" t="inlineStr"/>
      <c r="F75" t="inlineStr"/>
      <c r="G75" t="inlineStr">
        <is>
          <t>Sunnyvale, CA, US</t>
        </is>
      </c>
      <c r="H75" s="2" t="n">
        <v>45868</v>
      </c>
      <c r="I75" t="inlineStr">
        <is>
          <t>**DESCRIPTION**
---------------
Join our Generative AI focus team to innovate Software Development at Amazon  
Are you ready to be part of a team that's redefining the future of software engineering? Our team is Amazon's ambitious initiative to pioneer AI development practices that will fundamentally transform how we build software at scale.  
Our Mission  
We’re building the next generation of development tools — uncovering how LLMs can originate new ways of thinking, building, and collaborating.  
What Makes Us Different  
* Ground\-floor opportunity to shape the future of software development
* Direct impact on Amazon's global engineering practices
* Working with the latest technologies and large language models
* Culture of experimentation and innovative thinking
What We’re Looking For  
You’ll lead the research, design, and development of AI technologies that challenge conventional software practices and uncover new ways for engineers to build and collaborate.  
You’re comfortable working in ambiguous spaces, exploring emergent behaviors, and collaborating with designers, prototypers, and engineers to test hypotheses in live, evolving systems.  
You explore where LLMs behave in unexpected yet promising ways, especially in tasks like context retention, code reasoning, or agent behavior , and use those moments to uncover new AI\-native workflows.  
We’re looking for applied scientists with experience in areas like:  
\+ Information retrieval  
\+ Context and memory modeling  
\+ Agent behavior and autonomy  
\+ Code understanding and generation  
\+ Human\-AI interaction  
What You'll Do  
* Prototype new ways of working with LLMs in engineering workflows
* Help shape and evaluate scientific approaches behind agentic systems and engineering tools
* Move fast with engineers and prototypers to guide design decisions and model choices
* Make sense of unexpected model behavior and guide what to try next
Impact  
Your work will surface where LLMs can meaningfully change how Amazon engineers build.  
You’ll help the team uncover which surprises are worth pursuing and where to push beyond what’s already known.  
Always find a way ️**BASIC QUALIFICATIONS**
------------------------
* 3\+ years of building machine learning models for business application experience
* PhD, or Master's degree and 6\+ years of applied research experience
* Experience in patents or publications at top\-tier peer\-reviewed conferences or journals
* Strong analytical, mathematical, and coding skills (e.g., Python, C\+\+, or Java)
* Previous work on agents or LLMs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6">
      <c r="A76" t="inlineStr">
        <is>
          <t>in-030de7be8c9c33e8</t>
        </is>
      </c>
      <c r="B76" t="inlineStr">
        <is>
          <t>Sr. Applied Scientist, Amazon Advertising</t>
        </is>
      </c>
      <c r="C76" t="inlineStr">
        <is>
          <t>Amazon.com</t>
        </is>
      </c>
      <c r="D76" t="inlineStr">
        <is>
          <t>indeed</t>
        </is>
      </c>
      <c r="E76" t="inlineStr"/>
      <c r="F76" t="inlineStr"/>
      <c r="G76" t="inlineStr">
        <is>
          <t>Palo Alto, CA, US</t>
        </is>
      </c>
      <c r="H76" s="2" t="n">
        <v>45851</v>
      </c>
      <c r="I76"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7">
      <c r="A77" t="inlineStr">
        <is>
          <t>in-8cf14450d58e429c</t>
        </is>
      </c>
      <c r="B77" t="inlineStr">
        <is>
          <t>Sr. Applied Scientist, Amazon Advertising</t>
        </is>
      </c>
      <c r="C77" t="inlineStr">
        <is>
          <t>Amazon.com</t>
        </is>
      </c>
      <c r="D77" t="inlineStr">
        <is>
          <t>indeed</t>
        </is>
      </c>
      <c r="E77" t="inlineStr"/>
      <c r="F77" t="inlineStr"/>
      <c r="G77" t="inlineStr">
        <is>
          <t>New York, NY, US</t>
        </is>
      </c>
      <c r="H77" s="2" t="n">
        <v>45851</v>
      </c>
      <c r="I77"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8">
      <c r="A78" t="inlineStr">
        <is>
          <t>in-c817a5466bc20de6</t>
        </is>
      </c>
      <c r="B78" t="inlineStr">
        <is>
          <t>Sr. Applied Scientist, Amazon Advertising</t>
        </is>
      </c>
      <c r="C78" t="inlineStr">
        <is>
          <t>Amazon.com</t>
        </is>
      </c>
      <c r="D78" t="inlineStr">
        <is>
          <t>indeed</t>
        </is>
      </c>
      <c r="E78" t="inlineStr"/>
      <c r="F78" t="inlineStr"/>
      <c r="G78" t="inlineStr">
        <is>
          <t>Arlington, VA, US</t>
        </is>
      </c>
      <c r="H78" s="2" t="n">
        <v>45851</v>
      </c>
      <c r="I78"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9">
      <c r="A79" t="inlineStr">
        <is>
          <t>in-9643af2b62bb1e58</t>
        </is>
      </c>
      <c r="B79" t="inlineStr">
        <is>
          <t>Sr. Applied Scientist, Amazon Advertising</t>
        </is>
      </c>
      <c r="C79" t="inlineStr">
        <is>
          <t>Amazon.com</t>
        </is>
      </c>
      <c r="D79" t="inlineStr">
        <is>
          <t>indeed</t>
        </is>
      </c>
      <c r="E79" t="inlineStr"/>
      <c r="F79" t="inlineStr"/>
      <c r="G79" t="inlineStr">
        <is>
          <t>Los Angeles, CA, US</t>
        </is>
      </c>
      <c r="H79" s="2" t="n">
        <v>45851</v>
      </c>
      <c r="I79"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0">
      <c r="A80" t="inlineStr">
        <is>
          <t>in-61a6b8f8aa6563e8</t>
        </is>
      </c>
      <c r="B80" t="inlineStr">
        <is>
          <t>Sr. Applied Scientist, Amazon Advertising</t>
        </is>
      </c>
      <c r="C80" t="inlineStr">
        <is>
          <t>Amazon.com</t>
        </is>
      </c>
      <c r="D80" t="inlineStr">
        <is>
          <t>indeed</t>
        </is>
      </c>
      <c r="E80" t="inlineStr"/>
      <c r="F80" t="inlineStr"/>
      <c r="G80" t="inlineStr">
        <is>
          <t>Simi Valley, CA, US</t>
        </is>
      </c>
      <c r="H80" s="2" t="n">
        <v>45851</v>
      </c>
      <c r="I80"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1">
      <c r="A81" t="inlineStr">
        <is>
          <t>in-4c86c0542df8e32c</t>
        </is>
      </c>
      <c r="B81" t="inlineStr">
        <is>
          <t>Sr. Applied Scientist, Amazon Advertising</t>
        </is>
      </c>
      <c r="C81" t="inlineStr">
        <is>
          <t>Amazon.com</t>
        </is>
      </c>
      <c r="D81" t="inlineStr">
        <is>
          <t>indeed</t>
        </is>
      </c>
      <c r="E81" t="inlineStr"/>
      <c r="F81" t="inlineStr"/>
      <c r="G81" t="inlineStr">
        <is>
          <t>Seattle, WA, US</t>
        </is>
      </c>
      <c r="H81" s="2" t="n">
        <v>45851</v>
      </c>
      <c r="I81"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2">
      <c r="A82" t="inlineStr">
        <is>
          <t>in-291020619f56163d</t>
        </is>
      </c>
      <c r="B82" t="inlineStr">
        <is>
          <t>Sr. Applied Scientist, Amazon Advertising</t>
        </is>
      </c>
      <c r="C82" t="inlineStr">
        <is>
          <t>Amazon.com</t>
        </is>
      </c>
      <c r="D82" t="inlineStr">
        <is>
          <t>indeed</t>
        </is>
      </c>
      <c r="E82" t="inlineStr"/>
      <c r="F82" t="inlineStr"/>
      <c r="G82" t="inlineStr">
        <is>
          <t>Austin, TX, US</t>
        </is>
      </c>
      <c r="H82" s="2" t="n">
        <v>45851</v>
      </c>
      <c r="I82"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3">
      <c r="A83" t="inlineStr">
        <is>
          <t>in-678b6375189d1bea</t>
        </is>
      </c>
      <c r="B83" t="inlineStr">
        <is>
          <t>Sr. Applied Scientist, Amazon Advertising</t>
        </is>
      </c>
      <c r="C83" t="inlineStr">
        <is>
          <t>Amazon.com</t>
        </is>
      </c>
      <c r="D83" t="inlineStr">
        <is>
          <t>indeed</t>
        </is>
      </c>
      <c r="E83" t="inlineStr"/>
      <c r="F83" t="inlineStr"/>
      <c r="G83" t="inlineStr">
        <is>
          <t>West Hollywood, CA, US</t>
        </is>
      </c>
      <c r="H83" s="2" t="n">
        <v>45851</v>
      </c>
      <c r="I83"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4">
      <c r="A84" t="inlineStr">
        <is>
          <t>in-f38f0a3d8f09680e</t>
        </is>
      </c>
      <c r="B84" t="inlineStr">
        <is>
          <t>Sr. Applied Scientist, Sales AI</t>
        </is>
      </c>
      <c r="C84" t="inlineStr">
        <is>
          <t>Amazon.com</t>
        </is>
      </c>
      <c r="D84" t="inlineStr">
        <is>
          <t>indeed</t>
        </is>
      </c>
      <c r="E84" t="inlineStr"/>
      <c r="F84" t="inlineStr"/>
      <c r="G84" t="inlineStr">
        <is>
          <t>New York, NY, US</t>
        </is>
      </c>
      <c r="H84" s="2" t="n">
        <v>45830</v>
      </c>
      <c r="I84"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5">
      <c r="A85" t="inlineStr">
        <is>
          <t>in-2ccc16ac19efc76c</t>
        </is>
      </c>
      <c r="B85" t="inlineStr">
        <is>
          <t>Sr. Applied Scientist, Sales AI</t>
        </is>
      </c>
      <c r="C85" t="inlineStr">
        <is>
          <t>Amazon.com</t>
        </is>
      </c>
      <c r="D85" t="inlineStr">
        <is>
          <t>indeed</t>
        </is>
      </c>
      <c r="E85" t="inlineStr"/>
      <c r="F85" t="inlineStr"/>
      <c r="G85" t="inlineStr">
        <is>
          <t>Seattle, WA, US</t>
        </is>
      </c>
      <c r="H85" s="2" t="n">
        <v>45830</v>
      </c>
      <c r="I85"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6">
      <c r="A86" t="inlineStr">
        <is>
          <t>in-5daabe3faaa60867</t>
        </is>
      </c>
      <c r="B86" t="inlineStr">
        <is>
          <t>Sr. Applied Scientist, Sales AI</t>
        </is>
      </c>
      <c r="C86" t="inlineStr">
        <is>
          <t>Amazon.com</t>
        </is>
      </c>
      <c r="D86" t="inlineStr">
        <is>
          <t>indeed</t>
        </is>
      </c>
      <c r="E86" t="inlineStr"/>
      <c r="F86" t="inlineStr"/>
      <c r="G86" t="inlineStr">
        <is>
          <t>Sunnyvale, CA, US</t>
        </is>
      </c>
      <c r="H86" s="2" t="n">
        <v>45830</v>
      </c>
      <c r="I86"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7">
      <c r="A87" t="inlineStr">
        <is>
          <t>in-f10e6a11c04811c8</t>
        </is>
      </c>
      <c r="B87" t="inlineStr">
        <is>
          <t>Principal Applied Scientist, Delivery Foundation Model</t>
        </is>
      </c>
      <c r="C87" t="inlineStr">
        <is>
          <t>Amazon.com</t>
        </is>
      </c>
      <c r="D87" t="inlineStr">
        <is>
          <t>indeed</t>
        </is>
      </c>
      <c r="E87" t="inlineStr"/>
      <c r="F87" t="inlineStr"/>
      <c r="G87" t="inlineStr">
        <is>
          <t>Austin, TX, US</t>
        </is>
      </c>
      <c r="H87" s="2" t="n">
        <v>45810</v>
      </c>
      <c r="I87"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8">
      <c r="A88" t="inlineStr">
        <is>
          <t>in-e11dff06898c8984</t>
        </is>
      </c>
      <c r="B88" t="inlineStr">
        <is>
          <t>Principal Applied Scientist, Delivery Foundation Model</t>
        </is>
      </c>
      <c r="C88" t="inlineStr">
        <is>
          <t>Amazon.com</t>
        </is>
      </c>
      <c r="D88" t="inlineStr">
        <is>
          <t>indeed</t>
        </is>
      </c>
      <c r="E88" t="inlineStr"/>
      <c r="F88" t="inlineStr"/>
      <c r="G88" t="inlineStr">
        <is>
          <t>New York, NY, US</t>
        </is>
      </c>
      <c r="H88" s="2" t="n">
        <v>45810</v>
      </c>
      <c r="I88"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9">
      <c r="A89" t="inlineStr">
        <is>
          <t>in-456c8b0335e941b6</t>
        </is>
      </c>
      <c r="B89" t="inlineStr">
        <is>
          <t>Principal Applied Scientist, Delivery Foundation Model</t>
        </is>
      </c>
      <c r="C89" t="inlineStr">
        <is>
          <t>Amazon.com</t>
        </is>
      </c>
      <c r="D89" t="inlineStr">
        <is>
          <t>indeed</t>
        </is>
      </c>
      <c r="E89" t="inlineStr"/>
      <c r="F89" t="inlineStr"/>
      <c r="G89" t="inlineStr">
        <is>
          <t>Santa Clara, CA, US</t>
        </is>
      </c>
      <c r="H89" s="2" t="n">
        <v>45810</v>
      </c>
      <c r="I89"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0">
      <c r="A90" t="inlineStr">
        <is>
          <t>in-18b5022d3104a2b1</t>
        </is>
      </c>
      <c r="B90" t="inlineStr">
        <is>
          <t>Principal Applied Scientist, Delivery Foundation Model</t>
        </is>
      </c>
      <c r="C90" t="inlineStr">
        <is>
          <t>Amazon.com</t>
        </is>
      </c>
      <c r="D90" t="inlineStr">
        <is>
          <t>indeed</t>
        </is>
      </c>
      <c r="E90" t="inlineStr"/>
      <c r="F90" t="inlineStr"/>
      <c r="G90" t="inlineStr">
        <is>
          <t>Bellevue, WA, US</t>
        </is>
      </c>
      <c r="H90" s="2" t="n">
        <v>45810</v>
      </c>
      <c r="I90"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1">
      <c r="A91" t="inlineStr">
        <is>
          <t>in-ae0046d86d4c7b1e</t>
        </is>
      </c>
      <c r="B91" t="inlineStr">
        <is>
          <t>Senior Applied Scientist, Delivery Foundation Model</t>
        </is>
      </c>
      <c r="C91" t="inlineStr">
        <is>
          <t>Amazon.com</t>
        </is>
      </c>
      <c r="D91" t="inlineStr">
        <is>
          <t>indeed</t>
        </is>
      </c>
      <c r="E91" t="inlineStr"/>
      <c r="F91" t="inlineStr"/>
      <c r="G91" t="inlineStr">
        <is>
          <t>Santa Clara, CA, US</t>
        </is>
      </c>
      <c r="H91" s="2" t="n">
        <v>45806</v>
      </c>
      <c r="I91"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Senior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in engineering, technology, computer science, machine learning, robotics, operations research, statistics, mathematics or equivalent quantitative field, or Master's degree and 10\+ years of industry or academic research experience
* 5\+ years of building machine learning models or developing algorithms for business application experience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Experience mentoring junior scientists / engineers.**PREFERRED QUALIFICATIONS**
----------------------------
* Experience building foundation models for industry or research
* Experience designing multi\-modal model architectures
\- Experience building models for motion prediction, e.g.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2">
      <c r="A92" t="inlineStr">
        <is>
          <t>in-eb20f56d8cd8cd3b</t>
        </is>
      </c>
      <c r="B92" t="inlineStr">
        <is>
          <t>Senior Applied Scientist, Delivery Foundation Model</t>
        </is>
      </c>
      <c r="C92" t="inlineStr">
        <is>
          <t>Amazon.com</t>
        </is>
      </c>
      <c r="D92" t="inlineStr">
        <is>
          <t>indeed</t>
        </is>
      </c>
      <c r="E92" t="inlineStr"/>
      <c r="F92" t="inlineStr"/>
      <c r="G92" t="inlineStr">
        <is>
          <t>New York, NY, US</t>
        </is>
      </c>
      <c r="H92" s="2" t="n">
        <v>45806</v>
      </c>
      <c r="I92"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Senior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in engineering, technology, computer science, machine learning, robotics, operations research, statistics, mathematics or equivalent quantitative field, or Master's degree and 10\+ years of industry or academic research experience
* 5\+ years of building machine learning models or developing algorithms for business application experience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Experience mentoring junior scientists / engineers.**PREFERRED QUALIFICATIONS**
----------------------------
* Experience building foundation models for industry or research
* Experience designing multi\-modal model architectures
\- Experience building models for motion prediction, e.g.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3">
      <c r="A93" t="inlineStr">
        <is>
          <t>in-c0a26f50deca860e</t>
        </is>
      </c>
      <c r="B93" t="inlineStr">
        <is>
          <t>Senior Applied Scientist, Delivery Foundation Model</t>
        </is>
      </c>
      <c r="C93" t="inlineStr">
        <is>
          <t>Amazon.com</t>
        </is>
      </c>
      <c r="D93" t="inlineStr">
        <is>
          <t>indeed</t>
        </is>
      </c>
      <c r="E93" t="inlineStr"/>
      <c r="F93" t="inlineStr"/>
      <c r="G93" t="inlineStr">
        <is>
          <t>Bellevue, WA, US</t>
        </is>
      </c>
      <c r="H93" s="2" t="n">
        <v>45806</v>
      </c>
      <c r="I93"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Senior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in engineering, technology, computer science, machine learning, robotics, operations research, statistics, mathematics or equivalent quantitative field, or Master's degree and 10\+ years of industry or academic research experience
* 5\+ years of building machine learning models or developing algorithms for business application experience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Experience mentoring junior scientists / engineers.**PREFERRED QUALIFICATIONS**
----------------------------
* Experience building foundation models for industry or research
* Experience designing multi\-modal model architectures
\- Experience building models for motion prediction, e.g.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4">
      <c r="A94" t="inlineStr">
        <is>
          <t>in-359196df60d7fb0f</t>
        </is>
      </c>
      <c r="B94" t="inlineStr">
        <is>
          <t>Principal Applied Scientist, Delivery Foundation Model</t>
        </is>
      </c>
      <c r="C94" t="inlineStr">
        <is>
          <t>Amazon.com</t>
        </is>
      </c>
      <c r="D94" t="inlineStr">
        <is>
          <t>indeed</t>
        </is>
      </c>
      <c r="E94" t="inlineStr"/>
      <c r="F94" t="inlineStr"/>
      <c r="G94" t="inlineStr">
        <is>
          <t>Santa Clara, CA, US</t>
        </is>
      </c>
      <c r="H94" s="2" t="n">
        <v>45757</v>
      </c>
      <c r="I94"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5">
      <c r="A95" t="inlineStr">
        <is>
          <t>in-e18168e51391f0d8</t>
        </is>
      </c>
      <c r="B95" t="inlineStr">
        <is>
          <t>Principal Applied Scientist, Delivery Foundation Model</t>
        </is>
      </c>
      <c r="C95" t="inlineStr">
        <is>
          <t>Amazon.com</t>
        </is>
      </c>
      <c r="D95" t="inlineStr">
        <is>
          <t>indeed</t>
        </is>
      </c>
      <c r="E95" t="inlineStr"/>
      <c r="F95" t="inlineStr"/>
      <c r="G95" t="inlineStr">
        <is>
          <t>New York, NY, US</t>
        </is>
      </c>
      <c r="H95" s="2" t="n">
        <v>45757</v>
      </c>
      <c r="I95"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6">
      <c r="A96" t="inlineStr">
        <is>
          <t>in-dcb5a0e001654b19</t>
        </is>
      </c>
      <c r="B96" t="inlineStr">
        <is>
          <t>Principal Applied Scientist, Delivery Foundation Model</t>
        </is>
      </c>
      <c r="C96" t="inlineStr">
        <is>
          <t>Amazon.com</t>
        </is>
      </c>
      <c r="D96" t="inlineStr">
        <is>
          <t>indeed</t>
        </is>
      </c>
      <c r="E96" t="inlineStr"/>
      <c r="F96" t="inlineStr"/>
      <c r="G96" t="inlineStr">
        <is>
          <t>Bellevue, WA, US</t>
        </is>
      </c>
      <c r="H96" s="2" t="n">
        <v>45757</v>
      </c>
      <c r="I96"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7">
      <c r="A97" t="inlineStr">
        <is>
          <t>in-c1e7ce48e0b485db</t>
        </is>
      </c>
      <c r="B97" t="inlineStr">
        <is>
          <t>Principal Applied Scientist, FAR (Frontier AI &amp; Robotics)</t>
        </is>
      </c>
      <c r="C97" t="inlineStr">
        <is>
          <t>Amazon.com</t>
        </is>
      </c>
      <c r="D97" t="inlineStr">
        <is>
          <t>indeed</t>
        </is>
      </c>
      <c r="E97" t="inlineStr"/>
      <c r="F97" t="inlineStr"/>
      <c r="G97" t="inlineStr">
        <is>
          <t>San Francisco, CA, US</t>
        </is>
      </c>
      <c r="H97" s="2" t="n">
        <v>45740</v>
      </c>
      <c r="I97" t="inlineStr">
        <is>
          <t>**DESCRIPTION**
---------------
Join the next revolution in robotics at Amazon's Frontier AI \&amp; Robotics team, where you'll work alongside world\-renowned AI pioneers to lead key initiatives in robotic intelligence. As a Principal Applied Scientist, you'll spearhead the development of breakthrough foundation models that enable robots to perceive, understand, and interact with the world in unprecedented ways. You'll drive technical excellence in areas such as perception, manipulation, science understanding, sim2real transfer, multi\-modal foundation models, and multi\-task learning, designing novel algorithms that bridge the gap between state\-of\-the\-art research and real\-world deployment at Amazon scale.  
In this role, you'll combine hands\-on technical work with scientific leadership, ensuring your team delivers robust solutions for dynamic real\-world environments. You'll leverage Amazon's vast computational resources to tackle ambitious problems in areas like very large multi\-modal robotic foundation models and efficient, promptable model architectures that can scale across diverse robotic applications.  
Key job responsibilities  
* Lead technical initiatives in robotics foundation models, driving breakthrough approaches through hands\-on research and development in areas like open\-vocabulary panoptic scene understanding, scaling up multi\-modal LLMs, sim2real/real2sim techniques, end\-to\-end vision\-language\-action models, efficient model inference, video tokenization
* Design and implement novel deep learning architectures that push the boundaries of what robots can understand and accomplish
* Guide technical direction for specific research initiatives, ensuring robust performance in production environments
* Mentor and support fellow scientists while maintaining strong individual technical contributions
* Collaborate with engineering teams to optimize and scale models for real\-world applications
* Influence technical decisions and implementation strategies within your area of focus
A day in the life  
* Develop and implement novel foundation model architectures, working hands\-on with our extensive compute infrastructure
* Guide and support fellow scientists in solving complex technical challenges, from sim2real transfer to efficient multi\-task learning
* Lead focused technical initiatives from conception through deployment, ensuring successful integration with production systems
* Drive technical discussions within your team and with key stakeholders
* Conduct experiments and prototype new ideas using our massive compute cluster
* Mentor team members while maintaining significant hands\-on contribution to technical solutions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At Frontier AI \&amp; Robotics, we're not just advancing robotics – we're reimagining it from the ground up. Our team is building the future of intelligent robotics through ground breaking foundation models and end\-to\-end learned systems. We tackle some of the most challenging problems in AI and robotics, from developing sophisticated perception systems to creating adaptive manipulation strategies that work in complex, real\-world scenarios.  
What sets us apart is our unique combination of ambitious research vision and practical impact. We leverage Amazon's massive computational infrastructure and rich real\-world datasets to train and deploy state\-of\-the\-art foundation models. Our work spans the full spectrum of robotics intelligence – from multimodal perception using images, videos, and sensor data, to sophisticated manipulation strategies that can handle diverse real\-world scenarios. We're building systems that don't just work in the lab, but scale to meet the demands of Amazon's global operations.  
Join us if you're excited about pushing the boundaries of what's possible in robotics, working with world\-class researchers, and seeing your innovations deployed at unprecedented scale.**BASIC QUALIFICATIONS**
------------------------
* PhD, or Master's degree and 6\+ years of applied research experience
* 5\+ years of industry or academic research experience
* Experience programming in Java, C\+\+, Python or related language
* 5\+ years of building machine learning models or developing algorithms for business application experience
* Experience in patents or publication at top\-tier conferences (NeurIPS, ICML, ICLR, CVPR, ICCV, RSS, CoRL).
* Extensive track record of leading technical projects.
* Experience mentoring junior scientists / engineers.
* Demonstrated expertise in deep learning and model development.
**PREFERRED QUALIFICATIONS**
----------------------------
* Experience as first\-author publications at major conferences
* Experience leading research initiatives in robotics or foundation models
* Track record of successful production ML deployments
* Experience with large\-scale distributed systems
* Experience in technical leadership and team mentorship
* Experience bridging research with practical engineering implementation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8">
      <c r="A98" t="inlineStr">
        <is>
          <t>in-66ad2cb921c7aada</t>
        </is>
      </c>
      <c r="B98" t="inlineStr">
        <is>
          <t>Principal Applied Scientist, FAR (Frontier AI &amp; Robotics)</t>
        </is>
      </c>
      <c r="C98" t="inlineStr">
        <is>
          <t>Amazon.com</t>
        </is>
      </c>
      <c r="D98" t="inlineStr">
        <is>
          <t>indeed</t>
        </is>
      </c>
      <c r="E98" t="inlineStr"/>
      <c r="F98" t="inlineStr"/>
      <c r="G98" t="inlineStr">
        <is>
          <t>Seattle, WA, US</t>
        </is>
      </c>
      <c r="H98" s="2" t="n">
        <v>45740</v>
      </c>
      <c r="I98" t="inlineStr">
        <is>
          <t>**DESCRIPTION**
---------------
Join the next revolution in robotics at Amazon's Frontier AI \&amp; Robotics team, where you'll work alongside world\-renowned AI pioneers to lead key initiatives in robotic intelligence. As a Principal Applied Scientist, you'll spearhead the development of breakthrough foundation models that enable robots to perceive, understand, and interact with the world in unprecedented ways. You'll drive technical excellence in areas such as perception, manipulation, science understanding, sim2real transfer, multi\-modal foundation models, and multi\-task learning, designing novel algorithms that bridge the gap between state\-of\-the\-art research and real\-world deployment at Amazon scale.  
In this role, you'll combine hands\-on technical work with scientific leadership, ensuring your team delivers robust solutions for dynamic real\-world environments. You'll leverage Amazon's vast computational resources to tackle ambitious problems in areas like very large multi\-modal robotic foundation models and efficient, promptable model architectures that can scale across diverse robotic applications.  
Key job responsibilities  
* Lead technical initiatives in robotics foundation models, driving breakthrough approaches through hands\-on research and development in areas like open\-vocabulary panoptic scene understanding, scaling up multi\-modal LLMs, sim2real/real2sim techniques, end\-to\-end vision\-language\-action models, efficient model inference, video tokenization
* Design and implement novel deep learning architectures that push the boundaries of what robots can understand and accomplish
* Guide technical direction for specific research initiatives, ensuring robust performance in production environments
* Mentor and support fellow scientists while maintaining strong individual technical contributions
* Collaborate with engineering teams to optimize and scale models for real\-world applications
* Influence technical decisions and implementation strategies within your area of focus
A day in the life  
* Develop and implement novel foundation model architectures, working hands\-on with our extensive compute infrastructure
* Guide and support fellow scientists in solving complex technical challenges, from sim2real transfer to efficient multi\-task learning
* Lead focused technical initiatives from conception through deployment, ensuring successful integration with production systems
* Drive technical discussions within your team and with key stakeholders
* Conduct experiments and prototype new ideas using our massive compute cluster
* Mentor team members while maintaining significant hands\-on contribution to technical solutions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At Frontier AI \&amp; Robotics, we're not just advancing robotics – we're reimagining it from the ground up. Our team is building the future of intelligent robotics through ground breaking foundation models and end\-to\-end learned systems. We tackle some of the most challenging problems in AI and robotics, from developing sophisticated perception systems to creating adaptive manipulation strategies that work in complex, real\-world scenarios.  
What sets us apart is our unique combination of ambitious research vision and practical impact. We leverage Amazon's massive computational infrastructure and rich real\-world datasets to train and deploy state\-of\-the\-art foundation models. Our work spans the full spectrum of robotics intelligence – from multimodal perception using images, videos, and sensor data, to sophisticated manipulation strategies that can handle diverse real\-world scenarios. We're building systems that don't just work in the lab, but scale to meet the demands of Amazon's global operations.  
Join us if you're excited about pushing the boundaries of what's possible in robotics, working with world\-class researchers, and seeing your innovations deployed at unprecedented scale.**BASIC QUALIFICATIONS**
------------------------
* PhD, or Master's degree and 6\+ years of applied research experience
* 5\+ years of industry or academic research experience
* Experience programming in Java, C\+\+, Python or related language
* 5\+ years of building machine learning models or developing algorithms for business application experience
* Experience in patents or publication at top\-tier conferences (NeurIPS, ICML, ICLR, CVPR, ICCV, RSS, CoRL).
* Extensive track record of leading technical projects.
* Experience mentoring junior scientists / engineers.
* Demonstrated expertise in deep learning and model development.
**PREFERRED QUALIFICATIONS**
----------------------------
* Experience as first\-author publications at major conferences
* Experience leading research initiatives in robotics or foundation models
* Track record of successful production ML deployments
* Experience with large\-scale distributed systems
* Experience in technical leadership and team mentorship
* Experience bridging research with practical engineering implementation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9">
      <c r="A99" t="inlineStr">
        <is>
          <t>in-fb8d568e735adaa1</t>
        </is>
      </c>
      <c r="B99" t="inlineStr">
        <is>
          <t>Data Scientist - Computer Vision, Data &amp; Machine Learning (DML)</t>
        </is>
      </c>
      <c r="C99" t="inlineStr">
        <is>
          <t>Amazon Web Services</t>
        </is>
      </c>
      <c r="D99" t="inlineStr">
        <is>
          <t>indeed</t>
        </is>
      </c>
      <c r="E99" t="inlineStr"/>
      <c r="F99" t="inlineStr"/>
      <c r="G99" t="inlineStr">
        <is>
          <t>Herndon, VA, US</t>
        </is>
      </c>
      <c r="H99" s="2" t="n">
        <v>46051</v>
      </c>
      <c r="I99" t="inlineStr">
        <is>
          <t>**DESCRIPTION**
---------------
This position requires that the candidate selected be a US Citizen and currently possess and maintain an active Top Secret security clearance.  
Join a sizeable team of data scientists, research scientists, and machine learning engineers that develop computer vision models on overhead imagery for a high\-impact government customer. We own the entire machine learning development life cycle, developing models on customer data:
* Exploring the data and brainstorming and prioritizing ideas for model development
* Implementing new features in our sizable code base
* Training models in support of experimental or performance goals
* T\&amp;E\-ing, packaging, and delivering models
We perform this work on both unclassified and classified networks, with portions of our team working on each network.
We seek a new team member to work on the classified networks. Three to four days a week, you would travel to the customer site in Northern Virginia to perform tasking as described below. Weekdays when you do not travel to the customer site, you would work from your local Amazon office. You would work collaboratively with teammates to use and contribute to a well\-maintained code base that the team has developed over the last several years, almost entirely in python. You would have great opportunities to learn from team members and technical leads, while also having opportunities for ownership of important project workflows. You would work with Jupyter Notebooks, the Linux command line, Apache AirFlow, GitLab, and Visual Studio Code. We are a very collaborative team, and regularly teach and learn from each other, so, if you are familiar with some of these technologies, but unfamiliar with others, we encourage you to apply \- especially if you are someone who likes to learn. We are always learning on the job ourselves.  
Key job responsibilities  
With support from technical leads, carry out tasking across the entire machine learning development lifecycle to develop computer vision models on overhead imagery:
* Run data conversion pipelines to transform customer data into the structure needed by models for training
* Perform EDA on the customer data
* Train deep neural network models on overhead imagery
* Develop and implement hyper\-parameter optimization strategies
* Test and Evaluate models and analyze results
* Package and deliver models to the customer
* Incorporate model R\&amp;D from low\-side researchers
* Implement new features to the model development code base
* Collaborate with the rest of the team on long term strategy and short\-medium term implementation.
* Contribute to presentations to the customer regarding the team’s work.
**BASIC QUALIFICATIONS**
------------------------
* 3\+ years of data querying languages (e.g. SQL), scripting languages (e.g. Python) or statistical/mathematical software (e.g. R, SAS, Matlab, etc.) experience
* 3\+ years of machine learning/statistical modeling data analysis tools and techniques, and parameters that affect their performance experience
* Bachelor's degree or above in computer science, machine learning, engineering, or related fields
* Experience with AWS services including S3, Redshift, Sagemaker, EMR, Kinesis, Lambda, and EC2
* Current, active US Government Security Clearance of Top Secret or above
**PREFERRED QUALIFICATIONS**
----------------------------
* Master's degree or above in computer science, machine learning, engineering, or related fields
* Knowledge of machine learning concepts and their application to reasoning and problem\-solving
* Experience working on multi\-team, cross\-disciplinary projects
* Experience effectively communicating complex concepts through written and verbal communication
* Experience in Linux, PyTorch, and Git workflows for MLOps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Arlington \- 136,000\.00 \- 184,000\.00 USD annually  
USA, VA, Herndon \- 136,000\.00 \- 184,000\.00 USD annually</t>
        </is>
      </c>
    </row>
    <row r="100">
      <c r="A100" t="inlineStr">
        <is>
          <t>in-22c59980cef38372</t>
        </is>
      </c>
      <c r="B100" t="inlineStr">
        <is>
          <t>Data Scientist - Computer Vision, Data &amp; Machine Learning (DML)</t>
        </is>
      </c>
      <c r="C100" t="inlineStr">
        <is>
          <t>Amazon Web Services</t>
        </is>
      </c>
      <c r="D100" t="inlineStr">
        <is>
          <t>indeed</t>
        </is>
      </c>
      <c r="E100" t="inlineStr"/>
      <c r="F100" t="inlineStr"/>
      <c r="G100" t="inlineStr">
        <is>
          <t>Arlington, VA, US</t>
        </is>
      </c>
      <c r="H100" s="2" t="n">
        <v>46051</v>
      </c>
      <c r="I100" t="inlineStr">
        <is>
          <t>**DESCRIPTION**
---------------
This position requires that the candidate selected be a US Citizen and currently possess and maintain an active Top Secret security clearance.  
Join a sizeable team of data scientists, research scientists, and machine learning engineers that develop computer vision models on overhead imagery for a high\-impact government customer. We own the entire machine learning development life cycle, developing models on customer data:
* Exploring the data and brainstorming and prioritizing ideas for model development
* Implementing new features in our sizable code base
* Training models in support of experimental or performance goals
* T\&amp;E\-ing, packaging, and delivering models
We perform this work on both unclassified and classified networks, with portions of our team working on each network.
We seek a new team member to work on the classified networks. Three to four days a week, you would travel to the customer site in Northern Virginia to perform tasking as described below. Weekdays when you do not travel to the customer site, you would work from your local Amazon office. You would work collaboratively with teammates to use and contribute to a well\-maintained code base that the team has developed over the last several years, almost entirely in python. You would have great opportunities to learn from team members and technical leads, while also having opportunities for ownership of important project workflows. You would work with Jupyter Notebooks, the Linux command line, Apache AirFlow, GitLab, and Visual Studio Code. We are a very collaborative team, and regularly teach and learn from each other, so, if you are familiar with some of these technologies, but unfamiliar with others, we encourage you to apply \- especially if you are someone who likes to learn. We are always learning on the job ourselves.  
Key job responsibilities  
With support from technical leads, carry out tasking across the entire machine learning development lifecycle to develop computer vision models on overhead imagery:
* Run data conversion pipelines to transform customer data into the structure needed by models for training
* Perform EDA on the customer data
* Train deep neural network models on overhead imagery
* Develop and implement hyper\-parameter optimization strategies
* Test and Evaluate models and analyze results
* Package and deliver models to the customer
* Incorporate model R\&amp;D from low\-side researchers
* Implement new features to the model development code base
* Collaborate with the rest of the team on long term strategy and short\-medium term implementation.
* Contribute to presentations to the customer regarding the team’s work.
**BASIC QUALIFICATIONS**
------------------------
* 3\+ years of data querying languages (e.g. SQL), scripting languages (e.g. Python) or statistical/mathematical software (e.g. R, SAS, Matlab, etc.) experience
* 3\+ years of machine learning/statistical modeling data analysis tools and techniques, and parameters that affect their performance experience
* Bachelor's degree or above in computer science, machine learning, engineering, or related fields
* Experience with AWS services including S3, Redshift, Sagemaker, EMR, Kinesis, Lambda, and EC2
* Current, active US Government Security Clearance of Top Secret or above
**PREFERRED QUALIFICATIONS**
----------------------------
* Master's degree or above in computer science, machine learning, engineering, or related fields
* Knowledge of machine learning concepts and their application to reasoning and problem\-solving
* Experience working on multi\-team, cross\-disciplinary projects
* Experience effectively communicating complex concepts through written and verbal communication
* Experience in Linux, PyTorch, and Git workflows for MLOps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Arlington \- 136,000\.00 \- 184,000\.00 USD annually  
USA, VA, Herndon \- 136,000\.00 \- 184,000\.00 USD annually</t>
        </is>
      </c>
    </row>
    <row r="101">
      <c r="A101" t="inlineStr">
        <is>
          <t>in-3fdf874123853c94</t>
        </is>
      </c>
      <c r="B101" t="inlineStr">
        <is>
          <t>Data Scientist- Vision Language Model Researcher, Data &amp; Machine Learning (DML)</t>
        </is>
      </c>
      <c r="C101" t="inlineStr">
        <is>
          <t>Amazon Web Services</t>
        </is>
      </c>
      <c r="D101" t="inlineStr">
        <is>
          <t>indeed</t>
        </is>
      </c>
      <c r="E101" t="inlineStr"/>
      <c r="F101" t="inlineStr"/>
      <c r="G101" t="inlineStr">
        <is>
          <t>Arlington, VA, US</t>
        </is>
      </c>
      <c r="H101" s="2" t="n">
        <v>46051</v>
      </c>
      <c r="I101" t="inlineStr">
        <is>
          <t>**DESCRIPTION**
---------------
This position requires that the candidate selected be a US Citizen and currently possess and maintain an active Top Secret security clearance.  
Join a sizeable team of data scientists, research scientists, and machine learning engineers that develop vision language models (VLMs) on overhead imagery for a high\-impact government customer. We own the entire machine learning development life cycle, developing models on customer data:
* Exploring the data and brainstorming and prioritizing ideas for model development
* Implementing new features
* Training models in support of experimental or performance goals
* T\&amp;E\-ing, packaging, and delivering models
We perform this work on both unclassified and classified networks, with portions of our team working on each network.
We seek a new team member to work on the classified networks. You would work collaboratively with teammates to develop and use a python codebase for fine\-tuning VLMs.
You would have great opportunities to learn from team members and technical leads, while also having opportunities for ownership of important project workflows. You would work with Jupyter Notebooks, the Linux command line, GitLab, and Visual Studio Code.
Key job responsibilities  
With support from technical leads, carry out tasking across the entire machine learning development lifecycle to fine\-tune VLMs on overhead imagery:
* Run data conversion pipelines to transform customer data into the structure needed by models for training
* Perform EDA on the customer data
* Train VLMs on overhead imagery
* Develop and implement hyper\-parameter optimization strategies
* Test and Evaluate models and analyze results
* Package and deliver models to the customer
* Implement new features to the code base
* Collaborate with the rest of the team on long term strategy and short\-medium term implementation.
* Contribute to presentations to the customer regarding the team’s work.
**BASIC QUALIFICATIONS**
------------------------
* 3\+ years of data querying languages (e.g. SQL), scripting languages (e.g. Python) or statistical/mathematical software (e.g. R, SAS, Matlab, etc.) experience
* 3\+ years of machine learning/statistical modeling data analysis tools and techniques, and parameters that affect their performance experience
* Bachelor's degree or above in computer science, machine learning, engineering, or related fields
* Current, active US government Security Clearance of TS/SCI
* Familiarity with internals of LLMs, VLMs, and traditional Computer Vision object detection models
* Ability to implement and modify deep neural networks in PyTorch
* Familiarity with techniques and libraries such as Deepspeed/ZeRO, LoRA/QLoRA, or SFT for LLMs
**PREFERRED QUALIFICATIONS**
----------------------------
* Master's degree or above in computer science, machine learning, engineering, or related fields
* Knowledge of machine learning concepts and their application to reasoning and problem\-solving
* Experience working on multi\-team, cross\-disciplinary projects
* Experience with AWS services including S3, Redshift, Sagemaker, EMR, Kinesis, Lambda, and EC2
* Experience in Linux, Git workflows, and use of satellite imagery for computer vision requirements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Arlington \- 136,000\.00 \- 184,000\.00 USD annually  
USA, VA, Herndon \- 136,000\.00 \- 184,000\.00 USD annually</t>
        </is>
      </c>
    </row>
    <row r="102">
      <c r="A102" t="inlineStr">
        <is>
          <t>in-59b60010bb158b4a</t>
        </is>
      </c>
      <c r="B102" t="inlineStr">
        <is>
          <t>Data Scientist- Vision Language Model Researcher, Data &amp; Machine Learning (DML)</t>
        </is>
      </c>
      <c r="C102" t="inlineStr">
        <is>
          <t>Amazon Web Services</t>
        </is>
      </c>
      <c r="D102" t="inlineStr">
        <is>
          <t>indeed</t>
        </is>
      </c>
      <c r="E102" t="inlineStr"/>
      <c r="F102" t="inlineStr"/>
      <c r="G102" t="inlineStr">
        <is>
          <t>Herndon, VA, US</t>
        </is>
      </c>
      <c r="H102" s="2" t="n">
        <v>46051</v>
      </c>
      <c r="I102" t="inlineStr">
        <is>
          <t>**DESCRIPTION**
---------------
This position requires that the candidate selected be a US Citizen and currently possess and maintain an active Top Secret security clearance.  
Join a sizeable team of data scientists, research scientists, and machine learning engineers that develop vision language models (VLMs) on overhead imagery for a high\-impact government customer. We own the entire machine learning development life cycle, developing models on customer data:
* Exploring the data and brainstorming and prioritizing ideas for model development
* Implementing new features
* Training models in support of experimental or performance goals
* T\&amp;E\-ing, packaging, and delivering models
We perform this work on both unclassified and classified networks, with portions of our team working on each network.
We seek a new team member to work on the classified networks. You would work collaboratively with teammates to develop and use a python codebase for fine\-tuning VLMs.
You would have great opportunities to learn from team members and technical leads, while also having opportunities for ownership of important project workflows. You would work with Jupyter Notebooks, the Linux command line, GitLab, and Visual Studio Code.
Key job responsibilities  
With support from technical leads, carry out tasking across the entire machine learning development lifecycle to fine\-tune VLMs on overhead imagery:
* Run data conversion pipelines to transform customer data into the structure needed by models for training
* Perform EDA on the customer data
* Train VLMs on overhead imagery
* Develop and implement hyper\-parameter optimization strategies
* Test and Evaluate models and analyze results
* Package and deliver models to the customer
* Implement new features to the code base
* Collaborate with the rest of the team on long term strategy and short\-medium term implementation.
* Contribute to presentations to the customer regarding the team’s work.
**BASIC QUALIFICATIONS**
------------------------
* 3\+ years of data querying languages (e.g. SQL), scripting languages (e.g. Python) or statistical/mathematical software (e.g. R, SAS, Matlab, etc.) experience
* 3\+ years of machine learning/statistical modeling data analysis tools and techniques, and parameters that affect their performance experience
* Bachelor's degree or above in computer science, machine learning, engineering, or related fields
* Current, active US government Security Clearance of TS/SCI
* Familiarity with internals of LLMs, VLMs, and traditional Computer Vision object detection models
* Ability to implement and modify deep neural networks in PyTorch
* Familiarity with techniques and libraries such as Deepspeed/ZeRO, LoRA/QLoRA, or SFT for LLMs
**PREFERRED QUALIFICATIONS**
----------------------------
* Master's degree or above in computer science, machine learning, engineering, or related fields
* Knowledge of machine learning concepts and their application to reasoning and problem\-solving
* Experience working on multi\-team, cross\-disciplinary projects
* Experience with AWS services including S3, Redshift, Sagemaker, EMR, Kinesis, Lambda, and EC2
* Experience in Linux, Git workflows, and use of satellite imagery for computer vision requirements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Arlington \- 136,000\.00 \- 184,000\.00 USD annually  
USA, VA, Herndon \- 136,000\.00 \- 184,000\.00 USD annually</t>
        </is>
      </c>
    </row>
    <row r="103">
      <c r="A103" t="inlineStr">
        <is>
          <t>in-54d6aaf8f480fe68</t>
        </is>
      </c>
      <c r="B103" t="inlineStr">
        <is>
          <t>Applied Scientist, Alexa Smart Home</t>
        </is>
      </c>
      <c r="C103" t="inlineStr">
        <is>
          <t>Amazon.com</t>
        </is>
      </c>
      <c r="D103" t="inlineStr">
        <is>
          <t>indeed</t>
        </is>
      </c>
      <c r="E103" t="inlineStr"/>
      <c r="F103" t="inlineStr"/>
      <c r="G103" t="inlineStr">
        <is>
          <t>Seattle, WA, US</t>
        </is>
      </c>
      <c r="H103" s="2" t="n">
        <v>46033</v>
      </c>
      <c r="I103" t="inlineStr">
        <is>
          <t>**DESCRIPTION**
---------------
The Smart Home team is focused on making Alexa\+ the user interface for the future home. From the simplest voice commands (turn on the lights, turn down the heat) to use cases spanning home security, home entertainment, and the home environment, we are evolving Alexa\+ into intelligent, indispensable companion that automates daily routines, simplifies interaction with appliances and electronics, and alerts when something unusual is detected. You will be part of a team delivering features that are highly anticipated by media and well received by our customers.  
Key job responsibilities  
As an Applied Scientist, you will work with other scientists and software developers to design and build the next generation of Smart Home voice and ambient controls using the latest Large Language Models and ML methods. And, you will have the satisfaction of working on a product your friends and family can relate to, and want to use every day.  
About the team  
We are a team of Scientists and Machine Learning Engineers that work together to make Alexa\+ Smart Home easier to control and manage through voice, and become proactive through ambient intelligence, with feature like automatic actions that help customer meet their energy, comfort and safety preferences.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104">
      <c r="A104" t="inlineStr">
        <is>
          <t>in-15753cb2222bb5ef</t>
        </is>
      </c>
      <c r="B104" t="inlineStr">
        <is>
          <t>Applied Scientist, Alexa Smart Home</t>
        </is>
      </c>
      <c r="C104" t="inlineStr">
        <is>
          <t>Amazon.com</t>
        </is>
      </c>
      <c r="D104" t="inlineStr">
        <is>
          <t>indeed</t>
        </is>
      </c>
      <c r="E104" t="inlineStr"/>
      <c r="F104" t="inlineStr"/>
      <c r="G104" t="inlineStr">
        <is>
          <t>Sunnyvale, CA, US</t>
        </is>
      </c>
      <c r="H104" s="2" t="n">
        <v>46033</v>
      </c>
      <c r="I104" t="inlineStr">
        <is>
          <t>**DESCRIPTION**
---------------
The Smart Home team is focused on making Alexa\+ the user interface for the future home. From the simplest voice commands (turn on the lights, turn down the heat) to use cases spanning home security, home entertainment, and the home environment, we are evolving Alexa\+ into intelligent, indispensable companion that automates daily routines, simplifies interaction with appliances and electronics, and alerts when something unusual is detected. You will be part of a team delivering features that are highly anticipated by media and well received by our customers.  
Key job responsibilities  
As an Applied Scientist, you will work with other scientists and software developers to design and build the next generation of Smart Home voice and ambient controls using the latest Large Language Models and ML methods. And, you will have the satisfaction of working on a product your friends and family can relate to, and want to use every day.  
About the team  
We are a team of Scientists and Machine Learning Engineers that work together to make Alexa\+ Smart Home easier to control and manage through voice, and become proactive through ambient intelligence, with feature like automatic actions that help customer meet their energy, comfort and safety preferences.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105">
      <c r="A105" t="inlineStr">
        <is>
          <t>in-2803e3185a155060</t>
        </is>
      </c>
      <c r="B105" t="inlineStr">
        <is>
          <t>Sr. Applied Scientist, Amazon Ads</t>
        </is>
      </c>
      <c r="C105" t="inlineStr">
        <is>
          <t>Amazon.com</t>
        </is>
      </c>
      <c r="D105" t="inlineStr">
        <is>
          <t>indeed</t>
        </is>
      </c>
      <c r="E105" t="inlineStr"/>
      <c r="F105" t="inlineStr"/>
      <c r="G105" t="inlineStr">
        <is>
          <t>Palo Alto, CA, US</t>
        </is>
      </c>
      <c r="H105" s="2" t="n">
        <v>45998</v>
      </c>
      <c r="I105"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06">
      <c r="A106" t="inlineStr">
        <is>
          <t>in-cbb93fcd2cc6ed93</t>
        </is>
      </c>
      <c r="B106" t="inlineStr">
        <is>
          <t>Sr. Applied Scientist, Amazon Ads</t>
        </is>
      </c>
      <c r="C106" t="inlineStr">
        <is>
          <t>Amazon.com</t>
        </is>
      </c>
      <c r="D106" t="inlineStr">
        <is>
          <t>indeed</t>
        </is>
      </c>
      <c r="E106" t="inlineStr"/>
      <c r="F106" t="inlineStr"/>
      <c r="G106" t="inlineStr">
        <is>
          <t>New York, NY, US</t>
        </is>
      </c>
      <c r="H106" s="2" t="n">
        <v>45998</v>
      </c>
      <c r="I106"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07">
      <c r="A107" t="inlineStr">
        <is>
          <t>in-c79b557c19792172</t>
        </is>
      </c>
      <c r="B107" t="inlineStr">
        <is>
          <t>Sr. Applied Scientist, Amazon Ads</t>
        </is>
      </c>
      <c r="C107" t="inlineStr">
        <is>
          <t>Amazon.com</t>
        </is>
      </c>
      <c r="D107" t="inlineStr">
        <is>
          <t>indeed</t>
        </is>
      </c>
      <c r="E107" t="inlineStr"/>
      <c r="F107" t="inlineStr"/>
      <c r="G107" t="inlineStr">
        <is>
          <t>Boulder, CO, US</t>
        </is>
      </c>
      <c r="H107" s="2" t="n">
        <v>45998</v>
      </c>
      <c r="I107"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08">
      <c r="A108" t="inlineStr">
        <is>
          <t>in-3f48c6fbd4a7eeba</t>
        </is>
      </c>
      <c r="B108" t="inlineStr">
        <is>
          <t>Sr. Applied Scientist, Amazon Ads</t>
        </is>
      </c>
      <c r="C108" t="inlineStr">
        <is>
          <t>Amazon.com</t>
        </is>
      </c>
      <c r="D108" t="inlineStr">
        <is>
          <t>indeed</t>
        </is>
      </c>
      <c r="E108" t="inlineStr"/>
      <c r="F108" t="inlineStr"/>
      <c r="G108" t="inlineStr">
        <is>
          <t>Sunnyvale, CA, US</t>
        </is>
      </c>
      <c r="H108" s="2" t="n">
        <v>45998</v>
      </c>
      <c r="I108"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09">
      <c r="A109" t="inlineStr">
        <is>
          <t>in-4566b19d465fa009</t>
        </is>
      </c>
      <c r="B109" t="inlineStr">
        <is>
          <t>Sr. Applied Scientist, Amazon Ads</t>
        </is>
      </c>
      <c r="C109" t="inlineStr">
        <is>
          <t>Amazon.com</t>
        </is>
      </c>
      <c r="D109" t="inlineStr">
        <is>
          <t>indeed</t>
        </is>
      </c>
      <c r="E109" t="inlineStr"/>
      <c r="F109" t="inlineStr"/>
      <c r="G109" t="inlineStr">
        <is>
          <t>Brooklyn, NY, US</t>
        </is>
      </c>
      <c r="H109" s="2" t="n">
        <v>45998</v>
      </c>
      <c r="I109"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10">
      <c r="A110" t="inlineStr">
        <is>
          <t>in-f8e2a2c002bc1bb4</t>
        </is>
      </c>
      <c r="B110" t="inlineStr">
        <is>
          <t>Sr. Applied Scientist, Amazon Ads</t>
        </is>
      </c>
      <c r="C110" t="inlineStr">
        <is>
          <t>Amazon.com</t>
        </is>
      </c>
      <c r="D110" t="inlineStr">
        <is>
          <t>indeed</t>
        </is>
      </c>
      <c r="E110" t="inlineStr"/>
      <c r="F110" t="inlineStr"/>
      <c r="G110" t="inlineStr">
        <is>
          <t>Santa Monica, CA, US</t>
        </is>
      </c>
      <c r="H110" s="2" t="n">
        <v>45998</v>
      </c>
      <c r="I110"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11">
      <c r="A111" t="inlineStr">
        <is>
          <t>in-4059af29d4886f09</t>
        </is>
      </c>
      <c r="B111" t="inlineStr">
        <is>
          <t>Sr. Applied Scientist, Amazon Ads</t>
        </is>
      </c>
      <c r="C111" t="inlineStr">
        <is>
          <t>Amazon.com</t>
        </is>
      </c>
      <c r="D111" t="inlineStr">
        <is>
          <t>indeed</t>
        </is>
      </c>
      <c r="E111" t="inlineStr"/>
      <c r="F111" t="inlineStr"/>
      <c r="G111" t="inlineStr">
        <is>
          <t>Boston, MA, US</t>
        </is>
      </c>
      <c r="H111" s="2" t="n">
        <v>45998</v>
      </c>
      <c r="I111"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12">
      <c r="A112" t="inlineStr">
        <is>
          <t>in-cb5219193fed20fb</t>
        </is>
      </c>
      <c r="B112" t="inlineStr">
        <is>
          <t>Sr. Applied Scientist, Amazon Ads</t>
        </is>
      </c>
      <c r="C112" t="inlineStr">
        <is>
          <t>Amazon.com</t>
        </is>
      </c>
      <c r="D112" t="inlineStr">
        <is>
          <t>indeed</t>
        </is>
      </c>
      <c r="E112" t="inlineStr"/>
      <c r="F112" t="inlineStr"/>
      <c r="G112" t="inlineStr">
        <is>
          <t>Tukwila, WA, US</t>
        </is>
      </c>
      <c r="H112" s="2" t="n">
        <v>45998</v>
      </c>
      <c r="I112"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13">
      <c r="A113" t="inlineStr">
        <is>
          <t>in-890571f54424b726</t>
        </is>
      </c>
      <c r="B113" t="inlineStr">
        <is>
          <t>Sr. Applied Scientist, Amazon Ads</t>
        </is>
      </c>
      <c r="C113" t="inlineStr">
        <is>
          <t>Amazon.com</t>
        </is>
      </c>
      <c r="D113" t="inlineStr">
        <is>
          <t>indeed</t>
        </is>
      </c>
      <c r="E113" t="inlineStr"/>
      <c r="F113" t="inlineStr"/>
      <c r="G113" t="inlineStr">
        <is>
          <t>Corvallis, OR, US</t>
        </is>
      </c>
      <c r="H113" s="2" t="n">
        <v>45998</v>
      </c>
      <c r="I113"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14">
      <c r="A114" t="inlineStr">
        <is>
          <t>in-4cc704380005ec96</t>
        </is>
      </c>
      <c r="B114" t="inlineStr">
        <is>
          <t>Sr. Applied Scientist, Amazon Ads</t>
        </is>
      </c>
      <c r="C114" t="inlineStr">
        <is>
          <t>Amazon.com</t>
        </is>
      </c>
      <c r="D114" t="inlineStr">
        <is>
          <t>indeed</t>
        </is>
      </c>
      <c r="E114" t="inlineStr"/>
      <c r="F114" t="inlineStr"/>
      <c r="G114" t="inlineStr">
        <is>
          <t>Seattle, WA, US</t>
        </is>
      </c>
      <c r="H114" s="2" t="n">
        <v>45998</v>
      </c>
      <c r="I114"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15">
      <c r="A115" t="inlineStr">
        <is>
          <t>in-27131e10f15c6ba6</t>
        </is>
      </c>
      <c r="B115" t="inlineStr">
        <is>
          <t>Applied Scientist</t>
        </is>
      </c>
      <c r="C115" t="inlineStr">
        <is>
          <t>Amazon.com</t>
        </is>
      </c>
      <c r="D115" t="inlineStr">
        <is>
          <t>indeed</t>
        </is>
      </c>
      <c r="E115" t="inlineStr"/>
      <c r="F115" t="inlineStr"/>
      <c r="G115" t="inlineStr">
        <is>
          <t>Palo Alto, CA, US</t>
        </is>
      </c>
      <c r="H115" s="2" t="n">
        <v>45939</v>
      </c>
      <c r="I115"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6">
      <c r="A116" t="inlineStr">
        <is>
          <t>in-ae2c2662188e7ce2</t>
        </is>
      </c>
      <c r="B116" t="inlineStr">
        <is>
          <t>Sr. Applied Scientist, SPB Advertiser Guidance</t>
        </is>
      </c>
      <c r="C116" t="inlineStr">
        <is>
          <t>Amazon.com</t>
        </is>
      </c>
      <c r="D116" t="inlineStr">
        <is>
          <t>indeed</t>
        </is>
      </c>
      <c r="E116" t="inlineStr"/>
      <c r="F116" t="inlineStr"/>
      <c r="G116" t="inlineStr">
        <is>
          <t>Seattle, WA, US</t>
        </is>
      </c>
      <c r="H116" s="2" t="n">
        <v>45939</v>
      </c>
      <c r="I116"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Lead business, science and engineering strategy and roadmap for Sponsored Products Agentic Advertiser Guidance.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7">
      <c r="A117" t="inlineStr">
        <is>
          <t>in-2a58b4faa1450c8d</t>
        </is>
      </c>
      <c r="B117" t="inlineStr">
        <is>
          <t>Sr. Applied Scientist, SPB Advertiser Guidance</t>
        </is>
      </c>
      <c r="C117" t="inlineStr">
        <is>
          <t>Amazon.com</t>
        </is>
      </c>
      <c r="D117" t="inlineStr">
        <is>
          <t>indeed</t>
        </is>
      </c>
      <c r="E117" t="inlineStr"/>
      <c r="F117" t="inlineStr"/>
      <c r="G117" t="inlineStr">
        <is>
          <t>New York, NY, US</t>
        </is>
      </c>
      <c r="H117" s="2" t="n">
        <v>45939</v>
      </c>
      <c r="I117"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Lead business, science and engineering strategy and roadmap for Sponsored Products Agentic Advertiser Guidance.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8">
      <c r="A118" t="inlineStr">
        <is>
          <t>in-aa4d293d69aeee80</t>
        </is>
      </c>
      <c r="B118" t="inlineStr">
        <is>
          <t>Applied Scientist</t>
        </is>
      </c>
      <c r="C118" t="inlineStr">
        <is>
          <t>Amazon.com</t>
        </is>
      </c>
      <c r="D118" t="inlineStr">
        <is>
          <t>indeed</t>
        </is>
      </c>
      <c r="E118" t="inlineStr"/>
      <c r="F118" t="inlineStr"/>
      <c r="G118" t="inlineStr">
        <is>
          <t>Seattle, WA, US</t>
        </is>
      </c>
      <c r="H118" s="2" t="n">
        <v>45939</v>
      </c>
      <c r="I118"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9">
      <c r="A119" t="inlineStr">
        <is>
          <t>in-ba7ae7f217adbb7b</t>
        </is>
      </c>
      <c r="B119" t="inlineStr">
        <is>
          <t>Sr. Applied Scientist, SPB Advertiser Guidance</t>
        </is>
      </c>
      <c r="C119" t="inlineStr">
        <is>
          <t>Amazon.com</t>
        </is>
      </c>
      <c r="D119" t="inlineStr">
        <is>
          <t>indeed</t>
        </is>
      </c>
      <c r="E119" t="inlineStr"/>
      <c r="F119" t="inlineStr"/>
      <c r="G119" t="inlineStr">
        <is>
          <t>Palo Alto, CA, US</t>
        </is>
      </c>
      <c r="H119" s="2" t="n">
        <v>45939</v>
      </c>
      <c r="I119"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Lead business, science and engineering strategy and roadmap for Sponsored Products Agentic Advertiser Guidance.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0">
      <c r="A120" t="inlineStr">
        <is>
          <t>in-eebf06e9287783c4</t>
        </is>
      </c>
      <c r="B120" t="inlineStr">
        <is>
          <t>Applied Scientist</t>
        </is>
      </c>
      <c r="C120" t="inlineStr">
        <is>
          <t>Amazon.com</t>
        </is>
      </c>
      <c r="D120" t="inlineStr">
        <is>
          <t>indeed</t>
        </is>
      </c>
      <c r="E120" t="inlineStr"/>
      <c r="F120" t="inlineStr"/>
      <c r="G120" t="inlineStr">
        <is>
          <t>New York, NY, US</t>
        </is>
      </c>
      <c r="H120" s="2" t="n">
        <v>45939</v>
      </c>
      <c r="I120"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1">
      <c r="A121" t="inlineStr">
        <is>
          <t>in-32df7b29be47e1b8</t>
        </is>
      </c>
      <c r="B121" t="inlineStr">
        <is>
          <t>Applied Scientist II, Prime Video - Personalization and Discovery Science, Personalization and Discovery Science</t>
        </is>
      </c>
      <c r="C121" t="inlineStr">
        <is>
          <t>Amazon.com</t>
        </is>
      </c>
      <c r="D121" t="inlineStr">
        <is>
          <t>indeed</t>
        </is>
      </c>
      <c r="E121" t="inlineStr"/>
      <c r="F121" t="inlineStr"/>
      <c r="G121" t="inlineStr">
        <is>
          <t>Sunnyvale, CA, US</t>
        </is>
      </c>
      <c r="H121" s="2" t="n">
        <v>45930</v>
      </c>
      <c r="I12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2">
      <c r="A122" t="inlineStr">
        <is>
          <t>in-457e02c27fdc5a23</t>
        </is>
      </c>
      <c r="B122" t="inlineStr">
        <is>
          <t>Applied Scientist II, Prime Video - Personalization and Discovery Science, Personalization and Discovery Science</t>
        </is>
      </c>
      <c r="C122" t="inlineStr">
        <is>
          <t>Amazon.com</t>
        </is>
      </c>
      <c r="D122" t="inlineStr">
        <is>
          <t>indeed</t>
        </is>
      </c>
      <c r="E122" t="inlineStr"/>
      <c r="F122" t="inlineStr"/>
      <c r="G122" t="inlineStr">
        <is>
          <t>New York, NY, US</t>
        </is>
      </c>
      <c r="H122" s="2" t="n">
        <v>45930</v>
      </c>
      <c r="I12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3">
      <c r="A123" t="inlineStr">
        <is>
          <t>in-1331a41a83ab7c18</t>
        </is>
      </c>
      <c r="B123" t="inlineStr">
        <is>
          <t>Applied Scientist II, Prime Video - Personalization and Discovery Science, Personalization and Discovery Science</t>
        </is>
      </c>
      <c r="C123" t="inlineStr">
        <is>
          <t>Amazon.com</t>
        </is>
      </c>
      <c r="D123" t="inlineStr">
        <is>
          <t>indeed</t>
        </is>
      </c>
      <c r="E123" t="inlineStr"/>
      <c r="F123" t="inlineStr"/>
      <c r="G123" t="inlineStr">
        <is>
          <t>Seattle, WA, US</t>
        </is>
      </c>
      <c r="H123" s="2" t="n">
        <v>45930</v>
      </c>
      <c r="I12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4">
      <c r="A124" t="inlineStr">
        <is>
          <t>in-e55f02b9dd044b79</t>
        </is>
      </c>
      <c r="B124" t="inlineStr">
        <is>
          <t>Sr. Applied Scientist, Prime Video - Personalization and Discovery Science</t>
        </is>
      </c>
      <c r="C124" t="inlineStr">
        <is>
          <t>Amazon.com</t>
        </is>
      </c>
      <c r="D124" t="inlineStr">
        <is>
          <t>indeed</t>
        </is>
      </c>
      <c r="E124" t="inlineStr"/>
      <c r="F124" t="inlineStr"/>
      <c r="G124" t="inlineStr">
        <is>
          <t>Seattle, WA, US</t>
        </is>
      </c>
      <c r="H124" s="2" t="n">
        <v>45881</v>
      </c>
      <c r="I12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5">
      <c r="A125" t="inlineStr">
        <is>
          <t>in-223062ed274c2895</t>
        </is>
      </c>
      <c r="B125" t="inlineStr">
        <is>
          <t>Applied Scientist II, Prime Video - Personalization and Discovery Science</t>
        </is>
      </c>
      <c r="C125" t="inlineStr">
        <is>
          <t>Amazon.com</t>
        </is>
      </c>
      <c r="D125" t="inlineStr">
        <is>
          <t>indeed</t>
        </is>
      </c>
      <c r="E125" t="inlineStr"/>
      <c r="F125" t="inlineStr"/>
      <c r="G125" t="inlineStr">
        <is>
          <t>Seattle, WA, US</t>
        </is>
      </c>
      <c r="H125" s="2" t="n">
        <v>45881</v>
      </c>
      <c r="I12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6">
      <c r="A126" t="inlineStr">
        <is>
          <t>in-6d4e4f3deb823739</t>
        </is>
      </c>
      <c r="B126" t="inlineStr">
        <is>
          <t>Applied Scientist II, Prime Video - Personalization and Discovery Science</t>
        </is>
      </c>
      <c r="C126" t="inlineStr">
        <is>
          <t>Amazon.com</t>
        </is>
      </c>
      <c r="D126" t="inlineStr">
        <is>
          <t>indeed</t>
        </is>
      </c>
      <c r="E126" t="inlineStr"/>
      <c r="F126" t="inlineStr"/>
      <c r="G126" t="inlineStr">
        <is>
          <t>New York, NY, US</t>
        </is>
      </c>
      <c r="H126" s="2" t="n">
        <v>45881</v>
      </c>
      <c r="I12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7">
      <c r="A127" t="inlineStr">
        <is>
          <t>in-91ec594bf7ff4e3e</t>
        </is>
      </c>
      <c r="B127" t="inlineStr">
        <is>
          <t>Applied Scientist II, Prime Video - Personalization and Discovery Science</t>
        </is>
      </c>
      <c r="C127" t="inlineStr">
        <is>
          <t>Amazon.com</t>
        </is>
      </c>
      <c r="D127" t="inlineStr">
        <is>
          <t>indeed</t>
        </is>
      </c>
      <c r="E127" t="inlineStr"/>
      <c r="F127" t="inlineStr"/>
      <c r="G127" t="inlineStr">
        <is>
          <t>Sunnyvale, CA, US</t>
        </is>
      </c>
      <c r="H127" s="2" t="n">
        <v>45881</v>
      </c>
      <c r="I12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8">
      <c r="A128" t="inlineStr">
        <is>
          <t>in-648196c048565e55</t>
        </is>
      </c>
      <c r="B128" t="inlineStr">
        <is>
          <t>Sr. Applied Scientist, Prime Video - Personalization and Discovery Science</t>
        </is>
      </c>
      <c r="C128" t="inlineStr">
        <is>
          <t>Amazon.com</t>
        </is>
      </c>
      <c r="D128" t="inlineStr">
        <is>
          <t>indeed</t>
        </is>
      </c>
      <c r="E128" t="inlineStr"/>
      <c r="F128" t="inlineStr"/>
      <c r="G128" t="inlineStr">
        <is>
          <t>New York, NY, US</t>
        </is>
      </c>
      <c r="H128" s="2" t="n">
        <v>45881</v>
      </c>
      <c r="I12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9">
      <c r="A129" t="inlineStr">
        <is>
          <t>in-50a736e985c7705a</t>
        </is>
      </c>
      <c r="B129" t="inlineStr">
        <is>
          <t>Sr. Applied Scientist, Prime Video - Personalization and Discovery Science</t>
        </is>
      </c>
      <c r="C129" t="inlineStr">
        <is>
          <t>Amazon.com</t>
        </is>
      </c>
      <c r="D129" t="inlineStr">
        <is>
          <t>indeed</t>
        </is>
      </c>
      <c r="E129" t="inlineStr"/>
      <c r="F129" t="inlineStr"/>
      <c r="G129" t="inlineStr">
        <is>
          <t>Sunnyvale, CA, US</t>
        </is>
      </c>
      <c r="H129" s="2" t="n">
        <v>45881</v>
      </c>
      <c r="I12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0">
      <c r="A130" t="inlineStr">
        <is>
          <t>in-8d7918f3594396e1</t>
        </is>
      </c>
      <c r="B130" t="inlineStr">
        <is>
          <t>Applied Scientist, Prime Video - Personalization and Discovery Science</t>
        </is>
      </c>
      <c r="C130" t="inlineStr">
        <is>
          <t>Amazon.com</t>
        </is>
      </c>
      <c r="D130" t="inlineStr">
        <is>
          <t>indeed</t>
        </is>
      </c>
      <c r="E130" t="inlineStr"/>
      <c r="F130" t="inlineStr"/>
      <c r="G130" t="inlineStr">
        <is>
          <t>Seattle, WA, US</t>
        </is>
      </c>
      <c r="H130" s="2" t="n">
        <v>45845</v>
      </c>
      <c r="I13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1">
      <c r="A131" t="inlineStr">
        <is>
          <t>in-128d854b03499ef3</t>
        </is>
      </c>
      <c r="B131" t="inlineStr">
        <is>
          <t>Applied Scientist, Prime Video - Personalization and Discovery Science</t>
        </is>
      </c>
      <c r="C131" t="inlineStr">
        <is>
          <t>Amazon.com</t>
        </is>
      </c>
      <c r="D131" t="inlineStr">
        <is>
          <t>indeed</t>
        </is>
      </c>
      <c r="E131" t="inlineStr"/>
      <c r="F131" t="inlineStr"/>
      <c r="G131" t="inlineStr">
        <is>
          <t>New York, NY, US</t>
        </is>
      </c>
      <c r="H131" s="2" t="n">
        <v>45845</v>
      </c>
      <c r="I13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2">
      <c r="A132" t="inlineStr">
        <is>
          <t>in-cf3eb383a38a1779</t>
        </is>
      </c>
      <c r="B132" t="inlineStr">
        <is>
          <t>Applied Scientist, Prime Video - Personalization and Discovery Science</t>
        </is>
      </c>
      <c r="C132" t="inlineStr">
        <is>
          <t>Amazon.com</t>
        </is>
      </c>
      <c r="D132" t="inlineStr">
        <is>
          <t>indeed</t>
        </is>
      </c>
      <c r="E132" t="inlineStr"/>
      <c r="F132" t="inlineStr"/>
      <c r="G132" t="inlineStr">
        <is>
          <t>Sunnyvale, CA, US</t>
        </is>
      </c>
      <c r="H132" s="2" t="n">
        <v>45845</v>
      </c>
      <c r="I13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3">
      <c r="A133" t="inlineStr">
        <is>
          <t>in-80cb5074a57e9dc8</t>
        </is>
      </c>
      <c r="B133" t="inlineStr">
        <is>
          <t>Data Scientist</t>
        </is>
      </c>
      <c r="C133" t="inlineStr">
        <is>
          <t>Tata Consultancy Services (TCS)</t>
        </is>
      </c>
      <c r="D133" t="inlineStr">
        <is>
          <t>indeed</t>
        </is>
      </c>
      <c r="E133" t="inlineStr"/>
      <c r="F133" t="inlineStr"/>
      <c r="G133" t="inlineStr">
        <is>
          <t>Addison, TX, US</t>
        </is>
      </c>
      <c r="H133" s="2" t="n">
        <v>46059</v>
      </c>
      <c r="I133" t="inlineStr">
        <is>
          <t>Data scientist  
Must Have Technical/Functional Skills
Primary: Artificial intelligence, ML, LLM
Secondary: Data science, Python, NLP, Agile tools
Experience: 10\+  
Roles \&amp; Responsibilities
Experience with NLP, deep learning, or time series analysis.
Experience deploying models to production environments.
Knowledge of regulatory requirements and compliance in banking and finance.
Familiarity with MLOps practices and tools.
Experience with Agile methodology and tools (JIRA or Rally)
Proven experience as a Data Scientist in Banking or a similar domain
Proficiency in Python or R, and experience with data science libraries (e.g., pandas, scikit\-learn, TensorFlow, PyTorch).
Hands\-on experience with large language models (e.g., OpenAI GPT, Llama, or similar), including fine\-tuning and prompt engineering.
Strong knowledge of statistics, machine learning, and data mining techniques.
Experience with data visualization tools (e.g., Tableau, Power BI).
Experience with Big Data Platforms (Hadoop).
Familiarity with SQL and working with relational databases.
Excellent problem\-solving, communication, and collaboration skills.
Experience with cloud platforms (AWS, Azure, or GCP) is a plus.
Analyze large financial datasets to extract insights and support business decisions.
Develop, implement, and evaluate machine learning models and algorithms tailored to banking and finance use cases (e.g., risk modeling, fraud detection, customer segmentation).
Apply and fine\-tune large language models (LLMs) for tasks such as document analysis, customer communication, and regulatory compliance.
Collaborate with cross\-functional teams to understand business requirements and deliver data\-driven solutions.
Communicate findings and recommendations through reports, dashboards, and presentations.
Work with data engineers to ensure data quality and pipeline reliability.  
Salary Range\- $120,000\-$135,000 a year
**Location**
Addison, TX
**Job Function**
TECHNOLOGY
**Role**
Data Scientist
**Job Id**
395517
**Desired Skills**
Data scientist
**Salary Range**
$120,000\-$135,000 a year
Desired Candidate Profile
**Qualifications** : BACHELOR OF COMPUTER SCIENCE</t>
        </is>
      </c>
    </row>
    <row r="134">
      <c r="A134" t="inlineStr">
        <is>
          <t>in-69ed3771c27b107d</t>
        </is>
      </c>
      <c r="B134" t="inlineStr">
        <is>
          <t>Data Scientist</t>
        </is>
      </c>
      <c r="C134" t="inlineStr">
        <is>
          <t>Tata Consultancy Services (TCS)</t>
        </is>
      </c>
      <c r="D134" t="inlineStr">
        <is>
          <t>indeed</t>
        </is>
      </c>
      <c r="E134" t="inlineStr"/>
      <c r="F134" t="inlineStr"/>
      <c r="G134" t="inlineStr">
        <is>
          <t>Charlotte, NC, US</t>
        </is>
      </c>
      <c r="H134" s="2" t="n">
        <v>46059</v>
      </c>
      <c r="I134" t="inlineStr">
        <is>
          <t>Data scientist  
Must Have Technical/Functional Skills
Primary: Artificial intelligence, ML, LLM
Secondary: Data science, Python, NLP, Agile tools
Experience: 10\+  
Roles \&amp; Responsibilities
Experience with NLP, deep learning, or time series analysis.
Experience deploying models to production environments.
Knowledge of regulatory requirements and compliance in banking and finance.
Familiarity with MLOps practices and tools.
Experience with Agile methodology and tools (JIRA or Rally)
Proven experience as a Data Scientist in Banking or a similar domain
Proficiency in Python or R, and experience with data science libraries (e.g., pandas, scikit\-learn, TensorFlow, PyTorch).
Hands\-on experience with large language models (e.g., OpenAI GPT, Llama, or similar), including fine\-tuning and prompt engineering.
Strong knowledge of statistics, machine learning, and data mining techniques.
Experience with data visualization tools (e.g., Tableau, Power BI).
Experience with Big Data Platforms (Hadoop).
Familiarity with SQL and working with relational databases.
Excellent problem\-solving, communication, and collaboration skills.
Experience with cloud platforms (AWS, Azure, or GCP) is a plus.
Analyze large financial datasets to extract insights and support business decisions.
Develop, implement, and evaluate machine learning models and algorithms tailored to banking and finance use cases (e.g., risk modeling, fraud detection, customer segmentation).
Apply and fine\-tune large language models (LLMs) for tasks such as document analysis, customer communication, and regulatory compliance.
Collaborate with cross\-functional teams to understand business requirements and deliver data\-driven solutions.
Communicate findings and recommendations through reports, dashboards, and presentations.
Work with data engineers to ensure data quality and pipeline reliability.  
Salary Range\- $120,000\-$135,000 a year
**Location**
Charlotte, NC
**Job Function**
TECHNOLOGY
**Role**
Data Scientist
**Job Id**
395518
**Desired Skills**
Data scientist
**Salary Range**
$120,000\-$135,000 a year
Desired Candidate Profile
**Qualifications** : BACHELOR OF COMPUTER SCIENCE</t>
        </is>
      </c>
    </row>
    <row r="135">
      <c r="A135" t="inlineStr">
        <is>
          <t>in-9cf3391d1c7bdf50</t>
        </is>
      </c>
      <c r="B135" t="inlineStr">
        <is>
          <t>Applied Scientist II, Prime Video Personalization and Discovery Science</t>
        </is>
      </c>
      <c r="C135" t="inlineStr">
        <is>
          <t>Amazon.com</t>
        </is>
      </c>
      <c r="D135" t="inlineStr">
        <is>
          <t>indeed</t>
        </is>
      </c>
      <c r="E135" t="inlineStr"/>
      <c r="F135" t="inlineStr"/>
      <c r="G135" t="inlineStr">
        <is>
          <t>Seattle, WA, US</t>
        </is>
      </c>
      <c r="H135" s="2" t="n">
        <v>46038</v>
      </c>
      <c r="I13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136">
      <c r="A136" t="inlineStr">
        <is>
          <t>in-4809e5bb3cdef0be</t>
        </is>
      </c>
      <c r="B136" t="inlineStr">
        <is>
          <t>Applied Scientist II, Prime Video Personalization and Discovery Science</t>
        </is>
      </c>
      <c r="C136" t="inlineStr">
        <is>
          <t>Amazon.com</t>
        </is>
      </c>
      <c r="D136" t="inlineStr">
        <is>
          <t>indeed</t>
        </is>
      </c>
      <c r="E136" t="inlineStr"/>
      <c r="F136" t="inlineStr"/>
      <c r="G136" t="inlineStr">
        <is>
          <t>Sunnyvale, CA, US</t>
        </is>
      </c>
      <c r="H136" s="2" t="n">
        <v>46038</v>
      </c>
      <c r="I13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137">
      <c r="A137" t="inlineStr">
        <is>
          <t>in-d3b35237aea58f25</t>
        </is>
      </c>
      <c r="B137" t="inlineStr">
        <is>
          <t>Applied Scientist, Safety ML</t>
        </is>
      </c>
      <c r="C137" t="inlineStr">
        <is>
          <t>Amazon.com</t>
        </is>
      </c>
      <c r="D137" t="inlineStr">
        <is>
          <t>indeed</t>
        </is>
      </c>
      <c r="E137" t="inlineStr"/>
      <c r="F137" t="inlineStr"/>
      <c r="G137" t="inlineStr">
        <is>
          <t>San Francisco, CA, US</t>
        </is>
      </c>
      <c r="H137" s="2" t="n">
        <v>46037</v>
      </c>
      <c r="I137"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looking for applied scientists to solve challenging and open\-ended problems in the domain of user and content safety. As an applied scientist on Twitch's Community team, you will use machine learning to develop data products tackling problems such as harassment, spam, and illegal content. You will use a wide toolbox of ML tools to handle multiple types of data, including user behavior, metadata, and user generated content such as text and video. You will collaborate with a team of passionate scientists and engineers to develop these models and put them into production, where they can help Twitch's creators and viewers succeed and build communities.  
You will report to our Senior Applied Science Manager in San Francisco, CA. You can work from San Francisco, CA or Seattle, WA.  
You Will  
* Build machine learning products to protect Twitch and its users from abusive behavior such as harassment, spam, and violent or illegal content.
* Work backwards from customer problems to develop the right solution for the job, whether a classical ML model or a state\-of\-the\-art one.
* Collaborate with Community Health's engineering and product management team to productionize your models into flexible data pipelines and ML\-based services.
* Continue to learn and experiment with new techniques in ML, software engineering, or safety so that we can better help communities on Twitch grow and stay safe.
Perks  
* Medical, Dental, Vision \&amp; Disability Insurance
* 401(k)
* Maternity \&amp; Parental Leave
* Flexible PTO
* Amazon Employee Discount
**BASIC QUALIFICATIONS**
------------------------
* 2\+ years of building production software experience
* 2\+ years of hands\-on industry experience building models for NLP, deep learning, bot detection, anomaly detection or in another practical ML domain.
* PhD / MSc Degree in Computer Science, Mathematics, Statistics, Physics, Engineering, or similar quantitative field OR equivalent hands on experience.
* Expertise with: Python and SQL, modern open source ML libraries (Pytorch, Tensorflow, etc.).
* Familiarity with operating in AWS or similar cloud\-computing services.
**PREFERRED QUALIFICATIONS**
----------------------------
* PhD with a specialization in Machine Learning.
* 1\+ years of experience working in the safety or fraud prevention domain (not necessarily as a scientist).
* Experience communicating with both technical and non\-technical partners and stakeholders.
* Familiarity with Twitch, its business, and its community.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\- 171,600\.00 \- 222,200\.00 USD annually  
USA, WA, SEATTLE \- 142,800\.00 \- 193,200\.00 USD annually  
USA, WA, Seattle \- 142,800\.00 \- 193,200\.00 USD annually</t>
        </is>
      </c>
    </row>
    <row r="138">
      <c r="A138" t="inlineStr">
        <is>
          <t>in-8cfe096b8ac0fbb9</t>
        </is>
      </c>
      <c r="B138" t="inlineStr">
        <is>
          <t>Applied Scientist, Safety ML</t>
        </is>
      </c>
      <c r="C138" t="inlineStr">
        <is>
          <t>Amazon.com</t>
        </is>
      </c>
      <c r="D138" t="inlineStr">
        <is>
          <t>indeed</t>
        </is>
      </c>
      <c r="E138" t="inlineStr"/>
      <c r="F138" t="inlineStr"/>
      <c r="G138" t="inlineStr">
        <is>
          <t>Seattle, WA, US</t>
        </is>
      </c>
      <c r="H138" s="2" t="n">
        <v>46037</v>
      </c>
      <c r="I138"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looking for applied scientists to solve challenging and open\-ended problems in the domain of user and content safety. As an applied scientist on Twitch's Community team, you will use machine learning to develop data products tackling problems such as harassment, spam, and illegal content. You will use a wide toolbox of ML tools to handle multiple types of data, including user behavior, metadata, and user generated content such as text and video. You will collaborate with a team of passionate scientists and engineers to develop these models and put them into production, where they can help Twitch's creators and viewers succeed and build communities.  
You will report to our Senior Applied Science Manager in San Francisco, CA. You can work from San Francisco, CA or Seattle, WA.  
You Will  
* Build machine learning products to protect Twitch and its users from abusive behavior such as harassment, spam, and violent or illegal content.
* Work backwards from customer problems to develop the right solution for the job, whether a classical ML model or a state\-of\-the\-art one.
* Collaborate with Community Health's engineering and product management team to productionize your models into flexible data pipelines and ML\-based services.
* Continue to learn and experiment with new techniques in ML, software engineering, or safety so that we can better help communities on Twitch grow and stay safe.
Perks  
* Medical, Dental, Vision \&amp; Disability Insurance
* 401(k)
* Maternity \&amp; Parental Leave
* Flexible PTO
* Amazon Employee Discount
**BASIC QUALIFICATIONS**
------------------------
* 2\+ years of building production software experience
* 2\+ years of hands\-on industry experience building models for NLP, deep learning, bot detection, anomaly detection or in another practical ML domain.
* PhD / MSc Degree in Computer Science, Mathematics, Statistics, Physics, Engineering, or similar quantitative field OR equivalent hands on experience.
* Expertise with: Python and SQL, modern open source ML libraries (Pytorch, Tensorflow, etc.).
* Familiarity with operating in AWS or similar cloud\-computing services.
**PREFERRED QUALIFICATIONS**
----------------------------
* PhD with a specialization in Machine Learning.
* 1\+ years of experience working in the safety or fraud prevention domain (not necessarily as a scientist).
* Experience communicating with both technical and non\-technical partners and stakeholders.
* Familiarity with Twitch, its business, and its community.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\- 171,600\.00 \- 222,200\.00 USD annually  
USA, WA, SEATTLE \- 142,800\.00 \- 193,200\.00 USD annually  
USA, WA, Seattle \- 142,800\.00 \- 193,200\.00 USD annually</t>
        </is>
      </c>
    </row>
    <row r="139">
      <c r="A139" t="inlineStr">
        <is>
          <t>in-6b117500cf397088</t>
        </is>
      </c>
      <c r="B139" t="inlineStr">
        <is>
          <t>Applied Scientist, LLM Code Agents, Kiro Science</t>
        </is>
      </c>
      <c r="C139" t="inlineStr">
        <is>
          <t>Amazon.com</t>
        </is>
      </c>
      <c r="D139" t="inlineStr">
        <is>
          <t>indeed</t>
        </is>
      </c>
      <c r="E139" t="inlineStr"/>
      <c r="F139" t="inlineStr"/>
      <c r="G139" t="inlineStr">
        <is>
          <t>Seattle, WA, US</t>
        </is>
      </c>
      <c r="H139" s="2" t="n">
        <v>46035</v>
      </c>
      <c r="I139" t="inlineStr">
        <is>
          <t>**DESCRIPTION**
---------------
Amazon Web Services (AWS) is assembling an elite team of world\-class scientists and engineers to pioneer the next generation of AI\-driven development tools. Join the Amazon Kiro LLM\-Training team and help create groundbreaking generative AI technologies including Kiro IDE and Amazon Q Developer that are transforming the software development landscape.  
Key job responsibilities  
As a key member of our team, you'll be at the forefront of innovation, where cutting\-edge research meets real\-world application:  
* Push the boundaries of reinforcement learning and post\-training methodologies for large language models specialized in code intelligence
* Invent and implement state\-of\-the\-art machine learning solutions that operate at unprecedented Amazon scale
* Deploy revolutionary products that directly impact the daily workflows of millions of developers worldwide
* Break new ground in AI and machine learning, challenging what's possible in intelligent code assistance
* Publish and present your pioneering work at premier ML and NLP conferences (NeurIPS, ICML, ICLR , ACL, EMNLP)
* Accelerate innovation by working directly with customers to rapidly transition research breakthroughs into production systems
About the team  
The AWS Developer Agents and Experiences (DAE) team is reimagining the builder experience through generative AI and foundation models. We're leveraging the latest advances in AI to transform how engineers work from IDE environments to web\-based tools and services, empowering developers to tackle projects of any scale with unprecedented efficiency.  
Broadly,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\- 171,600\.00 \- 222,200\.00 USD annually  
USA, WA, Seattle \- 142,800\.00 \- 193,200\.00 USD annually</t>
        </is>
      </c>
    </row>
    <row r="140">
      <c r="A140" t="inlineStr">
        <is>
          <t>in-016a25e8af0db865</t>
        </is>
      </c>
      <c r="B140" t="inlineStr">
        <is>
          <t>Applied Scientist, LLM Code Agents, Kiro Science</t>
        </is>
      </c>
      <c r="C140" t="inlineStr">
        <is>
          <t>Amazon.com</t>
        </is>
      </c>
      <c r="D140" t="inlineStr">
        <is>
          <t>indeed</t>
        </is>
      </c>
      <c r="E140" t="inlineStr"/>
      <c r="F140" t="inlineStr"/>
      <c r="G140" t="inlineStr">
        <is>
          <t>Santa Clara, CA, US</t>
        </is>
      </c>
      <c r="H140" s="2" t="n">
        <v>46035</v>
      </c>
      <c r="I140" t="inlineStr">
        <is>
          <t>**DESCRIPTION**
---------------
Amazon Web Services (AWS) is assembling an elite team of world\-class scientists and engineers to pioneer the next generation of AI\-driven development tools. Join the Amazon Kiro LLM\-Training team and help create groundbreaking generative AI technologies including Kiro IDE and Amazon Q Developer that are transforming the software development landscape.  
Key job responsibilities  
As a key member of our team, you'll be at the forefront of innovation, where cutting\-edge research meets real\-world application:  
* Push the boundaries of reinforcement learning and post\-training methodologies for large language models specialized in code intelligence
* Invent and implement state\-of\-the\-art machine learning solutions that operate at unprecedented Amazon scale
* Deploy revolutionary products that directly impact the daily workflows of millions of developers worldwide
* Break new ground in AI and machine learning, challenging what's possible in intelligent code assistance
* Publish and present your pioneering work at premier ML and NLP conferences (NeurIPS, ICML, ICLR , ACL, EMNLP)
* Accelerate innovation by working directly with customers to rapidly transition research breakthroughs into production systems
About the team  
The AWS Developer Agents and Experiences (DAE) team is reimagining the builder experience through generative AI and foundation models. We're leveraging the latest advances in AI to transform how engineers work from IDE environments to web\-based tools and services, empowering developers to tackle projects of any scale with unprecedented efficiency.  
Broadly,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\- 171,600\.00 \- 222,200\.00 USD annually  
USA, WA, Seattle \- 142,800\.00 \- 193,200\.00 USD annually</t>
        </is>
      </c>
    </row>
    <row r="141">
      <c r="A141" t="inlineStr">
        <is>
          <t>in-27e4acb060991154</t>
        </is>
      </c>
      <c r="B141" t="inlineStr">
        <is>
          <t>Senior Data Scientist, Amazon Stores Finance Science, Amazon Stores Finance Science</t>
        </is>
      </c>
      <c r="C141" t="inlineStr">
        <is>
          <t>Amazon.com</t>
        </is>
      </c>
      <c r="D141" t="inlineStr">
        <is>
          <t>indeed</t>
        </is>
      </c>
      <c r="E141" t="inlineStr"/>
      <c r="F141" t="inlineStr"/>
      <c r="G141" t="inlineStr">
        <is>
          <t>Bellevue, WA, US</t>
        </is>
      </c>
      <c r="H141" s="2" t="n">
        <v>46034</v>
      </c>
      <c r="I141" t="inlineStr">
        <is>
          <t>**DESCRIPTION**
---------------
WW Amazon Stores Finance Science (ASFS) works to leverage science and economics to drive improved financial results, foster data backed decisions, and embed science within Finance. ASFS is focused on developing products that empower controllership, improve business decisions and financial planning by understanding financial drivers, and innovate science capabilities for efficiency and scale.  
We are looking for a data scientist to lead high visibility initiatives for forecasting Amazon Stores' financials. You will develop new science\-based forecasting methodologies and build scalable models to improve financial decision making and planning for senior leadership up to VP and SVP level. You will build new ML and statistical models from the ground up that aim to transform financial planning for Amazon Stores.  
We prize creative problem solvers with the ability to draw on an expansive methodological toolkit to transform financial decision\-making with science. The ideal candidate combines data\-science acumen with strong business judgment. You have versatile modeling skills and are comfortable owning and extracting insights from data. You are excited to learn from and alongside seasoned scientists, engineers, and business leaders. You are an excellent communicator and effectively translate technical findings into business action.  
Key job responsibilities  
Demonstrating thorough technical knowledge, effective exploratory data analysis, and model building using industry standard ML models  
Working with technical and non\-technical stakeholders across every step of science project life cycle  
Collaborating with finance, product, data engineering, and software engineering teams to create production implementations for large\-scale ML models  
Innovating by adapting new modeling techniques and procedures  
Presenting research results to our internal research community
**BASIC QUALIFICATIONS**
------------------------
* 5\+ years of data querying languages (e.g. SQL), scripting languages (e.g. Python) or statistical/mathematical software (e.g. R, SAS, Matlab, etc.) experience
* 4\+ years of data scientist experience
* Experience with statistical models e.g. multinomial logistic regression
* Bachelor's degree in a quantitative field such as statistics, mathematics, data science, business analytics, economics, finance, engineering, or computer science
* Experience managing data pipelines
**PREFERRED QUALIFICATIONS**
----------------------------
* Experience as a leader and mentor on a data science team
* Knowledge of AWS tech stack (e.g., AWS Redshift, S3, EC2, Glue)
* Master's degree
* Experience in forecasting analyses
* Experience working with Data \&amp; AI related technologies, including, but not limited to, AI/ML, GenAI, Analytics, Database, and/or Storage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\- 183,000\.00 \- 247,600\.00 USD annually  
USA, WA, Bellevue \- 159,200\.00 \- 215,300\.00 USD annually  
USA, WA, Seattle \- 159,200\.00 \- 215,300\.00 USD annually</t>
        </is>
      </c>
    </row>
    <row r="142">
      <c r="A142" t="inlineStr">
        <is>
          <t>in-b78e9375643fd9e4</t>
        </is>
      </c>
      <c r="B142" t="inlineStr">
        <is>
          <t>Senior Data Scientist, Amazon Stores Finance Science, Amazon Stores Finance Science</t>
        </is>
      </c>
      <c r="C142" t="inlineStr">
        <is>
          <t>Amazon.com</t>
        </is>
      </c>
      <c r="D142" t="inlineStr">
        <is>
          <t>indeed</t>
        </is>
      </c>
      <c r="E142" t="inlineStr"/>
      <c r="F142" t="inlineStr"/>
      <c r="G142" t="inlineStr">
        <is>
          <t>Sunnyvale, CA, US</t>
        </is>
      </c>
      <c r="H142" s="2" t="n">
        <v>46034</v>
      </c>
      <c r="I142" t="inlineStr">
        <is>
          <t>**DESCRIPTION**
---------------
WW Amazon Stores Finance Science (ASFS) works to leverage science and economics to drive improved financial results, foster data backed decisions, and embed science within Finance. ASFS is focused on developing products that empower controllership, improve business decisions and financial planning by understanding financial drivers, and innovate science capabilities for efficiency and scale.  
We are looking for a data scientist to lead high visibility initiatives for forecasting Amazon Stores' financials. You will develop new science\-based forecasting methodologies and build scalable models to improve financial decision making and planning for senior leadership up to VP and SVP level. You will build new ML and statistical models from the ground up that aim to transform financial planning for Amazon Stores.  
We prize creative problem solvers with the ability to draw on an expansive methodological toolkit to transform financial decision\-making with science. The ideal candidate combines data\-science acumen with strong business judgment. You have versatile modeling skills and are comfortable owning and extracting insights from data. You are excited to learn from and alongside seasoned scientists, engineers, and business leaders. You are an excellent communicator and effectively translate technical findings into business action.  
Key job responsibilities  
Demonstrating thorough technical knowledge, effective exploratory data analysis, and model building using industry standard ML models  
Working with technical and non\-technical stakeholders across every step of science project life cycle  
Collaborating with finance, product, data engineering, and software engineering teams to create production implementations for large\-scale ML models  
Innovating by adapting new modeling techniques and procedures  
Presenting research results to our internal research community
**BASIC QUALIFICATIONS**
------------------------
* 5\+ years of data querying languages (e.g. SQL), scripting languages (e.g. Python) or statistical/mathematical software (e.g. R, SAS, Matlab, etc.) experience
* 4\+ years of data scientist experience
* Experience with statistical models e.g. multinomial logistic regression
* Bachelor's degree in a quantitative field such as statistics, mathematics, data science, business analytics, economics, finance, engineering, or computer science
* Experience managing data pipelines
**PREFERRED QUALIFICATIONS**
----------------------------
* Experience as a leader and mentor on a data science team
* Knowledge of AWS tech stack (e.g., AWS Redshift, S3, EC2, Glue)
* Master's degree
* Experience in forecasting analyses
* Experience working with Data \&amp; AI related technologies, including, but not limited to, AI/ML, GenAI, Analytics, Database, and/or Storage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\- 183,000\.00 \- 247,600\.00 USD annually  
USA, WA, Bellevue \- 159,200\.00 \- 215,300\.00 USD annually  
USA, WA, Seattle \- 159,200\.00 \- 215,300\.00 USD annually</t>
        </is>
      </c>
    </row>
    <row r="143">
      <c r="A143" t="inlineStr">
        <is>
          <t>in-cf85ac50ef05ea38</t>
        </is>
      </c>
      <c r="B143" t="inlineStr">
        <is>
          <t>Senior Data Scientist, Amazon Stores Finance Science, Amazon Stores Finance Science</t>
        </is>
      </c>
      <c r="C143" t="inlineStr">
        <is>
          <t>Amazon.com</t>
        </is>
      </c>
      <c r="D143" t="inlineStr">
        <is>
          <t>indeed</t>
        </is>
      </c>
      <c r="E143" t="inlineStr"/>
      <c r="F143" t="inlineStr"/>
      <c r="G143" t="inlineStr">
        <is>
          <t>Seattle, WA, US</t>
        </is>
      </c>
      <c r="H143" s="2" t="n">
        <v>46034</v>
      </c>
      <c r="I143" t="inlineStr">
        <is>
          <t>**DESCRIPTION**
---------------
WW Amazon Stores Finance Science (ASFS) works to leverage science and economics to drive improved financial results, foster data backed decisions, and embed science within Finance. ASFS is focused on developing products that empower controllership, improve business decisions and financial planning by understanding financial drivers, and innovate science capabilities for efficiency and scale.  
We are looking for a data scientist to lead high visibility initiatives for forecasting Amazon Stores' financials. You will develop new science\-based forecasting methodologies and build scalable models to improve financial decision making and planning for senior leadership up to VP and SVP level. You will build new ML and statistical models from the ground up that aim to transform financial planning for Amazon Stores.  
We prize creative problem solvers with the ability to draw on an expansive methodological toolkit to transform financial decision\-making with science. The ideal candidate combines data\-science acumen with strong business judgment. You have versatile modeling skills and are comfortable owning and extracting insights from data. You are excited to learn from and alongside seasoned scientists, engineers, and business leaders. You are an excellent communicator and effectively translate technical findings into business action.  
Key job responsibilities  
Demonstrating thorough technical knowledge, effective exploratory data analysis, and model building using industry standard ML models  
Working with technical and non\-technical stakeholders across every step of science project life cycle  
Collaborating with finance, product, data engineering, and software engineering teams to create production implementations for large\-scale ML models  
Innovating by adapting new modeling techniques and procedures  
Presenting research results to our internal research community
**BASIC QUALIFICATIONS**
------------------------
* 5\+ years of data querying languages (e.g. SQL), scripting languages (e.g. Python) or statistical/mathematical software (e.g. R, SAS, Matlab, etc.) experience
* 4\+ years of data scientist experience
* Experience with statistical models e.g. multinomial logistic regression
* Bachelor's degree in a quantitative field such as statistics, mathematics, data science, business analytics, economics, finance, engineering, or computer science
* Experience managing data pipelines
**PREFERRED QUALIFICATIONS**
----------------------------
* Experience as a leader and mentor on a data science team
* Knowledge of AWS tech stack (e.g., AWS Redshift, S3, EC2, Glue)
* Master's degree
* Experience in forecasting analyses
* Experience working with Data \&amp; AI related technologies, including, but not limited to, AI/ML, GenAI, Analytics, Database, and/or Storage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\- 183,000\.00 \- 247,600\.00 USD annually  
USA, WA, Bellevue \- 159,200\.00 \- 215,300\.00 USD annually  
USA, WA, Seattle \- 159,200\.00 \- 215,300\.00 USD annually</t>
        </is>
      </c>
    </row>
    <row r="144">
      <c r="A144" t="inlineStr">
        <is>
          <t>in-9814fb408282980f</t>
        </is>
      </c>
      <c r="B144" t="inlineStr">
        <is>
          <t>Sr Applied Scientist, AWS Proactive Security</t>
        </is>
      </c>
      <c r="C144" t="inlineStr">
        <is>
          <t>Amazon.com</t>
        </is>
      </c>
      <c r="D144" t="inlineStr">
        <is>
          <t>indeed</t>
        </is>
      </c>
      <c r="E144" t="inlineStr"/>
      <c r="F144" t="inlineStr"/>
      <c r="G144" t="inlineStr">
        <is>
          <t>Arlington, VA, US</t>
        </is>
      </c>
      <c r="H144" s="2" t="n">
        <v>46030</v>
      </c>
      <c r="I144" t="inlineStr">
        <is>
          <t>**DESCRIPTION**
---------------
In this role, you will design and build a foundational data mapping utility that enables next\-gen security automation across the Amazon business. As GenAI takes foot into the daily lives of every worker at Amazon, it is clear that high quality data context enables high quality outcomes.  
Your work includes designing a scalable and dependable database system that connects and enriches data from many of our internal data providers in way that is consumable by Agentic AI workflows.  
Key job responsibilities  
Lead the research, selection, and development of the appropriate data mechanisms to scale to meet the data context needs of Proactive Security and Security Assurance programs, to the ultimate goal of reducing the manual interaction between security and Amazon builders, while maintaining a high security bar. Work closely with Software Engineers and Applied Scientists to leverage the latest generative AI models to solve complex data mapping problems and increase our data mapping coverage and reasoning capabilities.  
About the team  
Diverse Experiences  
Amazon Security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Amazon Security?  
At Amazon, security is central to maintaining customer trust and delivering delightful customer experiences. Our organization is responsible for creating and maintaining a high bar for security across all of Amazon’s products and services. We offer talented security professionals the chance to accelerate their careers with opportunities to build experience in a wide variety of areas including cloud, devices, retail, entertainment, healthcare, operations, and physical stores.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\&amp; Career Growth  
We’re continuously raising our performance bar as we strive to become Earth’s Best Employer. That’s why you’ll find endless knowledge\-sharing, training, and other career\-advancing resources here to help you develop into a better\-rounded professional.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VA, Arlington \- 167,100\.00 \- 226,100\.00 USD annually  
USA, VA, Herndon \- 167,100\.00 \- 226,100\.00 USD annually</t>
        </is>
      </c>
    </row>
    <row r="145">
      <c r="A145" t="inlineStr">
        <is>
          <t>in-969c1209b9ebcb44</t>
        </is>
      </c>
      <c r="B145" t="inlineStr">
        <is>
          <t>Sr Applied Scientist, AWS Proactive Security</t>
        </is>
      </c>
      <c r="C145" t="inlineStr">
        <is>
          <t>Amazon.com</t>
        </is>
      </c>
      <c r="D145" t="inlineStr">
        <is>
          <t>indeed</t>
        </is>
      </c>
      <c r="E145" t="inlineStr"/>
      <c r="F145" t="inlineStr"/>
      <c r="G145" t="inlineStr">
        <is>
          <t>Herndon, VA, US</t>
        </is>
      </c>
      <c r="H145" s="2" t="n">
        <v>46030</v>
      </c>
      <c r="I145" t="inlineStr">
        <is>
          <t>**DESCRIPTION**
---------------
In this role, you will design and build a foundational data mapping utility that enables next\-gen security automation across the Amazon business. As GenAI takes foot into the daily lives of every worker at Amazon, it is clear that high quality data context enables high quality outcomes.  
Your work includes designing a scalable and dependable database system that connects and enriches data from many of our internal data providers in way that is consumable by Agentic AI workflows.  
Key job responsibilities  
Lead the research, selection, and development of the appropriate data mechanisms to scale to meet the data context needs of Proactive Security and Security Assurance programs, to the ultimate goal of reducing the manual interaction between security and Amazon builders, while maintaining a high security bar. Work closely with Software Engineers and Applied Scientists to leverage the latest generative AI models to solve complex data mapping problems and increase our data mapping coverage and reasoning capabilities.  
About the team  
Diverse Experiences  
Amazon Security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Amazon Security?  
At Amazon, security is central to maintaining customer trust and delivering delightful customer experiences. Our organization is responsible for creating and maintaining a high bar for security across all of Amazon’s products and services. We offer talented security professionals the chance to accelerate their careers with opportunities to build experience in a wide variety of areas including cloud, devices, retail, entertainment, healthcare, operations, and physical stores.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\&amp; Career Growth  
We’re continuously raising our performance bar as we strive to become Earth’s Best Employer. That’s why you’ll find endless knowledge\-sharing, training, and other career\-advancing resources here to help you develop into a better\-rounded professional.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VA, Arlington \- 167,100\.00 \- 226,100\.00 USD annually  
USA, VA, Herndon \- 167,100\.00 \- 226,100\.00 USD annually</t>
        </is>
      </c>
    </row>
    <row r="146">
      <c r="A146" t="inlineStr">
        <is>
          <t>in-38462bfeedb9d9ef</t>
        </is>
      </c>
      <c r="B146" t="inlineStr">
        <is>
          <t>Sr Applied Scientist, AWS Proactive Security</t>
        </is>
      </c>
      <c r="C146" t="inlineStr">
        <is>
          <t>Amazon.com</t>
        </is>
      </c>
      <c r="D146" t="inlineStr">
        <is>
          <t>indeed</t>
        </is>
      </c>
      <c r="E146" t="inlineStr"/>
      <c r="F146" t="inlineStr"/>
      <c r="G146" t="inlineStr">
        <is>
          <t>Sunnyvale, CA, US</t>
        </is>
      </c>
      <c r="H146" s="2" t="n">
        <v>46030</v>
      </c>
      <c r="I146" t="inlineStr">
        <is>
          <t>**DESCRIPTION**
---------------
In this role, you will design and build a foundational data mapping utility that enables next\-gen security automation across the Amazon business. As GenAI takes foot into the daily lives of every worker at Amazon, it is clear that high quality data context enables high quality outcomes.  
Your work includes designing a scalable and dependable database system that connects and enriches data from many of our internal data providers in way that is consumable by Agentic AI workflows.  
Key job responsibilities  
Lead the research, selection, and development of the appropriate data mechanisms to scale to meet the data context needs of Proactive Security and Security Assurance programs, to the ultimate goal of reducing the manual interaction between security and Amazon builders, while maintaining a high security bar. Work closely with Software Engineers and Applied Scientists to leverage the latest generative AI models to solve complex data mapping problems and increase our data mapping coverage and reasoning capabilities.  
About the team  
Diverse Experiences  
Amazon Security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Amazon Security?  
At Amazon, security is central to maintaining customer trust and delivering delightful customer experiences. Our organization is responsible for creating and maintaining a high bar for security across all of Amazon’s products and services. We offer talented security professionals the chance to accelerate their careers with opportunities to build experience in a wide variety of areas including cloud, devices, retail, entertainment, healthcare, operations, and physical stores.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\&amp; Career Growth  
We’re continuously raising our performance bar as we strive to become Earth’s Best Employer. That’s why you’ll find endless knowledge\-sharing, training, and other career\-advancing resources here to help you develop into a better\-rounded professional.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VA, Arlington \- 167,100\.00 \- 226,100\.00 USD annually  
USA, VA, Herndon \- 167,100\.00 \- 226,100\.00 USD annually</t>
        </is>
      </c>
    </row>
    <row r="147">
      <c r="A147" t="inlineStr">
        <is>
          <t>in-89c0f13032ae5730</t>
        </is>
      </c>
      <c r="B147" t="inlineStr">
        <is>
          <t>Applied Scientist, Last Mile Delivery Automation</t>
        </is>
      </c>
      <c r="C147" t="inlineStr">
        <is>
          <t>Amazon.com</t>
        </is>
      </c>
      <c r="D147" t="inlineStr">
        <is>
          <t>indeed</t>
        </is>
      </c>
      <c r="E147" t="inlineStr"/>
      <c r="F147" t="inlineStr"/>
      <c r="G147" t="inlineStr">
        <is>
          <t>Santa Clara, CA, US</t>
        </is>
      </c>
      <c r="H147" s="2" t="n">
        <v>46026</v>
      </c>
      <c r="I147" t="inlineStr">
        <is>
          <t>**DESCRIPTION**
---------------
As an Applied Scientist for Last Mile Delivery Automation, you will be at the forefront of developing AI and ML solutions that power our delivery solutions. This role combines deep expertise in machine learning, computer vision, and robotics to solve complex challenges in real\-world perception, navigation, and path planning. You will work closely with applied scientists, software developers, and product teams to research, design, and implement sophisticated algorithms that enable safe and efficient operations. This position requires a unique blend of theoretical knowledge and practical implementation skills, with a focus on transforming research concepts into production\-ready solutions that can operate reliably in diverse real\-world environments.  
Key job responsibilities  
* Design and develop advanced machine learning models and algorithms for perception, navigation and planning.
* Lead research initiatives in areas such as computer vision, sensor fusion, behavioral prediction, and path planning
* Transform research concepts into production\-ready solutions that meet strict safety and performance requirements
* Develop novel approaches to solve complex technical challenges in perception, navigation and planning
* Create and implement metrics and evaluation frameworks to measure model performance
* Collaborate with engineering teams to integrate ML solutions into production stack
* Publish research findings and represent Amazon at technical conferences
About the team  
The Applied Science team within Amazon's Last Mile Delivery Automation organization focuses on developing machine learning solutions for autonomous systems. We work at the intersection of computer vision, deep learning, robotics, and control systems to create robust and scalable algorithms that enable safe autonomous operation. Our team combines expertise from diverse scientific backgrounds to tackle fundamental challenges in perception, prediction, and decision\-making.
**BASIC QUALIFICATIONS**
------------------------
* 3\+ years of building models for business application experience
* PhD, or Master's degree and 4\+ years of CS, CE, ML or related field experience
* Experience in patents or publications at top\-tier peer\-reviewed conferences or journals
* Experience in building machine learning models for business application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8">
      <c r="A148" t="inlineStr">
        <is>
          <t>in-e251ded802cb518d</t>
        </is>
      </c>
      <c r="B148" t="inlineStr">
        <is>
          <t>Applied Scientist, Last Mile Delivery Automation</t>
        </is>
      </c>
      <c r="C148" t="inlineStr">
        <is>
          <t>Amazon.com</t>
        </is>
      </c>
      <c r="D148" t="inlineStr">
        <is>
          <t>indeed</t>
        </is>
      </c>
      <c r="E148" t="inlineStr"/>
      <c r="F148" t="inlineStr"/>
      <c r="G148" t="inlineStr">
        <is>
          <t>Bellevue, WA, US</t>
        </is>
      </c>
      <c r="H148" s="2" t="n">
        <v>46026</v>
      </c>
      <c r="I148" t="inlineStr">
        <is>
          <t>**DESCRIPTION**
---------------
As an Applied Scientist for Last Mile Delivery Automation, you will be at the forefront of developing AI and ML solutions that power our delivery solutions. This role combines deep expertise in machine learning, computer vision, and robotics to solve complex challenges in real\-world perception, navigation, and path planning. You will work closely with applied scientists, software developers, and product teams to research, design, and implement sophisticated algorithms that enable safe and efficient operations. This position requires a unique blend of theoretical knowledge and practical implementation skills, with a focus on transforming research concepts into production\-ready solutions that can operate reliably in diverse real\-world environments.  
Key job responsibilities  
* Design and develop advanced machine learning models and algorithms for perception, navigation and planning.
* Lead research initiatives in areas such as computer vision, sensor fusion, behavioral prediction, and path planning
* Transform research concepts into production\-ready solutions that meet strict safety and performance requirements
* Develop novel approaches to solve complex technical challenges in perception, navigation and planning
* Create and implement metrics and evaluation frameworks to measure model performance
* Collaborate with engineering teams to integrate ML solutions into production stack
* Publish research findings and represent Amazon at technical conferences
About the team  
The Applied Science team within Amazon's Last Mile Delivery Automation organization focuses on developing machine learning solutions for autonomous systems. We work at the intersection of computer vision, deep learning, robotics, and control systems to create robust and scalable algorithms that enable safe autonomous operation. Our team combines expertise from diverse scientific backgrounds to tackle fundamental challenges in perception, prediction, and decision\-making.
**BASIC QUALIFICATIONS**
------------------------
* 3\+ years of building models for business application experience
* PhD, or Master's degree and 4\+ years of CS, CE, ML or related field experience
* Experience in patents or publications at top\-tier peer\-reviewed conferences or journals
* Experience in building machine learning models for business application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9">
      <c r="A149" t="inlineStr">
        <is>
          <t>in-79f45c9ff9631014</t>
        </is>
      </c>
      <c r="B149" t="inlineStr">
        <is>
          <t>Senior Applied Scientist, Distributed SQL</t>
        </is>
      </c>
      <c r="C149" t="inlineStr">
        <is>
          <t>Amazon Web Services</t>
        </is>
      </c>
      <c r="D149" t="inlineStr">
        <is>
          <t>indeed</t>
        </is>
      </c>
      <c r="E149" t="inlineStr"/>
      <c r="F149" t="inlineStr"/>
      <c r="G149" t="inlineStr">
        <is>
          <t>East Palo Alto, CA, US</t>
        </is>
      </c>
      <c r="H149" s="2" t="n">
        <v>46012</v>
      </c>
      <c r="I149" t="inlineStr">
        <is>
          <t>**DESCRIPTION**
---------------
Amazon Aurora DSQL is a serverless, distributed SQL database with virtually unlimited scale, highest availability, and zero infrastructure management. Aurora DSQL provides active\-active high availability, providing strong data consistency designed for 99\.99% single\-Region and 99\.999% multi\-Region availability. Aurora DSQL automatically manages and scales system resources, so you don't have to worry about maintenance downtime and provisioning, patching, or upgrading infrastructure.  
As a Senior Applied Scientist, you will be expected to lead research and development in advanced query optimization techniques for distributed sql services. You will innovate in the query planning and execution layer to help Aurora DSQL succeed at delivering high performance for complex OLTP workloads. You will develop novel approaches to stats collection, query planning, execution and optimization. You will drive industry leading research, publish your research and help convert your research into implementations to make Aurora DSQL the fastest sql database for OLTP workloads.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Key job responsibilities  
Our engineers collaborate across diverse teams, projects, and environments to have a firsthand impact on our global customer base. You’ll bring a passion for innovation, data, search, analytics, and distributed systems. You’ll also:  
Solve challenging technical problems, often ones not solved before, at every layer of the stack.  
Design, implement, test, deploy and maintain innovative software solutions to transform service performance, durability, cost, and security.  
Build high\-quality, highly available, always\-on products.  
Research implementations that deliver the best possible experiences for customers.  
A day in the life  
As you design and code solutions to help our team drive efficiencies in software architecture, you’ll create metrics, implement automation and other improvements, and resolve the root cause of software defects. You’ll also:  
Build high\-impact solutions to deliver to our large customer base.  
Participate in design discussions, code review, and communicate with internal and external stakeholders.  
Work cross\-functionally to help drive business decisions with your technical input.  
Work in a startup\-like development environment, where you’re always working on the most important stuff.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East Palo Alto \- 192,200\.00 \- 260,000\.00 USD annually  
USA, WA, Seattle \- 167,100\.00 \- 226,100\.00 USD annually</t>
        </is>
      </c>
    </row>
    <row r="150">
      <c r="A150" t="inlineStr">
        <is>
          <t>in-97c10a300f5eea6a</t>
        </is>
      </c>
      <c r="B150" t="inlineStr">
        <is>
          <t>Senior Applied Scientist, Distributed SQL</t>
        </is>
      </c>
      <c r="C150" t="inlineStr">
        <is>
          <t>Amazon Web Services</t>
        </is>
      </c>
      <c r="D150" t="inlineStr">
        <is>
          <t>indeed</t>
        </is>
      </c>
      <c r="E150" t="inlineStr"/>
      <c r="F150" t="inlineStr"/>
      <c r="G150" t="inlineStr">
        <is>
          <t>Seattle, WA, US</t>
        </is>
      </c>
      <c r="H150" s="2" t="n">
        <v>46012</v>
      </c>
      <c r="I150" t="inlineStr">
        <is>
          <t>**DESCRIPTION**
---------------
Amazon Aurora DSQL is a serverless, distributed SQL database with virtually unlimited scale, highest availability, and zero infrastructure management. Aurora DSQL provides active\-active high availability, providing strong data consistency designed for 99\.99% single\-Region and 99\.999% multi\-Region availability. Aurora DSQL automatically manages and scales system resources, so you don't have to worry about maintenance downtime and provisioning, patching, or upgrading infrastructure.  
As a Senior Applied Scientist, you will be expected to lead research and development in advanced query optimization techniques for distributed sql services. You will innovate in the query planning and execution layer to help Aurora DSQL succeed at delivering high performance for complex OLTP workloads. You will develop novel approaches to stats collection, query planning, execution and optimization. You will drive industry leading research, publish your research and help convert your research into implementations to make Aurora DSQL the fastest sql database for OLTP workloads.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Key job responsibilities  
Our engineers collaborate across diverse teams, projects, and environments to have a firsthand impact on our global customer base. You’ll bring a passion for innovation, data, search, analytics, and distributed systems. You’ll also:  
Solve challenging technical problems, often ones not solved before, at every layer of the stack.  
Design, implement, test, deploy and maintain innovative software solutions to transform service performance, durability, cost, and security.  
Build high\-quality, highly available, always\-on products.  
Research implementations that deliver the best possible experiences for customers.  
A day in the life  
As you design and code solutions to help our team drive efficiencies in software architecture, you’ll create metrics, implement automation and other improvements, and resolve the root cause of software defects. You’ll also:  
Build high\-impact solutions to deliver to our large customer base.  
Participate in design discussions, code review, and communicate with internal and external stakeholders.  
Work cross\-functionally to help drive business decisions with your technical input.  
Work in a startup\-like development environment, where you’re always working on the most important stuff.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East Palo Alto \- 192,200\.00 \- 260,000\.00 USD annually  
USA, WA, Seattle \- 167,100\.00 \- 226,100\.00 USD annually</t>
        </is>
      </c>
    </row>
    <row r="151">
      <c r="A151" t="inlineStr">
        <is>
          <t>in-170fc6780876383d</t>
        </is>
      </c>
      <c r="B151" t="inlineStr">
        <is>
          <t>Applied Scientist, GenAI Evaluation Media</t>
        </is>
      </c>
      <c r="C151" t="inlineStr">
        <is>
          <t>Amazon.com</t>
        </is>
      </c>
      <c r="D151" t="inlineStr">
        <is>
          <t>indeed</t>
        </is>
      </c>
      <c r="E151" t="inlineStr"/>
      <c r="F151" t="inlineStr"/>
      <c r="G151" t="inlineStr">
        <is>
          <t>Seattle, WA, US</t>
        </is>
      </c>
      <c r="H151" s="2" t="n">
        <v>46006</v>
      </c>
      <c r="I151" t="inlineStr">
        <is>
          <t>**DESCRIPTION**
---------------
We are seeking an Applied Scientist to join our Generate AI Visual Media \- Core Experiences Science team. This organization drives significant business value by revolutionizing how customers interact with product imagery and videos across Amazon. Working at the intersection of Computer Vision and Generative AI, you will help customers make confident purchase decisions through optimized visual content. Our goal is to transform shopping into a personalized journey of inspiration, discovery, and evaluation by helping customers evaluate how products will fit and flatter their unique self before they ship. In this role, you will be responsible for building scalable computer vision and machine learning (CVML) models, and automating their application and expansion to power customer\-facing features.  
We are seeking domain expertise specifically in 3D Generative AI and Inverse Rendering. Relevant topics include Neural Fields, Implicit 3D Representations, NeRFs, Differentiable Rendering/Simulation, and Physically Based Rendering (PBR) Materials. We expect strong expertise at the intersection of Computer Graphics, Computer Vision, and Deep Learning. An inclination towards Generative AI, such as GANs, VQ\-VAE/GAN, and Diffusion Models, is essential. Additionally, experience in application\-specific domains such as Neural Avatars, Parametric Body Models, and Differentiable Rendering/Simulation will be highly advantageous.  
Key job responsibilities  
* Explore, collect, and process data
* Frame and transform ambiguous business challenges into science hypotheses. Design and implement offline and online experiments to evaluate them
* Develop prototypes to test new concepts/proposals for models and algorithms
* Design and build automated, scalable pipelines to train and deploy ML models
**BASIC QUALIFICATIONS**
------------------------
* PhD, or Master's degree and 5\+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developing and implementing deep learning algorithms, particularly with respect to computer vision algorithms
* Experience in patents or publications at top\-tier peer\-reviewed conferences or journals
* Experience with popular deep learning frameworks such as Tensor Flow and PyTorch.
* Usage of generative AI tools to enhance workflow efficiency, with a willingness to learn effective prompting and evaluation practices.
* Ability to recognize opportunities where generative AI could enhance products, workflows, or customer experiences.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152">
      <c r="A152" t="inlineStr">
        <is>
          <t>in-d6df0a458c064be2</t>
        </is>
      </c>
      <c r="B152" t="inlineStr">
        <is>
          <t>Applied Scientist, GenAI Evaluation Media</t>
        </is>
      </c>
      <c r="C152" t="inlineStr">
        <is>
          <t>Amazon.com</t>
        </is>
      </c>
      <c r="D152" t="inlineStr">
        <is>
          <t>indeed</t>
        </is>
      </c>
      <c r="E152" t="inlineStr"/>
      <c r="F152" t="inlineStr"/>
      <c r="G152" t="inlineStr">
        <is>
          <t>Sunnyvale, CA, US</t>
        </is>
      </c>
      <c r="H152" s="2" t="n">
        <v>46006</v>
      </c>
      <c r="I152" t="inlineStr">
        <is>
          <t>**DESCRIPTION**
---------------
We are seeking an Applied Scientist to join our Generate AI Visual Media \- Core Experiences Science team. This organization drives significant business value by revolutionizing how customers interact with product imagery and videos across Amazon. Working at the intersection of Computer Vision and Generative AI, you will help customers make confident purchase decisions through optimized visual content. Our goal is to transform shopping into a personalized journey of inspiration, discovery, and evaluation by helping customers evaluate how products will fit and flatter their unique self before they ship. In this role, you will be responsible for building scalable computer vision and machine learning (CVML) models, and automating their application and expansion to power customer\-facing features.  
We are seeking domain expertise specifically in 3D Generative AI and Inverse Rendering. Relevant topics include Neural Fields, Implicit 3D Representations, NeRFs, Differentiable Rendering/Simulation, and Physically Based Rendering (PBR) Materials. We expect strong expertise at the intersection of Computer Graphics, Computer Vision, and Deep Learning. An inclination towards Generative AI, such as GANs, VQ\-VAE/GAN, and Diffusion Models, is essential. Additionally, experience in application\-specific domains such as Neural Avatars, Parametric Body Models, and Differentiable Rendering/Simulation will be highly advantageous.  
Key job responsibilities  
* Explore, collect, and process data
* Frame and transform ambiguous business challenges into science hypotheses. Design and implement offline and online experiments to evaluate them
* Develop prototypes to test new concepts/proposals for models and algorithms
* Design and build automated, scalable pipelines to train and deploy ML models
**BASIC QUALIFICATIONS**
------------------------
* PhD, or Master's degree and 5\+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developing and implementing deep learning algorithms, particularly with respect to computer vision algorithms
* Experience in patents or publications at top\-tier peer\-reviewed conferences or journals
* Experience with popular deep learning frameworks such as Tensor Flow and PyTorch.
* Usage of generative AI tools to enhance workflow efficiency, with a willingness to learn effective prompting and evaluation practices.
* Ability to recognize opportunities where generative AI could enhance products, workflows, or customer experiences.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153">
      <c r="A153" t="inlineStr">
        <is>
          <t>in-b1cf94f99f18ab60</t>
        </is>
      </c>
      <c r="B153" t="inlineStr">
        <is>
          <t>Applied Scientist, GenAI Evaluation Media</t>
        </is>
      </c>
      <c r="C153" t="inlineStr">
        <is>
          <t>Amazon.com</t>
        </is>
      </c>
      <c r="D153" t="inlineStr">
        <is>
          <t>indeed</t>
        </is>
      </c>
      <c r="E153" t="inlineStr"/>
      <c r="F153" t="inlineStr"/>
      <c r="G153" t="inlineStr">
        <is>
          <t>New York, NY, US</t>
        </is>
      </c>
      <c r="H153" s="2" t="n">
        <v>46006</v>
      </c>
      <c r="I153" t="inlineStr">
        <is>
          <t>**DESCRIPTION**
---------------
We are seeking an Applied Scientist to join our Generate AI Visual Media \- Core Experiences Science team. This organization drives significant business value by revolutionizing how customers interact with product imagery and videos across Amazon. Working at the intersection of Computer Vision and Generative AI, you will help customers make confident purchase decisions through optimized visual content. Our goal is to transform shopping into a personalized journey of inspiration, discovery, and evaluation by helping customers evaluate how products will fit and flatter their unique self before they ship. In this role, you will be responsible for building scalable computer vision and machine learning (CVML) models, and automating their application and expansion to power customer\-facing features.  
We are seeking domain expertise specifically in 3D Generative AI and Inverse Rendering. Relevant topics include Neural Fields, Implicit 3D Representations, NeRFs, Differentiable Rendering/Simulation, and Physically Based Rendering (PBR) Materials. We expect strong expertise at the intersection of Computer Graphics, Computer Vision, and Deep Learning. An inclination towards Generative AI, such as GANs, VQ\-VAE/GAN, and Diffusion Models, is essential. Additionally, experience in application\-specific domains such as Neural Avatars, Parametric Body Models, and Differentiable Rendering/Simulation will be highly advantageous.  
Key job responsibilities  
* Explore, collect, and process data
* Frame and transform ambiguous business challenges into science hypotheses. Design and implement offline and online experiments to evaluate them
* Develop prototypes to test new concepts/proposals for models and algorithms
* Design and build automated, scalable pipelines to train and deploy ML models
**BASIC QUALIFICATIONS**
------------------------
* PhD, or Master's degree and 5\+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developing and implementing deep learning algorithms, particularly with respect to computer vision algorithms
* Experience in patents or publications at top\-tier peer\-reviewed conferences or journals
* Experience with popular deep learning frameworks such as Tensor Flow and PyTorch.
* Usage of generative AI tools to enhance workflow efficiency, with a willingness to learn effective prompting and evaluation practices.
* Ability to recognize opportunities where generative AI could enhance products, workflows, or customer experiences.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154">
      <c r="A154" t="inlineStr">
        <is>
          <t>in-3c40b29c48a733db</t>
        </is>
      </c>
      <c r="B154" t="inlineStr">
        <is>
          <t>Principal Applied Scientist, Kiro Science</t>
        </is>
      </c>
      <c r="C154" t="inlineStr">
        <is>
          <t>Amazon Web Services</t>
        </is>
      </c>
      <c r="D154" t="inlineStr">
        <is>
          <t>indeed</t>
        </is>
      </c>
      <c r="E154" t="inlineStr"/>
      <c r="F154" t="inlineStr"/>
      <c r="G154" t="inlineStr">
        <is>
          <t>Santa Clara, CA, US</t>
        </is>
      </c>
      <c r="H154" s="2" t="n">
        <v>45999</v>
      </c>
      <c r="I154" t="inlineStr">
        <is>
          <t>**DESCRIPTION**
---------------
AWS Agentic AI is looking for a Principal Applied Scientist who will partner with world\-class scientists and engineers to pioneer the next generation of AI\-driven development tools. Join the Amazon Kiro LLM\-Training team and help create groundbreaking generative AI technologies including Kiro IDE and Amazon Q Developer that are transforming the software development landscape.  
Key job responsibilities  
As a key member of our team, you'll be at the forefront of innovation, where cutting\-edge research meets real\-world application:  
* Push the boundaries of reinforcement learning and post\-training methodologies for large language models specialized in code intelligence
* Invent and implement state\-of\-the\-art machine learning solutions that operate at unprecedented Amazon scale
* Deploy revolutionary products that directly impact the daily workflows of millions of developers worldwide
* Break new ground in AI and machine learning, challenging what's possible in intelligent code assistance
* Publish and present your pioneering work at premier ML and NLP conferences (NeurIPS, ICML, ICLR , ACL, EMNLP)
* Accelerate innovation by working directly with customers to rapidly transition research breakthroughs into production systems
About the team  
The AWS Developer Agents and Experiences (DAE) team is reimagining the builder experience through generative AI and foundation models. We're leveraging the latest advances in AI to transform how engineers work from IDE environments to web\-based tools and services, empowering developers to tackle projects of any scale with unprecedented efficiency.  
Broadly,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offices.**BASIC QUALIFICATIONS**
------------------------
* PhD, or Master's degree and 10\+ years of CS, CE, ML or related field experience
* 8\+ years of building models for business application experience
* Experience in patents or publications at top\-tier peer\-reviewed conferences or journals
* Experience programming in Java, C\+\+, Python or related language
* Experience in any of the following areas: AI (NLP or multi\-modality models), Deep Learning, LLM model training, graph learning, software engineering.
**PREFERRED QUALIFICATIONS**
----------------------------
* First author publications at Tier\-1 ML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t>
        </is>
      </c>
    </row>
    <row r="155">
      <c r="A155" t="inlineStr">
        <is>
          <t>in-7dc96c2bab23f3ef</t>
        </is>
      </c>
      <c r="B155" t="inlineStr">
        <is>
          <t>Principal Applied Scientist, Kiro Science</t>
        </is>
      </c>
      <c r="C155" t="inlineStr">
        <is>
          <t>Amazon Web Services</t>
        </is>
      </c>
      <c r="D155" t="inlineStr">
        <is>
          <t>indeed</t>
        </is>
      </c>
      <c r="E155" t="inlineStr"/>
      <c r="F155" t="inlineStr"/>
      <c r="G155" t="inlineStr">
        <is>
          <t>New York, NY, US</t>
        </is>
      </c>
      <c r="H155" s="2" t="n">
        <v>45999</v>
      </c>
      <c r="I155" t="inlineStr">
        <is>
          <t>**DESCRIPTION**
---------------
AWS Agentic AI is looking for a Principal Applied Scientist who will partner with world\-class scientists and engineers to pioneer the next generation of AI\-driven development tools. Join the Amazon Kiro LLM\-Training team and help create groundbreaking generative AI technologies including Kiro IDE and Amazon Q Developer that are transforming the software development landscape.  
Key job responsibilities  
As a key member of our team, you'll be at the forefront of innovation, where cutting\-edge research meets real\-world application:  
* Push the boundaries of reinforcement learning and post\-training methodologies for large language models specialized in code intelligence
* Invent and implement state\-of\-the\-art machine learning solutions that operate at unprecedented Amazon scale
* Deploy revolutionary products that directly impact the daily workflows of millions of developers worldwide
* Break new ground in AI and machine learning, challenging what's possible in intelligent code assistance
* Publish and present your pioneering work at premier ML and NLP conferences (NeurIPS, ICML, ICLR , ACL, EMNLP)
* Accelerate innovation by working directly with customers to rapidly transition research breakthroughs into production systems
About the team  
The AWS Developer Agents and Experiences (DAE) team is reimagining the builder experience through generative AI and foundation models. We're leveraging the latest advances in AI to transform how engineers work from IDE environments to web\-based tools and services, empowering developers to tackle projects of any scale with unprecedented efficiency.  
Broadly,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offices.**BASIC QUALIFICATIONS**
------------------------
* PhD, or Master's degree and 10\+ years of CS, CE, ML or related field experience
* 8\+ years of building models for business application experience
* Experience in patents or publications at top\-tier peer\-reviewed conferences or journals
* Experience programming in Java, C\+\+, Python or related language
* Experience in any of the following areas: AI (NLP or multi\-modality models), Deep Learning, LLM model training, graph learning, software engineering.
**PREFERRED QUALIFICATIONS**
----------------------------
* First author publications at Tier\-1 ML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t>
        </is>
      </c>
    </row>
    <row r="156">
      <c r="A156" t="inlineStr">
        <is>
          <t>in-84889ae3903c3ecf</t>
        </is>
      </c>
      <c r="B156" t="inlineStr">
        <is>
          <t>Principal Applied Scientist, Sponsored Products and Brands</t>
        </is>
      </c>
      <c r="C156" t="inlineStr">
        <is>
          <t>Amazon.com</t>
        </is>
      </c>
      <c r="D156" t="inlineStr">
        <is>
          <t>indeed</t>
        </is>
      </c>
      <c r="E156" t="inlineStr"/>
      <c r="F156" t="inlineStr"/>
      <c r="G156" t="inlineStr">
        <is>
          <t>New York, NY, US</t>
        </is>
      </c>
      <c r="H156" s="2" t="n">
        <v>45979</v>
      </c>
      <c r="I156"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 Principal Scientist for the team, you will have the opportunity to apply your deep subject matter expertise in the area of ML, LLM and GenAI models. You will invent new product experiences that enable novel advertiser and shopper experiences. This role will liaise with internal Amazon partners and work on bringing state\-of\-the\-art GenAI models to production, and stay abreast of the latest developments in the space of GenAI and identify opportunities to improve the efficiency and productivity of the team. Additionally, you will define a long\-term science vision for our advertising business, driven by our customer’s needs, and translate it into actionable plans for our team of applied scientists and engineers.  
This role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org.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PhD in Computer Science, Statistics or related field.
* 10\+ years of programming in Java, Python or related language.
* 10\+ years of applied ML experience in building complex, real\-time systems involving AI, ML with successful delivery to customers.
* 3\+ years in LLMs, model fine tuning and prompt engineering.
* 3\+ years in digital advertising technology.
**PREFERRED QUALIFICATIONS**
----------------------------
* Demonstrated track record of innovative AI solution development.
* Experience with generative model architectures.
* Research publications or patents in generative AI technologies.
* Experience in Reinforcement Learning from Human Feedback (RLHF), Retrieval\-Augmented Generation (RAG) and AI model trade\-offs (e.g., model size, latency, cost, and output quality).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7">
      <c r="A157" t="inlineStr">
        <is>
          <t>in-5ab6f9795d805f1c</t>
        </is>
      </c>
      <c r="B157" t="inlineStr">
        <is>
          <t>Principal Applied Scientist, Sponsored Products and Brands</t>
        </is>
      </c>
      <c r="C157" t="inlineStr">
        <is>
          <t>Amazon.com</t>
        </is>
      </c>
      <c r="D157" t="inlineStr">
        <is>
          <t>indeed</t>
        </is>
      </c>
      <c r="E157" t="inlineStr"/>
      <c r="F157" t="inlineStr"/>
      <c r="G157" t="inlineStr">
        <is>
          <t>Seattle, WA, US</t>
        </is>
      </c>
      <c r="H157" s="2" t="n">
        <v>45979</v>
      </c>
      <c r="I157"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 Principal Scientist for the team, you will have the opportunity to apply your deep subject matter expertise in the area of ML, LLM and GenAI models. You will invent new product experiences that enable novel advertiser and shopper experiences. This role will liaise with internal Amazon partners and work on bringing state\-of\-the\-art GenAI models to production, and stay abreast of the latest developments in the space of GenAI and identify opportunities to improve the efficiency and productivity of the team. Additionally, you will define a long\-term science vision for our advertising business, driven by our customer’s needs, and translate it into actionable plans for our team of applied scientists and engineers.  
This role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org.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PhD in Computer Science, Statistics or related field.
* 10\+ years of programming in Java, Python or related language.
* 10\+ years of applied ML experience in building complex, real\-time systems involving AI, ML with successful delivery to customers.
* 3\+ years in LLMs, model fine tuning and prompt engineering.
* 3\+ years in digital advertising technology.
**PREFERRED QUALIFICATIONS**
----------------------------
* Demonstrated track record of innovative AI solution development.
* Experience with generative model architectures.
* Research publications or patents in generative AI technologies.
* Experience in Reinforcement Learning from Human Feedback (RLHF), Retrieval\-Augmented Generation (RAG) and AI model trade\-offs (e.g., model size, latency, cost, and output quality).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8">
      <c r="A158" t="inlineStr">
        <is>
          <t>in-1c909fae4b6788af</t>
        </is>
      </c>
      <c r="B158" t="inlineStr">
        <is>
          <t>Applied Scientist, Personalization, DTx Science</t>
        </is>
      </c>
      <c r="C158" t="inlineStr">
        <is>
          <t>Amazon.com</t>
        </is>
      </c>
      <c r="D158" t="inlineStr">
        <is>
          <t>indeed</t>
        </is>
      </c>
      <c r="E158" t="inlineStr"/>
      <c r="F158" t="inlineStr"/>
      <c r="G158" t="inlineStr">
        <is>
          <t>New York, NY, US</t>
        </is>
      </c>
      <c r="H158" s="2" t="n">
        <v>45979</v>
      </c>
      <c r="I158" t="inlineStr">
        <is>
          <t>**DESCRIPTION**
---------------
Amazon Advertising is one of Amazon's fastest growing and most profitable businesses, responsible for defining and delivering a collection of advertising products that drive discovery and sales. Our products and solutions are strategically important to enable our Retail and Marketplace businesses to drive long\-term growth. We deliver billions of ad impressions and millions of clicks and break fresh ground in product and technical innovations every day!  
Our team owns personalization, guidance and experimentation science and is placed centrally in the organization which owns the Amazon Advertising Console from UX design to components and services. We leverage a breadth of state\-of\-the\-art techniques such as deep learning, reinforcement learning, LLMs, long term causal modeling as well as sophisticated A/B testing to develop personalized experiences with directly quantifiable business and advertiser success outcomes. We are looking for an accomplished machine learning expert to lead the Applied Science strategy for our recommendation creation and recommendation personalziation program.
In this role, you will work closely with business leaders, stakeholders and cross\-functional teams to drive program success through ML\-driven solutions. You will shape the applied science roadmap, promote a culture of data\-driven decision\-making, and deliver significant business impact for millions of advertisers worldwide and the company using advanced data techniques and applied science methodologies.  
Key job responsibilities  
As an Applied Scientist on this team, you will  
* Serve as the technical leader in Machine Learning, driving collaboration between scientists and engineers, guiding efforts within the team and collaborating with other teams.
* Conduct hands\-on analysis and modeling of large\-scale data to generate insights that boost ads revenue while maintaining a positive advertiser and shopper experience.
* Lead end\-to\-end Machine Learning projects that involve high levels of ambiguity, scale, and complexity.
* Build, experiment, optimize, and deploy machine learning models, collaborating with software engineers to bring your models into production.
* Run A/B experiments, gather data, and perform statistical analysis to validate your models.
* Develop scalable and automated processes for large\-scale data analysis, model development, validation, and serving.
* Explore and research innovative machine learning approaches to push the boundaries of what’s possible.
**BASIC QUALIFICATIONS**
------------------------
* 3\+ years of building models for business application experience
* PhD, or Master's degree and 5\+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159">
      <c r="A159" t="inlineStr">
        <is>
          <t>in-9266f0187eaa8f8a</t>
        </is>
      </c>
      <c r="B159" t="inlineStr">
        <is>
          <t>Applied Scientist, Personalization, DTx Science</t>
        </is>
      </c>
      <c r="C159" t="inlineStr">
        <is>
          <t>Amazon.com</t>
        </is>
      </c>
      <c r="D159" t="inlineStr">
        <is>
          <t>indeed</t>
        </is>
      </c>
      <c r="E159" t="inlineStr"/>
      <c r="F159" t="inlineStr"/>
      <c r="G159" t="inlineStr">
        <is>
          <t>Seattle, WA, US</t>
        </is>
      </c>
      <c r="H159" s="2" t="n">
        <v>45979</v>
      </c>
      <c r="I159" t="inlineStr">
        <is>
          <t>**DESCRIPTION**
---------------
Amazon Advertising is one of Amazon's fastest growing and most profitable businesses, responsible for defining and delivering a collection of advertising products that drive discovery and sales. Our products and solutions are strategically important to enable our Retail and Marketplace businesses to drive long\-term growth. We deliver billions of ad impressions and millions of clicks and break fresh ground in product and technical innovations every day!  
Our team owns personalization, guidance and experimentation science and is placed centrally in the organization which owns the Amazon Advertising Console from UX design to components and services. We leverage a breadth of state\-of\-the\-art techniques such as deep learning, reinforcement learning, LLMs, long term causal modeling as well as sophisticated A/B testing to develop personalized experiences with directly quantifiable business and advertiser success outcomes. We are looking for an accomplished machine learning expert to lead the Applied Science strategy for our recommendation creation and recommendation personalziation program.
In this role, you will work closely with business leaders, stakeholders and cross\-functional teams to drive program success through ML\-driven solutions. You will shape the applied science roadmap, promote a culture of data\-driven decision\-making, and deliver significant business impact for millions of advertisers worldwide and the company using advanced data techniques and applied science methodologies.  
Key job responsibilities  
As an Applied Scientist on this team, you will  
* Serve as the technical leader in Machine Learning, driving collaboration between scientists and engineers, guiding efforts within the team and collaborating with other teams.
* Conduct hands\-on analysis and modeling of large\-scale data to generate insights that boost ads revenue while maintaining a positive advertiser and shopper experience.
* Lead end\-to\-end Machine Learning projects that involve high levels of ambiguity, scale, and complexity.
* Build, experiment, optimize, and deploy machine learning models, collaborating with software engineers to bring your models into production.
* Run A/B experiments, gather data, and perform statistical analysis to validate your models.
* Develop scalable and automated processes for large\-scale data analysis, model development, validation, and serving.
* Explore and research innovative machine learning approaches to push the boundaries of what’s possible.
**BASIC QUALIFICATIONS**
------------------------
* 3\+ years of building models for business application experience
* PhD, or Master's degree and 5\+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160">
      <c r="A160" t="inlineStr">
        <is>
          <t>in-ec7fac6e966d4b04</t>
        </is>
      </c>
      <c r="B160" t="inlineStr">
        <is>
          <t>Senior Applied Scientist, Sponsored Products and Brands</t>
        </is>
      </c>
      <c r="C160" t="inlineStr">
        <is>
          <t>Amazon.com</t>
        </is>
      </c>
      <c r="D160" t="inlineStr">
        <is>
          <t>indeed</t>
        </is>
      </c>
      <c r="E160" t="inlineStr"/>
      <c r="F160" t="inlineStr"/>
      <c r="G160" t="inlineStr">
        <is>
          <t>New York, NY, US</t>
        </is>
      </c>
      <c r="H160" s="2" t="n">
        <v>45979</v>
      </c>
      <c r="I160" t="inlineStr">
        <is>
          <t>**DESCRIPTION**
---------------
The Sponsored Products and Brands team at Amazon Ads is re\-imagining the advertising landscape through novel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Key job responsibilities  
As an applied scientist on our team, you will  
* Develop AI solutions for Sponsored Brands advertiser and shopper experiences. Build recommendation systems that leverage generative models to develop and improve campaigns.
* You invent and design new solutions for scientifically\-complex problem areas and/or opportunities in new business initiatives.
* You drive or heavily influence the design of scientifically\-complex software solutions or systems, for which you personally write significant parts of the critical scientific novelty. You take ownership of these components, providing a system\-wide view and design guidance. These systems or solutions can be brand new or evolve from existing ones.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Work closely with engineers and product managers to design, implement and launch AI solutions end\-to\-end;
* Design and conduct A/B experiments to evaluate proposed solutions based on in\-depth data analyses;
* Think big about the arc of development of Gen AI over a multi\-year horizon, and identify new opportunities to apply these technologies to solve real\-world problems
* Effectively communicate technical and non\-technical ideas with teammates and stakeholders;
* Translate complex scientific challenges into clear and impactful solutions for business stakeholders.
* Mentor and guide junior scientists, fostering a collaborative and high\-performing team culture.
* Stay up\-to\-date with advancements and the latest modeling techniques in the field
About the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\#GenAI**BASIC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Deep curiosity, and basic knowledge on Gen AI
* Deep curiosity, and basic knowledge on Gen AI
**PREFERRED QUALIFICATIONS**
----------------------------
* Experience with modeling tools such as R, scikit\-learn, Spark MLLib, MxNet, Tensorflow, numpy, scipy etc.
* Experience with large scale distributed systems such as Hadoop, Spark etc.
* Previous work on agents or LLMs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WA, Seattle \- 167,100\.00 \- 226,100\.00 USD annually</t>
        </is>
      </c>
    </row>
    <row r="161">
      <c r="A161" t="inlineStr">
        <is>
          <t>in-5efcd95d119542b4</t>
        </is>
      </c>
      <c r="B161" t="inlineStr">
        <is>
          <t>Senior Applied Scientist, Sponsored Products and Brands</t>
        </is>
      </c>
      <c r="C161" t="inlineStr">
        <is>
          <t>Amazon.com</t>
        </is>
      </c>
      <c r="D161" t="inlineStr">
        <is>
          <t>indeed</t>
        </is>
      </c>
      <c r="E161" t="inlineStr"/>
      <c r="F161" t="inlineStr"/>
      <c r="G161" t="inlineStr">
        <is>
          <t>Seattle, WA, US</t>
        </is>
      </c>
      <c r="H161" s="2" t="n">
        <v>45979</v>
      </c>
      <c r="I161" t="inlineStr">
        <is>
          <t>**DESCRIPTION**
---------------
The Sponsored Products and Brands team at Amazon Ads is re\-imagining the advertising landscape through novel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Key job responsibilities  
As an applied scientist on our team, you will  
* Develop AI solutions for Sponsored Brands advertiser and shopper experiences. Build recommendation systems that leverage generative models to develop and improve campaigns.
* You invent and design new solutions for scientifically\-complex problem areas and/or opportunities in new business initiatives.
* You drive or heavily influence the design of scientifically\-complex software solutions or systems, for which you personally write significant parts of the critical scientific novelty. You take ownership of these components, providing a system\-wide view and design guidance. These systems or solutions can be brand new or evolve from existing ones.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Work closely with engineers and product managers to design, implement and launch AI solutions end\-to\-end;
* Design and conduct A/B experiments to evaluate proposed solutions based on in\-depth data analyses;
* Think big about the arc of development of Gen AI over a multi\-year horizon, and identify new opportunities to apply these technologies to solve real\-world problems
* Effectively communicate technical and non\-technical ideas with teammates and stakeholders;
* Translate complex scientific challenges into clear and impactful solutions for business stakeholders.
* Mentor and guide junior scientists, fostering a collaborative and high\-performing team culture.
* Stay up\-to\-date with advancements and the latest modeling techniques in the field
About the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\#GenAI**BASIC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Deep curiosity, and basic knowledge on Gen AI
* Deep curiosity, and basic knowledge on Gen AI
**PREFERRED QUALIFICATIONS**
----------------------------
* Experience with modeling tools such as R, scikit\-learn, Spark MLLib, MxNet, Tensorflow, numpy, scipy etc.
* Experience with large scale distributed systems such as Hadoop, Spark etc.
* Previous work on agents or LLMs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WA, Seattle \- 167,100\.00 \- 226,100\.00 USD annually</t>
        </is>
      </c>
    </row>
    <row r="162">
      <c r="A162" t="inlineStr">
        <is>
          <t>in-64e0ebab2208d581</t>
        </is>
      </c>
      <c r="B162" t="inlineStr">
        <is>
          <t>Applied Scientist II, Prime Video Personalization and Discovery Science</t>
        </is>
      </c>
      <c r="C162" t="inlineStr">
        <is>
          <t>Amazon.com</t>
        </is>
      </c>
      <c r="D162" t="inlineStr">
        <is>
          <t>indeed</t>
        </is>
      </c>
      <c r="E162" t="inlineStr"/>
      <c r="F162" t="inlineStr"/>
      <c r="G162" t="inlineStr">
        <is>
          <t>Seattle, WA, US</t>
        </is>
      </c>
      <c r="H162" s="2" t="n">
        <v>45978</v>
      </c>
      <c r="I16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foundation models for content understanding using state\-of\-the\-art deep learning and multimodal learning techniques to analyze video, audio,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163">
      <c r="A163" t="inlineStr">
        <is>
          <t>in-2ae495a0e96c1d10</t>
        </is>
      </c>
      <c r="B163" t="inlineStr">
        <is>
          <t>Principal Applied Scientist, Amazon AGI</t>
        </is>
      </c>
      <c r="C163" t="inlineStr">
        <is>
          <t>Amazon.com</t>
        </is>
      </c>
      <c r="D163" t="inlineStr">
        <is>
          <t>indeed</t>
        </is>
      </c>
      <c r="E163" t="inlineStr"/>
      <c r="F163" t="inlineStr"/>
      <c r="G163" t="inlineStr">
        <is>
          <t>San Francisco, CA, US</t>
        </is>
      </c>
      <c r="H163" s="2" t="n">
        <v>45964</v>
      </c>
      <c r="I163" t="inlineStr">
        <is>
          <t>**DESCRIPTION**
---------------
The Artificial General Intelligence (AGI) team is looking for a passionate, talented, and inventive Principal Applied Scientist with a strong deep learning and generative AI background, to focus on the development of software development skills of Nova foundational models.  
As a Principal Applied Scientist,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Key job responsibilities  
You will be responsible for defining key research directions, adopting or inventing new machine learning techniques, conducting rigorous experiments, publishing results,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strong and with a passion for building scalable science and engineering solutions. You will serve as a key scientific resource in full\-cycle development (conception, design, implementation, testing to documentation, delivery, and maintenance).
**BASIC QUALIFICATIONS**
------------------------
* 5\+ years of hands\-on work in predictive modeling and analysis experience
* PhD in Electrical Engineering, Computer Science, Mathematics, or a related technical field
* Experience working in predictive modeling and analysis
* Experience distilling informal customer requirements into problem definitions, dealing with ambiguity and competing objectives
* Experience programming in Java, C\+\+, Python or related language
* Experience with leading experienced scientists as well as having a record of developing junior members from academia or industry to a career track in a business environment
**PREFERRED QUALIFICATIONS**
----------------------------
* 10\+ years of relevant work in industry or academia experience
* Knowledge of problem solving, algorithm design and complexity analysis
* Experience creating novel algorithms and advancing the state of the art
* Have peer\-reviewed scientific contributions in premier journals and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4">
      <c r="A164" t="inlineStr">
        <is>
          <t>in-d02f1e94a6203263</t>
        </is>
      </c>
      <c r="B164" t="inlineStr">
        <is>
          <t>Principal Applied Scientist, Amazon AGI</t>
        </is>
      </c>
      <c r="C164" t="inlineStr">
        <is>
          <t>Amazon.com</t>
        </is>
      </c>
      <c r="D164" t="inlineStr">
        <is>
          <t>indeed</t>
        </is>
      </c>
      <c r="E164" t="inlineStr"/>
      <c r="F164" t="inlineStr"/>
      <c r="G164" t="inlineStr">
        <is>
          <t>Boston, MA, US</t>
        </is>
      </c>
      <c r="H164" s="2" t="n">
        <v>45964</v>
      </c>
      <c r="I164" t="inlineStr">
        <is>
          <t>**DESCRIPTION**
---------------
The Artificial General Intelligence (AGI) team is looking for a passionate, talented, and inventive Principal Applied Scientist with a strong deep learning and generative AI background, to focus on the development of software development skills of Nova foundational models.  
As a Principal Applied Scientist,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Key job responsibilities  
You will be responsible for defining key research directions, adopting or inventing new machine learning techniques, conducting rigorous experiments, publishing results,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strong and with a passion for building scalable science and engineering solutions. You will serve as a key scientific resource in full\-cycle development (conception, design, implementation, testing to documentation, delivery, and maintenance).
**BASIC QUALIFICATIONS**
------------------------
* 5\+ years of hands\-on work in predictive modeling and analysis experience
* PhD in Electrical Engineering, Computer Science, Mathematics, or a related technical field
* Experience working in predictive modeling and analysis
* Experience distilling informal customer requirements into problem definitions, dealing with ambiguity and competing objectives
* Experience programming in Java, C\+\+, Python or related language
* Experience with leading experienced scientists as well as having a record of developing junior members from academia or industry to a career track in a business environment
**PREFERRED QUALIFICATIONS**
----------------------------
* 10\+ years of relevant work in industry or academia experience
* Knowledge of problem solving, algorithm design and complexity analysis
* Experience creating novel algorithms and advancing the state of the art
* Have peer\-reviewed scientific contributions in premier journals and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5">
      <c r="A165" t="inlineStr">
        <is>
          <t>in-c3dfa2056225bb5e</t>
        </is>
      </c>
      <c r="B165" t="inlineStr">
        <is>
          <t>Applied Scientist, AWS Agentic AI</t>
        </is>
      </c>
      <c r="C165" t="inlineStr">
        <is>
          <t>Amazon Web Services</t>
        </is>
      </c>
      <c r="D165" t="inlineStr">
        <is>
          <t>indeed</t>
        </is>
      </c>
      <c r="E165" t="inlineStr"/>
      <c r="F165" t="inlineStr"/>
      <c r="G165" t="inlineStr">
        <is>
          <t>Santa Clara, CA, US</t>
        </is>
      </c>
      <c r="H165" s="2" t="n">
        <v>45962</v>
      </c>
      <c r="I165"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6">
      <c r="A166" t="inlineStr">
        <is>
          <t>in-52c79c38b152934f</t>
        </is>
      </c>
      <c r="B166" t="inlineStr">
        <is>
          <t>Applied Scientist, AWS Agentic AI</t>
        </is>
      </c>
      <c r="C166" t="inlineStr">
        <is>
          <t>Amazon Web Services</t>
        </is>
      </c>
      <c r="D166" t="inlineStr">
        <is>
          <t>indeed</t>
        </is>
      </c>
      <c r="E166" t="inlineStr"/>
      <c r="F166" t="inlineStr"/>
      <c r="G166" t="inlineStr">
        <is>
          <t>Seattle, WA, US</t>
        </is>
      </c>
      <c r="H166" s="2" t="n">
        <v>45962</v>
      </c>
      <c r="I166"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7">
      <c r="A167" t="inlineStr">
        <is>
          <t>in-b86f5369b0b0a679</t>
        </is>
      </c>
      <c r="B167" t="inlineStr">
        <is>
          <t>Applied Scientist, AWS Agentic AI</t>
        </is>
      </c>
      <c r="C167" t="inlineStr">
        <is>
          <t>Amazon Web Services</t>
        </is>
      </c>
      <c r="D167" t="inlineStr">
        <is>
          <t>indeed</t>
        </is>
      </c>
      <c r="E167" t="inlineStr"/>
      <c r="F167" t="inlineStr"/>
      <c r="G167" t="inlineStr">
        <is>
          <t>New York, NY, US</t>
        </is>
      </c>
      <c r="H167" s="2" t="n">
        <v>45962</v>
      </c>
      <c r="I167"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8">
      <c r="A168" t="inlineStr">
        <is>
          <t>in-4183ee657fe8e02b</t>
        </is>
      </c>
      <c r="B168" t="inlineStr">
        <is>
          <t>Sr. Applied Scientist, Prime Video - Personalization and Discovery Science</t>
        </is>
      </c>
      <c r="C168" t="inlineStr">
        <is>
          <t>Amazon.com</t>
        </is>
      </c>
      <c r="D168" t="inlineStr">
        <is>
          <t>indeed</t>
        </is>
      </c>
      <c r="E168" t="inlineStr"/>
      <c r="F168" t="inlineStr"/>
      <c r="G168" t="inlineStr">
        <is>
          <t>Seattle, WA, US</t>
        </is>
      </c>
      <c r="H168" s="2" t="n">
        <v>45959</v>
      </c>
      <c r="I16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NY, New York \- 183,800\.00 \- 248,700\.00 USD annually  
USA, WA, Seattle \- 167,100\.00 \- 226,100\.00 USD annually</t>
        </is>
      </c>
    </row>
    <row r="169">
      <c r="A169" t="inlineStr">
        <is>
          <t>in-c5b7e498a501a803</t>
        </is>
      </c>
      <c r="B169" t="inlineStr">
        <is>
          <t>Applied Scientist, Prime Video - Content Understanding, Localization &amp; Enrichment Team</t>
        </is>
      </c>
      <c r="C169" t="inlineStr">
        <is>
          <t>Amazon.com</t>
        </is>
      </c>
      <c r="D169" t="inlineStr">
        <is>
          <t>indeed</t>
        </is>
      </c>
      <c r="E169" t="inlineStr"/>
      <c r="F169" t="inlineStr"/>
      <c r="G169" t="inlineStr">
        <is>
          <t>San Francisco, CA, US</t>
        </is>
      </c>
      <c r="H169" s="2" t="n">
        <v>45943</v>
      </c>
      <c r="I16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subscriptions such as Apple TV\+, HBO Max, Peacock,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team member,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We are looking for passionate, hard\-working, and talented individuals to help us push the envelope of content localization. We work on a broad array of research areas and applications, including but not limited to multimodal machine translation, speech synthesis, speech analysis, and asset quality assessment. Candidates should be prepared to help drive innovation in one or more areas of machine learning, audio processing, and natural language understanding.  
The ideal candidate would have experience in audio processing, natural language understanding and machine learning. Familiarity with machine translation, foundational models, and speech synthesis will be a plus. As an Applied Scientist, you should be a strong communicator, able to describe scientifically rigorous work to business stakeholders of varying levels of technical sophistication. You will closely partner with the solution development teams, and should be intensely curious about how the research is moving the needle for business. Strong inter\-personal and mentoring skills to develop applied science talent in the team is another important requirement.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\- 171,600\.00 \- 222,200\.00 USD annually  
USA, WA, Seattle \- 142,800\.00 \- 193,200\.00 USD annually</t>
        </is>
      </c>
    </row>
    <row r="170">
      <c r="A170" t="inlineStr">
        <is>
          <t>in-6a7817df57ab4f64</t>
        </is>
      </c>
      <c r="B170" t="inlineStr">
        <is>
          <t>Applied Scientist, Prime Video - Content Understanding, Localization &amp; Enrichment Team</t>
        </is>
      </c>
      <c r="C170" t="inlineStr">
        <is>
          <t>Amazon.com</t>
        </is>
      </c>
      <c r="D170" t="inlineStr">
        <is>
          <t>indeed</t>
        </is>
      </c>
      <c r="E170" t="inlineStr"/>
      <c r="F170" t="inlineStr"/>
      <c r="G170" t="inlineStr">
        <is>
          <t>Seattle, WA, US</t>
        </is>
      </c>
      <c r="H170" s="2" t="n">
        <v>45943</v>
      </c>
      <c r="I17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subscriptions such as Apple TV\+, HBO Max, Peacock,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team member,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We are looking for passionate, hard\-working, and talented individuals to help us push the envelope of content localization. We work on a broad array of research areas and applications, including but not limited to multimodal machine translation, speech synthesis, speech analysis, and asset quality assessment. Candidates should be prepared to help drive innovation in one or more areas of machine learning, audio processing, and natural language understanding.  
The ideal candidate would have experience in audio processing, natural language understanding and machine learning. Familiarity with machine translation, foundational models, and speech synthesis will be a plus. As an Applied Scientist, you should be a strong communicator, able to describe scientifically rigorous work to business stakeholders of varying levels of technical sophistication. You will closely partner with the solution development teams, and should be intensely curious about how the research is moving the needle for business. Strong inter\-personal and mentoring skills to develop applied science talent in the team is another important requirement.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\- 171,600\.00 \- 222,200\.00 USD annually  
USA, WA, Seattle \- 142,800\.00 \- 193,200\.00 USD annually</t>
        </is>
      </c>
    </row>
    <row r="171">
      <c r="A171" t="inlineStr">
        <is>
          <t>in-721cb4c8be53364a</t>
        </is>
      </c>
      <c r="B171" t="inlineStr">
        <is>
          <t>Principal Applied Scientist, Advertiser Growth, Amazon Sponsored Products &amp; Brands</t>
        </is>
      </c>
      <c r="C171" t="inlineStr">
        <is>
          <t>Amazon.com</t>
        </is>
      </c>
      <c r="D171" t="inlineStr">
        <is>
          <t>indeed</t>
        </is>
      </c>
      <c r="E171" t="inlineStr"/>
      <c r="F171" t="inlineStr"/>
      <c r="G171" t="inlineStr">
        <is>
          <t>Palo Alto, CA, US</t>
        </is>
      </c>
      <c r="H171" s="2" t="n">
        <v>45942</v>
      </c>
      <c r="I171"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2">
      <c r="A172" t="inlineStr">
        <is>
          <t>in-879892fb36cfa4f1</t>
        </is>
      </c>
      <c r="B172" t="inlineStr">
        <is>
          <t>Principal Applied Scientist, Advertiser Growth, Amazon Sponsored Products &amp; Brands</t>
        </is>
      </c>
      <c r="C172" t="inlineStr">
        <is>
          <t>Amazon.com</t>
        </is>
      </c>
      <c r="D172" t="inlineStr">
        <is>
          <t>indeed</t>
        </is>
      </c>
      <c r="E172" t="inlineStr"/>
      <c r="F172" t="inlineStr"/>
      <c r="G172" t="inlineStr">
        <is>
          <t>New York, NY, US</t>
        </is>
      </c>
      <c r="H172" s="2" t="n">
        <v>45942</v>
      </c>
      <c r="I172"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3">
      <c r="A173" t="inlineStr">
        <is>
          <t>in-8f126273380105db</t>
        </is>
      </c>
      <c r="B173" t="inlineStr">
        <is>
          <t>Principal Applied Scientist, Advertiser Growth, Amazon Sponsored Products &amp; Brands</t>
        </is>
      </c>
      <c r="C173" t="inlineStr">
        <is>
          <t>Amazon.com</t>
        </is>
      </c>
      <c r="D173" t="inlineStr">
        <is>
          <t>indeed</t>
        </is>
      </c>
      <c r="E173" t="inlineStr"/>
      <c r="F173" t="inlineStr"/>
      <c r="G173" t="inlineStr">
        <is>
          <t>Seattle, WA, US</t>
        </is>
      </c>
      <c r="H173" s="2" t="n">
        <v>45942</v>
      </c>
      <c r="I173"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4">
      <c r="A174" t="inlineStr">
        <is>
          <t>in-e1b6c33ec12bcaac</t>
        </is>
      </c>
      <c r="B174" t="inlineStr">
        <is>
          <t>Applied Scientist, Workplace Health &amp; Safety</t>
        </is>
      </c>
      <c r="C174" t="inlineStr">
        <is>
          <t>Amazon.com</t>
        </is>
      </c>
      <c r="D174" t="inlineStr">
        <is>
          <t>indeed</t>
        </is>
      </c>
      <c r="E174" t="inlineStr"/>
      <c r="F174" t="inlineStr"/>
      <c r="G174" t="inlineStr">
        <is>
          <t>Bellevue, WA, US</t>
        </is>
      </c>
      <c r="H174" s="2" t="n">
        <v>45917</v>
      </c>
      <c r="I174" t="inlineStr">
        <is>
          <t>**DESCRIPTION**
---------------
Are you driven by the challenge of solving complex problems that directly impact the safety and well\-being of millions of Amazon Associates worldwide? Do you want to push the boundaries of AI to build innovative solutions that make workplaces safer and more efficient? If so, we invite you to join our WHS DataTech team as an Applied Scientist and take your career to the next level!  
At WHS DataTech, we leverage Large Language Models (LLMs), Computer Vision, and AI\-driven innovations to develop industry\-leading solutions that proactively enhance workplace safety. Our work spans real\-time risk assessment, predictive analytics, and AI\-powered insights, all aimed at creating a safer work environment at scale.  
As an Applied Scientist specializing in LLMs and Computer Vision, you will play a pivotal role in shaping our next\-generation safety solutions. You’ll be at the forefront of innovation, designing and implementing AI\-powered features that redefine workplace safety. Your work will drive strategic decisions, optimize system architecture, and influence best practices, ensuring our technology remains industry\-leading.  
Key job responsibilities  
* Apply LLM model to analyze complex unstructured datasets and extract meaningful insights.
* Collaborate with software engineers to implement and deploy machine learning (LLM or CV) solutions.
* Conduct experiments and evaluate model performance, iterating and improving as needed.
* Stay up\-to\-date with the latest advancements in machine learning and related fields.
* Collaborate with cross\-functional teams to understand business needs and identify areas for application of machine learning.
* Present findings and recommendations to stakeholders and contribute to the overall research and development strategy.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WHS DataTech is a multidisciplinary team of scientists and engineers dedicated to building AI\-powered solutions that improve workplace safety across Amazon. We work at the intersection of large\-scale data, advanced machine learning, and computer vision, delivering innovations that enhance decision\-making, streamline operations, and protect millions of associates worldwide. Our collaborative culture emphasizes scientific rigor, engineering excellence, and a strong mission focus on creating safer, more efficient workplaces.**BASIC QUALIFICATIONS**
------------------------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 PhD degree in Computer Science or Computer engineering
* A formal PhD degree in Computer Science or Computer engineering or can be replaced by 5 years of relevant experience on top of a MSc, and 7 years on top of a BSc.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5">
      <c r="A175" t="inlineStr">
        <is>
          <t>in-97db6225351dffe3</t>
        </is>
      </c>
      <c r="B175" t="inlineStr">
        <is>
          <t>Applied Scientist, Workplace Health &amp; Safety</t>
        </is>
      </c>
      <c r="C175" t="inlineStr">
        <is>
          <t>Amazon.com</t>
        </is>
      </c>
      <c r="D175" t="inlineStr">
        <is>
          <t>indeed</t>
        </is>
      </c>
      <c r="E175" t="inlineStr"/>
      <c r="F175" t="inlineStr"/>
      <c r="G175" t="inlineStr">
        <is>
          <t>Nashville, TN, US</t>
        </is>
      </c>
      <c r="H175" s="2" t="n">
        <v>45917</v>
      </c>
      <c r="I175" t="inlineStr">
        <is>
          <t>**DESCRIPTION**
---------------
Are you driven by the challenge of solving complex problems that directly impact the safety and well\-being of millions of Amazon Associates worldwide? Do you want to push the boundaries of AI to build innovative solutions that make workplaces safer and more efficient? If so, we invite you to join our WHS DataTech team as an Applied Scientist and take your career to the next level!  
At WHS DataTech, we leverage Large Language Models (LLMs), Computer Vision, and AI\-driven innovations to develop industry\-leading solutions that proactively enhance workplace safety. Our work spans real\-time risk assessment, predictive analytics, and AI\-powered insights, all aimed at creating a safer work environment at scale.  
As an Applied Scientist specializing in LLMs and Computer Vision, you will play a pivotal role in shaping our next\-generation safety solutions. You’ll be at the forefront of innovation, designing and implementing AI\-powered features that redefine workplace safety. Your work will drive strategic decisions, optimize system architecture, and influence best practices, ensuring our technology remains industry\-leading.  
Key job responsibilities  
* Apply LLM model to analyze complex unstructured datasets and extract meaningful insights.
* Collaborate with software engineers to implement and deploy machine learning (LLM or CV) solutions.
* Conduct experiments and evaluate model performance, iterating and improving as needed.
* Stay up\-to\-date with the latest advancements in machine learning and related fields.
* Collaborate with cross\-functional teams to understand business needs and identify areas for application of machine learning.
* Present findings and recommendations to stakeholders and contribute to the overall research and development strategy.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WHS DataTech is a multidisciplinary team of scientists and engineers dedicated to building AI\-powered solutions that improve workplace safety across Amazon. We work at the intersection of large\-scale data, advanced machine learning, and computer vision, delivering innovations that enhance decision\-making, streamline operations, and protect millions of associates worldwide. Our collaborative culture emphasizes scientific rigor, engineering excellence, and a strong mission focus on creating safer, more efficient workplaces.**BASIC QUALIFICATIONS**
------------------------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 PhD degree in Computer Science or Computer engineering
* A formal PhD degree in Computer Science or Computer engineering or can be replaced by 5 years of relevant experience on top of a MSc, and 7 years on top of a BSc.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6">
      <c r="A176" t="inlineStr">
        <is>
          <t>in-973dac5087257272</t>
        </is>
      </c>
      <c r="B176" t="inlineStr">
        <is>
          <t>Applied Scientist II, Creative X - RAPID</t>
        </is>
      </c>
      <c r="C176" t="inlineStr">
        <is>
          <t>Amazon.com</t>
        </is>
      </c>
      <c r="D176" t="inlineStr">
        <is>
          <t>indeed</t>
        </is>
      </c>
      <c r="E176" t="inlineStr"/>
      <c r="F176" t="inlineStr"/>
      <c r="G176" t="inlineStr">
        <is>
          <t>Seattle, WA, US</t>
        </is>
      </c>
      <c r="H176" s="2" t="n">
        <v>45908</v>
      </c>
      <c r="I176" t="inlineStr">
        <is>
          <t>**DESCRIPTION**
---------------
About Amazon Advertising:  
Amazon Advertising operates at the intersection of eCommerce and advertising, offering a rich array of digital display advertising solutions with the goal of helping our customers find and discover anything they want to buy. We help advertisers of all types to reach Amazon customers on Amazon.com, across our other owned and operated sites, on other high quality sites across the web, and on millions of mobile devices. We start with the customer and work backwards in everything we do, including advertising. If you’re interested in joining a rapidly growing team working to build a unique, world\-class advertising group with a relentless focus on the customer, you’ve come to the right place.  
About our team:  
Our team, CreativeX optimizations, is responsible for tailoring the visual experience of ads to each context in real time. To accomplish this, we are investing in latent\-diffusion models, large language models (LLM), reinforced learning (RL), Computer Vision, and related methods.  
Key job responsibilities  
We are looking for talented Applied Scientists who are adept at a variety of skills, especially with reinforcement learning and recommendations, and familiarity with LLMs, latent diffusion, or related foundational models that will accelerate our plans to dynamically optimize ad creatives on behalf of advertisers. Every member of the team is expected to build customer (advertiser) facing features, contribute to the collaborative spirit within the team, publish, patent, and bring state\-of\-the\-art research to raise the bar within the team.
**BASIC QUALIFICATIONS**
------------------------
* PhD, or Master's degree and 3\+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 Experience building machine learning models or developing algorithms for business application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177">
      <c r="A177" t="inlineStr">
        <is>
          <t>in-86a56e5b23f58416</t>
        </is>
      </c>
      <c r="B177" t="inlineStr">
        <is>
          <t>Applied Scientist II, Creative X - RAPID</t>
        </is>
      </c>
      <c r="C177" t="inlineStr">
        <is>
          <t>Amazon.com</t>
        </is>
      </c>
      <c r="D177" t="inlineStr">
        <is>
          <t>indeed</t>
        </is>
      </c>
      <c r="E177" t="inlineStr"/>
      <c r="F177" t="inlineStr"/>
      <c r="G177" t="inlineStr">
        <is>
          <t>New York, NY, US</t>
        </is>
      </c>
      <c r="H177" s="2" t="n">
        <v>45908</v>
      </c>
      <c r="I177" t="inlineStr">
        <is>
          <t>**DESCRIPTION**
---------------
About Amazon Advertising:  
Amazon Advertising operates at the intersection of eCommerce and advertising, offering a rich array of digital display advertising solutions with the goal of helping our customers find and discover anything they want to buy. We help advertisers of all types to reach Amazon customers on Amazon.com, across our other owned and operated sites, on other high quality sites across the web, and on millions of mobile devices. We start with the customer and work backwards in everything we do, including advertising. If you’re interested in joining a rapidly growing team working to build a unique, world\-class advertising group with a relentless focus on the customer, you’ve come to the right place.  
About our team:  
Our team, CreativeX optimizations, is responsible for tailoring the visual experience of ads to each context in real time. To accomplish this, we are investing in latent\-diffusion models, large language models (LLM), reinforced learning (RL), Computer Vision, and related methods.  
Key job responsibilities  
We are looking for talented Applied Scientists who are adept at a variety of skills, especially with reinforcement learning and recommendations, and familiarity with LLMs, latent diffusion, or related foundational models that will accelerate our plans to dynamically optimize ad creatives on behalf of advertisers. Every member of the team is expected to build customer (advertiser) facing features, contribute to the collaborative spirit within the team, publish, patent, and bring state\-of\-the\-art research to raise the bar within the team.
**BASIC QUALIFICATIONS**
------------------------
* PhD, or Master's degree and 3\+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 Experience building machine learning models or developing algorithms for business application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178">
      <c r="A178" t="inlineStr">
        <is>
          <t>in-903e03359640a8c4</t>
        </is>
      </c>
      <c r="B178" t="inlineStr">
        <is>
          <t>Applied Scientist II, Prime Video , Personalization and Discovery Science</t>
        </is>
      </c>
      <c r="C178" t="inlineStr">
        <is>
          <t>Amazon.com</t>
        </is>
      </c>
      <c r="D178" t="inlineStr">
        <is>
          <t>indeed</t>
        </is>
      </c>
      <c r="E178" t="inlineStr"/>
      <c r="F178" t="inlineStr"/>
      <c r="G178" t="inlineStr">
        <is>
          <t>Sunnyvale, CA, US</t>
        </is>
      </c>
      <c r="H178" s="2" t="n">
        <v>45886</v>
      </c>
      <c r="I17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City \- 172,400\.00 \- 223,400\.00 USD annually  
USA, OR, Corvallis \- 142,800\.00 \- 193,200\.00 USD annually  
USA, WA, SEATTLE \- 142,800\.00 \- 193,200\.00 USD annually  
USA, WA, Seattle \- 142,800\.00 \- 193,200\.00 USD annually</t>
        </is>
      </c>
    </row>
    <row r="179">
      <c r="A179" t="inlineStr">
        <is>
          <t>in-248ca94058ab0448</t>
        </is>
      </c>
      <c r="B179" t="inlineStr">
        <is>
          <t>Applied Scientist II, Prime Video , Personalization and Discovery Science</t>
        </is>
      </c>
      <c r="C179" t="inlineStr">
        <is>
          <t>Amazon.com</t>
        </is>
      </c>
      <c r="D179" t="inlineStr">
        <is>
          <t>indeed</t>
        </is>
      </c>
      <c r="E179" t="inlineStr"/>
      <c r="F179" t="inlineStr"/>
      <c r="G179" t="inlineStr">
        <is>
          <t>Seattle, WA, US</t>
        </is>
      </c>
      <c r="H179" s="2" t="n">
        <v>45886</v>
      </c>
      <c r="I17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City \- 172,400\.00 \- 223,400\.00 USD annually  
USA, OR, Corvallis \- 142,800\.00 \- 193,200\.00 USD annually  
USA, WA, SEATTLE \- 142,800\.00 \- 193,200\.00 USD annually  
USA, WA, Seattle \- 142,800\.00 \- 193,200\.00 USD annually</t>
        </is>
      </c>
    </row>
    <row r="180">
      <c r="A180" t="inlineStr">
        <is>
          <t>in-4240bf08572dc0b2</t>
        </is>
      </c>
      <c r="B180" t="inlineStr">
        <is>
          <t>Applied Scientist II, Prime Video , Personalization and Discovery Science</t>
        </is>
      </c>
      <c r="C180" t="inlineStr">
        <is>
          <t>Amazon.com</t>
        </is>
      </c>
      <c r="D180" t="inlineStr">
        <is>
          <t>indeed</t>
        </is>
      </c>
      <c r="E180" t="inlineStr"/>
      <c r="F180" t="inlineStr"/>
      <c r="G180" t="inlineStr">
        <is>
          <t>New York, NY, US</t>
        </is>
      </c>
      <c r="H180" s="2" t="n">
        <v>45886</v>
      </c>
      <c r="I18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City \- 172,400\.00 \- 223,400\.00 USD annually  
USA, OR, Corvallis \- 142,800\.00 \- 193,200\.00 USD annually  
USA, WA, SEATTLE \- 142,800\.00 \- 193,200\.00 USD annually  
USA, WA, Seattle \- 142,800\.00 \- 193,200\.00 USD annually</t>
        </is>
      </c>
    </row>
    <row r="181">
      <c r="A181" t="inlineStr">
        <is>
          <t>in-0bc9e81db084ebd2</t>
        </is>
      </c>
      <c r="B181" t="inlineStr">
        <is>
          <t>Applied Scientist III, StoreGen</t>
        </is>
      </c>
      <c r="C181" t="inlineStr">
        <is>
          <t>Amazon.com</t>
        </is>
      </c>
      <c r="D181" t="inlineStr">
        <is>
          <t>indeed</t>
        </is>
      </c>
      <c r="E181" t="inlineStr"/>
      <c r="F181" t="inlineStr"/>
      <c r="G181" t="inlineStr">
        <is>
          <t>Seattle, WA, US</t>
        </is>
      </c>
      <c r="H181" s="2" t="n">
        <v>45868</v>
      </c>
      <c r="I181" t="inlineStr">
        <is>
          <t>**DESCRIPTION**
---------------
Join our Generative AI focus team to innovate Software Development at Amazon  
Are you ready to be part of a team that's redefining the future of software engineering? Our team is Amazon's ambitious initiative to pioneer AI development practices that will fundamentally transform how we build software at scale.  
Our Mission  
We’re building the next generation of development tools — uncovering how LLMs can originate new ways of thinking, building, and collaborating.  
What Makes Us Different  
* Ground\-floor opportunity to shape the future of software development
* Direct impact on Amazon's global engineering practices
* Working with the latest technologies and large language models
* Culture of experimentation and innovative thinking
What We’re Looking For  
You’ll lead the research, design, and development of AI technologies that challenge conventional software practices and uncover new ways for engineers to build and collaborate.  
You’re comfortable working in ambiguous spaces, exploring emergent behaviors, and collaborating with designers, prototypers, and engineers to test hypotheses in live, evolving systems.  
You explore where LLMs behave in unexpected yet promising ways, especially in tasks like context retention, code reasoning, or agent behavior , and use those moments to uncover new AI\-native workflows.  
We’re looking for applied scientists with experience in areas like:  
\+ Information retrieval  
\+ Context and memory modeling  
\+ Agent behavior and autonomy  
\+ Code understanding and generation  
\+ Human\-AI interaction  
What You'll Do  
* Prototype new ways of working with LLMs in engineering workflows
* Help shape and evaluate scientific approaches behind agentic systems and engineering tools
* Move fast with engineers and prototypers to guide design decisions and model choices
* Make sense of unexpected model behavior and guide what to try next
Impact  
Your work will surface where LLMs can meaningfully change how Amazon engineers build.  
You’ll help the team uncover which surprises are worth pursuing and where to push beyond what’s already known.  
Always find a way ️**BASIC QUALIFICATIONS**
------------------------
* 3\+ years of building machine learning models for business application experience
* PhD, or Master's degree and 6\+ years of applied research experience
* Experience in patents or publications at top\-tier peer\-reviewed conferences or journals
* Strong analytical, mathematical, and coding skills (e.g., Python, C\+\+, or Java)
* Previous work on agents or LLMs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2">
      <c r="A182" t="inlineStr">
        <is>
          <t>in-e30059887febb71f</t>
        </is>
      </c>
      <c r="B182" t="inlineStr">
        <is>
          <t>Applied Scientist III, StoreGen</t>
        </is>
      </c>
      <c r="C182" t="inlineStr">
        <is>
          <t>Amazon.com</t>
        </is>
      </c>
      <c r="D182" t="inlineStr">
        <is>
          <t>indeed</t>
        </is>
      </c>
      <c r="E182" t="inlineStr"/>
      <c r="F182" t="inlineStr"/>
      <c r="G182" t="inlineStr">
        <is>
          <t>Sunnyvale, CA, US</t>
        </is>
      </c>
      <c r="H182" s="2" t="n">
        <v>45868</v>
      </c>
      <c r="I182" t="inlineStr">
        <is>
          <t>**DESCRIPTION**
---------------
Join our Generative AI focus team to innovate Software Development at Amazon  
Are you ready to be part of a team that's redefining the future of software engineering? Our team is Amazon's ambitious initiative to pioneer AI development practices that will fundamentally transform how we build software at scale.  
Our Mission  
We’re building the next generation of development tools — uncovering how LLMs can originate new ways of thinking, building, and collaborating.  
What Makes Us Different  
* Ground\-floor opportunity to shape the future of software development
* Direct impact on Amazon's global engineering practices
* Working with the latest technologies and large language models
* Culture of experimentation and innovative thinking
What We’re Looking For  
You’ll lead the research, design, and development of AI technologies that challenge conventional software practices and uncover new ways for engineers to build and collaborate.  
You’re comfortable working in ambiguous spaces, exploring emergent behaviors, and collaborating with designers, prototypers, and engineers to test hypotheses in live, evolving systems.  
You explore where LLMs behave in unexpected yet promising ways, especially in tasks like context retention, code reasoning, or agent behavior , and use those moments to uncover new AI\-native workflows.  
We’re looking for applied scientists with experience in areas like:  
\+ Information retrieval  
\+ Context and memory modeling  
\+ Agent behavior and autonomy  
\+ Code understanding and generation  
\+ Human\-AI interaction  
What You'll Do  
* Prototype new ways of working with LLMs in engineering workflows
* Help shape and evaluate scientific approaches behind agentic systems and engineering tools
* Move fast with engineers and prototypers to guide design decisions and model choices
* Make sense of unexpected model behavior and guide what to try next
Impact  
Your work will surface where LLMs can meaningfully change how Amazon engineers build.  
You’ll help the team uncover which surprises are worth pursuing and where to push beyond what’s already known.  
Always find a way ️**BASIC QUALIFICATIONS**
------------------------
* 3\+ years of building machine learning models for business application experience
* PhD, or Master's degree and 6\+ years of applied research experience
* Experience in patents or publications at top\-tier peer\-reviewed conferences or journals
* Strong analytical, mathematical, and coding skills (e.g., Python, C\+\+, or Java)
* Previous work on agents or LLMs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3">
      <c r="A183" t="inlineStr">
        <is>
          <t>in-e44367136077a5b2</t>
        </is>
      </c>
      <c r="B183" t="inlineStr">
        <is>
          <t>Sr. Applied Scientist, Amazon Advertising</t>
        </is>
      </c>
      <c r="C183" t="inlineStr">
        <is>
          <t>Amazon.com</t>
        </is>
      </c>
      <c r="D183" t="inlineStr">
        <is>
          <t>indeed</t>
        </is>
      </c>
      <c r="E183" t="inlineStr"/>
      <c r="F183" t="inlineStr"/>
      <c r="G183" t="inlineStr">
        <is>
          <t>West Hollywood, CA, US</t>
        </is>
      </c>
      <c r="H183" s="2" t="n">
        <v>45851</v>
      </c>
      <c r="I183"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4">
      <c r="A184" t="inlineStr">
        <is>
          <t>in-5dd7dc4183c77c78</t>
        </is>
      </c>
      <c r="B184" t="inlineStr">
        <is>
          <t>Sr. Applied Scientist, Amazon Advertising</t>
        </is>
      </c>
      <c r="C184" t="inlineStr">
        <is>
          <t>Amazon.com</t>
        </is>
      </c>
      <c r="D184" t="inlineStr">
        <is>
          <t>indeed</t>
        </is>
      </c>
      <c r="E184" t="inlineStr"/>
      <c r="F184" t="inlineStr"/>
      <c r="G184" t="inlineStr">
        <is>
          <t>Los Angeles, CA, US</t>
        </is>
      </c>
      <c r="H184" s="2" t="n">
        <v>45851</v>
      </c>
      <c r="I184"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5">
      <c r="A185" t="inlineStr">
        <is>
          <t>in-10124824bc6c2c02</t>
        </is>
      </c>
      <c r="B185" t="inlineStr">
        <is>
          <t>Sr. Applied Scientist, Amazon Advertising</t>
        </is>
      </c>
      <c r="C185" t="inlineStr">
        <is>
          <t>Amazon.com</t>
        </is>
      </c>
      <c r="D185" t="inlineStr">
        <is>
          <t>indeed</t>
        </is>
      </c>
      <c r="E185" t="inlineStr"/>
      <c r="F185" t="inlineStr"/>
      <c r="G185" t="inlineStr">
        <is>
          <t>Seattle, WA, US</t>
        </is>
      </c>
      <c r="H185" s="2" t="n">
        <v>45851</v>
      </c>
      <c r="I185"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6">
      <c r="A186" t="inlineStr">
        <is>
          <t>in-de12ffde64eb770a</t>
        </is>
      </c>
      <c r="B186" t="inlineStr">
        <is>
          <t>Sr. Applied Scientist, Amazon Advertising</t>
        </is>
      </c>
      <c r="C186" t="inlineStr">
        <is>
          <t>Amazon.com</t>
        </is>
      </c>
      <c r="D186" t="inlineStr">
        <is>
          <t>indeed</t>
        </is>
      </c>
      <c r="E186" t="inlineStr"/>
      <c r="F186" t="inlineStr"/>
      <c r="G186" t="inlineStr">
        <is>
          <t>Palo Alto, CA, US</t>
        </is>
      </c>
      <c r="H186" s="2" t="n">
        <v>45851</v>
      </c>
      <c r="I186"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7">
      <c r="A187" t="inlineStr">
        <is>
          <t>in-0974070160d030e8</t>
        </is>
      </c>
      <c r="B187" t="inlineStr">
        <is>
          <t>Sr. Applied Scientist, Amazon Advertising</t>
        </is>
      </c>
      <c r="C187" t="inlineStr">
        <is>
          <t>Amazon.com</t>
        </is>
      </c>
      <c r="D187" t="inlineStr">
        <is>
          <t>indeed</t>
        </is>
      </c>
      <c r="E187" t="inlineStr"/>
      <c r="F187" t="inlineStr"/>
      <c r="G187" t="inlineStr">
        <is>
          <t>Simi Valley, CA, US</t>
        </is>
      </c>
      <c r="H187" s="2" t="n">
        <v>45851</v>
      </c>
      <c r="I187"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8">
      <c r="A188" t="inlineStr">
        <is>
          <t>in-3cdf57191e0cb0a5</t>
        </is>
      </c>
      <c r="B188" t="inlineStr">
        <is>
          <t>Sr. Applied Scientist, Amazon Advertising</t>
        </is>
      </c>
      <c r="C188" t="inlineStr">
        <is>
          <t>Amazon.com</t>
        </is>
      </c>
      <c r="D188" t="inlineStr">
        <is>
          <t>indeed</t>
        </is>
      </c>
      <c r="E188" t="inlineStr"/>
      <c r="F188" t="inlineStr"/>
      <c r="G188" t="inlineStr">
        <is>
          <t>New York, NY, US</t>
        </is>
      </c>
      <c r="H188" s="2" t="n">
        <v>45851</v>
      </c>
      <c r="I188"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9">
      <c r="A189" t="inlineStr">
        <is>
          <t>in-54a37de321383a55</t>
        </is>
      </c>
      <c r="B189" t="inlineStr">
        <is>
          <t>Sr. Applied Scientist, Amazon Advertising</t>
        </is>
      </c>
      <c r="C189" t="inlineStr">
        <is>
          <t>Amazon.com</t>
        </is>
      </c>
      <c r="D189" t="inlineStr">
        <is>
          <t>indeed</t>
        </is>
      </c>
      <c r="E189" t="inlineStr"/>
      <c r="F189" t="inlineStr"/>
      <c r="G189" t="inlineStr">
        <is>
          <t>Austin, TX, US</t>
        </is>
      </c>
      <c r="H189" s="2" t="n">
        <v>45851</v>
      </c>
      <c r="I189"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0">
      <c r="A190" t="inlineStr">
        <is>
          <t>in-2190b3ac959be173</t>
        </is>
      </c>
      <c r="B190" t="inlineStr">
        <is>
          <t>Sr. Applied Scientist, Amazon Advertising</t>
        </is>
      </c>
      <c r="C190" t="inlineStr">
        <is>
          <t>Amazon.com</t>
        </is>
      </c>
      <c r="D190" t="inlineStr">
        <is>
          <t>indeed</t>
        </is>
      </c>
      <c r="E190" t="inlineStr"/>
      <c r="F190" t="inlineStr"/>
      <c r="G190" t="inlineStr">
        <is>
          <t>Arlington, VA, US</t>
        </is>
      </c>
      <c r="H190" s="2" t="n">
        <v>45851</v>
      </c>
      <c r="I190"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1">
      <c r="A191" t="inlineStr">
        <is>
          <t>in-c86aeae744bb0297</t>
        </is>
      </c>
      <c r="B191" t="inlineStr">
        <is>
          <t>Sr. Applied Scientist, Sales AI</t>
        </is>
      </c>
      <c r="C191" t="inlineStr">
        <is>
          <t>Amazon.com</t>
        </is>
      </c>
      <c r="D191" t="inlineStr">
        <is>
          <t>indeed</t>
        </is>
      </c>
      <c r="E191" t="inlineStr"/>
      <c r="F191" t="inlineStr"/>
      <c r="G191" t="inlineStr">
        <is>
          <t>Sunnyvale, CA, US</t>
        </is>
      </c>
      <c r="H191" s="2" t="n">
        <v>45830</v>
      </c>
      <c r="I191"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2">
      <c r="A192" t="inlineStr">
        <is>
          <t>in-96a4bf02ab01cf12</t>
        </is>
      </c>
      <c r="B192" t="inlineStr">
        <is>
          <t>Sr. Applied Scientist, Sales AI</t>
        </is>
      </c>
      <c r="C192" t="inlineStr">
        <is>
          <t>Amazon.com</t>
        </is>
      </c>
      <c r="D192" t="inlineStr">
        <is>
          <t>indeed</t>
        </is>
      </c>
      <c r="E192" t="inlineStr"/>
      <c r="F192" t="inlineStr"/>
      <c r="G192" t="inlineStr">
        <is>
          <t>New York, NY, US</t>
        </is>
      </c>
      <c r="H192" s="2" t="n">
        <v>45830</v>
      </c>
      <c r="I192"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3">
      <c r="A193" t="inlineStr">
        <is>
          <t>in-99c3ecf76a4bb3cc</t>
        </is>
      </c>
      <c r="B193" t="inlineStr">
        <is>
          <t>Sr. Applied Scientist, Sales AI</t>
        </is>
      </c>
      <c r="C193" t="inlineStr">
        <is>
          <t>Amazon.com</t>
        </is>
      </c>
      <c r="D193" t="inlineStr">
        <is>
          <t>indeed</t>
        </is>
      </c>
      <c r="E193" t="inlineStr"/>
      <c r="F193" t="inlineStr"/>
      <c r="G193" t="inlineStr">
        <is>
          <t>Seattle, WA, US</t>
        </is>
      </c>
      <c r="H193" s="2" t="n">
        <v>45830</v>
      </c>
      <c r="I193"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4">
      <c r="A194" t="inlineStr">
        <is>
          <t>in-c9612b04746e1007</t>
        </is>
      </c>
      <c r="B194" t="inlineStr">
        <is>
          <t>Principal Applied Scientist, Delivery Foundation Model</t>
        </is>
      </c>
      <c r="C194" t="inlineStr">
        <is>
          <t>Amazon.com</t>
        </is>
      </c>
      <c r="D194" t="inlineStr">
        <is>
          <t>indeed</t>
        </is>
      </c>
      <c r="E194" t="inlineStr"/>
      <c r="F194" t="inlineStr"/>
      <c r="G194" t="inlineStr">
        <is>
          <t>Santa Clara, CA, US</t>
        </is>
      </c>
      <c r="H194" s="2" t="n">
        <v>45810</v>
      </c>
      <c r="I194"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5">
      <c r="A195" t="inlineStr">
        <is>
          <t>in-571e9ad9a02732ed</t>
        </is>
      </c>
      <c r="B195" t="inlineStr">
        <is>
          <t>Principal Applied Scientist, Delivery Foundation Model</t>
        </is>
      </c>
      <c r="C195" t="inlineStr">
        <is>
          <t>Amazon.com</t>
        </is>
      </c>
      <c r="D195" t="inlineStr">
        <is>
          <t>indeed</t>
        </is>
      </c>
      <c r="E195" t="inlineStr"/>
      <c r="F195" t="inlineStr"/>
      <c r="G195" t="inlineStr">
        <is>
          <t>New York, NY, US</t>
        </is>
      </c>
      <c r="H195" s="2" t="n">
        <v>45810</v>
      </c>
      <c r="I195"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6">
      <c r="A196" t="inlineStr">
        <is>
          <t>in-4fad2e4e8b39b843</t>
        </is>
      </c>
      <c r="B196" t="inlineStr">
        <is>
          <t>Principal Applied Scientist, Delivery Foundation Model</t>
        </is>
      </c>
      <c r="C196" t="inlineStr">
        <is>
          <t>Amazon.com</t>
        </is>
      </c>
      <c r="D196" t="inlineStr">
        <is>
          <t>indeed</t>
        </is>
      </c>
      <c r="E196" t="inlineStr"/>
      <c r="F196" t="inlineStr"/>
      <c r="G196" t="inlineStr">
        <is>
          <t>Austin, TX, US</t>
        </is>
      </c>
      <c r="H196" s="2" t="n">
        <v>45810</v>
      </c>
      <c r="I196"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7">
      <c r="A197" t="inlineStr">
        <is>
          <t>in-f673e6854bcbc959</t>
        </is>
      </c>
      <c r="B197" t="inlineStr">
        <is>
          <t>Principal Applied Scientist, Delivery Foundation Model</t>
        </is>
      </c>
      <c r="C197" t="inlineStr">
        <is>
          <t>Amazon.com</t>
        </is>
      </c>
      <c r="D197" t="inlineStr">
        <is>
          <t>indeed</t>
        </is>
      </c>
      <c r="E197" t="inlineStr"/>
      <c r="F197" t="inlineStr"/>
      <c r="G197" t="inlineStr">
        <is>
          <t>Bellevue, WA, US</t>
        </is>
      </c>
      <c r="H197" s="2" t="n">
        <v>45810</v>
      </c>
      <c r="I197"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8">
      <c r="A198" t="inlineStr">
        <is>
          <t>in-7f6924bfa73144d0</t>
        </is>
      </c>
      <c r="B198" t="inlineStr">
        <is>
          <t>Senior Applied Scientist, Delivery Foundation Model</t>
        </is>
      </c>
      <c r="C198" t="inlineStr">
        <is>
          <t>Amazon.com</t>
        </is>
      </c>
      <c r="D198" t="inlineStr">
        <is>
          <t>indeed</t>
        </is>
      </c>
      <c r="E198" t="inlineStr"/>
      <c r="F198" t="inlineStr"/>
      <c r="G198" t="inlineStr">
        <is>
          <t>New York, NY, US</t>
        </is>
      </c>
      <c r="H198" s="2" t="n">
        <v>45806</v>
      </c>
      <c r="I198"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Senior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in engineering, technology, computer science, machine learning, robotics, operations research, statistics, mathematics or equivalent quantitative field, or Master's degree and 10\+ years of industry or academic research experience
* 5\+ years of building machine learning models or developing algorithms for business application experience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Experience mentoring junior scientists / engineers.**PREFERRED QUALIFICATIONS**
----------------------------
* Experience building foundation models for industry or research
* Experience designing multi\-modal model architectures
\- Experience building models for motion prediction, e.g.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9">
      <c r="A199" t="inlineStr">
        <is>
          <t>in-128c622c34e4b309</t>
        </is>
      </c>
      <c r="B199" t="inlineStr">
        <is>
          <t>Senior Applied Scientist, Delivery Foundation Model</t>
        </is>
      </c>
      <c r="C199" t="inlineStr">
        <is>
          <t>Amazon.com</t>
        </is>
      </c>
      <c r="D199" t="inlineStr">
        <is>
          <t>indeed</t>
        </is>
      </c>
      <c r="E199" t="inlineStr"/>
      <c r="F199" t="inlineStr"/>
      <c r="G199" t="inlineStr">
        <is>
          <t>Santa Clara, CA, US</t>
        </is>
      </c>
      <c r="H199" s="2" t="n">
        <v>45806</v>
      </c>
      <c r="I199"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Senior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in engineering, technology, computer science, machine learning, robotics, operations research, statistics, mathematics or equivalent quantitative field, or Master's degree and 10\+ years of industry or academic research experience
* 5\+ years of building machine learning models or developing algorithms for business application experience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Experience mentoring junior scientists / engineers.**PREFERRED QUALIFICATIONS**
----------------------------
* Experience building foundation models for industry or research
* Experience designing multi\-modal model architectures
\- Experience building models for motion prediction, e.g.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0">
      <c r="A200" t="inlineStr">
        <is>
          <t>in-f5aa0cd1256c881e</t>
        </is>
      </c>
      <c r="B200" t="inlineStr">
        <is>
          <t>Senior Applied Scientist, Delivery Foundation Model</t>
        </is>
      </c>
      <c r="C200" t="inlineStr">
        <is>
          <t>Amazon.com</t>
        </is>
      </c>
      <c r="D200" t="inlineStr">
        <is>
          <t>indeed</t>
        </is>
      </c>
      <c r="E200" t="inlineStr"/>
      <c r="F200" t="inlineStr"/>
      <c r="G200" t="inlineStr">
        <is>
          <t>Bellevue, WA, US</t>
        </is>
      </c>
      <c r="H200" s="2" t="n">
        <v>45806</v>
      </c>
      <c r="I200"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Senior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in engineering, technology, computer science, machine learning, robotics, operations research, statistics, mathematics or equivalent quantitative field, or Master's degree and 10\+ years of industry or academic research experience
* 5\+ years of building machine learning models or developing algorithms for business application experience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Experience mentoring junior scientists / engineers.**PREFERRED QUALIFICATIONS**
----------------------------
* Experience building foundation models for industry or research
* Experience designing multi\-modal model architectures
\- Experience building models for motion prediction, e.g.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1">
      <c r="A201" t="inlineStr">
        <is>
          <t>in-38156efc177e8156</t>
        </is>
      </c>
      <c r="B201" t="inlineStr">
        <is>
          <t>Principal Applied Scientist, Delivery Foundation Model</t>
        </is>
      </c>
      <c r="C201" t="inlineStr">
        <is>
          <t>Amazon.com</t>
        </is>
      </c>
      <c r="D201" t="inlineStr">
        <is>
          <t>indeed</t>
        </is>
      </c>
      <c r="E201" t="inlineStr"/>
      <c r="F201" t="inlineStr"/>
      <c r="G201" t="inlineStr">
        <is>
          <t>Santa Clara, CA, US</t>
        </is>
      </c>
      <c r="H201" s="2" t="n">
        <v>45757</v>
      </c>
      <c r="I201"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2">
      <c r="A202" t="inlineStr">
        <is>
          <t>in-9a59702be72369ee</t>
        </is>
      </c>
      <c r="B202" t="inlineStr">
        <is>
          <t>Principal Applied Scientist, Delivery Foundation Model</t>
        </is>
      </c>
      <c r="C202" t="inlineStr">
        <is>
          <t>Amazon.com</t>
        </is>
      </c>
      <c r="D202" t="inlineStr">
        <is>
          <t>indeed</t>
        </is>
      </c>
      <c r="E202" t="inlineStr"/>
      <c r="F202" t="inlineStr"/>
      <c r="G202" t="inlineStr">
        <is>
          <t>New York, NY, US</t>
        </is>
      </c>
      <c r="H202" s="2" t="n">
        <v>45757</v>
      </c>
      <c r="I202"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3">
      <c r="A203" t="inlineStr">
        <is>
          <t>in-c624907617ba4ac4</t>
        </is>
      </c>
      <c r="B203" t="inlineStr">
        <is>
          <t>Principal Applied Scientist, Delivery Foundation Model</t>
        </is>
      </c>
      <c r="C203" t="inlineStr">
        <is>
          <t>Amazon.com</t>
        </is>
      </c>
      <c r="D203" t="inlineStr">
        <is>
          <t>indeed</t>
        </is>
      </c>
      <c r="E203" t="inlineStr"/>
      <c r="F203" t="inlineStr"/>
      <c r="G203" t="inlineStr">
        <is>
          <t>Bellevue, WA, US</t>
        </is>
      </c>
      <c r="H203" s="2" t="n">
        <v>45757</v>
      </c>
      <c r="I203"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4">
      <c r="A204" t="inlineStr">
        <is>
          <t>in-3f697e604dc83e1b</t>
        </is>
      </c>
      <c r="B204" t="inlineStr">
        <is>
          <t>Principal Applied Scientist, FAR (Frontier AI &amp; Robotics)</t>
        </is>
      </c>
      <c r="C204" t="inlineStr">
        <is>
          <t>Amazon.com</t>
        </is>
      </c>
      <c r="D204" t="inlineStr">
        <is>
          <t>indeed</t>
        </is>
      </c>
      <c r="E204" t="inlineStr"/>
      <c r="F204" t="inlineStr"/>
      <c r="G204" t="inlineStr">
        <is>
          <t>Seattle, WA, US</t>
        </is>
      </c>
      <c r="H204" s="2" t="n">
        <v>45740</v>
      </c>
      <c r="I204" t="inlineStr">
        <is>
          <t>**DESCRIPTION**
---------------
Join the next revolution in robotics at Amazon's Frontier AI \&amp; Robotics team, where you'll work alongside world\-renowned AI pioneers to lead key initiatives in robotic intelligence. As a Principal Applied Scientist, you'll spearhead the development of breakthrough foundation models that enable robots to perceive, understand, and interact with the world in unprecedented ways. You'll drive technical excellence in areas such as perception, manipulation, science understanding, sim2real transfer, multi\-modal foundation models, and multi\-task learning, designing novel algorithms that bridge the gap between state\-of\-the\-art research and real\-world deployment at Amazon scale.  
In this role, you'll combine hands\-on technical work with scientific leadership, ensuring your team delivers robust solutions for dynamic real\-world environments. You'll leverage Amazon's vast computational resources to tackle ambitious problems in areas like very large multi\-modal robotic foundation models and efficient, promptable model architectures that can scale across diverse robotic applications.  
Key job responsibilities  
* Lead technical initiatives in robotics foundation models, driving breakthrough approaches through hands\-on research and development in areas like open\-vocabulary panoptic scene understanding, scaling up multi\-modal LLMs, sim2real/real2sim techniques, end\-to\-end vision\-language\-action models, efficient model inference, video tokenization
* Design and implement novel deep learning architectures that push the boundaries of what robots can understand and accomplish
* Guide technical direction for specific research initiatives, ensuring robust performance in production environments
* Mentor and support fellow scientists while maintaining strong individual technical contributions
* Collaborate with engineering teams to optimize and scale models for real\-world applications
* Influence technical decisions and implementation strategies within your area of focus
A day in the life  
* Develop and implement novel foundation model architectures, working hands\-on with our extensive compute infrastructure
* Guide and support fellow scientists in solving complex technical challenges, from sim2real transfer to efficient multi\-task learning
* Lead focused technical initiatives from conception through deployment, ensuring successful integration with production systems
* Drive technical discussions within your team and with key stakeholders
* Conduct experiments and prototype new ideas using our massive compute cluster
* Mentor team members while maintaining significant hands\-on contribution to technical solutions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At Frontier AI \&amp; Robotics, we're not just advancing robotics – we're reimagining it from the ground up. Our team is building the future of intelligent robotics through ground breaking foundation models and end\-to\-end learned systems. We tackle some of the most challenging problems in AI and robotics, from developing sophisticated perception systems to creating adaptive manipulation strategies that work in complex, real\-world scenarios.  
What sets us apart is our unique combination of ambitious research vision and practical impact. We leverage Amazon's massive computational infrastructure and rich real\-world datasets to train and deploy state\-of\-the\-art foundation models. Our work spans the full spectrum of robotics intelligence – from multimodal perception using images, videos, and sensor data, to sophisticated manipulation strategies that can handle diverse real\-world scenarios. We're building systems that don't just work in the lab, but scale to meet the demands of Amazon's global operations.  
Join us if you're excited about pushing the boundaries of what's possible in robotics, working with world\-class researchers, and seeing your innovations deployed at unprecedented scale.**BASIC QUALIFICATIONS**
------------------------
* PhD, or Master's degree and 6\+ years of applied research experience
* 5\+ years of industry or academic research experience
* Experience programming in Java, C\+\+, Python or related language
* 5\+ years of building machine learning models or developing algorithms for business application experience
* Experience in patents or publication at top\-tier conferences (NeurIPS, ICML, ICLR, CVPR, ICCV, RSS, CoRL).
* Extensive track record of leading technical projects.
* Experience mentoring junior scientists / engineers.
* Demonstrated expertise in deep learning and model development.
**PREFERRED QUALIFICATIONS**
----------------------------
* Experience as first\-author publications at major conferences
* Experience leading research initiatives in robotics or foundation models
* Track record of successful production ML deployments
* Experience with large\-scale distributed systems
* Experience in technical leadership and team mentorship
* Experience bridging research with practical engineering implementation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5">
      <c r="A205" t="inlineStr">
        <is>
          <t>in-35e7c9e3bd274538</t>
        </is>
      </c>
      <c r="B205" t="inlineStr">
        <is>
          <t>Principal Applied Scientist, FAR (Frontier AI &amp; Robotics)</t>
        </is>
      </c>
      <c r="C205" t="inlineStr">
        <is>
          <t>Amazon.com</t>
        </is>
      </c>
      <c r="D205" t="inlineStr">
        <is>
          <t>indeed</t>
        </is>
      </c>
      <c r="E205" t="inlineStr"/>
      <c r="F205" t="inlineStr"/>
      <c r="G205" t="inlineStr">
        <is>
          <t>San Francisco, CA, US</t>
        </is>
      </c>
      <c r="H205" s="2" t="n">
        <v>45740</v>
      </c>
      <c r="I205" t="inlineStr">
        <is>
          <t>**DESCRIPTION**
---------------
Join the next revolution in robotics at Amazon's Frontier AI \&amp; Robotics team, where you'll work alongside world\-renowned AI pioneers to lead key initiatives in robotic intelligence. As a Principal Applied Scientist, you'll spearhead the development of breakthrough foundation models that enable robots to perceive, understand, and interact with the world in unprecedented ways. You'll drive technical excellence in areas such as perception, manipulation, science understanding, sim2real transfer, multi\-modal foundation models, and multi\-task learning, designing novel algorithms that bridge the gap between state\-of\-the\-art research and real\-world deployment at Amazon scale.  
In this role, you'll combine hands\-on technical work with scientific leadership, ensuring your team delivers robust solutions for dynamic real\-world environments. You'll leverage Amazon's vast computational resources to tackle ambitious problems in areas like very large multi\-modal robotic foundation models and efficient, promptable model architectures that can scale across diverse robotic applications.  
Key job responsibilities  
* Lead technical initiatives in robotics foundation models, driving breakthrough approaches through hands\-on research and development in areas like open\-vocabulary panoptic scene understanding, scaling up multi\-modal LLMs, sim2real/real2sim techniques, end\-to\-end vision\-language\-action models, efficient model inference, video tokenization
* Design and implement novel deep learning architectures that push the boundaries of what robots can understand and accomplish
* Guide technical direction for specific research initiatives, ensuring robust performance in production environments
* Mentor and support fellow scientists while maintaining strong individual technical contributions
* Collaborate with engineering teams to optimize and scale models for real\-world applications
* Influence technical decisions and implementation strategies within your area of focus
A day in the life  
* Develop and implement novel foundation model architectures, working hands\-on with our extensive compute infrastructure
* Guide and support fellow scientists in solving complex technical challenges, from sim2real transfer to efficient multi\-task learning
* Lead focused technical initiatives from conception through deployment, ensuring successful integration with production systems
* Drive technical discussions within your team and with key stakeholders
* Conduct experiments and prototype new ideas using our massive compute cluster
* Mentor team members while maintaining significant hands\-on contribution to technical solutions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At Frontier AI \&amp; Robotics, we're not just advancing robotics – we're reimagining it from the ground up. Our team is building the future of intelligent robotics through ground breaking foundation models and end\-to\-end learned systems. We tackle some of the most challenging problems in AI and robotics, from developing sophisticated perception systems to creating adaptive manipulation strategies that work in complex, real\-world scenarios.  
What sets us apart is our unique combination of ambitious research vision and practical impact. We leverage Amazon's massive computational infrastructure and rich real\-world datasets to train and deploy state\-of\-the\-art foundation models. Our work spans the full spectrum of robotics intelligence – from multimodal perception using images, videos, and sensor data, to sophisticated manipulation strategies that can handle diverse real\-world scenarios. We're building systems that don't just work in the lab, but scale to meet the demands of Amazon's global operations.  
Join us if you're excited about pushing the boundaries of what's possible in robotics, working with world\-class researchers, and seeing your innovations deployed at unprecedented scale.**BASIC QUALIFICATIONS**
------------------------
* PhD, or Master's degree and 6\+ years of applied research experience
* 5\+ years of industry or academic research experience
* Experience programming in Java, C\+\+, Python or related language
* 5\+ years of building machine learning models or developing algorithms for business application experience
* Experience in patents or publication at top\-tier conferences (NeurIPS, ICML, ICLR, CVPR, ICCV, RSS, CoRL).
* Extensive track record of leading technical projects.
* Experience mentoring junior scientists / engineers.
* Demonstrated expertise in deep learning and model development.
**PREFERRED QUALIFICATIONS**
----------------------------
* Experience as first\-author publications at major conferences
* Experience leading research initiatives in robotics or foundation models
* Track record of successful production ML deployments
* Experience with large\-scale distributed systems
* Experience in technical leadership and team mentorship
* Experience bridging research with practical engineering implementation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6">
      <c r="A206" t="inlineStr">
        <is>
          <t>in-47fa2a3bf7228f1c</t>
        </is>
      </c>
      <c r="B206" t="inlineStr">
        <is>
          <t>Data Scientist - Computer Vision, Data &amp; Machine Learning (DML)</t>
        </is>
      </c>
      <c r="C206" t="inlineStr">
        <is>
          <t>Amazon Web Services</t>
        </is>
      </c>
      <c r="D206" t="inlineStr">
        <is>
          <t>indeed</t>
        </is>
      </c>
      <c r="E206" t="inlineStr"/>
      <c r="F206" t="inlineStr"/>
      <c r="G206" t="inlineStr">
        <is>
          <t>Arlington, VA, US</t>
        </is>
      </c>
      <c r="H206" s="2" t="n">
        <v>46051</v>
      </c>
      <c r="I206" t="inlineStr">
        <is>
          <t>**DESCRIPTION**
---------------
This position requires that the candidate selected be a US Citizen and currently possess and maintain an active Top Secret security clearance.  
Join a sizeable team of data scientists, research scientists, and machine learning engineers that develop computer vision models on overhead imagery for a high\-impact government customer. We own the entire machine learning development life cycle, developing models on customer data:
* Exploring the data and brainstorming and prioritizing ideas for model development
* Implementing new features in our sizable code base
* Training models in support of experimental or performance goals
* T\&amp;E\-ing, packaging, and delivering models
We perform this work on both unclassified and classified networks, with portions of our team working on each network.
We seek a new team member to work on the classified networks. Three to four days a week, you would travel to the customer site in Northern Virginia to perform tasking as described below. Weekdays when you do not travel to the customer site, you would work from your local Amazon office. You would work collaboratively with teammates to use and contribute to a well\-maintained code base that the team has developed over the last several years, almost entirely in python. You would have great opportunities to learn from team members and technical leads, while also having opportunities for ownership of important project workflows. You would work with Jupyter Notebooks, the Linux command line, Apache AirFlow, GitLab, and Visual Studio Code. We are a very collaborative team, and regularly teach and learn from each other, so, if you are familiar with some of these technologies, but unfamiliar with others, we encourage you to apply \- especially if you are someone who likes to learn. We are always learning on the job ourselves.  
Key job responsibilities  
With support from technical leads, carry out tasking across the entire machine learning development lifecycle to develop computer vision models on overhead imagery:
* Run data conversion pipelines to transform customer data into the structure needed by models for training
* Perform EDA on the customer data
* Train deep neural network models on overhead imagery
* Develop and implement hyper\-parameter optimization strategies
* Test and Evaluate models and analyze results
* Package and deliver models to the customer
* Incorporate model R\&amp;D from low\-side researchers
* Implement new features to the model development code base
* Collaborate with the rest of the team on long term strategy and short\-medium term implementation.
* Contribute to presentations to the customer regarding the team’s work.
**BASIC QUALIFICATIONS**
------------------------
* 3\+ years of data querying languages (e.g. SQL), scripting languages (e.g. Python) or statistical/mathematical software (e.g. R, SAS, Matlab, etc.) experience
* 3\+ years of machine learning/statistical modeling data analysis tools and techniques, and parameters that affect their performance experience
* Bachelor's degree or above in computer science, machine learning, engineering, or related fields
* Experience with AWS services including S3, Redshift, Sagemaker, EMR, Kinesis, Lambda, and EC2
* Current, active US Government Security Clearance of Top Secret or above
**PREFERRED QUALIFICATIONS**
----------------------------
* Master's degree or above in computer science, machine learning, engineering, or related fields
* Knowledge of machine learning concepts and their application to reasoning and problem\-solving
* Experience working on multi\-team, cross\-disciplinary projects
* Experience effectively communicating complex concepts through written and verbal communication
* Experience in Linux, PyTorch, and Git workflows for MLOps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Arlington \- 136,000\.00 \- 184,000\.00 USD annually  
USA, VA, Herndon \- 136,000\.00 \- 184,000\.00 USD annually</t>
        </is>
      </c>
    </row>
    <row r="207">
      <c r="A207" t="inlineStr">
        <is>
          <t>in-cb02efd59f12697d</t>
        </is>
      </c>
      <c r="B207" t="inlineStr">
        <is>
          <t>Data Scientist - Computer Vision, Data &amp; Machine Learning (DML)</t>
        </is>
      </c>
      <c r="C207" t="inlineStr">
        <is>
          <t>Amazon Web Services</t>
        </is>
      </c>
      <c r="D207" t="inlineStr">
        <is>
          <t>indeed</t>
        </is>
      </c>
      <c r="E207" t="inlineStr"/>
      <c r="F207" t="inlineStr"/>
      <c r="G207" t="inlineStr">
        <is>
          <t>Herndon, VA, US</t>
        </is>
      </c>
      <c r="H207" s="2" t="n">
        <v>46051</v>
      </c>
      <c r="I207" t="inlineStr">
        <is>
          <t>**DESCRIPTION**
---------------
This position requires that the candidate selected be a US Citizen and currently possess and maintain an active Top Secret security clearance.  
Join a sizeable team of data scientists, research scientists, and machine learning engineers that develop computer vision models on overhead imagery for a high\-impact government customer. We own the entire machine learning development life cycle, developing models on customer data:
* Exploring the data and brainstorming and prioritizing ideas for model development
* Implementing new features in our sizable code base
* Training models in support of experimental or performance goals
* T\&amp;E\-ing, packaging, and delivering models
We perform this work on both unclassified and classified networks, with portions of our team working on each network.
We seek a new team member to work on the classified networks. Three to four days a week, you would travel to the customer site in Northern Virginia to perform tasking as described below. Weekdays when you do not travel to the customer site, you would work from your local Amazon office. You would work collaboratively with teammates to use and contribute to a well\-maintained code base that the team has developed over the last several years, almost entirely in python. You would have great opportunities to learn from team members and technical leads, while also having opportunities for ownership of important project workflows. You would work with Jupyter Notebooks, the Linux command line, Apache AirFlow, GitLab, and Visual Studio Code. We are a very collaborative team, and regularly teach and learn from each other, so, if you are familiar with some of these technologies, but unfamiliar with others, we encourage you to apply \- especially if you are someone who likes to learn. We are always learning on the job ourselves.  
Key job responsibilities  
With support from technical leads, carry out tasking across the entire machine learning development lifecycle to develop computer vision models on overhead imagery:
* Run data conversion pipelines to transform customer data into the structure needed by models for training
* Perform EDA on the customer data
* Train deep neural network models on overhead imagery
* Develop and implement hyper\-parameter optimization strategies
* Test and Evaluate models and analyze results
* Package and deliver models to the customer
* Incorporate model R\&amp;D from low\-side researchers
* Implement new features to the model development code base
* Collaborate with the rest of the team on long term strategy and short\-medium term implementation.
* Contribute to presentations to the customer regarding the team’s work.
**BASIC QUALIFICATIONS**
------------------------
* 3\+ years of data querying languages (e.g. SQL), scripting languages (e.g. Python) or statistical/mathematical software (e.g. R, SAS, Matlab, etc.) experience
* 3\+ years of machine learning/statistical modeling data analysis tools and techniques, and parameters that affect their performance experience
* Bachelor's degree or above in computer science, machine learning, engineering, or related fields
* Experience with AWS services including S3, Redshift, Sagemaker, EMR, Kinesis, Lambda, and EC2
* Current, active US Government Security Clearance of Top Secret or above
**PREFERRED QUALIFICATIONS**
----------------------------
* Master's degree or above in computer science, machine learning, engineering, or related fields
* Knowledge of machine learning concepts and their application to reasoning and problem\-solving
* Experience working on multi\-team, cross\-disciplinary projects
* Experience effectively communicating complex concepts through written and verbal communication
* Experience in Linux, PyTorch, and Git workflows for MLOps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Arlington \- 136,000\.00 \- 184,000\.00 USD annually  
USA, VA, Herndon \- 136,000\.00 \- 184,000\.00 USD annually</t>
        </is>
      </c>
    </row>
    <row r="208">
      <c r="A208" t="inlineStr">
        <is>
          <t>in-6120e4fff34307a3</t>
        </is>
      </c>
      <c r="B208" t="inlineStr">
        <is>
          <t>Data Scientist- Vision Language Model Researcher, Data &amp; Machine Learning (DML)</t>
        </is>
      </c>
      <c r="C208" t="inlineStr">
        <is>
          <t>Amazon Web Services</t>
        </is>
      </c>
      <c r="D208" t="inlineStr">
        <is>
          <t>indeed</t>
        </is>
      </c>
      <c r="E208" t="inlineStr"/>
      <c r="F208" t="inlineStr"/>
      <c r="G208" t="inlineStr">
        <is>
          <t>Arlington, VA, US</t>
        </is>
      </c>
      <c r="H208" s="2" t="n">
        <v>46051</v>
      </c>
      <c r="I208" t="inlineStr">
        <is>
          <t>**DESCRIPTION**
---------------
This position requires that the candidate selected be a US Citizen and currently possess and maintain an active Top Secret security clearance.  
Join a sizeable team of data scientists, research scientists, and machine learning engineers that develop vision language models (VLMs) on overhead imagery for a high\-impact government customer. We own the entire machine learning development life cycle, developing models on customer data:
* Exploring the data and brainstorming and prioritizing ideas for model development
* Implementing new features
* Training models in support of experimental or performance goals
* T\&amp;E\-ing, packaging, and delivering models
We perform this work on both unclassified and classified networks, with portions of our team working on each network.
We seek a new team member to work on the classified networks. You would work collaboratively with teammates to develop and use a python codebase for fine\-tuning VLMs.
You would have great opportunities to learn from team members and technical leads, while also having opportunities for ownership of important project workflows. You would work with Jupyter Notebooks, the Linux command line, GitLab, and Visual Studio Code.
Key job responsibilities  
With support from technical leads, carry out tasking across the entire machine learning development lifecycle to fine\-tune VLMs on overhead imagery:
* Run data conversion pipelines to transform customer data into the structure needed by models for training
* Perform EDA on the customer data
* Train VLMs on overhead imagery
* Develop and implement hyper\-parameter optimization strategies
* Test and Evaluate models and analyze results
* Package and deliver models to the customer
* Implement new features to the code base
* Collaborate with the rest of the team on long term strategy and short\-medium term implementation.
* Contribute to presentations to the customer regarding the team’s work.
**BASIC QUALIFICATIONS**
------------------------
* 3\+ years of data querying languages (e.g. SQL), scripting languages (e.g. Python) or statistical/mathematical software (e.g. R, SAS, Matlab, etc.) experience
* 3\+ years of machine learning/statistical modeling data analysis tools and techniques, and parameters that affect their performance experience
* Bachelor's degree or above in computer science, machine learning, engineering, or related fields
* Current, active US government Security Clearance of TS/SCI
* Familiarity with internals of LLMs, VLMs, and traditional Computer Vision object detection models
* Ability to implement and modify deep neural networks in PyTorch
* Familiarity with techniques and libraries such as Deepspeed/ZeRO, LoRA/QLoRA, or SFT for LLMs
**PREFERRED QUALIFICATIONS**
----------------------------
* Master's degree or above in computer science, machine learning, engineering, or related fields
* Knowledge of machine learning concepts and their application to reasoning and problem\-solving
* Experience working on multi\-team, cross\-disciplinary projects
* Experience with AWS services including S3, Redshift, Sagemaker, EMR, Kinesis, Lambda, and EC2
* Experience in Linux, Git workflows, and use of satellite imagery for computer vision requirements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Arlington \- 136,000\.00 \- 184,000\.00 USD annually  
USA, VA, Herndon \- 136,000\.00 \- 184,000\.00 USD annually</t>
        </is>
      </c>
    </row>
    <row r="209">
      <c r="A209" t="inlineStr">
        <is>
          <t>in-b804faad9902a11f</t>
        </is>
      </c>
      <c r="B209" t="inlineStr">
        <is>
          <t>Data Scientist- Vision Language Model Researcher, Data &amp; Machine Learning (DML)</t>
        </is>
      </c>
      <c r="C209" t="inlineStr">
        <is>
          <t>Amazon Web Services</t>
        </is>
      </c>
      <c r="D209" t="inlineStr">
        <is>
          <t>indeed</t>
        </is>
      </c>
      <c r="E209" t="inlineStr"/>
      <c r="F209" t="inlineStr"/>
      <c r="G209" t="inlineStr">
        <is>
          <t>Herndon, VA, US</t>
        </is>
      </c>
      <c r="H209" s="2" t="n">
        <v>46051</v>
      </c>
      <c r="I209" t="inlineStr">
        <is>
          <t>**DESCRIPTION**
---------------
This position requires that the candidate selected be a US Citizen and currently possess and maintain an active Top Secret security clearance.  
Join a sizeable team of data scientists, research scientists, and machine learning engineers that develop vision language models (VLMs) on overhead imagery for a high\-impact government customer. We own the entire machine learning development life cycle, developing models on customer data:
* Exploring the data and brainstorming and prioritizing ideas for model development
* Implementing new features
* Training models in support of experimental or performance goals
* T\&amp;E\-ing, packaging, and delivering models
We perform this work on both unclassified and classified networks, with portions of our team working on each network.
We seek a new team member to work on the classified networks. You would work collaboratively with teammates to develop and use a python codebase for fine\-tuning VLMs.
You would have great opportunities to learn from team members and technical leads, while also having opportunities for ownership of important project workflows. You would work with Jupyter Notebooks, the Linux command line, GitLab, and Visual Studio Code.
Key job responsibilities  
With support from technical leads, carry out tasking across the entire machine learning development lifecycle to fine\-tune VLMs on overhead imagery:
* Run data conversion pipelines to transform customer data into the structure needed by models for training
* Perform EDA on the customer data
* Train VLMs on overhead imagery
* Develop and implement hyper\-parameter optimization strategies
* Test and Evaluate models and analyze results
* Package and deliver models to the customer
* Implement new features to the code base
* Collaborate with the rest of the team on long term strategy and short\-medium term implementation.
* Contribute to presentations to the customer regarding the team’s work.
**BASIC QUALIFICATIONS**
------------------------
* 3\+ years of data querying languages (e.g. SQL), scripting languages (e.g. Python) or statistical/mathematical software (e.g. R, SAS, Matlab, etc.) experience
* 3\+ years of machine learning/statistical modeling data analysis tools and techniques, and parameters that affect their performance experience
* Bachelor's degree or above in computer science, machine learning, engineering, or related fields
* Current, active US government Security Clearance of TS/SCI
* Familiarity with internals of LLMs, VLMs, and traditional Computer Vision object detection models
* Ability to implement and modify deep neural networks in PyTorch
* Familiarity with techniques and libraries such as Deepspeed/ZeRO, LoRA/QLoRA, or SFT for LLMs
**PREFERRED QUALIFICATIONS**
----------------------------
* Master's degree or above in computer science, machine learning, engineering, or related fields
* Knowledge of machine learning concepts and their application to reasoning and problem\-solving
* Experience working on multi\-team, cross\-disciplinary projects
* Experience with AWS services including S3, Redshift, Sagemaker, EMR, Kinesis, Lambda, and EC2
* Experience in Linux, Git workflows, and use of satellite imagery for computer vision requirements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Arlington \- 136,000\.00 \- 184,000\.00 USD annually  
USA, VA, Herndon \- 136,000\.00 \- 184,000\.00 USD annually</t>
        </is>
      </c>
    </row>
    <row r="210">
      <c r="A210" t="inlineStr">
        <is>
          <t>in-f42216d2f243ed02</t>
        </is>
      </c>
      <c r="B210" t="inlineStr">
        <is>
          <t>Applied Scientist, Alexa Smart Home</t>
        </is>
      </c>
      <c r="C210" t="inlineStr">
        <is>
          <t>Amazon.com</t>
        </is>
      </c>
      <c r="D210" t="inlineStr">
        <is>
          <t>indeed</t>
        </is>
      </c>
      <c r="E210" t="inlineStr"/>
      <c r="F210" t="inlineStr"/>
      <c r="G210" t="inlineStr">
        <is>
          <t>Seattle, WA, US</t>
        </is>
      </c>
      <c r="H210" s="2" t="n">
        <v>46033</v>
      </c>
      <c r="I210" t="inlineStr">
        <is>
          <t>**DESCRIPTION**
---------------
The Smart Home team is focused on making Alexa\+ the user interface for the future home. From the simplest voice commands (turn on the lights, turn down the heat) to use cases spanning home security, home entertainment, and the home environment, we are evolving Alexa\+ into intelligent, indispensable companion that automates daily routines, simplifies interaction with appliances and electronics, and alerts when something unusual is detected. You will be part of a team delivering features that are highly anticipated by media and well received by our customers.  
Key job responsibilities  
As an Applied Scientist, you will work with other scientists and software developers to design and build the next generation of Smart Home voice and ambient controls using the latest Large Language Models and ML methods. And, you will have the satisfaction of working on a product your friends and family can relate to, and want to use every day.  
About the team  
We are a team of Scientists and Machine Learning Engineers that work together to make Alexa\+ Smart Home easier to control and manage through voice, and become proactive through ambient intelligence, with feature like automatic actions that help customer meet their energy, comfort and safety preferences.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211">
      <c r="A211" t="inlineStr">
        <is>
          <t>in-5ad23f9411dd47c7</t>
        </is>
      </c>
      <c r="B211" t="inlineStr">
        <is>
          <t>Applied Scientist, Alexa Smart Home</t>
        </is>
      </c>
      <c r="C211" t="inlineStr">
        <is>
          <t>Amazon.com</t>
        </is>
      </c>
      <c r="D211" t="inlineStr">
        <is>
          <t>indeed</t>
        </is>
      </c>
      <c r="E211" t="inlineStr"/>
      <c r="F211" t="inlineStr"/>
      <c r="G211" t="inlineStr">
        <is>
          <t>Sunnyvale, CA, US</t>
        </is>
      </c>
      <c r="H211" s="2" t="n">
        <v>46033</v>
      </c>
      <c r="I211" t="inlineStr">
        <is>
          <t>**DESCRIPTION**
---------------
The Smart Home team is focused on making Alexa\+ the user interface for the future home. From the simplest voice commands (turn on the lights, turn down the heat) to use cases spanning home security, home entertainment, and the home environment, we are evolving Alexa\+ into intelligent, indispensable companion that automates daily routines, simplifies interaction with appliances and electronics, and alerts when something unusual is detected. You will be part of a team delivering features that are highly anticipated by media and well received by our customers.  
Key job responsibilities  
As an Applied Scientist, you will work with other scientists and software developers to design and build the next generation of Smart Home voice and ambient controls using the latest Large Language Models and ML methods. And, you will have the satisfaction of working on a product your friends and family can relate to, and want to use every day.  
About the team  
We are a team of Scientists and Machine Learning Engineers that work together to make Alexa\+ Smart Home easier to control and manage through voice, and become proactive through ambient intelligence, with feature like automatic actions that help customer meet their energy, comfort and safety preferences.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212">
      <c r="A212" t="inlineStr">
        <is>
          <t>in-2803e3185a155060</t>
        </is>
      </c>
      <c r="B212" t="inlineStr">
        <is>
          <t>Sr. Applied Scientist, Amazon Ads</t>
        </is>
      </c>
      <c r="C212" t="inlineStr">
        <is>
          <t>Amazon.com</t>
        </is>
      </c>
      <c r="D212" t="inlineStr">
        <is>
          <t>indeed</t>
        </is>
      </c>
      <c r="E212">
        <f>HYPERLINK("https://www.indeed.com/viewjob?jk=2803e3185a155060", "https://www.indeed.com/viewjob?jk=2803e3185a155060")</f>
        <v/>
      </c>
      <c r="F212">
        <f>HYPERLINK("https://www.amazon.jobs/jobs/3139328/sr-applied-scientist-amazon-ads?cmpid=DA_INAD200785B", "https://www.amazon.jobs/jobs/3139328/sr-applied-scientist-amazon-ads?cmpid=DA_INAD200785B")</f>
        <v/>
      </c>
      <c r="G212" t="inlineStr">
        <is>
          <t>Palo Alto, CA, US</t>
        </is>
      </c>
      <c r="H212" s="3" t="n">
        <v>45998</v>
      </c>
      <c r="I212"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213">
      <c r="A213" t="inlineStr">
        <is>
          <t>in-cbb93fcd2cc6ed93</t>
        </is>
      </c>
      <c r="B213" t="inlineStr">
        <is>
          <t>Sr. Applied Scientist, Amazon Ads</t>
        </is>
      </c>
      <c r="C213" t="inlineStr">
        <is>
          <t>Amazon.com</t>
        </is>
      </c>
      <c r="D213" t="inlineStr">
        <is>
          <t>indeed</t>
        </is>
      </c>
      <c r="E213">
        <f>HYPERLINK("https://www.indeed.com/viewjob?jk=cbb93fcd2cc6ed93", "https://www.indeed.com/viewjob?jk=cbb93fcd2cc6ed93")</f>
        <v/>
      </c>
      <c r="F213">
        <f>HYPERLINK("https://www.amazon.jobs/jobs/3139328/sr-applied-scientist-amazon-ads?cmpid=DA_INAD200785B", "https://www.amazon.jobs/jobs/3139328/sr-applied-scientist-amazon-ads?cmpid=DA_INAD200785B")</f>
        <v/>
      </c>
      <c r="G213" t="inlineStr">
        <is>
          <t>New York, NY, US</t>
        </is>
      </c>
      <c r="H213" s="3" t="n">
        <v>45998</v>
      </c>
      <c r="I213"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214">
      <c r="A214" t="inlineStr">
        <is>
          <t>in-c79b557c19792172</t>
        </is>
      </c>
      <c r="B214" t="inlineStr">
        <is>
          <t>Sr. Applied Scientist, Amazon Ads</t>
        </is>
      </c>
      <c r="C214" t="inlineStr">
        <is>
          <t>Amazon.com</t>
        </is>
      </c>
      <c r="D214" t="inlineStr">
        <is>
          <t>indeed</t>
        </is>
      </c>
      <c r="E214">
        <f>HYPERLINK("https://www.indeed.com/viewjob?jk=c79b557c19792172", "https://www.indeed.com/viewjob?jk=c79b557c19792172")</f>
        <v/>
      </c>
      <c r="F214">
        <f>HYPERLINK("https://www.amazon.jobs/jobs/3139328/sr-applied-scientist-amazon-ads?cmpid=DA_INAD200785B", "https://www.amazon.jobs/jobs/3139328/sr-applied-scientist-amazon-ads?cmpid=DA_INAD200785B")</f>
        <v/>
      </c>
      <c r="G214" t="inlineStr">
        <is>
          <t>Boulder, CO, US</t>
        </is>
      </c>
      <c r="H214" s="3" t="n">
        <v>45998</v>
      </c>
      <c r="I214"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215">
      <c r="A215" t="inlineStr">
        <is>
          <t>in-3f48c6fbd4a7eeba</t>
        </is>
      </c>
      <c r="B215" t="inlineStr">
        <is>
          <t>Sr. Applied Scientist, Amazon Ads</t>
        </is>
      </c>
      <c r="C215" t="inlineStr">
        <is>
          <t>Amazon.com</t>
        </is>
      </c>
      <c r="D215" t="inlineStr">
        <is>
          <t>indeed</t>
        </is>
      </c>
      <c r="E215">
        <f>HYPERLINK("https://www.indeed.com/viewjob?jk=3f48c6fbd4a7eeba", "https://www.indeed.com/viewjob?jk=3f48c6fbd4a7eeba")</f>
        <v/>
      </c>
      <c r="F215">
        <f>HYPERLINK("https://www.amazon.jobs/jobs/3139328/sr-applied-scientist-amazon-ads?cmpid=DA_INAD200785B", "https://www.amazon.jobs/jobs/3139328/sr-applied-scientist-amazon-ads?cmpid=DA_INAD200785B")</f>
        <v/>
      </c>
      <c r="G215" t="inlineStr">
        <is>
          <t>Sunnyvale, CA, US</t>
        </is>
      </c>
      <c r="H215" s="3" t="n">
        <v>45998</v>
      </c>
      <c r="I215"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216">
      <c r="A216" t="inlineStr">
        <is>
          <t>in-4566b19d465fa009</t>
        </is>
      </c>
      <c r="B216" t="inlineStr">
        <is>
          <t>Sr. Applied Scientist, Amazon Ads</t>
        </is>
      </c>
      <c r="C216" t="inlineStr">
        <is>
          <t>Amazon.com</t>
        </is>
      </c>
      <c r="D216" t="inlineStr">
        <is>
          <t>indeed</t>
        </is>
      </c>
      <c r="E216">
        <f>HYPERLINK("https://www.indeed.com/viewjob?jk=4566b19d465fa009", "https://www.indeed.com/viewjob?jk=4566b19d465fa009")</f>
        <v/>
      </c>
      <c r="F216">
        <f>HYPERLINK("https://www.amazon.jobs/jobs/3139328/sr-applied-scientist-amazon-ads?cmpid=DA_INAD200785B", "https://www.amazon.jobs/jobs/3139328/sr-applied-scientist-amazon-ads?cmpid=DA_INAD200785B")</f>
        <v/>
      </c>
      <c r="G216" t="inlineStr">
        <is>
          <t>Brooklyn, NY, US</t>
        </is>
      </c>
      <c r="H216" s="3" t="n">
        <v>45998</v>
      </c>
      <c r="I216"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217">
      <c r="A217" t="inlineStr">
        <is>
          <t>in-f8e2a2c002bc1bb4</t>
        </is>
      </c>
      <c r="B217" t="inlineStr">
        <is>
          <t>Sr. Applied Scientist, Amazon Ads</t>
        </is>
      </c>
      <c r="C217" t="inlineStr">
        <is>
          <t>Amazon.com</t>
        </is>
      </c>
      <c r="D217" t="inlineStr">
        <is>
          <t>indeed</t>
        </is>
      </c>
      <c r="E217">
        <f>HYPERLINK("https://www.indeed.com/viewjob?jk=f8e2a2c002bc1bb4", "https://www.indeed.com/viewjob?jk=f8e2a2c002bc1bb4")</f>
        <v/>
      </c>
      <c r="F217">
        <f>HYPERLINK("https://www.amazon.jobs/jobs/3139328/sr-applied-scientist-amazon-ads?cmpid=DA_INAD200785B", "https://www.amazon.jobs/jobs/3139328/sr-applied-scientist-amazon-ads?cmpid=DA_INAD200785B")</f>
        <v/>
      </c>
      <c r="G217" t="inlineStr">
        <is>
          <t>Santa Monica, CA, US</t>
        </is>
      </c>
      <c r="H217" s="3" t="n">
        <v>45998</v>
      </c>
      <c r="I217"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218">
      <c r="A218" t="inlineStr">
        <is>
          <t>in-4059af29d4886f09</t>
        </is>
      </c>
      <c r="B218" t="inlineStr">
        <is>
          <t>Sr. Applied Scientist, Amazon Ads</t>
        </is>
      </c>
      <c r="C218" t="inlineStr">
        <is>
          <t>Amazon.com</t>
        </is>
      </c>
      <c r="D218" t="inlineStr">
        <is>
          <t>indeed</t>
        </is>
      </c>
      <c r="E218">
        <f>HYPERLINK("https://www.indeed.com/viewjob?jk=4059af29d4886f09", "https://www.indeed.com/viewjob?jk=4059af29d4886f09")</f>
        <v/>
      </c>
      <c r="F218">
        <f>HYPERLINK("https://www.amazon.jobs/jobs/3139328/sr-applied-scientist-amazon-ads?cmpid=DA_INAD200785B", "https://www.amazon.jobs/jobs/3139328/sr-applied-scientist-amazon-ads?cmpid=DA_INAD200785B")</f>
        <v/>
      </c>
      <c r="G218" t="inlineStr">
        <is>
          <t>Boston, MA, US</t>
        </is>
      </c>
      <c r="H218" s="3" t="n">
        <v>45998</v>
      </c>
      <c r="I218"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219">
      <c r="A219" t="inlineStr">
        <is>
          <t>in-cb5219193fed20fb</t>
        </is>
      </c>
      <c r="B219" t="inlineStr">
        <is>
          <t>Sr. Applied Scientist, Amazon Ads</t>
        </is>
      </c>
      <c r="C219" t="inlineStr">
        <is>
          <t>Amazon.com</t>
        </is>
      </c>
      <c r="D219" t="inlineStr">
        <is>
          <t>indeed</t>
        </is>
      </c>
      <c r="E219">
        <f>HYPERLINK("https://www.indeed.com/viewjob?jk=cb5219193fed20fb", "https://www.indeed.com/viewjob?jk=cb5219193fed20fb")</f>
        <v/>
      </c>
      <c r="F219">
        <f>HYPERLINK("https://www.amazon.jobs/jobs/3139328/sr-applied-scientist-amazon-ads?cmpid=DA_INAD200785B", "https://www.amazon.jobs/jobs/3139328/sr-applied-scientist-amazon-ads?cmpid=DA_INAD200785B")</f>
        <v/>
      </c>
      <c r="G219" t="inlineStr">
        <is>
          <t>Tukwila, WA, US</t>
        </is>
      </c>
      <c r="H219" s="3" t="n">
        <v>45998</v>
      </c>
      <c r="I219"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220">
      <c r="A220" t="inlineStr">
        <is>
          <t>in-890571f54424b726</t>
        </is>
      </c>
      <c r="B220" t="inlineStr">
        <is>
          <t>Sr. Applied Scientist, Amazon Ads</t>
        </is>
      </c>
      <c r="C220" t="inlineStr">
        <is>
          <t>Amazon.com</t>
        </is>
      </c>
      <c r="D220" t="inlineStr">
        <is>
          <t>indeed</t>
        </is>
      </c>
      <c r="E220">
        <f>HYPERLINK("https://www.indeed.com/viewjob?jk=890571f54424b726", "https://www.indeed.com/viewjob?jk=890571f54424b726")</f>
        <v/>
      </c>
      <c r="F220">
        <f>HYPERLINK("https://www.amazon.jobs/jobs/3139328/sr-applied-scientist-amazon-ads?cmpid=DA_INAD200785B", "https://www.amazon.jobs/jobs/3139328/sr-applied-scientist-amazon-ads?cmpid=DA_INAD200785B")</f>
        <v/>
      </c>
      <c r="G220" t="inlineStr">
        <is>
          <t>Corvallis, OR, US</t>
        </is>
      </c>
      <c r="H220" s="3" t="n">
        <v>45998</v>
      </c>
      <c r="I220"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221">
      <c r="A221" t="inlineStr">
        <is>
          <t>in-4cc704380005ec96</t>
        </is>
      </c>
      <c r="B221" t="inlineStr">
        <is>
          <t>Sr. Applied Scientist, Amazon Ads</t>
        </is>
      </c>
      <c r="C221" t="inlineStr">
        <is>
          <t>Amazon.com</t>
        </is>
      </c>
      <c r="D221" t="inlineStr">
        <is>
          <t>indeed</t>
        </is>
      </c>
      <c r="E221">
        <f>HYPERLINK("https://www.indeed.com/viewjob?jk=4cc704380005ec96", "https://www.indeed.com/viewjob?jk=4cc704380005ec96")</f>
        <v/>
      </c>
      <c r="F221">
        <f>HYPERLINK("https://www.amazon.jobs/jobs/3139328/sr-applied-scientist-amazon-ads?cmpid=DA_INAD200785B", "https://www.amazon.jobs/jobs/3139328/sr-applied-scientist-amazon-ads?cmpid=DA_INAD200785B")</f>
        <v/>
      </c>
      <c r="G221" t="inlineStr">
        <is>
          <t>Seattle, WA, US</t>
        </is>
      </c>
      <c r="H221" s="3" t="n">
        <v>45998</v>
      </c>
      <c r="I221"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222">
      <c r="A222" t="inlineStr">
        <is>
          <t>in-27131e10f15c6ba6</t>
        </is>
      </c>
      <c r="B222" t="inlineStr">
        <is>
          <t>Applied Scientist</t>
        </is>
      </c>
      <c r="C222" t="inlineStr">
        <is>
          <t>Amazon.com</t>
        </is>
      </c>
      <c r="D222" t="inlineStr">
        <is>
          <t>indeed</t>
        </is>
      </c>
      <c r="E222">
        <f>HYPERLINK("https://www.indeed.com/viewjob?jk=27131e10f15c6ba6", "https://www.indeed.com/viewjob?jk=27131e10f15c6ba6")</f>
        <v/>
      </c>
      <c r="F222">
        <f>HYPERLINK("https://www.amazon.jobs/jobs/3106501/applied-scientist?cmpid=DA_INAD200785B", "https://www.amazon.jobs/jobs/3106501/applied-scientist?cmpid=DA_INAD200785B")</f>
        <v/>
      </c>
      <c r="G222" t="inlineStr">
        <is>
          <t>Palo Alto, CA, US</t>
        </is>
      </c>
      <c r="H222" s="3" t="n">
        <v>45939</v>
      </c>
      <c r="I222"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3">
      <c r="A223" t="inlineStr">
        <is>
          <t>in-ae2c2662188e7ce2</t>
        </is>
      </c>
      <c r="B223" t="inlineStr">
        <is>
          <t>Sr. Applied Scientist, SPB Advertiser Guidance</t>
        </is>
      </c>
      <c r="C223" t="inlineStr">
        <is>
          <t>Amazon.com</t>
        </is>
      </c>
      <c r="D223" t="inlineStr">
        <is>
          <t>indeed</t>
        </is>
      </c>
      <c r="E223">
        <f>HYPERLINK("https://www.indeed.com/viewjob?jk=ae2c2662188e7ce2", "https://www.indeed.com/viewjob?jk=ae2c2662188e7ce2")</f>
        <v/>
      </c>
      <c r="F223">
        <f>HYPERLINK("https://www.amazon.jobs/jobs/3106497/sr-applied-scientist-spb-advertiser-guidance?cmpid=DA_INAD200785B", "https://www.amazon.jobs/jobs/3106497/sr-applied-scientist-spb-advertiser-guidance?cmpid=DA_INAD200785B")</f>
        <v/>
      </c>
      <c r="G223" t="inlineStr">
        <is>
          <t>Seattle, WA, US</t>
        </is>
      </c>
      <c r="H223" s="3" t="n">
        <v>45939</v>
      </c>
      <c r="I223"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Lead business, science and engineering strategy and roadmap for Sponsored Products Agentic Advertiser Guidance.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4">
      <c r="A224" t="inlineStr">
        <is>
          <t>in-2a58b4faa1450c8d</t>
        </is>
      </c>
      <c r="B224" t="inlineStr">
        <is>
          <t>Sr. Applied Scientist, SPB Advertiser Guidance</t>
        </is>
      </c>
      <c r="C224" t="inlineStr">
        <is>
          <t>Amazon.com</t>
        </is>
      </c>
      <c r="D224" t="inlineStr">
        <is>
          <t>indeed</t>
        </is>
      </c>
      <c r="E224">
        <f>HYPERLINK("https://www.indeed.com/viewjob?jk=2a58b4faa1450c8d", "https://www.indeed.com/viewjob?jk=2a58b4faa1450c8d")</f>
        <v/>
      </c>
      <c r="F224">
        <f>HYPERLINK("https://www.amazon.jobs/jobs/3106497/sr-applied-scientist-spb-advertiser-guidance?cmpid=DA_INAD200785B", "https://www.amazon.jobs/jobs/3106497/sr-applied-scientist-spb-advertiser-guidance?cmpid=DA_INAD200785B")</f>
        <v/>
      </c>
      <c r="G224" t="inlineStr">
        <is>
          <t>New York, NY, US</t>
        </is>
      </c>
      <c r="H224" s="3" t="n">
        <v>45939</v>
      </c>
      <c r="I224"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Lead business, science and engineering strategy and roadmap for Sponsored Products Agentic Advertiser Guidance.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5">
      <c r="A225" t="inlineStr">
        <is>
          <t>in-aa4d293d69aeee80</t>
        </is>
      </c>
      <c r="B225" t="inlineStr">
        <is>
          <t>Applied Scientist</t>
        </is>
      </c>
      <c r="C225" t="inlineStr">
        <is>
          <t>Amazon.com</t>
        </is>
      </c>
      <c r="D225" t="inlineStr">
        <is>
          <t>indeed</t>
        </is>
      </c>
      <c r="E225">
        <f>HYPERLINK("https://www.indeed.com/viewjob?jk=aa4d293d69aeee80", "https://www.indeed.com/viewjob?jk=aa4d293d69aeee80")</f>
        <v/>
      </c>
      <c r="F225">
        <f>HYPERLINK("https://www.amazon.jobs/jobs/3106501/applied-scientist?cmpid=DA_INAD200785B", "https://www.amazon.jobs/jobs/3106501/applied-scientist?cmpid=DA_INAD200785B")</f>
        <v/>
      </c>
      <c r="G225" t="inlineStr">
        <is>
          <t>Seattle, WA, US</t>
        </is>
      </c>
      <c r="H225" s="3" t="n">
        <v>45939</v>
      </c>
      <c r="I225"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6">
      <c r="A226" t="inlineStr">
        <is>
          <t>in-ba7ae7f217adbb7b</t>
        </is>
      </c>
      <c r="B226" t="inlineStr">
        <is>
          <t>Sr. Applied Scientist, SPB Advertiser Guidance</t>
        </is>
      </c>
      <c r="C226" t="inlineStr">
        <is>
          <t>Amazon.com</t>
        </is>
      </c>
      <c r="D226" t="inlineStr">
        <is>
          <t>indeed</t>
        </is>
      </c>
      <c r="E226">
        <f>HYPERLINK("https://www.indeed.com/viewjob?jk=ba7ae7f217adbb7b", "https://www.indeed.com/viewjob?jk=ba7ae7f217adbb7b")</f>
        <v/>
      </c>
      <c r="F226">
        <f>HYPERLINK("https://www.amazon.jobs/jobs/3106497/sr-applied-scientist-spb-advertiser-guidance?cmpid=DA_INAD200785B", "https://www.amazon.jobs/jobs/3106497/sr-applied-scientist-spb-advertiser-guidance?cmpid=DA_INAD200785B")</f>
        <v/>
      </c>
      <c r="G226" t="inlineStr">
        <is>
          <t>Palo Alto, CA, US</t>
        </is>
      </c>
      <c r="H226" s="3" t="n">
        <v>45939</v>
      </c>
      <c r="I226"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Lead business, science and engineering strategy and roadmap for Sponsored Products Agentic Advertiser Guidance.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7">
      <c r="A227" t="inlineStr">
        <is>
          <t>in-32df7b29be47e1b8</t>
        </is>
      </c>
      <c r="B227" t="inlineStr">
        <is>
          <t>Applied Scientist II, Prime Video - Personalization and Discovery Science, Personalization and Discovery Science</t>
        </is>
      </c>
      <c r="C227" t="inlineStr">
        <is>
          <t>Amazon.com</t>
        </is>
      </c>
      <c r="D227" t="inlineStr">
        <is>
          <t>indeed</t>
        </is>
      </c>
      <c r="E227">
        <f>HYPERLINK("https://www.indeed.com/viewjob?jk=32df7b29be47e1b8", "https://www.indeed.com/viewjob?jk=32df7b29be47e1b8")</f>
        <v/>
      </c>
      <c r="F227">
        <f>HYPERLINK("https://www.amazon.jobs/jobs/3099334/applied-scientist-ii-prime-video--personalization-and-discovery-science-personalization-and-discovery-science?cmpid=DA_INAD200785B", "https://www.amazon.jobs/jobs/3099334/applied-scientist-ii-prime-video--personalization-and-discovery-science-personalization-and-discovery-science?cmpid=DA_INAD200785B")</f>
        <v/>
      </c>
      <c r="G227" t="inlineStr">
        <is>
          <t>Sunnyvale, CA, US</t>
        </is>
      </c>
      <c r="H227" s="3" t="n">
        <v>45930</v>
      </c>
      <c r="I22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8">
      <c r="A228" t="inlineStr">
        <is>
          <t>in-457e02c27fdc5a23</t>
        </is>
      </c>
      <c r="B228" t="inlineStr">
        <is>
          <t>Applied Scientist II, Prime Video - Personalization and Discovery Science, Personalization and Discovery Science</t>
        </is>
      </c>
      <c r="C228" t="inlineStr">
        <is>
          <t>Amazon.com</t>
        </is>
      </c>
      <c r="D228" t="inlineStr">
        <is>
          <t>indeed</t>
        </is>
      </c>
      <c r="E228">
        <f>HYPERLINK("https://www.indeed.com/viewjob?jk=457e02c27fdc5a23", "https://www.indeed.com/viewjob?jk=457e02c27fdc5a23")</f>
        <v/>
      </c>
      <c r="F228">
        <f>HYPERLINK("https://www.amazon.jobs/jobs/3099334/applied-scientist-ii-prime-video--personalization-and-discovery-science-personalization-and-discovery-science?cmpid=DA_INAD200785B", "https://www.amazon.jobs/jobs/3099334/applied-scientist-ii-prime-video--personalization-and-discovery-science-personalization-and-discovery-science?cmpid=DA_INAD200785B")</f>
        <v/>
      </c>
      <c r="G228" t="inlineStr">
        <is>
          <t>New York, NY, US</t>
        </is>
      </c>
      <c r="H228" s="3" t="n">
        <v>45930</v>
      </c>
      <c r="I22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9">
      <c r="A229" t="inlineStr">
        <is>
          <t>in-1331a41a83ab7c18</t>
        </is>
      </c>
      <c r="B229" t="inlineStr">
        <is>
          <t>Applied Scientist II, Prime Video - Personalization and Discovery Science, Personalization and Discovery Science</t>
        </is>
      </c>
      <c r="C229" t="inlineStr">
        <is>
          <t>Amazon.com</t>
        </is>
      </c>
      <c r="D229" t="inlineStr">
        <is>
          <t>indeed</t>
        </is>
      </c>
      <c r="E229">
        <f>HYPERLINK("https://www.indeed.com/viewjob?jk=1331a41a83ab7c18", "https://www.indeed.com/viewjob?jk=1331a41a83ab7c18")</f>
        <v/>
      </c>
      <c r="F229">
        <f>HYPERLINK("https://www.amazon.jobs/jobs/3099334/applied-scientist-ii-prime-video--personalization-and-discovery-science-personalization-and-discovery-science?cmpid=DA_INAD200785B", "https://www.amazon.jobs/jobs/3099334/applied-scientist-ii-prime-video--personalization-and-discovery-science-personalization-and-discovery-science?cmpid=DA_INAD200785B")</f>
        <v/>
      </c>
      <c r="G229" t="inlineStr">
        <is>
          <t>Seattle, WA, US</t>
        </is>
      </c>
      <c r="H229" s="3" t="n">
        <v>45930</v>
      </c>
      <c r="I22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0">
      <c r="A230" t="inlineStr">
        <is>
          <t>in-e55f02b9dd044b79</t>
        </is>
      </c>
      <c r="B230" t="inlineStr">
        <is>
          <t>Sr. Applied Scientist, Prime Video - Personalization and Discovery Science</t>
        </is>
      </c>
      <c r="C230" t="inlineStr">
        <is>
          <t>Amazon.com</t>
        </is>
      </c>
      <c r="D230" t="inlineStr">
        <is>
          <t>indeed</t>
        </is>
      </c>
      <c r="E230">
        <f>HYPERLINK("https://www.indeed.com/viewjob?jk=e55f02b9dd044b79", "https://www.indeed.com/viewjob?jk=e55f02b9dd044b79")</f>
        <v/>
      </c>
      <c r="F230">
        <f>HYPERLINK("https://www.amazon.jobs/jobs/3059256/sr-applied-scientist-prime-video--personalization-and-discovery-science?cmpid=DA_INAD200785B", "https://www.amazon.jobs/jobs/3059256/sr-applied-scientist-prime-video--personalization-and-discovery-science?cmpid=DA_INAD200785B")</f>
        <v/>
      </c>
      <c r="G230" t="inlineStr">
        <is>
          <t>Seattle, WA, US</t>
        </is>
      </c>
      <c r="H230" s="3" t="n">
        <v>45881</v>
      </c>
      <c r="I23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1">
      <c r="A231" t="inlineStr">
        <is>
          <t>in-223062ed274c2895</t>
        </is>
      </c>
      <c r="B231" t="inlineStr">
        <is>
          <t>Applied Scientist II, Prime Video - Personalization and Discovery Science</t>
        </is>
      </c>
      <c r="C231" t="inlineStr">
        <is>
          <t>Amazon.com</t>
        </is>
      </c>
      <c r="D231" t="inlineStr">
        <is>
          <t>indeed</t>
        </is>
      </c>
      <c r="E231">
        <f>HYPERLINK("https://www.indeed.com/viewjob?jk=223062ed274c2895", "https://www.indeed.com/viewjob?jk=223062ed274c2895")</f>
        <v/>
      </c>
      <c r="F231">
        <f>HYPERLINK("https://www.amazon.jobs/jobs/3059253/applied-scientist-ii-prime-video--personalization-and-discovery-science?cmpid=DA_INAD200785B", "https://www.amazon.jobs/jobs/3059253/applied-scientist-ii-prime-video--personalization-and-discovery-science?cmpid=DA_INAD200785B")</f>
        <v/>
      </c>
      <c r="G231" t="inlineStr">
        <is>
          <t>Seattle, WA, US</t>
        </is>
      </c>
      <c r="H231" s="3" t="n">
        <v>45881</v>
      </c>
      <c r="I23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2">
      <c r="A232" t="inlineStr">
        <is>
          <t>in-6d4e4f3deb823739</t>
        </is>
      </c>
      <c r="B232" t="inlineStr">
        <is>
          <t>Applied Scientist II, Prime Video - Personalization and Discovery Science</t>
        </is>
      </c>
      <c r="C232" t="inlineStr">
        <is>
          <t>Amazon.com</t>
        </is>
      </c>
      <c r="D232" t="inlineStr">
        <is>
          <t>indeed</t>
        </is>
      </c>
      <c r="E232">
        <f>HYPERLINK("https://www.indeed.com/viewjob?jk=6d4e4f3deb823739", "https://www.indeed.com/viewjob?jk=6d4e4f3deb823739")</f>
        <v/>
      </c>
      <c r="F232">
        <f>HYPERLINK("https://www.amazon.jobs/jobs/3059253/applied-scientist-ii-prime-video--personalization-and-discovery-science?cmpid=DA_INAD200785B", "https://www.amazon.jobs/jobs/3059253/applied-scientist-ii-prime-video--personalization-and-discovery-science?cmpid=DA_INAD200785B")</f>
        <v/>
      </c>
      <c r="G232" t="inlineStr">
        <is>
          <t>New York, NY, US</t>
        </is>
      </c>
      <c r="H232" s="3" t="n">
        <v>45881</v>
      </c>
      <c r="I23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3">
      <c r="A233" t="inlineStr">
        <is>
          <t>in-91ec594bf7ff4e3e</t>
        </is>
      </c>
      <c r="B233" t="inlineStr">
        <is>
          <t>Applied Scientist II, Prime Video - Personalization and Discovery Science</t>
        </is>
      </c>
      <c r="C233" t="inlineStr">
        <is>
          <t>Amazon.com</t>
        </is>
      </c>
      <c r="D233" t="inlineStr">
        <is>
          <t>indeed</t>
        </is>
      </c>
      <c r="E233">
        <f>HYPERLINK("https://www.indeed.com/viewjob?jk=91ec594bf7ff4e3e", "https://www.indeed.com/viewjob?jk=91ec594bf7ff4e3e")</f>
        <v/>
      </c>
      <c r="F233">
        <f>HYPERLINK("https://www.amazon.jobs/jobs/3059253/applied-scientist-ii-prime-video--personalization-and-discovery-science?cmpid=DA_INAD200785B", "https://www.amazon.jobs/jobs/3059253/applied-scientist-ii-prime-video--personalization-and-discovery-science?cmpid=DA_INAD200785B")</f>
        <v/>
      </c>
      <c r="G233" t="inlineStr">
        <is>
          <t>Sunnyvale, CA, US</t>
        </is>
      </c>
      <c r="H233" s="3" t="n">
        <v>45881</v>
      </c>
      <c r="I23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4">
      <c r="A234" t="inlineStr">
        <is>
          <t>in-648196c048565e55</t>
        </is>
      </c>
      <c r="B234" t="inlineStr">
        <is>
          <t>Sr. Applied Scientist, Prime Video - Personalization and Discovery Science</t>
        </is>
      </c>
      <c r="C234" t="inlineStr">
        <is>
          <t>Amazon.com</t>
        </is>
      </c>
      <c r="D234" t="inlineStr">
        <is>
          <t>indeed</t>
        </is>
      </c>
      <c r="E234">
        <f>HYPERLINK("https://www.indeed.com/viewjob?jk=648196c048565e55", "https://www.indeed.com/viewjob?jk=648196c048565e55")</f>
        <v/>
      </c>
      <c r="F234">
        <f>HYPERLINK("https://www.amazon.jobs/jobs/3059256/sr-applied-scientist-prime-video--personalization-and-discovery-science?cmpid=DA_INAD200785B", "https://www.amazon.jobs/jobs/3059256/sr-applied-scientist-prime-video--personalization-and-discovery-science?cmpid=DA_INAD200785B")</f>
        <v/>
      </c>
      <c r="G234" t="inlineStr">
        <is>
          <t>New York, NY, US</t>
        </is>
      </c>
      <c r="H234" s="3" t="n">
        <v>45881</v>
      </c>
      <c r="I23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5">
      <c r="A235" t="inlineStr">
        <is>
          <t>in-50a736e985c7705a</t>
        </is>
      </c>
      <c r="B235" t="inlineStr">
        <is>
          <t>Sr. Applied Scientist, Prime Video - Personalization and Discovery Science</t>
        </is>
      </c>
      <c r="C235" t="inlineStr">
        <is>
          <t>Amazon.com</t>
        </is>
      </c>
      <c r="D235" t="inlineStr">
        <is>
          <t>indeed</t>
        </is>
      </c>
      <c r="E235">
        <f>HYPERLINK("https://www.indeed.com/viewjob?jk=50a736e985c7705a", "https://www.indeed.com/viewjob?jk=50a736e985c7705a")</f>
        <v/>
      </c>
      <c r="F235">
        <f>HYPERLINK("https://www.amazon.jobs/jobs/3059256/sr-applied-scientist-prime-video--personalization-and-discovery-science?cmpid=DA_INAD200785B", "https://www.amazon.jobs/jobs/3059256/sr-applied-scientist-prime-video--personalization-and-discovery-science?cmpid=DA_INAD200785B")</f>
        <v/>
      </c>
      <c r="G235" t="inlineStr">
        <is>
          <t>Sunnyvale, CA, US</t>
        </is>
      </c>
      <c r="H235" s="3" t="n">
        <v>45881</v>
      </c>
      <c r="I23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6">
      <c r="A236" t="inlineStr">
        <is>
          <t>in-8d7918f3594396e1</t>
        </is>
      </c>
      <c r="B236" t="inlineStr">
        <is>
          <t>Applied Scientist, Prime Video - Personalization and Discovery Science</t>
        </is>
      </c>
      <c r="C236" t="inlineStr">
        <is>
          <t>Amazon.com</t>
        </is>
      </c>
      <c r="D236" t="inlineStr">
        <is>
          <t>indeed</t>
        </is>
      </c>
      <c r="E236">
        <f>HYPERLINK("https://www.indeed.com/viewjob?jk=8d7918f3594396e1", "https://www.indeed.com/viewjob?jk=8d7918f3594396e1")</f>
        <v/>
      </c>
      <c r="F236">
        <f>HYPERLINK("https://www.amazon.jobs/jobs/3033050/applied-scientist-prime-video--personalization-and-discovery-science?cmpid=DA_INAD200785B", "https://www.amazon.jobs/jobs/3033050/applied-scientist-prime-video--personalization-and-discovery-science?cmpid=DA_INAD200785B")</f>
        <v/>
      </c>
      <c r="G236" t="inlineStr">
        <is>
          <t>Seattle, WA, US</t>
        </is>
      </c>
      <c r="H236" s="3" t="n">
        <v>45845</v>
      </c>
      <c r="I23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7">
      <c r="A237" t="inlineStr">
        <is>
          <t>in-128d854b03499ef3</t>
        </is>
      </c>
      <c r="B237" t="inlineStr">
        <is>
          <t>Applied Scientist, Prime Video - Personalization and Discovery Science</t>
        </is>
      </c>
      <c r="C237" t="inlineStr">
        <is>
          <t>Amazon.com</t>
        </is>
      </c>
      <c r="D237" t="inlineStr">
        <is>
          <t>indeed</t>
        </is>
      </c>
      <c r="E237">
        <f>HYPERLINK("https://www.indeed.com/viewjob?jk=128d854b03499ef3", "https://www.indeed.com/viewjob?jk=128d854b03499ef3")</f>
        <v/>
      </c>
      <c r="F237">
        <f>HYPERLINK("https://www.amazon.jobs/jobs/3033050/applied-scientist-prime-video--personalization-and-discovery-science?cmpid=DA_INAD200785B", "https://www.amazon.jobs/jobs/3033050/applied-scientist-prime-video--personalization-and-discovery-science?cmpid=DA_INAD200785B")</f>
        <v/>
      </c>
      <c r="G237" t="inlineStr">
        <is>
          <t>New York, NY, US</t>
        </is>
      </c>
      <c r="H237" s="3" t="n">
        <v>45845</v>
      </c>
      <c r="I23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8">
      <c r="A238" t="inlineStr">
        <is>
          <t>in-cf3eb383a38a1779</t>
        </is>
      </c>
      <c r="B238" t="inlineStr">
        <is>
          <t>Applied Scientist, Prime Video - Personalization and Discovery Science</t>
        </is>
      </c>
      <c r="C238" t="inlineStr">
        <is>
          <t>Amazon.com</t>
        </is>
      </c>
      <c r="D238" t="inlineStr">
        <is>
          <t>indeed</t>
        </is>
      </c>
      <c r="E238">
        <f>HYPERLINK("https://www.indeed.com/viewjob?jk=cf3eb383a38a1779", "https://www.indeed.com/viewjob?jk=cf3eb383a38a1779")</f>
        <v/>
      </c>
      <c r="F238">
        <f>HYPERLINK("https://www.amazon.jobs/jobs/3033050/applied-scientist-prime-video--personalization-and-discovery-science?cmpid=DA_INAD200785B", "https://www.amazon.jobs/jobs/3033050/applied-scientist-prime-video--personalization-and-discovery-science?cmpid=DA_INAD200785B")</f>
        <v/>
      </c>
      <c r="G238" t="inlineStr">
        <is>
          <t>Sunnyvale, CA, US</t>
        </is>
      </c>
      <c r="H238" s="3" t="n">
        <v>45845</v>
      </c>
      <c r="I23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9">
      <c r="A239" t="inlineStr">
        <is>
          <t>in-987a808e14c232e1</t>
        </is>
      </c>
      <c r="B239" t="inlineStr">
        <is>
          <t>Founding Forward Deployed Data Scientist</t>
        </is>
      </c>
      <c r="C239" t="inlineStr">
        <is>
          <t>Career Mentors</t>
        </is>
      </c>
      <c r="D239" t="inlineStr">
        <is>
          <t>indeed</t>
        </is>
      </c>
      <c r="E239">
        <f>HYPERLINK("https://www.indeed.com/viewjob?jk=987a808e14c232e1", "https://www.indeed.com/viewjob?jk=987a808e14c232e1")</f>
        <v/>
      </c>
      <c r="F239">
        <f>HYPERLINK("https://careermentors.recruitee.com/o/founding-forward-deployed-data-scientist?source=Indeed", "https://careermentors.recruitee.com/o/founding-forward-deployed-data-scientist?source=Indeed")</f>
        <v/>
      </c>
      <c r="G239" t="inlineStr">
        <is>
          <t>San Francisco, CA, US</t>
        </is>
      </c>
      <c r="H239" s="3" t="n">
        <v>46059</v>
      </c>
      <c r="I239" t="inlineStr">
        <is>
          <t>#### **Founding Forward Deployed Data Scientist**
#### **San Francisco, CA (4 days/week in\-office)**
**Full\-time \| Early\-stage startup (Seed–Series A)**
**Salary: $200\-250K \+ up to 3% equity**
#### **About Our Client**
Writing code is easier than ever. Building software users actually love is still painfully hard.
Our client is an AI product engineer that watches every user session and listens to every piece of feedback — support tickets, sales calls, and conversations — and automatically turns that signal into clear, prioritized product decisions. Instead of digging through events and scattered feedback, product teams get a complete picture of *what to build next and why*, with the ability to launch PRs or run experiments directly from insights.
They are building for AI\-native product teams and closing the loop between user behavior and code.
#### **The Role**
This is **not** a reporting or support analytics role.
As a **Founding Forward Deployed Data Scientist**, you will own product analytics end\-to\-end — from raw user behavior to executive\-level insights that directly shape what gets built. You’ll work directly with founders, customers, and product engineers, often embedded in high\-stakes product decisions.
You will build analytics frameworks, causal measurement systems, and internal tools that scale with the product — and you’ll ship them.
If you prefer clean specs, narrow scopes, or only running experiments designed by others, this role is not for you.
#### **What You’ll Do**
* Own analytics for **user\-facing product features** from discovery to impact
* Synthesize behavioral data and qualitative feedback into **clear product recommendations**
* Work directly with customers and executives to understand needs and deliver insights
* Design and run **causal measurement**: A/B tests, diff\-in\-diff, matched markets, power analysis
* Build and ship **analytics frameworks and internal tools** used by product and growth teams
Partner closely with engineering to connect insights product changes* experiments
* Operate comfortably in ambiguity and take full ownership of outcomes
#### **Must\-Have Qualifications (Non\-Negotiable)**
* **4\+ years** of product analytics experience at high\-growth, consumer\-facing software companies
* Owned analytics for a **user\-facing product** (not internal/support analytics)
* Proven experience delivering insights **directly to executives and/or customers**
* Strong product intuition — you generate hypotheses, not just metrics
* **Advanced Python** (tooling, automation, APIs — not just notebooks)
* Strong SQL and statistical foundations
* Deep experience with causal inference and measurement:
	+ A/B testing, diff\-in\-diff, propensity scoring, matched markets
	+ Statistical power analysis and sampling techniques
* Authorized to work in the U.S.
* Willing to work **in\-office in San Francisco 4 days/week**
* Excited to join a **very early\-stage startup** and take real ownership
#### **Nice to Have (Top 5% Signals)**
* Built analytics frameworks or tools adopted by product or growth teams
* Experience at early\-stage startups (Seed–Series B)
* Hands\-on experience with LLMs (prompting, embeddings, hallucination evaluation)
* CS or deeply technical degree
* Experience in high\-quality product analytics teams at companies like:
	+ Airtable, Figma, Notion, Slack, HubSpot, Atlassian
	Meta, Uber, Airbnb (with startup or 0+ 1 experience)
#### **What This Role Is Not**
* Not a reporting or dashboard\-only role
* Not internal or support analytics
* Not FP\&amp;A, finance, or non\-software analytics
* Not a junior or early\-career position
#### **Why Join**
* Work directly with founders who have built and scaled products at Meta, Airtable, Yelp, and WhatsApp
* Influence core product decisions from day one
* Build foundational analytics systems that define how the company operates
* Competitive compensation \+ meaningful equity
* Small, high\-bar team with real ownership
#### **Equal Employment Opportunity**
TopTechTalent.ai believes that all persons are entitled to equal employment opportunities. TopTechTalent.ai recruits, hires, trains, promotes, disciplines and provides other conditions of employment without regard to a person's race, color, ethnicity, religion, gender, gender identity, or expression, age, national origin, citizenship status, disability, veteran's status, sexual orientation, marital status or other classifications protected under law or Company policy. This includes providing reasonable accommodation for team members' disabilities or religious beliefs and practices.
The government requires TopTechTalent.ai to maintain information on those who seek employment with the company, including their race and sex. Accordingly, to help us comply with this requirement, we encourage you to provide us with the following self\-identification information. However, submission of this information is voluntary and refusal to provide it will not affect your opportunity for employment or terms and conditions of employment, if hired. If you do submit this information, it will be kept confidential and will be used in the compilation of data for reporting requirements.
 Third\-party recruiters, please do not reach out for this role.</t>
        </is>
      </c>
    </row>
    <row r="240">
      <c r="A240" t="inlineStr">
        <is>
          <t>in-9cf3391d1c7bdf50</t>
        </is>
      </c>
      <c r="B240" t="inlineStr">
        <is>
          <t>Applied Scientist II, Prime Video Personalization and Discovery Science</t>
        </is>
      </c>
      <c r="C240" t="inlineStr">
        <is>
          <t>Amazon.com</t>
        </is>
      </c>
      <c r="D240" t="inlineStr">
        <is>
          <t>indeed</t>
        </is>
      </c>
      <c r="E240">
        <f>HYPERLINK("https://www.indeed.com/viewjob?jk=9cf3391d1c7bdf50", "https://www.indeed.com/viewjob?jk=9cf3391d1c7bdf50")</f>
        <v/>
      </c>
      <c r="F240">
        <f>HYPERLINK("https://www.amazon.jobs/jobs/3165547/applied-scientist-ii-prime-video-personalization-and-discovery-science?cmpid=DA_INAD200785B", "https://www.amazon.jobs/jobs/3165547/applied-scientist-ii-prime-video-personalization-and-discovery-science?cmpid=DA_INAD200785B")</f>
        <v/>
      </c>
      <c r="G240" t="inlineStr">
        <is>
          <t>Seattle, WA, US</t>
        </is>
      </c>
      <c r="H240" s="3" t="n">
        <v>46038</v>
      </c>
      <c r="I24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241">
      <c r="A241" t="inlineStr">
        <is>
          <t>in-d3b35237aea58f25</t>
        </is>
      </c>
      <c r="B241" t="inlineStr">
        <is>
          <t>Applied Scientist, Safety ML</t>
        </is>
      </c>
      <c r="C241" t="inlineStr">
        <is>
          <t>Amazon.com</t>
        </is>
      </c>
      <c r="D241" t="inlineStr">
        <is>
          <t>indeed</t>
        </is>
      </c>
      <c r="E241">
        <f>HYPERLINK("https://www.indeed.com/viewjob?jk=d3b35237aea58f25", "https://www.indeed.com/viewjob?jk=d3b35237aea58f25")</f>
        <v/>
      </c>
      <c r="F241">
        <f>HYPERLINK("https://www.amazon.jobs/jobs/3161224/applied-scientist-safety-ml?cmpid=DA_INAD200785B", "https://www.amazon.jobs/jobs/3161224/applied-scientist-safety-ml?cmpid=DA_INAD200785B")</f>
        <v/>
      </c>
      <c r="G241" t="inlineStr">
        <is>
          <t>San Francisco, CA, US</t>
        </is>
      </c>
      <c r="H241" s="3" t="n">
        <v>46037</v>
      </c>
      <c r="I241"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looking for applied scientists to solve challenging and open\-ended problems in the domain of user and content safety. As an applied scientist on Twitch's Community team, you will use machine learning to develop data products tackling problems such as harassment, spam, and illegal content. You will use a wide toolbox of ML tools to handle multiple types of data, including user behavior, metadata, and user generated content such as text and video. You will collaborate with a team of passionate scientists and engineers to develop these models and put them into production, where they can help Twitch's creators and viewers succeed and build communities.  
You will report to our Senior Applied Science Manager in San Francisco, CA. You can work from San Francisco, CA or Seattle, WA.  
You Will  
* Build machine learning products to protect Twitch and its users from abusive behavior such as harassment, spam, and violent or illegal content.
* Work backwards from customer problems to develop the right solution for the job, whether a classical ML model or a state\-of\-the\-art one.
* Collaborate with Community Health's engineering and product management team to productionize your models into flexible data pipelines and ML\-based services.
* Continue to learn and experiment with new techniques in ML, software engineering, or safety so that we can better help communities on Twitch grow and stay safe.
Perks  
* Medical, Dental, Vision \&amp; Disability Insurance
* 401(k)
* Maternity \&amp; Parental Leave
* Flexible PTO
* Amazon Employee Discount
**BASIC QUALIFICATIONS**
------------------------
* 2\+ years of building production software experience
* 2\+ years of hands\-on industry experience building models for NLP, deep learning, bot detection, anomaly detection or in another practical ML domain.
* PhD / MSc Degree in Computer Science, Mathematics, Statistics, Physics, Engineering, or similar quantitative field OR equivalent hands on experience.
* Expertise with: Python and SQL, modern open source ML libraries (Pytorch, Tensorflow, etc.).
* Familiarity with operating in AWS or similar cloud\-computing services.
**PREFERRED QUALIFICATIONS**
----------------------------
* PhD with a specialization in Machine Learning.
* 1\+ years of experience working in the safety or fraud prevention domain (not necessarily as a scientist).
* Experience communicating with both technical and non\-technical partners and stakeholders.
* Familiarity with Twitch, its business, and its community.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\- 171,600\.00 \- 222,200\.00 USD annually  
USA, WA, SEATTLE \- 142,800\.00 \- 193,200\.00 USD annually  
USA, WA, Seattle \- 142,800\.00 \- 193,200\.00 USD annually</t>
        </is>
      </c>
    </row>
    <row r="242">
      <c r="A242" t="inlineStr">
        <is>
          <t>in-8cfe096b8ac0fbb9</t>
        </is>
      </c>
      <c r="B242" t="inlineStr">
        <is>
          <t>Applied Scientist, Safety ML</t>
        </is>
      </c>
      <c r="C242" t="inlineStr">
        <is>
          <t>Amazon.com</t>
        </is>
      </c>
      <c r="D242" t="inlineStr">
        <is>
          <t>indeed</t>
        </is>
      </c>
      <c r="E242">
        <f>HYPERLINK("https://www.indeed.com/viewjob?jk=8cfe096b8ac0fbb9", "https://www.indeed.com/viewjob?jk=8cfe096b8ac0fbb9")</f>
        <v/>
      </c>
      <c r="F242">
        <f>HYPERLINK("https://www.amazon.jobs/jobs/3161224/applied-scientist-safety-ml?cmpid=DA_INAD200785B", "https://www.amazon.jobs/jobs/3161224/applied-scientist-safety-ml?cmpid=DA_INAD200785B")</f>
        <v/>
      </c>
      <c r="G242" t="inlineStr">
        <is>
          <t>Seattle, WA, US</t>
        </is>
      </c>
      <c r="H242" s="3" t="n">
        <v>46037</v>
      </c>
      <c r="I242"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looking for applied scientists to solve challenging and open\-ended problems in the domain of user and content safety. As an applied scientist on Twitch's Community team, you will use machine learning to develop data products tackling problems such as harassment, spam, and illegal content. You will use a wide toolbox of ML tools to handle multiple types of data, including user behavior, metadata, and user generated content such as text and video. You will collaborate with a team of passionate scientists and engineers to develop these models and put them into production, where they can help Twitch's creators and viewers succeed and build communities.  
You will report to our Senior Applied Science Manager in San Francisco, CA. You can work from San Francisco, CA or Seattle, WA.  
You Will  
* Build machine learning products to protect Twitch and its users from abusive behavior such as harassment, spam, and violent or illegal content.
* Work backwards from customer problems to develop the right solution for the job, whether a classical ML model or a state\-of\-the\-art one.
* Collaborate with Community Health's engineering and product management team to productionize your models into flexible data pipelines and ML\-based services.
* Continue to learn and experiment with new techniques in ML, software engineering, or safety so that we can better help communities on Twitch grow and stay safe.
Perks  
* Medical, Dental, Vision \&amp; Disability Insurance
* 401(k)
* Maternity \&amp; Parental Leave
* Flexible PTO
* Amazon Employee Discount
**BASIC QUALIFICATIONS**
------------------------
* 2\+ years of building production software experience
* 2\+ years of hands\-on industry experience building models for NLP, deep learning, bot detection, anomaly detection or in another practical ML domain.
* PhD / MSc Degree in Computer Science, Mathematics, Statistics, Physics, Engineering, or similar quantitative field OR equivalent hands on experience.
* Expertise with: Python and SQL, modern open source ML libraries (Pytorch, Tensorflow, etc.).
* Familiarity with operating in AWS or similar cloud\-computing services.
**PREFERRED QUALIFICATIONS**
----------------------------
* PhD with a specialization in Machine Learning.
* 1\+ years of experience working in the safety or fraud prevention domain (not necessarily as a scientist).
* Experience communicating with both technical and non\-technical partners and stakeholders.
* Familiarity with Twitch, its business, and its community.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\- 171,600\.00 \- 222,200\.00 USD annually  
USA, WA, SEATTLE \- 142,800\.00 \- 193,200\.00 USD annually  
USA, WA, Seattle \- 142,800\.00 \- 193,200\.00 USD annually</t>
        </is>
      </c>
    </row>
    <row r="243">
      <c r="A243" t="inlineStr">
        <is>
          <t>in-6b117500cf397088</t>
        </is>
      </c>
      <c r="B243" t="inlineStr">
        <is>
          <t>Applied Scientist, LLM Code Agents, Kiro Science</t>
        </is>
      </c>
      <c r="C243" t="inlineStr">
        <is>
          <t>Amazon.com</t>
        </is>
      </c>
      <c r="D243" t="inlineStr">
        <is>
          <t>indeed</t>
        </is>
      </c>
      <c r="E243">
        <f>HYPERLINK("https://www.indeed.com/viewjob?jk=6b117500cf397088", "https://www.indeed.com/viewjob?jk=6b117500cf397088")</f>
        <v/>
      </c>
      <c r="F243">
        <f>HYPERLINK("https://www.amazon.jobs/jobs/3161363/applied-scientist-llm-code-agents-kiro-science?cmpid=DA_INAD200785B", "https://www.amazon.jobs/jobs/3161363/applied-scientist-llm-code-agents-kiro-science?cmpid=DA_INAD200785B")</f>
        <v/>
      </c>
      <c r="G243" t="inlineStr">
        <is>
          <t>Seattle, WA, US</t>
        </is>
      </c>
      <c r="H243" s="3" t="n">
        <v>46035</v>
      </c>
      <c r="I243" t="inlineStr">
        <is>
          <t>**DESCRIPTION**
---------------
Amazon Web Services (AWS) is assembling an elite team of world\-class scientists and engineers to pioneer the next generation of AI\-driven development tools. Join the Amazon Kiro LLM\-Training team and help create groundbreaking generative AI technologies including Kiro IDE and Amazon Q Developer that are transforming the software development landscape.  
Key job responsibilities  
As a key member of our team, you'll be at the forefront of innovation, where cutting\-edge research meets real\-world application:  
* Push the boundaries of reinforcement learning and post\-training methodologies for large language models specialized in code intelligence
* Invent and implement state\-of\-the\-art machine learning solutions that operate at unprecedented Amazon scale
* Deploy revolutionary products that directly impact the daily workflows of millions of developers worldwide
* Break new ground in AI and machine learning, challenging what's possible in intelligent code assistance
* Publish and present your pioneering work at premier ML and NLP conferences (NeurIPS, ICML, ICLR , ACL, EMNLP)
* Accelerate innovation by working directly with customers to rapidly transition research breakthroughs into production systems
About the team  
The AWS Developer Agents and Experiences (DAE) team is reimagining the builder experience through generative AI and foundation models. We're leveraging the latest advances in AI to transform how engineers work from IDE environments to web\-based tools and services, empowering developers to tackle projects of any scale with unprecedented efficiency.  
Broadly,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\- 171,600\.00 \- 222,200\.00 USD annually  
USA, WA, Seattle \- 142,800\.00 \- 193,200\.00 USD annually</t>
        </is>
      </c>
    </row>
    <row r="244">
      <c r="A244" t="inlineStr">
        <is>
          <t>in-016a25e8af0db865</t>
        </is>
      </c>
      <c r="B244" t="inlineStr">
        <is>
          <t>Applied Scientist, LLM Code Agents, Kiro Science</t>
        </is>
      </c>
      <c r="C244" t="inlineStr">
        <is>
          <t>Amazon.com</t>
        </is>
      </c>
      <c r="D244" t="inlineStr">
        <is>
          <t>indeed</t>
        </is>
      </c>
      <c r="E244">
        <f>HYPERLINK("https://www.indeed.com/viewjob?jk=016a25e8af0db865", "https://www.indeed.com/viewjob?jk=016a25e8af0db865")</f>
        <v/>
      </c>
      <c r="F244">
        <f>HYPERLINK("https://www.amazon.jobs/jobs/3161363/applied-scientist-llm-code-agents-kiro-science?cmpid=DA_INAD200785B", "https://www.amazon.jobs/jobs/3161363/applied-scientist-llm-code-agents-kiro-science?cmpid=DA_INAD200785B")</f>
        <v/>
      </c>
      <c r="G244" t="inlineStr">
        <is>
          <t>Santa Clara, CA, US</t>
        </is>
      </c>
      <c r="H244" s="3" t="n">
        <v>46035</v>
      </c>
      <c r="I244" t="inlineStr">
        <is>
          <t>**DESCRIPTION**
---------------
Amazon Web Services (AWS) is assembling an elite team of world\-class scientists and engineers to pioneer the next generation of AI\-driven development tools. Join the Amazon Kiro LLM\-Training team and help create groundbreaking generative AI technologies including Kiro IDE and Amazon Q Developer that are transforming the software development landscape.  
Key job responsibilities  
As a key member of our team, you'll be at the forefront of innovation, where cutting\-edge research meets real\-world application:  
* Push the boundaries of reinforcement learning and post\-training methodologies for large language models specialized in code intelligence
* Invent and implement state\-of\-the\-art machine learning solutions that operate at unprecedented Amazon scale
* Deploy revolutionary products that directly impact the daily workflows of millions of developers worldwide
* Break new ground in AI and machine learning, challenging what's possible in intelligent code assistance
* Publish and present your pioneering work at premier ML and NLP conferences (NeurIPS, ICML, ICLR , ACL, EMNLP)
* Accelerate innovation by working directly with customers to rapidly transition research breakthroughs into production systems
About the team  
The AWS Developer Agents and Experiences (DAE) team is reimagining the builder experience through generative AI and foundation models. We're leveraging the latest advances in AI to transform how engineers work from IDE environments to web\-based tools and services, empowering developers to tackle projects of any scale with unprecedented efficiency.  
Broadly,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\- 171,600\.00 \- 222,200\.00 USD annually  
USA, WA, Seattle \- 142,800\.00 \- 193,200\.00 USD annually</t>
        </is>
      </c>
    </row>
    <row r="245">
      <c r="A245" t="inlineStr">
        <is>
          <t>in-27e4acb060991154</t>
        </is>
      </c>
      <c r="B245" t="inlineStr">
        <is>
          <t>Senior Data Scientist, Amazon Stores Finance Science, Amazon Stores Finance Science</t>
        </is>
      </c>
      <c r="C245" t="inlineStr">
        <is>
          <t>Amazon.com</t>
        </is>
      </c>
      <c r="D245" t="inlineStr">
        <is>
          <t>indeed</t>
        </is>
      </c>
      <c r="E245">
        <f>HYPERLINK("https://www.indeed.com/viewjob?jk=27e4acb060991154", "https://www.indeed.com/viewjob?jk=27e4acb060991154")</f>
        <v/>
      </c>
      <c r="F245">
        <f>HYPERLINK("https://www.amazon.jobs/jobs/3161846/senior-data-scientist-amazon-stores-finance-science-amazon-stores-finance-science?cmpid=DA_INAD200785B", "https://www.amazon.jobs/jobs/3161846/senior-data-scientist-amazon-stores-finance-science-amazon-stores-finance-science?cmpid=DA_INAD200785B")</f>
        <v/>
      </c>
      <c r="G245" t="inlineStr">
        <is>
          <t>Bellevue, WA, US</t>
        </is>
      </c>
      <c r="H245" s="3" t="n">
        <v>46034</v>
      </c>
      <c r="I245" t="inlineStr">
        <is>
          <t>**DESCRIPTION**
---------------
WW Amazon Stores Finance Science (ASFS) works to leverage science and economics to drive improved financial results, foster data backed decisions, and embed science within Finance. ASFS is focused on developing products that empower controllership, improve business decisions and financial planning by understanding financial drivers, and innovate science capabilities for efficiency and scale.  
We are looking for a data scientist to lead high visibility initiatives for forecasting Amazon Stores' financials. You will develop new science\-based forecasting methodologies and build scalable models to improve financial decision making and planning for senior leadership up to VP and SVP level. You will build new ML and statistical models from the ground up that aim to transform financial planning for Amazon Stores.  
We prize creative problem solvers with the ability to draw on an expansive methodological toolkit to transform financial decision\-making with science. The ideal candidate combines data\-science acumen with strong business judgment. You have versatile modeling skills and are comfortable owning and extracting insights from data. You are excited to learn from and alongside seasoned scientists, engineers, and business leaders. You are an excellent communicator and effectively translate technical findings into business action.  
Key job responsibilities  
Demonstrating thorough technical knowledge, effective exploratory data analysis, and model building using industry standard ML models  
Working with technical and non\-technical stakeholders across every step of science project life cycle  
Collaborating with finance, product, data engineering, and software engineering teams to create production implementations for large\-scale ML models  
Innovating by adapting new modeling techniques and procedures  
Presenting research results to our internal research community
**BASIC QUALIFICATIONS**
------------------------
* 5\+ years of data querying languages (e.g. SQL), scripting languages (e.g. Python) or statistical/mathematical software (e.g. R, SAS, Matlab, etc.) experience
* 4\+ years of data scientist experience
* Experience with statistical models e.g. multinomial logistic regression
* Bachelor's degree in a quantitative field such as statistics, mathematics, data science, business analytics, economics, finance, engineering, or computer science
* Experience managing data pipelines
**PREFERRED QUALIFICATIONS**
----------------------------
* Experience as a leader and mentor on a data science team
* Knowledge of AWS tech stack (e.g., AWS Redshift, S3, EC2, Glue)
* Master's degree
* Experience in forecasting analyses
* Experience working with Data \&amp; AI related technologies, including, but not limited to, AI/ML, GenAI, Analytics, Database, and/or Storage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\- 183,000\.00 \- 247,600\.00 USD annually  
USA, WA, Bellevue \- 159,200\.00 \- 215,300\.00 USD annually  
USA, WA, Seattle \- 159,200\.00 \- 215,300\.00 USD annually</t>
        </is>
      </c>
    </row>
    <row r="246">
      <c r="A246" t="inlineStr">
        <is>
          <t>in-b78e9375643fd9e4</t>
        </is>
      </c>
      <c r="B246" t="inlineStr">
        <is>
          <t>Senior Data Scientist, Amazon Stores Finance Science, Amazon Stores Finance Science</t>
        </is>
      </c>
      <c r="C246" t="inlineStr">
        <is>
          <t>Amazon.com</t>
        </is>
      </c>
      <c r="D246" t="inlineStr">
        <is>
          <t>indeed</t>
        </is>
      </c>
      <c r="E246">
        <f>HYPERLINK("https://www.indeed.com/viewjob?jk=b78e9375643fd9e4", "https://www.indeed.com/viewjob?jk=b78e9375643fd9e4")</f>
        <v/>
      </c>
      <c r="F246">
        <f>HYPERLINK("https://www.amazon.jobs/jobs/3161846/senior-data-scientist-amazon-stores-finance-science-amazon-stores-finance-science?cmpid=DA_INAD200785B", "https://www.amazon.jobs/jobs/3161846/senior-data-scientist-amazon-stores-finance-science-amazon-stores-finance-science?cmpid=DA_INAD200785B")</f>
        <v/>
      </c>
      <c r="G246" t="inlineStr">
        <is>
          <t>Sunnyvale, CA, US</t>
        </is>
      </c>
      <c r="H246" s="3" t="n">
        <v>46034</v>
      </c>
      <c r="I246" t="inlineStr">
        <is>
          <t>**DESCRIPTION**
---------------
WW Amazon Stores Finance Science (ASFS) works to leverage science and economics to drive improved financial results, foster data backed decisions, and embed science within Finance. ASFS is focused on developing products that empower controllership, improve business decisions and financial planning by understanding financial drivers, and innovate science capabilities for efficiency and scale.  
We are looking for a data scientist to lead high visibility initiatives for forecasting Amazon Stores' financials. You will develop new science\-based forecasting methodologies and build scalable models to improve financial decision making and planning for senior leadership up to VP and SVP level. You will build new ML and statistical models from the ground up that aim to transform financial planning for Amazon Stores.  
We prize creative problem solvers with the ability to draw on an expansive methodological toolkit to transform financial decision\-making with science. The ideal candidate combines data\-science acumen with strong business judgment. You have versatile modeling skills and are comfortable owning and extracting insights from data. You are excited to learn from and alongside seasoned scientists, engineers, and business leaders. You are an excellent communicator and effectively translate technical findings into business action.  
Key job responsibilities  
Demonstrating thorough technical knowledge, effective exploratory data analysis, and model building using industry standard ML models  
Working with technical and non\-technical stakeholders across every step of science project life cycle  
Collaborating with finance, product, data engineering, and software engineering teams to create production implementations for large\-scale ML models  
Innovating by adapting new modeling techniques and procedures  
Presenting research results to our internal research community
**BASIC QUALIFICATIONS**
------------------------
* 5\+ years of data querying languages (e.g. SQL), scripting languages (e.g. Python) or statistical/mathematical software (e.g. R, SAS, Matlab, etc.) experience
* 4\+ years of data scientist experience
* Experience with statistical models e.g. multinomial logistic regression
* Bachelor's degree in a quantitative field such as statistics, mathematics, data science, business analytics, economics, finance, engineering, or computer science
* Experience managing data pipelines
**PREFERRED QUALIFICATIONS**
----------------------------
* Experience as a leader and mentor on a data science team
* Knowledge of AWS tech stack (e.g., AWS Redshift, S3, EC2, Glue)
* Master's degree
* Experience in forecasting analyses
* Experience working with Data \&amp; AI related technologies, including, but not limited to, AI/ML, GenAI, Analytics, Database, and/or Storage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\- 183,000\.00 \- 247,600\.00 USD annually  
USA, WA, Bellevue \- 159,200\.00 \- 215,300\.00 USD annually  
USA, WA, Seattle \- 159,200\.00 \- 215,300\.00 USD annually</t>
        </is>
      </c>
    </row>
    <row r="247">
      <c r="A247" t="inlineStr">
        <is>
          <t>in-cf85ac50ef05ea38</t>
        </is>
      </c>
      <c r="B247" t="inlineStr">
        <is>
          <t>Senior Data Scientist, Amazon Stores Finance Science, Amazon Stores Finance Science</t>
        </is>
      </c>
      <c r="C247" t="inlineStr">
        <is>
          <t>Amazon.com</t>
        </is>
      </c>
      <c r="D247" t="inlineStr">
        <is>
          <t>indeed</t>
        </is>
      </c>
      <c r="E247">
        <f>HYPERLINK("https://www.indeed.com/viewjob?jk=cf85ac50ef05ea38", "https://www.indeed.com/viewjob?jk=cf85ac50ef05ea38")</f>
        <v/>
      </c>
      <c r="F247">
        <f>HYPERLINK("https://www.amazon.jobs/jobs/3161846/senior-data-scientist-amazon-stores-finance-science-amazon-stores-finance-science?cmpid=DA_INAD200785B", "https://www.amazon.jobs/jobs/3161846/senior-data-scientist-amazon-stores-finance-science-amazon-stores-finance-science?cmpid=DA_INAD200785B")</f>
        <v/>
      </c>
      <c r="G247" t="inlineStr">
        <is>
          <t>Seattle, WA, US</t>
        </is>
      </c>
      <c r="H247" s="3" t="n">
        <v>46034</v>
      </c>
      <c r="I247" t="inlineStr">
        <is>
          <t>**DESCRIPTION**
---------------
WW Amazon Stores Finance Science (ASFS) works to leverage science and economics to drive improved financial results, foster data backed decisions, and embed science within Finance. ASFS is focused on developing products that empower controllership, improve business decisions and financial planning by understanding financial drivers, and innovate science capabilities for efficiency and scale.  
We are looking for a data scientist to lead high visibility initiatives for forecasting Amazon Stores' financials. You will develop new science\-based forecasting methodologies and build scalable models to improve financial decision making and planning for senior leadership up to VP and SVP level. You will build new ML and statistical models from the ground up that aim to transform financial planning for Amazon Stores.  
We prize creative problem solvers with the ability to draw on an expansive methodological toolkit to transform financial decision\-making with science. The ideal candidate combines data\-science acumen with strong business judgment. You have versatile modeling skills and are comfortable owning and extracting insights from data. You are excited to learn from and alongside seasoned scientists, engineers, and business leaders. You are an excellent communicator and effectively translate technical findings into business action.  
Key job responsibilities  
Demonstrating thorough technical knowledge, effective exploratory data analysis, and model building using industry standard ML models  
Working with technical and non\-technical stakeholders across every step of science project life cycle  
Collaborating with finance, product, data engineering, and software engineering teams to create production implementations for large\-scale ML models  
Innovating by adapting new modeling techniques and procedures  
Presenting research results to our internal research community
**BASIC QUALIFICATIONS**
------------------------
* 5\+ years of data querying languages (e.g. SQL), scripting languages (e.g. Python) or statistical/mathematical software (e.g. R, SAS, Matlab, etc.) experience
* 4\+ years of data scientist experience
* Experience with statistical models e.g. multinomial logistic regression
* Bachelor's degree in a quantitative field such as statistics, mathematics, data science, business analytics, economics, finance, engineering, or computer science
* Experience managing data pipelines
**PREFERRED QUALIFICATIONS**
----------------------------
* Experience as a leader and mentor on a data science team
* Knowledge of AWS tech stack (e.g., AWS Redshift, S3, EC2, Glue)
* Master's degree
* Experience in forecasting analyses
* Experience working with Data \&amp; AI related technologies, including, but not limited to, AI/ML, GenAI, Analytics, Database, and/or Storage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\- 183,000\.00 \- 247,600\.00 USD annually  
USA, WA, Bellevue \- 159,200\.00 \- 215,300\.00 USD annually  
USA, WA, Seattle \- 159,200\.00 \- 215,300\.00 USD annually</t>
        </is>
      </c>
    </row>
    <row r="248">
      <c r="A248" t="inlineStr">
        <is>
          <t>in-9814fb408282980f</t>
        </is>
      </c>
      <c r="B248" t="inlineStr">
        <is>
          <t>Sr Applied Scientist, AWS Proactive Security</t>
        </is>
      </c>
      <c r="C248" t="inlineStr">
        <is>
          <t>Amazon.com</t>
        </is>
      </c>
      <c r="D248" t="inlineStr">
        <is>
          <t>indeed</t>
        </is>
      </c>
      <c r="E248">
        <f>HYPERLINK("https://www.indeed.com/viewjob?jk=9814fb408282980f", "https://www.indeed.com/viewjob?jk=9814fb408282980f")</f>
        <v/>
      </c>
      <c r="F248">
        <f>HYPERLINK("https://www.amazon.jobs/jobs/3164664/sr-applied-scientist-aws-proactive-security?cmpid=DA_INAD200785B", "https://www.amazon.jobs/jobs/3164664/sr-applied-scientist-aws-proactive-security?cmpid=DA_INAD200785B")</f>
        <v/>
      </c>
      <c r="G248" t="inlineStr">
        <is>
          <t>Arlington, VA, US</t>
        </is>
      </c>
      <c r="H248" s="3" t="n">
        <v>46030</v>
      </c>
      <c r="I248" t="inlineStr">
        <is>
          <t>**DESCRIPTION**
---------------
In this role, you will design and build a foundational data mapping utility that enables next\-gen security automation across the Amazon business. As GenAI takes foot into the daily lives of every worker at Amazon, it is clear that high quality data context enables high quality outcomes.  
Your work includes designing a scalable and dependable database system that connects and enriches data from many of our internal data providers in way that is consumable by Agentic AI workflows.  
Key job responsibilities  
Lead the research, selection, and development of the appropriate data mechanisms to scale to meet the data context needs of Proactive Security and Security Assurance programs, to the ultimate goal of reducing the manual interaction between security and Amazon builders, while maintaining a high security bar. Work closely with Software Engineers and Applied Scientists to leverage the latest generative AI models to solve complex data mapping problems and increase our data mapping coverage and reasoning capabilities.  
About the team  
Diverse Experiences  
Amazon Security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Amazon Security?  
At Amazon, security is central to maintaining customer trust and delivering delightful customer experiences. Our organization is responsible for creating and maintaining a high bar for security across all of Amazon’s products and services. We offer talented security professionals the chance to accelerate their careers with opportunities to build experience in a wide variety of areas including cloud, devices, retail, entertainment, healthcare, operations, and physical stores.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\&amp; Career Growth  
We’re continuously raising our performance bar as we strive to become Earth’s Best Employer. That’s why you’ll find endless knowledge\-sharing, training, and other career\-advancing resources here to help you develop into a better\-rounded professional.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VA, Arlington \- 167,100\.00 \- 226,100\.00 USD annually  
USA, VA, Herndon \- 167,100\.00 \- 226,100\.00 USD annually</t>
        </is>
      </c>
    </row>
    <row r="249">
      <c r="A249" t="inlineStr">
        <is>
          <t>in-969c1209b9ebcb44</t>
        </is>
      </c>
      <c r="B249" t="inlineStr">
        <is>
          <t>Sr Applied Scientist, AWS Proactive Security</t>
        </is>
      </c>
      <c r="C249" t="inlineStr">
        <is>
          <t>Amazon.com</t>
        </is>
      </c>
      <c r="D249" t="inlineStr">
        <is>
          <t>indeed</t>
        </is>
      </c>
      <c r="E249">
        <f>HYPERLINK("https://www.indeed.com/viewjob?jk=969c1209b9ebcb44", "https://www.indeed.com/viewjob?jk=969c1209b9ebcb44")</f>
        <v/>
      </c>
      <c r="F249">
        <f>HYPERLINK("https://www.amazon.jobs/jobs/3164664/sr-applied-scientist-aws-proactive-security?cmpid=DA_INAD200785B", "https://www.amazon.jobs/jobs/3164664/sr-applied-scientist-aws-proactive-security?cmpid=DA_INAD200785B")</f>
        <v/>
      </c>
      <c r="G249" t="inlineStr">
        <is>
          <t>Herndon, VA, US</t>
        </is>
      </c>
      <c r="H249" s="3" t="n">
        <v>46030</v>
      </c>
      <c r="I249" t="inlineStr">
        <is>
          <t>**DESCRIPTION**
---------------
In this role, you will design and build a foundational data mapping utility that enables next\-gen security automation across the Amazon business. As GenAI takes foot into the daily lives of every worker at Amazon, it is clear that high quality data context enables high quality outcomes.  
Your work includes designing a scalable and dependable database system that connects and enriches data from many of our internal data providers in way that is consumable by Agentic AI workflows.  
Key job responsibilities  
Lead the research, selection, and development of the appropriate data mechanisms to scale to meet the data context needs of Proactive Security and Security Assurance programs, to the ultimate goal of reducing the manual interaction between security and Amazon builders, while maintaining a high security bar. Work closely with Software Engineers and Applied Scientists to leverage the latest generative AI models to solve complex data mapping problems and increase our data mapping coverage and reasoning capabilities.  
About the team  
Diverse Experiences  
Amazon Security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Amazon Security?  
At Amazon, security is central to maintaining customer trust and delivering delightful customer experiences. Our organization is responsible for creating and maintaining a high bar for security across all of Amazon’s products and services. We offer talented security professionals the chance to accelerate their careers with opportunities to build experience in a wide variety of areas including cloud, devices, retail, entertainment, healthcare, operations, and physical stores.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\&amp; Career Growth  
We’re continuously raising our performance bar as we strive to become Earth’s Best Employer. That’s why you’ll find endless knowledge\-sharing, training, and other career\-advancing resources here to help you develop into a better\-rounded professional.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VA, Arlington \- 167,100\.00 \- 226,100\.00 USD annually  
USA, VA, Herndon \- 167,100\.00 \- 226,100\.00 USD annually</t>
        </is>
      </c>
    </row>
    <row r="250">
      <c r="A250" t="inlineStr">
        <is>
          <t>in-38462bfeedb9d9ef</t>
        </is>
      </c>
      <c r="B250" t="inlineStr">
        <is>
          <t>Sr Applied Scientist, AWS Proactive Security</t>
        </is>
      </c>
      <c r="C250" t="inlineStr">
        <is>
          <t>Amazon.com</t>
        </is>
      </c>
      <c r="D250" t="inlineStr">
        <is>
          <t>indeed</t>
        </is>
      </c>
      <c r="E250">
        <f>HYPERLINK("https://www.indeed.com/viewjob?jk=38462bfeedb9d9ef", "https://www.indeed.com/viewjob?jk=38462bfeedb9d9ef")</f>
        <v/>
      </c>
      <c r="F250">
        <f>HYPERLINK("https://www.amazon.jobs/jobs/3164664/sr-applied-scientist-aws-proactive-security?cmpid=DA_INAD200785B", "https://www.amazon.jobs/jobs/3164664/sr-applied-scientist-aws-proactive-security?cmpid=DA_INAD200785B")</f>
        <v/>
      </c>
      <c r="G250" t="inlineStr">
        <is>
          <t>Sunnyvale, CA, US</t>
        </is>
      </c>
      <c r="H250" s="3" t="n">
        <v>46030</v>
      </c>
      <c r="I250" t="inlineStr">
        <is>
          <t>**DESCRIPTION**
---------------
In this role, you will design and build a foundational data mapping utility that enables next\-gen security automation across the Amazon business. As GenAI takes foot into the daily lives of every worker at Amazon, it is clear that high quality data context enables high quality outcomes.  
Your work includes designing a scalable and dependable database system that connects and enriches data from many of our internal data providers in way that is consumable by Agentic AI workflows.  
Key job responsibilities  
Lead the research, selection, and development of the appropriate data mechanisms to scale to meet the data context needs of Proactive Security and Security Assurance programs, to the ultimate goal of reducing the manual interaction between security and Amazon builders, while maintaining a high security bar. Work closely with Software Engineers and Applied Scientists to leverage the latest generative AI models to solve complex data mapping problems and increase our data mapping coverage and reasoning capabilities.  
About the team  
Diverse Experiences  
Amazon Security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Amazon Security?  
At Amazon, security is central to maintaining customer trust and delivering delightful customer experiences. Our organization is responsible for creating and maintaining a high bar for security across all of Amazon’s products and services. We offer talented security professionals the chance to accelerate their careers with opportunities to build experience in a wide variety of areas including cloud, devices, retail, entertainment, healthcare, operations, and physical stores.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\&amp; Career Growth  
We’re continuously raising our performance bar as we strive to become Earth’s Best Employer. That’s why you’ll find endless knowledge\-sharing, training, and other career\-advancing resources here to help you develop into a better\-rounded professional.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VA, Arlington \- 167,100\.00 \- 226,100\.00 USD annually  
USA, VA, Herndon \- 167,100\.00 \- 226,100\.00 USD annually</t>
        </is>
      </c>
    </row>
    <row r="251">
      <c r="A251" t="inlineStr">
        <is>
          <t>in-89c0f13032ae5730</t>
        </is>
      </c>
      <c r="B251" t="inlineStr">
        <is>
          <t>Applied Scientist, Last Mile Delivery Automation</t>
        </is>
      </c>
      <c r="C251" t="inlineStr">
        <is>
          <t>Amazon.com</t>
        </is>
      </c>
      <c r="D251" t="inlineStr">
        <is>
          <t>indeed</t>
        </is>
      </c>
      <c r="E251">
        <f>HYPERLINK("https://www.indeed.com/viewjob?jk=89c0f13032ae5730", "https://www.indeed.com/viewjob?jk=89c0f13032ae5730")</f>
        <v/>
      </c>
      <c r="F251">
        <f>HYPERLINK("https://www.amazon.jobs/jobs/3155354/applied-scientist-last-mile-delivery-automation?cmpid=DA_INAD200785B", "https://www.amazon.jobs/jobs/3155354/applied-scientist-last-mile-delivery-automation?cmpid=DA_INAD200785B")</f>
        <v/>
      </c>
      <c r="G251" t="inlineStr">
        <is>
          <t>Santa Clara, CA, US</t>
        </is>
      </c>
      <c r="H251" s="3" t="n">
        <v>46026</v>
      </c>
      <c r="I251" t="inlineStr">
        <is>
          <t>**DESCRIPTION**
---------------
As an Applied Scientist for Last Mile Delivery Automation, you will be at the forefront of developing AI and ML solutions that power our delivery solutions. This role combines deep expertise in machine learning, computer vision, and robotics to solve complex challenges in real\-world perception, navigation, and path planning. You will work closely with applied scientists, software developers, and product teams to research, design, and implement sophisticated algorithms that enable safe and efficient operations. This position requires a unique blend of theoretical knowledge and practical implementation skills, with a focus on transforming research concepts into production\-ready solutions that can operate reliably in diverse real\-world environments.  
Key job responsibilities  
* Design and develop advanced machine learning models and algorithms for perception, navigation and planning.
* Lead research initiatives in areas such as computer vision, sensor fusion, behavioral prediction, and path planning
* Transform research concepts into production\-ready solutions that meet strict safety and performance requirements
* Develop novel approaches to solve complex technical challenges in perception, navigation and planning
* Create and implement metrics and evaluation frameworks to measure model performance
* Collaborate with engineering teams to integrate ML solutions into production stack
* Publish research findings and represent Amazon at technical conferences
About the team  
The Applied Science team within Amazon's Last Mile Delivery Automation organization focuses on developing machine learning solutions for autonomous systems. We work at the intersection of computer vision, deep learning, robotics, and control systems to create robust and scalable algorithms that enable safe autonomous operation. Our team combines expertise from diverse scientific backgrounds to tackle fundamental challenges in perception, prediction, and decision\-making.
**BASIC QUALIFICATIONS**
------------------------
* 3\+ years of building models for business application experience
* PhD, or Master's degree and 4\+ years of CS, CE, ML or related field experience
* Experience in patents or publications at top\-tier peer\-reviewed conferences or journals
* Experience in building machine learning models for business application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2">
      <c r="A252" t="inlineStr">
        <is>
          <t>in-e251ded802cb518d</t>
        </is>
      </c>
      <c r="B252" t="inlineStr">
        <is>
          <t>Applied Scientist, Last Mile Delivery Automation</t>
        </is>
      </c>
      <c r="C252" t="inlineStr">
        <is>
          <t>Amazon.com</t>
        </is>
      </c>
      <c r="D252" t="inlineStr">
        <is>
          <t>indeed</t>
        </is>
      </c>
      <c r="E252">
        <f>HYPERLINK("https://www.indeed.com/viewjob?jk=e251ded802cb518d", "https://www.indeed.com/viewjob?jk=e251ded802cb518d")</f>
        <v/>
      </c>
      <c r="F252">
        <f>HYPERLINK("https://www.amazon.jobs/jobs/3155354/applied-scientist-last-mile-delivery-automation?cmpid=DA_INAD200785B", "https://www.amazon.jobs/jobs/3155354/applied-scientist-last-mile-delivery-automation?cmpid=DA_INAD200785B")</f>
        <v/>
      </c>
      <c r="G252" t="inlineStr">
        <is>
          <t>Bellevue, WA, US</t>
        </is>
      </c>
      <c r="H252" s="3" t="n">
        <v>46026</v>
      </c>
      <c r="I252" t="inlineStr">
        <is>
          <t>**DESCRIPTION**
---------------
As an Applied Scientist for Last Mile Delivery Automation, you will be at the forefront of developing AI and ML solutions that power our delivery solutions. This role combines deep expertise in machine learning, computer vision, and robotics to solve complex challenges in real\-world perception, navigation, and path planning. You will work closely with applied scientists, software developers, and product teams to research, design, and implement sophisticated algorithms that enable safe and efficient operations. This position requires a unique blend of theoretical knowledge and practical implementation skills, with a focus on transforming research concepts into production\-ready solutions that can operate reliably in diverse real\-world environments.  
Key job responsibilities  
* Design and develop advanced machine learning models and algorithms for perception, navigation and planning.
* Lead research initiatives in areas such as computer vision, sensor fusion, behavioral prediction, and path planning
* Transform research concepts into production\-ready solutions that meet strict safety and performance requirements
* Develop novel approaches to solve complex technical challenges in perception, navigation and planning
* Create and implement metrics and evaluation frameworks to measure model performance
* Collaborate with engineering teams to integrate ML solutions into production stack
* Publish research findings and represent Amazon at technical conferences
About the team  
The Applied Science team within Amazon's Last Mile Delivery Automation organization focuses on developing machine learning solutions for autonomous systems. We work at the intersection of computer vision, deep learning, robotics, and control systems to create robust and scalable algorithms that enable safe autonomous operation. Our team combines expertise from diverse scientific backgrounds to tackle fundamental challenges in perception, prediction, and decision\-making.
**BASIC QUALIFICATIONS**
------------------------
* 3\+ years of building models for business application experience
* PhD, or Master's degree and 4\+ years of CS, CE, ML or related field experience
* Experience in patents or publications at top\-tier peer\-reviewed conferences or journals
* Experience in building machine learning models for business application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3">
      <c r="A253" t="inlineStr">
        <is>
          <t>in-79f45c9ff9631014</t>
        </is>
      </c>
      <c r="B253" t="inlineStr">
        <is>
          <t>Senior Applied Scientist, Distributed SQL</t>
        </is>
      </c>
      <c r="C253" t="inlineStr">
        <is>
          <t>Amazon Web Services</t>
        </is>
      </c>
      <c r="D253" t="inlineStr">
        <is>
          <t>indeed</t>
        </is>
      </c>
      <c r="E253">
        <f>HYPERLINK("https://www.indeed.com/viewjob?jk=79f45c9ff9631014", "https://www.indeed.com/viewjob?jk=79f45c9ff9631014")</f>
        <v/>
      </c>
      <c r="F253">
        <f>HYPERLINK("https://www.amazon.jobs/jobs/3148444/senior-applied-scientist-distributed-sql?cmpid=DA_INAD200785B", "https://www.amazon.jobs/jobs/3148444/senior-applied-scientist-distributed-sql?cmpid=DA_INAD200785B")</f>
        <v/>
      </c>
      <c r="G253" t="inlineStr">
        <is>
          <t>East Palo Alto, CA, US</t>
        </is>
      </c>
      <c r="H253" s="3" t="n">
        <v>46012</v>
      </c>
      <c r="I253" t="inlineStr">
        <is>
          <t>**DESCRIPTION**
---------------
Amazon Aurora DSQL is a serverless, distributed SQL database with virtually unlimited scale, highest availability, and zero infrastructure management. Aurora DSQL provides active\-active high availability, providing strong data consistency designed for 99\.99% single\-Region and 99\.999% multi\-Region availability. Aurora DSQL automatically manages and scales system resources, so you don't have to worry about maintenance downtime and provisioning, patching, or upgrading infrastructure.  
As a Senior Applied Scientist, you will be expected to lead research and development in advanced query optimization techniques for distributed sql services. You will innovate in the query planning and execution layer to help Aurora DSQL succeed at delivering high performance for complex OLTP workloads. You will develop novel approaches to stats collection, query planning, execution and optimization. You will drive industry leading research, publish your research and help convert your research into implementations to make Aurora DSQL the fastest sql database for OLTP workloads.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Key job responsibilities  
Our engineers collaborate across diverse teams, projects, and environments to have a firsthand impact on our global customer base. You’ll bring a passion for innovation, data, search, analytics, and distributed systems. You’ll also:  
Solve challenging technical problems, often ones not solved before, at every layer of the stack.  
Design, implement, test, deploy and maintain innovative software solutions to transform service performance, durability, cost, and security.  
Build high\-quality, highly available, always\-on products.  
Research implementations that deliver the best possible experiences for customers.  
A day in the life  
As you design and code solutions to help our team drive efficiencies in software architecture, you’ll create metrics, implement automation and other improvements, and resolve the root cause of software defects. You’ll also:  
Build high\-impact solutions to deliver to our large customer base.  
Participate in design discussions, code review, and communicate with internal and external stakeholders.  
Work cross\-functionally to help drive business decisions with your technical input.  
Work in a startup\-like development environment, where you’re always working on the most important stuff.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East Palo Alto \- 192,200\.00 \- 260,000\.00 USD annually  
USA, WA, Seattle \- 167,100\.00 \- 226,100\.00 USD annually</t>
        </is>
      </c>
    </row>
    <row r="254">
      <c r="A254" t="inlineStr">
        <is>
          <t>in-97c10a300f5eea6a</t>
        </is>
      </c>
      <c r="B254" t="inlineStr">
        <is>
          <t>Senior Applied Scientist, Distributed SQL</t>
        </is>
      </c>
      <c r="C254" t="inlineStr">
        <is>
          <t>Amazon Web Services</t>
        </is>
      </c>
      <c r="D254" t="inlineStr">
        <is>
          <t>indeed</t>
        </is>
      </c>
      <c r="E254">
        <f>HYPERLINK("https://www.indeed.com/viewjob?jk=97c10a300f5eea6a", "https://www.indeed.com/viewjob?jk=97c10a300f5eea6a")</f>
        <v/>
      </c>
      <c r="F254">
        <f>HYPERLINK("https://www.amazon.jobs/jobs/3148444/senior-applied-scientist-distributed-sql?cmpid=DA_INAD200785B", "https://www.amazon.jobs/jobs/3148444/senior-applied-scientist-distributed-sql?cmpid=DA_INAD200785B")</f>
        <v/>
      </c>
      <c r="G254" t="inlineStr">
        <is>
          <t>Seattle, WA, US</t>
        </is>
      </c>
      <c r="H254" s="3" t="n">
        <v>46012</v>
      </c>
      <c r="I254" t="inlineStr">
        <is>
          <t>**DESCRIPTION**
---------------
Amazon Aurora DSQL is a serverless, distributed SQL database with virtually unlimited scale, highest availability, and zero infrastructure management. Aurora DSQL provides active\-active high availability, providing strong data consistency designed for 99\.99% single\-Region and 99\.999% multi\-Region availability. Aurora DSQL automatically manages and scales system resources, so you don't have to worry about maintenance downtime and provisioning, patching, or upgrading infrastructure.  
As a Senior Applied Scientist, you will be expected to lead research and development in advanced query optimization techniques for distributed sql services. You will innovate in the query planning and execution layer to help Aurora DSQL succeed at delivering high performance for complex OLTP workloads. You will develop novel approaches to stats collection, query planning, execution and optimization. You will drive industry leading research, publish your research and help convert your research into implementations to make Aurora DSQL the fastest sql database for OLTP workloads.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Key job responsibilities  
Our engineers collaborate across diverse teams, projects, and environments to have a firsthand impact on our global customer base. You’ll bring a passion for innovation, data, search, analytics, and distributed systems. You’ll also:  
Solve challenging technical problems, often ones not solved before, at every layer of the stack.  
Design, implement, test, deploy and maintain innovative software solutions to transform service performance, durability, cost, and security.  
Build high\-quality, highly available, always\-on products.  
Research implementations that deliver the best possible experiences for customers.  
A day in the life  
As you design and code solutions to help our team drive efficiencies in software architecture, you’ll create metrics, implement automation and other improvements, and resolve the root cause of software defects. You’ll also:  
Build high\-impact solutions to deliver to our large customer base.  
Participate in design discussions, code review, and communicate with internal and external stakeholders.  
Work cross\-functionally to help drive business decisions with your technical input.  
Work in a startup\-like development environment, where you’re always working on the most important stuff.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East Palo Alto \- 192,200\.00 \- 260,000\.00 USD annually  
USA, WA, Seattle \- 167,100\.00 \- 226,100\.00 USD annually</t>
        </is>
      </c>
    </row>
    <row r="255">
      <c r="A255" t="inlineStr">
        <is>
          <t>in-170fc6780876383d</t>
        </is>
      </c>
      <c r="B255" t="inlineStr">
        <is>
          <t>Applied Scientist, GenAI Evaluation Media</t>
        </is>
      </c>
      <c r="C255" t="inlineStr">
        <is>
          <t>Amazon.com</t>
        </is>
      </c>
      <c r="D255" t="inlineStr">
        <is>
          <t>indeed</t>
        </is>
      </c>
      <c r="E255">
        <f>HYPERLINK("https://www.indeed.com/viewjob?jk=170fc6780876383d", "https://www.indeed.com/viewjob?jk=170fc6780876383d")</f>
        <v/>
      </c>
      <c r="F255">
        <f>HYPERLINK("https://www.amazon.jobs/jobs/3159215/applied-scientist-genai-evaluation-media?cmpid=DA_INAD200785B", "https://www.amazon.jobs/jobs/3159215/applied-scientist-genai-evaluation-media?cmpid=DA_INAD200785B")</f>
        <v/>
      </c>
      <c r="G255" t="inlineStr">
        <is>
          <t>Seattle, WA, US</t>
        </is>
      </c>
      <c r="H255" s="3" t="n">
        <v>46006</v>
      </c>
      <c r="I255" t="inlineStr">
        <is>
          <t>**DESCRIPTION**
---------------
We are seeking an Applied Scientist to join our Generate AI Visual Media \- Core Experiences Science team. This organization drives significant business value by revolutionizing how customers interact with product imagery and videos across Amazon. Working at the intersection of Computer Vision and Generative AI, you will help customers make confident purchase decisions through optimized visual content. Our goal is to transform shopping into a personalized journey of inspiration, discovery, and evaluation by helping customers evaluate how products will fit and flatter their unique self before they ship. In this role, you will be responsible for building scalable computer vision and machine learning (CVML) models, and automating their application and expansion to power customer\-facing features.  
We are seeking domain expertise specifically in 3D Generative AI and Inverse Rendering. Relevant topics include Neural Fields, Implicit 3D Representations, NeRFs, Differentiable Rendering/Simulation, and Physically Based Rendering (PBR) Materials. We expect strong expertise at the intersection of Computer Graphics, Computer Vision, and Deep Learning. An inclination towards Generative AI, such as GANs, VQ\-VAE/GAN, and Diffusion Models, is essential. Additionally, experience in application\-specific domains such as Neural Avatars, Parametric Body Models, and Differentiable Rendering/Simulation will be highly advantageous.  
Key job responsibilities  
* Explore, collect, and process data
* Frame and transform ambiguous business challenges into science hypotheses. Design and implement offline and online experiments to evaluate them
* Develop prototypes to test new concepts/proposals for models and algorithms
* Design and build automated, scalable pipelines to train and deploy ML models
**BASIC QUALIFICATIONS**
------------------------
* PhD, or Master's degree and 5\+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developing and implementing deep learning algorithms, particularly with respect to computer vision algorithms
* Experience in patents or publications at top\-tier peer\-reviewed conferences or journals
* Experience with popular deep learning frameworks such as Tensor Flow and PyTorch.
* Usage of generative AI tools to enhance workflow efficiency, with a willingness to learn effective prompting and evaluation practices.
* Ability to recognize opportunities where generative AI could enhance products, workflows, or customer experiences.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256">
      <c r="A256" t="inlineStr">
        <is>
          <t>in-d6df0a458c064be2</t>
        </is>
      </c>
      <c r="B256" t="inlineStr">
        <is>
          <t>Applied Scientist, GenAI Evaluation Media</t>
        </is>
      </c>
      <c r="C256" t="inlineStr">
        <is>
          <t>Amazon.com</t>
        </is>
      </c>
      <c r="D256" t="inlineStr">
        <is>
          <t>indeed</t>
        </is>
      </c>
      <c r="E256">
        <f>HYPERLINK("https://www.indeed.com/viewjob?jk=d6df0a458c064be2", "https://www.indeed.com/viewjob?jk=d6df0a458c064be2")</f>
        <v/>
      </c>
      <c r="F256">
        <f>HYPERLINK("https://www.amazon.jobs/jobs/3159215/applied-scientist-genai-evaluation-media?cmpid=DA_INAD200785B", "https://www.amazon.jobs/jobs/3159215/applied-scientist-genai-evaluation-media?cmpid=DA_INAD200785B")</f>
        <v/>
      </c>
      <c r="G256" t="inlineStr">
        <is>
          <t>Sunnyvale, CA, US</t>
        </is>
      </c>
      <c r="H256" s="3" t="n">
        <v>46006</v>
      </c>
      <c r="I256" t="inlineStr">
        <is>
          <t>**DESCRIPTION**
---------------
We are seeking an Applied Scientist to join our Generate AI Visual Media \- Core Experiences Science team. This organization drives significant business value by revolutionizing how customers interact with product imagery and videos across Amazon. Working at the intersection of Computer Vision and Generative AI, you will help customers make confident purchase decisions through optimized visual content. Our goal is to transform shopping into a personalized journey of inspiration, discovery, and evaluation by helping customers evaluate how products will fit and flatter their unique self before they ship. In this role, you will be responsible for building scalable computer vision and machine learning (CVML) models, and automating their application and expansion to power customer\-facing features.  
We are seeking domain expertise specifically in 3D Generative AI and Inverse Rendering. Relevant topics include Neural Fields, Implicit 3D Representations, NeRFs, Differentiable Rendering/Simulation, and Physically Based Rendering (PBR) Materials. We expect strong expertise at the intersection of Computer Graphics, Computer Vision, and Deep Learning. An inclination towards Generative AI, such as GANs, VQ\-VAE/GAN, and Diffusion Models, is essential. Additionally, experience in application\-specific domains such as Neural Avatars, Parametric Body Models, and Differentiable Rendering/Simulation will be highly advantageous.  
Key job responsibilities  
* Explore, collect, and process data
* Frame and transform ambiguous business challenges into science hypotheses. Design and implement offline and online experiments to evaluate them
* Develop prototypes to test new concepts/proposals for models and algorithms
* Design and build automated, scalable pipelines to train and deploy ML models
**BASIC QUALIFICATIONS**
------------------------
* PhD, or Master's degree and 5\+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developing and implementing deep learning algorithms, particularly with respect to computer vision algorithms
* Experience in patents or publications at top\-tier peer\-reviewed conferences or journals
* Experience with popular deep learning frameworks such as Tensor Flow and PyTorch.
* Usage of generative AI tools to enhance workflow efficiency, with a willingness to learn effective prompting and evaluation practices.
* Ability to recognize opportunities where generative AI could enhance products, workflows, or customer experiences.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257">
      <c r="A257" t="inlineStr">
        <is>
          <t>in-b1cf94f99f18ab60</t>
        </is>
      </c>
      <c r="B257" t="inlineStr">
        <is>
          <t>Applied Scientist, GenAI Evaluation Media</t>
        </is>
      </c>
      <c r="C257" t="inlineStr">
        <is>
          <t>Amazon.com</t>
        </is>
      </c>
      <c r="D257" t="inlineStr">
        <is>
          <t>indeed</t>
        </is>
      </c>
      <c r="E257">
        <f>HYPERLINK("https://www.indeed.com/viewjob?jk=b1cf94f99f18ab60", "https://www.indeed.com/viewjob?jk=b1cf94f99f18ab60")</f>
        <v/>
      </c>
      <c r="F257">
        <f>HYPERLINK("https://www.amazon.jobs/jobs/3159215/applied-scientist-genai-evaluation-media?cmpid=DA_INAD200785B", "https://www.amazon.jobs/jobs/3159215/applied-scientist-genai-evaluation-media?cmpid=DA_INAD200785B")</f>
        <v/>
      </c>
      <c r="G257" t="inlineStr">
        <is>
          <t>New York, NY, US</t>
        </is>
      </c>
      <c r="H257" s="3" t="n">
        <v>46006</v>
      </c>
      <c r="I257" t="inlineStr">
        <is>
          <t>**DESCRIPTION**
---------------
We are seeking an Applied Scientist to join our Generate AI Visual Media \- Core Experiences Science team. This organization drives significant business value by revolutionizing how customers interact with product imagery and videos across Amazon. Working at the intersection of Computer Vision and Generative AI, you will help customers make confident purchase decisions through optimized visual content. Our goal is to transform shopping into a personalized journey of inspiration, discovery, and evaluation by helping customers evaluate how products will fit and flatter their unique self before they ship. In this role, you will be responsible for building scalable computer vision and machine learning (CVML) models, and automating their application and expansion to power customer\-facing features.  
We are seeking domain expertise specifically in 3D Generative AI and Inverse Rendering. Relevant topics include Neural Fields, Implicit 3D Representations, NeRFs, Differentiable Rendering/Simulation, and Physically Based Rendering (PBR) Materials. We expect strong expertise at the intersection of Computer Graphics, Computer Vision, and Deep Learning. An inclination towards Generative AI, such as GANs, VQ\-VAE/GAN, and Diffusion Models, is essential. Additionally, experience in application\-specific domains such as Neural Avatars, Parametric Body Models, and Differentiable Rendering/Simulation will be highly advantageous.  
Key job responsibilities  
* Explore, collect, and process data
* Frame and transform ambiguous business challenges into science hypotheses. Design and implement offline and online experiments to evaluate them
* Develop prototypes to test new concepts/proposals for models and algorithms
* Design and build automated, scalable pipelines to train and deploy ML models
**BASIC QUALIFICATIONS**
------------------------
* PhD, or Master's degree and 5\+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developing and implementing deep learning algorithms, particularly with respect to computer vision algorithms
* Experience in patents or publications at top\-tier peer\-reviewed conferences or journals
* Experience with popular deep learning frameworks such as Tensor Flow and PyTorch.
* Usage of generative AI tools to enhance workflow efficiency, with a willingness to learn effective prompting and evaluation practices.
* Ability to recognize opportunities where generative AI could enhance products, workflows, or customer experiences.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258">
      <c r="A258" t="inlineStr">
        <is>
          <t>in-3c40b29c48a733db</t>
        </is>
      </c>
      <c r="B258" t="inlineStr">
        <is>
          <t>Principal Applied Scientist, Kiro Science</t>
        </is>
      </c>
      <c r="C258" t="inlineStr">
        <is>
          <t>Amazon Web Services</t>
        </is>
      </c>
      <c r="D258" t="inlineStr">
        <is>
          <t>indeed</t>
        </is>
      </c>
      <c r="E258">
        <f>HYPERLINK("https://www.indeed.com/viewjob?jk=3c40b29c48a733db", "https://www.indeed.com/viewjob?jk=3c40b29c48a733db")</f>
        <v/>
      </c>
      <c r="F258">
        <f>HYPERLINK("https://www.amazon.jobs/jobs/3161064/principal-applied-scientist-kiro-science?cmpid=DA_INAD200785B", "https://www.amazon.jobs/jobs/3161064/principal-applied-scientist-kiro-science?cmpid=DA_INAD200785B")</f>
        <v/>
      </c>
      <c r="G258" t="inlineStr">
        <is>
          <t>Santa Clara, CA, US</t>
        </is>
      </c>
      <c r="H258" s="3" t="n">
        <v>45999</v>
      </c>
      <c r="I258" t="inlineStr">
        <is>
          <t>**DESCRIPTION**
---------------
AWS Agentic AI is looking for a Principal Applied Scientist who will partner with world\-class scientists and engineers to pioneer the next generation of AI\-driven development tools. Join the Amazon Kiro LLM\-Training team and help create groundbreaking generative AI technologies including Kiro IDE and Amazon Q Developer that are transforming the software development landscape.  
Key job responsibilities  
As a key member of our team, you'll be at the forefront of innovation, where cutting\-edge research meets real\-world application:  
* Push the boundaries of reinforcement learning and post\-training methodologies for large language models specialized in code intelligence
* Invent and implement state\-of\-the\-art machine learning solutions that operate at unprecedented Amazon scale
* Deploy revolutionary products that directly impact the daily workflows of millions of developers worldwide
* Break new ground in AI and machine learning, challenging what's possible in intelligent code assistance
* Publish and present your pioneering work at premier ML and NLP conferences (NeurIPS, ICML, ICLR , ACL, EMNLP)
* Accelerate innovation by working directly with customers to rapidly transition research breakthroughs into production systems
About the team  
The AWS Developer Agents and Experiences (DAE) team is reimagining the builder experience through generative AI and foundation models. We're leveraging the latest advances in AI to transform how engineers work from IDE environments to web\-based tools and services, empowering developers to tackle projects of any scale with unprecedented efficiency.  
Broadly,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offices.**BASIC QUALIFICATIONS**
------------------------
* PhD, or Master's degree and 10\+ years of CS, CE, ML or related field experience
* 8\+ years of building models for business application experience
* Experience in patents or publications at top\-tier peer\-reviewed conferences or journals
* Experience programming in Java, C\+\+, Python or related language
* Experience in any of the following areas: AI (NLP or multi\-modality models), Deep Learning, LLM model training, graph learning, software engineering.
**PREFERRED QUALIFICATIONS**
----------------------------
* First author publications at Tier\-1 ML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t>
        </is>
      </c>
    </row>
    <row r="259">
      <c r="A259" t="inlineStr">
        <is>
          <t>in-7dc96c2bab23f3ef</t>
        </is>
      </c>
      <c r="B259" t="inlineStr">
        <is>
          <t>Principal Applied Scientist, Kiro Science</t>
        </is>
      </c>
      <c r="C259" t="inlineStr">
        <is>
          <t>Amazon Web Services</t>
        </is>
      </c>
      <c r="D259" t="inlineStr">
        <is>
          <t>indeed</t>
        </is>
      </c>
      <c r="E259">
        <f>HYPERLINK("https://www.indeed.com/viewjob?jk=7dc96c2bab23f3ef", "https://www.indeed.com/viewjob?jk=7dc96c2bab23f3ef")</f>
        <v/>
      </c>
      <c r="F259">
        <f>HYPERLINK("https://www.amazon.jobs/jobs/3161064/principal-applied-scientist-kiro-science?cmpid=DA_INAD200785B", "https://www.amazon.jobs/jobs/3161064/principal-applied-scientist-kiro-science?cmpid=DA_INAD200785B")</f>
        <v/>
      </c>
      <c r="G259" t="inlineStr">
        <is>
          <t>New York, NY, US</t>
        </is>
      </c>
      <c r="H259" s="3" t="n">
        <v>45999</v>
      </c>
      <c r="I259" t="inlineStr">
        <is>
          <t>**DESCRIPTION**
---------------
AWS Agentic AI is looking for a Principal Applied Scientist who will partner with world\-class scientists and engineers to pioneer the next generation of AI\-driven development tools. Join the Amazon Kiro LLM\-Training team and help create groundbreaking generative AI technologies including Kiro IDE and Amazon Q Developer that are transforming the software development landscape.  
Key job responsibilities  
As a key member of our team, you'll be at the forefront of innovation, where cutting\-edge research meets real\-world application:  
* Push the boundaries of reinforcement learning and post\-training methodologies for large language models specialized in code intelligence
* Invent and implement state\-of\-the\-art machine learning solutions that operate at unprecedented Amazon scale
* Deploy revolutionary products that directly impact the daily workflows of millions of developers worldwide
* Break new ground in AI and machine learning, challenging what's possible in intelligent code assistance
* Publish and present your pioneering work at premier ML and NLP conferences (NeurIPS, ICML, ICLR , ACL, EMNLP)
* Accelerate innovation by working directly with customers to rapidly transition research breakthroughs into production systems
About the team  
The AWS Developer Agents and Experiences (DAE) team is reimagining the builder experience through generative AI and foundation models. We're leveraging the latest advances in AI to transform how engineers work from IDE environments to web\-based tools and services, empowering developers to tackle projects of any scale with unprecedented efficiency.  
Broadly,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offices.**BASIC QUALIFICATIONS**
------------------------
* PhD, or Master's degree and 10\+ years of CS, CE, ML or related field experience
* 8\+ years of building models for business application experience
* Experience in patents or publications at top\-tier peer\-reviewed conferences or journals
* Experience programming in Java, C\+\+, Python or related language
* Experience in any of the following areas: AI (NLP or multi\-modality models), Deep Learning, LLM model training, graph learning, software engineering.
**PREFERRED QUALIFICATIONS**
----------------------------
* First author publications at Tier\-1 ML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t>
        </is>
      </c>
    </row>
    <row r="260">
      <c r="A260" t="inlineStr">
        <is>
          <t>in-84889ae3903c3ecf</t>
        </is>
      </c>
      <c r="B260" t="inlineStr">
        <is>
          <t>Principal Applied Scientist, Sponsored Products and Brands</t>
        </is>
      </c>
      <c r="C260" t="inlineStr">
        <is>
          <t>Amazon.com</t>
        </is>
      </c>
      <c r="D260" t="inlineStr">
        <is>
          <t>indeed</t>
        </is>
      </c>
      <c r="E260">
        <f>HYPERLINK("https://www.indeed.com/viewjob?jk=84889ae3903c3ecf", "https://www.indeed.com/viewjob?jk=84889ae3903c3ecf")</f>
        <v/>
      </c>
      <c r="F260">
        <f>HYPERLINK("https://www.amazon.jobs/jobs/3130855/principal-applied-scientist-sponsored-products-and-brands?cmpid=DA_INAD200785B", "https://www.amazon.jobs/jobs/3130855/principal-applied-scientist-sponsored-products-and-brands?cmpid=DA_INAD200785B")</f>
        <v/>
      </c>
      <c r="G260" t="inlineStr">
        <is>
          <t>New York, NY, US</t>
        </is>
      </c>
      <c r="H260" s="3" t="n">
        <v>45979</v>
      </c>
      <c r="I260"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 Principal Scientist for the team, you will have the opportunity to apply your deep subject matter expertise in the area of ML, LLM and GenAI models. You will invent new product experiences that enable novel advertiser and shopper experiences. This role will liaise with internal Amazon partners and work on bringing state\-of\-the\-art GenAI models to production, and stay abreast of the latest developments in the space of GenAI and identify opportunities to improve the efficiency and productivity of the team. Additionally, you will define a long\-term science vision for our advertising business, driven by our customer’s needs, and translate it into actionable plans for our team of applied scientists and engineers.  
This role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org.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PhD in Computer Science, Statistics or related field.
* 10\+ years of programming in Java, Python or related language.
* 10\+ years of applied ML experience in building complex, real\-time systems involving AI, ML with successful delivery to customers.
* 3\+ years in LLMs, model fine tuning and prompt engineering.
* 3\+ years in digital advertising technology.
**PREFERRED QUALIFICATIONS**
----------------------------
* Demonstrated track record of innovative AI solution development.
* Experience with generative model architectures.
* Research publications or patents in generative AI technologies.
* Experience in Reinforcement Learning from Human Feedback (RLHF), Retrieval\-Augmented Generation (RAG) and AI model trade\-offs (e.g., model size, latency, cost, and output quality).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1">
      <c r="A261" t="inlineStr">
        <is>
          <t>in-5ab6f9795d805f1c</t>
        </is>
      </c>
      <c r="B261" t="inlineStr">
        <is>
          <t>Principal Applied Scientist, Sponsored Products and Brands</t>
        </is>
      </c>
      <c r="C261" t="inlineStr">
        <is>
          <t>Amazon.com</t>
        </is>
      </c>
      <c r="D261" t="inlineStr">
        <is>
          <t>indeed</t>
        </is>
      </c>
      <c r="E261">
        <f>HYPERLINK("https://www.indeed.com/viewjob?jk=5ab6f9795d805f1c", "https://www.indeed.com/viewjob?jk=5ab6f9795d805f1c")</f>
        <v/>
      </c>
      <c r="F261">
        <f>HYPERLINK("https://www.amazon.jobs/jobs/3130855/principal-applied-scientist-sponsored-products-and-brands?cmpid=DA_INAD200785B", "https://www.amazon.jobs/jobs/3130855/principal-applied-scientist-sponsored-products-and-brands?cmpid=DA_INAD200785B")</f>
        <v/>
      </c>
      <c r="G261" t="inlineStr">
        <is>
          <t>Seattle, WA, US</t>
        </is>
      </c>
      <c r="H261" s="3" t="n">
        <v>45979</v>
      </c>
      <c r="I261"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 Principal Scientist for the team, you will have the opportunity to apply your deep subject matter expertise in the area of ML, LLM and GenAI models. You will invent new product experiences that enable novel advertiser and shopper experiences. This role will liaise with internal Amazon partners and work on bringing state\-of\-the\-art GenAI models to production, and stay abreast of the latest developments in the space of GenAI and identify opportunities to improve the efficiency and productivity of the team. Additionally, you will define a long\-term science vision for our advertising business, driven by our customer’s needs, and translate it into actionable plans for our team of applied scientists and engineers.  
This role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org.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PhD in Computer Science, Statistics or related field.
* 10\+ years of programming in Java, Python or related language.
* 10\+ years of applied ML experience in building complex, real\-time systems involving AI, ML with successful delivery to customers.
* 3\+ years in LLMs, model fine tuning and prompt engineering.
* 3\+ years in digital advertising technology.
**PREFERRED QUALIFICATIONS**
----------------------------
* Demonstrated track record of innovative AI solution development.
* Experience with generative model architectures.
* Research publications or patents in generative AI technologies.
* Experience in Reinforcement Learning from Human Feedback (RLHF), Retrieval\-Augmented Generation (RAG) and AI model trade\-offs (e.g., model size, latency, cost, and output quality).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2">
      <c r="A262" t="inlineStr">
        <is>
          <t>in-1c909fae4b6788af</t>
        </is>
      </c>
      <c r="B262" t="inlineStr">
        <is>
          <t>Applied Scientist, Personalization, DTx Science</t>
        </is>
      </c>
      <c r="C262" t="inlineStr">
        <is>
          <t>Amazon.com</t>
        </is>
      </c>
      <c r="D262" t="inlineStr">
        <is>
          <t>indeed</t>
        </is>
      </c>
      <c r="E262">
        <f>HYPERLINK("https://www.indeed.com/viewjob?jk=1c909fae4b6788af", "https://www.indeed.com/viewjob?jk=1c909fae4b6788af")</f>
        <v/>
      </c>
      <c r="F262">
        <f>HYPERLINK("https://www.amazon.jobs/jobs/3136853/applied-scientist-personalization-dtx-science?cmpid=DA_INAD200785B", "https://www.amazon.jobs/jobs/3136853/applied-scientist-personalization-dtx-science?cmpid=DA_INAD200785B")</f>
        <v/>
      </c>
      <c r="G262" t="inlineStr">
        <is>
          <t>New York, NY, US</t>
        </is>
      </c>
      <c r="H262" s="3" t="n">
        <v>45979</v>
      </c>
      <c r="I262" t="inlineStr">
        <is>
          <t>**DESCRIPTION**
---------------
Amazon Advertising is one of Amazon's fastest growing and most profitable businesses, responsible for defining and delivering a collection of advertising products that drive discovery and sales. Our products and solutions are strategically important to enable our Retail and Marketplace businesses to drive long\-term growth. We deliver billions of ad impressions and millions of clicks and break fresh ground in product and technical innovations every day!  
Our team owns personalization, guidance and experimentation science and is placed centrally in the organization which owns the Amazon Advertising Console from UX design to components and services. We leverage a breadth of state\-of\-the\-art techniques such as deep learning, reinforcement learning, LLMs, long term causal modeling as well as sophisticated A/B testing to develop personalized experiences with directly quantifiable business and advertiser success outcomes. We are looking for an accomplished machine learning expert to lead the Applied Science strategy for our recommendation creation and recommendation personalziation program.
In this role, you will work closely with business leaders, stakeholders and cross\-functional teams to drive program success through ML\-driven solutions. You will shape the applied science roadmap, promote a culture of data\-driven decision\-making, and deliver significant business impact for millions of advertisers worldwide and the company using advanced data techniques and applied science methodologies.  
Key job responsibilities  
As an Applied Scientist on this team, you will  
* Serve as the technical leader in Machine Learning, driving collaboration between scientists and engineers, guiding efforts within the team and collaborating with other teams.
* Conduct hands\-on analysis and modeling of large\-scale data to generate insights that boost ads revenue while maintaining a positive advertiser and shopper experience.
* Lead end\-to\-end Machine Learning projects that involve high levels of ambiguity, scale, and complexity.
* Build, experiment, optimize, and deploy machine learning models, collaborating with software engineers to bring your models into production.
* Run A/B experiments, gather data, and perform statistical analysis to validate your models.
* Develop scalable and automated processes for large\-scale data analysis, model development, validation, and serving.
* Explore and research innovative machine learning approaches to push the boundaries of what’s possible.
**BASIC QUALIFICATIONS**
------------------------
* 3\+ years of building models for business application experience
* PhD, or Master's degree and 5\+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263">
      <c r="A263" t="inlineStr">
        <is>
          <t>in-9266f0187eaa8f8a</t>
        </is>
      </c>
      <c r="B263" t="inlineStr">
        <is>
          <t>Applied Scientist, Personalization, DTx Science</t>
        </is>
      </c>
      <c r="C263" t="inlineStr">
        <is>
          <t>Amazon.com</t>
        </is>
      </c>
      <c r="D263" t="inlineStr">
        <is>
          <t>indeed</t>
        </is>
      </c>
      <c r="E263">
        <f>HYPERLINK("https://www.indeed.com/viewjob?jk=9266f0187eaa8f8a", "https://www.indeed.com/viewjob?jk=9266f0187eaa8f8a")</f>
        <v/>
      </c>
      <c r="F263">
        <f>HYPERLINK("https://www.amazon.jobs/jobs/3136853/applied-scientist-personalization-dtx-science?cmpid=DA_INAD200785B", "https://www.amazon.jobs/jobs/3136853/applied-scientist-personalization-dtx-science?cmpid=DA_INAD200785B")</f>
        <v/>
      </c>
      <c r="G263" t="inlineStr">
        <is>
          <t>Seattle, WA, US</t>
        </is>
      </c>
      <c r="H263" s="3" t="n">
        <v>45979</v>
      </c>
      <c r="I263" t="inlineStr">
        <is>
          <t>**DESCRIPTION**
---------------
Amazon Advertising is one of Amazon's fastest growing and most profitable businesses, responsible for defining and delivering a collection of advertising products that drive discovery and sales. Our products and solutions are strategically important to enable our Retail and Marketplace businesses to drive long\-term growth. We deliver billions of ad impressions and millions of clicks and break fresh ground in product and technical innovations every day!  
Our team owns personalization, guidance and experimentation science and is placed centrally in the organization which owns the Amazon Advertising Console from UX design to components and services. We leverage a breadth of state\-of\-the\-art techniques such as deep learning, reinforcement learning, LLMs, long term causal modeling as well as sophisticated A/B testing to develop personalized experiences with directly quantifiable business and advertiser success outcomes. We are looking for an accomplished machine learning expert to lead the Applied Science strategy for our recommendation creation and recommendation personalziation program.
In this role, you will work closely with business leaders, stakeholders and cross\-functional teams to drive program success through ML\-driven solutions. You will shape the applied science roadmap, promote a culture of data\-driven decision\-making, and deliver significant business impact for millions of advertisers worldwide and the company using advanced data techniques and applied science methodologies.  
Key job responsibilities  
As an Applied Scientist on this team, you will  
* Serve as the technical leader in Machine Learning, driving collaboration between scientists and engineers, guiding efforts within the team and collaborating with other teams.
* Conduct hands\-on analysis and modeling of large\-scale data to generate insights that boost ads revenue while maintaining a positive advertiser and shopper experience.
* Lead end\-to\-end Machine Learning projects that involve high levels of ambiguity, scale, and complexity.
* Build, experiment, optimize, and deploy machine learning models, collaborating with software engineers to bring your models into production.
* Run A/B experiments, gather data, and perform statistical analysis to validate your models.
* Develop scalable and automated processes for large\-scale data analysis, model development, validation, and serving.
* Explore and research innovative machine learning approaches to push the boundaries of what’s possible.
**BASIC QUALIFICATIONS**
------------------------
* 3\+ years of building models for business application experience
* PhD, or Master's degree and 5\+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264">
      <c r="A264" t="inlineStr">
        <is>
          <t>in-ec7fac6e966d4b04</t>
        </is>
      </c>
      <c r="B264" t="inlineStr">
        <is>
          <t>Senior Applied Scientist, Sponsored Products and Brands</t>
        </is>
      </c>
      <c r="C264" t="inlineStr">
        <is>
          <t>Amazon.com</t>
        </is>
      </c>
      <c r="D264" t="inlineStr">
        <is>
          <t>indeed</t>
        </is>
      </c>
      <c r="E264">
        <f>HYPERLINK("https://www.indeed.com/viewjob?jk=ec7fac6e966d4b04", "https://www.indeed.com/viewjob?jk=ec7fac6e966d4b04")</f>
        <v/>
      </c>
      <c r="F264">
        <f>HYPERLINK("https://www.amazon.jobs/jobs/3130062/senior-applied-scientist-sponsored-products-and-brands?cmpid=DA_INAD200785B", "https://www.amazon.jobs/jobs/3130062/senior-applied-scientist-sponsored-products-and-brands?cmpid=DA_INAD200785B")</f>
        <v/>
      </c>
      <c r="G264" t="inlineStr">
        <is>
          <t>New York, NY, US</t>
        </is>
      </c>
      <c r="H264" s="3" t="n">
        <v>45979</v>
      </c>
      <c r="I264" t="inlineStr">
        <is>
          <t>**DESCRIPTION**
---------------
The Sponsored Products and Brands team at Amazon Ads is re\-imagining the advertising landscape through novel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Key job responsibilities  
As an applied scientist on our team, you will  
* Develop AI solutions for Sponsored Brands advertiser and shopper experiences. Build recommendation systems that leverage generative models to develop and improve campaigns.
* You invent and design new solutions for scientifically\-complex problem areas and/or opportunities in new business initiatives.
* You drive or heavily influence the design of scientifically\-complex software solutions or systems, for which you personally write significant parts of the critical scientific novelty. You take ownership of these components, providing a system\-wide view and design guidance. These systems or solutions can be brand new or evolve from existing ones.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Work closely with engineers and product managers to design, implement and launch AI solutions end\-to\-end;
* Design and conduct A/B experiments to evaluate proposed solutions based on in\-depth data analyses;
* Think big about the arc of development of Gen AI over a multi\-year horizon, and identify new opportunities to apply these technologies to solve real\-world problems
* Effectively communicate technical and non\-technical ideas with teammates and stakeholders;
* Translate complex scientific challenges into clear and impactful solutions for business stakeholders.
* Mentor and guide junior scientists, fostering a collaborative and high\-performing team culture.
* Stay up\-to\-date with advancements and the latest modeling techniques in the field
About the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\#GenAI**BASIC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Deep curiosity, and basic knowledge on Gen AI
* Deep curiosity, and basic knowledge on Gen AI
**PREFERRED QUALIFICATIONS**
----------------------------
* Experience with modeling tools such as R, scikit\-learn, Spark MLLib, MxNet, Tensorflow, numpy, scipy etc.
* Experience with large scale distributed systems such as Hadoop, Spark etc.
* Previous work on agents or LLMs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WA, Seattle \- 167,100\.00 \- 226,100\.00 USD annually</t>
        </is>
      </c>
    </row>
    <row r="265">
      <c r="A265" t="inlineStr">
        <is>
          <t>in-5efcd95d119542b4</t>
        </is>
      </c>
      <c r="B265" t="inlineStr">
        <is>
          <t>Senior Applied Scientist, Sponsored Products and Brands</t>
        </is>
      </c>
      <c r="C265" t="inlineStr">
        <is>
          <t>Amazon.com</t>
        </is>
      </c>
      <c r="D265" t="inlineStr">
        <is>
          <t>indeed</t>
        </is>
      </c>
      <c r="E265">
        <f>HYPERLINK("https://www.indeed.com/viewjob?jk=5efcd95d119542b4", "https://www.indeed.com/viewjob?jk=5efcd95d119542b4")</f>
        <v/>
      </c>
      <c r="F265">
        <f>HYPERLINK("https://www.amazon.jobs/jobs/3130062/senior-applied-scientist-sponsored-products-and-brands?cmpid=DA_INAD200785B", "https://www.amazon.jobs/jobs/3130062/senior-applied-scientist-sponsored-products-and-brands?cmpid=DA_INAD200785B")</f>
        <v/>
      </c>
      <c r="G265" t="inlineStr">
        <is>
          <t>Seattle, WA, US</t>
        </is>
      </c>
      <c r="H265" s="3" t="n">
        <v>45979</v>
      </c>
      <c r="I265" t="inlineStr">
        <is>
          <t>**DESCRIPTION**
---------------
The Sponsored Products and Brands team at Amazon Ads is re\-imagining the advertising landscape through novel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Key job responsibilities  
As an applied scientist on our team, you will  
* Develop AI solutions for Sponsored Brands advertiser and shopper experiences. Build recommendation systems that leverage generative models to develop and improve campaigns.
* You invent and design new solutions for scientifically\-complex problem areas and/or opportunities in new business initiatives.
* You drive or heavily influence the design of scientifically\-complex software solutions or systems, for which you personally write significant parts of the critical scientific novelty. You take ownership of these components, providing a system\-wide view and design guidance. These systems or solutions can be brand new or evolve from existing ones.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Work closely with engineers and product managers to design, implement and launch AI solutions end\-to\-end;
* Design and conduct A/B experiments to evaluate proposed solutions based on in\-depth data analyses;
* Think big about the arc of development of Gen AI over a multi\-year horizon, and identify new opportunities to apply these technologies to solve real\-world problems
* Effectively communicate technical and non\-technical ideas with teammates and stakeholders;
* Translate complex scientific challenges into clear and impactful solutions for business stakeholders.
* Mentor and guide junior scientists, fostering a collaborative and high\-performing team culture.
* Stay up\-to\-date with advancements and the latest modeling techniques in the field
About the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\#GenAI**BASIC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Deep curiosity, and basic knowledge on Gen AI
* Deep curiosity, and basic knowledge on Gen AI
**PREFERRED QUALIFICATIONS**
----------------------------
* Experience with modeling tools such as R, scikit\-learn, Spark MLLib, MxNet, Tensorflow, numpy, scipy etc.
* Experience with large scale distributed systems such as Hadoop, Spark etc.
* Previous work on agents or LLMs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WA, Seattle \- 167,100\.00 \- 226,100\.00 USD annually</t>
        </is>
      </c>
    </row>
    <row r="266">
      <c r="A266" t="inlineStr">
        <is>
          <t>in-2ae495a0e96c1d10</t>
        </is>
      </c>
      <c r="B266" t="inlineStr">
        <is>
          <t>Principal Applied Scientist, Amazon AGI</t>
        </is>
      </c>
      <c r="C266" t="inlineStr">
        <is>
          <t>Amazon.com</t>
        </is>
      </c>
      <c r="D266" t="inlineStr">
        <is>
          <t>indeed</t>
        </is>
      </c>
      <c r="E266">
        <f>HYPERLINK("https://www.indeed.com/viewjob?jk=2ae495a0e96c1d10", "https://www.indeed.com/viewjob?jk=2ae495a0e96c1d10")</f>
        <v/>
      </c>
      <c r="F266">
        <f>HYPERLINK("https://www.amazon.jobs/jobs/3128808/principal-applied-scientist-amazon-agi?cmpid=DA_INAD200785B", "https://www.amazon.jobs/jobs/3128808/principal-applied-scientist-amazon-agi?cmpid=DA_INAD200785B")</f>
        <v/>
      </c>
      <c r="G266" t="inlineStr">
        <is>
          <t>San Francisco, CA, US</t>
        </is>
      </c>
      <c r="H266" s="3" t="n">
        <v>45964</v>
      </c>
      <c r="I266" t="inlineStr">
        <is>
          <t>**DESCRIPTION**
---------------
The Artificial General Intelligence (AGI) team is looking for a passionate, talented, and inventive Principal Applied Scientist with a strong deep learning and generative AI background, to focus on the development of software development skills of Nova foundational models.  
As a Principal Applied Scientist,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Key job responsibilities  
You will be responsible for defining key research directions, adopting or inventing new machine learning techniques, conducting rigorous experiments, publishing results,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strong and with a passion for building scalable science and engineering solutions. You will serve as a key scientific resource in full\-cycle development (conception, design, implementation, testing to documentation, delivery, and maintenance).
**BASIC QUALIFICATIONS**
------------------------
* 5\+ years of hands\-on work in predictive modeling and analysis experience
* PhD in Electrical Engineering, Computer Science, Mathematics, or a related technical field
* Experience working in predictive modeling and analysis
* Experience distilling informal customer requirements into problem definitions, dealing with ambiguity and competing objectives
* Experience programming in Java, C\+\+, Python or related language
* Experience with leading experienced scientists as well as having a record of developing junior members from academia or industry to a career track in a business environment
**PREFERRED QUALIFICATIONS**
----------------------------
* 10\+ years of relevant work in industry or academia experience
* Knowledge of problem solving, algorithm design and complexity analysis
* Experience creating novel algorithms and advancing the state of the art
* Have peer\-reviewed scientific contributions in premier journals and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7">
      <c r="A267" t="inlineStr">
        <is>
          <t>in-d02f1e94a6203263</t>
        </is>
      </c>
      <c r="B267" t="inlineStr">
        <is>
          <t>Principal Applied Scientist, Amazon AGI</t>
        </is>
      </c>
      <c r="C267" t="inlineStr">
        <is>
          <t>Amazon.com</t>
        </is>
      </c>
      <c r="D267" t="inlineStr">
        <is>
          <t>indeed</t>
        </is>
      </c>
      <c r="E267">
        <f>HYPERLINK("https://www.indeed.com/viewjob?jk=d02f1e94a6203263", "https://www.indeed.com/viewjob?jk=d02f1e94a6203263")</f>
        <v/>
      </c>
      <c r="F267">
        <f>HYPERLINK("https://www.amazon.jobs/jobs/3128808/principal-applied-scientist-amazon-agi?cmpid=DA_INAD200785B", "https://www.amazon.jobs/jobs/3128808/principal-applied-scientist-amazon-agi?cmpid=DA_INAD200785B")</f>
        <v/>
      </c>
      <c r="G267" t="inlineStr">
        <is>
          <t>Boston, MA, US</t>
        </is>
      </c>
      <c r="H267" s="3" t="n">
        <v>45964</v>
      </c>
      <c r="I267" t="inlineStr">
        <is>
          <t>**DESCRIPTION**
---------------
The Artificial General Intelligence (AGI) team is looking for a passionate, talented, and inventive Principal Applied Scientist with a strong deep learning and generative AI background, to focus on the development of software development skills of Nova foundational models.  
As a Principal Applied Scientist,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Key job responsibilities  
You will be responsible for defining key research directions, adopting or inventing new machine learning techniques, conducting rigorous experiments, publishing results,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strong and with a passion for building scalable science and engineering solutions. You will serve as a key scientific resource in full\-cycle development (conception, design, implementation, testing to documentation, delivery, and maintenance).
**BASIC QUALIFICATIONS**
------------------------
* 5\+ years of hands\-on work in predictive modeling and analysis experience
* PhD in Electrical Engineering, Computer Science, Mathematics, or a related technical field
* Experience working in predictive modeling and analysis
* Experience distilling informal customer requirements into problem definitions, dealing with ambiguity and competing objectives
* Experience programming in Java, C\+\+, Python or related language
* Experience with leading experienced scientists as well as having a record of developing junior members from academia or industry to a career track in a business environment
**PREFERRED QUALIFICATIONS**
----------------------------
* 10\+ years of relevant work in industry or academia experience
* Knowledge of problem solving, algorithm design and complexity analysis
* Experience creating novel algorithms and advancing the state of the art
* Have peer\-reviewed scientific contributions in premier journals and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8">
      <c r="A268" t="inlineStr">
        <is>
          <t>in-c3dfa2056225bb5e</t>
        </is>
      </c>
      <c r="B268" t="inlineStr">
        <is>
          <t>Applied Scientist, AWS Agentic AI</t>
        </is>
      </c>
      <c r="C268" t="inlineStr">
        <is>
          <t>Amazon Web Services</t>
        </is>
      </c>
      <c r="D268" t="inlineStr">
        <is>
          <t>indeed</t>
        </is>
      </c>
      <c r="E268">
        <f>HYPERLINK("https://www.indeed.com/viewjob?jk=c3dfa2056225bb5e", "https://www.indeed.com/viewjob?jk=c3dfa2056225bb5e")</f>
        <v/>
      </c>
      <c r="F268">
        <f>HYPERLINK("https://www.amazon.jobs/jobs/3141517/applied-scientist-aws-agentic-ai-?cmpid=DA_INAD200785B", "https://www.amazon.jobs/jobs/3141517/applied-scientist-aws-agentic-ai-?cmpid=DA_INAD200785B")</f>
        <v/>
      </c>
      <c r="G268" t="inlineStr">
        <is>
          <t>Santa Clara, CA, US</t>
        </is>
      </c>
      <c r="H268" s="3" t="n">
        <v>45962</v>
      </c>
      <c r="I268"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9">
      <c r="A269" t="inlineStr">
        <is>
          <t>in-52c79c38b152934f</t>
        </is>
      </c>
      <c r="B269" t="inlineStr">
        <is>
          <t>Applied Scientist, AWS Agentic AI</t>
        </is>
      </c>
      <c r="C269" t="inlineStr">
        <is>
          <t>Amazon Web Services</t>
        </is>
      </c>
      <c r="D269" t="inlineStr">
        <is>
          <t>indeed</t>
        </is>
      </c>
      <c r="E269">
        <f>HYPERLINK("https://www.indeed.com/viewjob?jk=52c79c38b152934f", "https://www.indeed.com/viewjob?jk=52c79c38b152934f")</f>
        <v/>
      </c>
      <c r="F269">
        <f>HYPERLINK("https://www.amazon.jobs/jobs/3141517/applied-scientist-aws-agentic-ai-?cmpid=DA_INAD200785B", "https://www.amazon.jobs/jobs/3141517/applied-scientist-aws-agentic-ai-?cmpid=DA_INAD200785B")</f>
        <v/>
      </c>
      <c r="G269" t="inlineStr">
        <is>
          <t>Seattle, WA, US</t>
        </is>
      </c>
      <c r="H269" s="3" t="n">
        <v>45962</v>
      </c>
      <c r="I269"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70">
      <c r="A270" t="inlineStr">
        <is>
          <t>in-b86f5369b0b0a679</t>
        </is>
      </c>
      <c r="B270" t="inlineStr">
        <is>
          <t>Applied Scientist, AWS Agentic AI</t>
        </is>
      </c>
      <c r="C270" t="inlineStr">
        <is>
          <t>Amazon Web Services</t>
        </is>
      </c>
      <c r="D270" t="inlineStr">
        <is>
          <t>indeed</t>
        </is>
      </c>
      <c r="E270">
        <f>HYPERLINK("https://www.indeed.com/viewjob?jk=b86f5369b0b0a679", "https://www.indeed.com/viewjob?jk=b86f5369b0b0a679")</f>
        <v/>
      </c>
      <c r="F270">
        <f>HYPERLINK("https://www.amazon.jobs/jobs/3141517/applied-scientist-aws-agentic-ai-?cmpid=DA_INAD200785B", "https://www.amazon.jobs/jobs/3141517/applied-scientist-aws-agentic-ai-?cmpid=DA_INAD200785B")</f>
        <v/>
      </c>
      <c r="G270" t="inlineStr">
        <is>
          <t>New York, NY, US</t>
        </is>
      </c>
      <c r="H270" s="3" t="n">
        <v>45962</v>
      </c>
      <c r="I270"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71">
      <c r="A271" t="inlineStr">
        <is>
          <t>in-4183ee657fe8e02b</t>
        </is>
      </c>
      <c r="B271" t="inlineStr">
        <is>
          <t>Sr. Applied Scientist, Prime Video - Personalization and Discovery Science</t>
        </is>
      </c>
      <c r="C271" t="inlineStr">
        <is>
          <t>Amazon.com</t>
        </is>
      </c>
      <c r="D271" t="inlineStr">
        <is>
          <t>indeed</t>
        </is>
      </c>
      <c r="E271">
        <f>HYPERLINK("https://www.indeed.com/viewjob?jk=4183ee657fe8e02b", "https://www.indeed.com/viewjob?jk=4183ee657fe8e02b")</f>
        <v/>
      </c>
      <c r="F271">
        <f>HYPERLINK("https://www.amazon.jobs/jobs/3118785/sr-applied-scientist-prime-video--personalization-and-discovery-science?cmpid=DA_INAD200785B", "https://www.amazon.jobs/jobs/3118785/sr-applied-scientist-prime-video--personalization-and-discovery-science?cmpid=DA_INAD200785B")</f>
        <v/>
      </c>
      <c r="G271" t="inlineStr">
        <is>
          <t>Seattle, WA, US</t>
        </is>
      </c>
      <c r="H271" s="3" t="n">
        <v>45959</v>
      </c>
      <c r="I27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NY, New York \- 183,800\.00 \- 248,700\.00 USD annually  
USA, WA, Seattle \- 167,100\.00 \- 226,100\.00 USD annually</t>
        </is>
      </c>
    </row>
    <row r="272">
      <c r="A272" t="inlineStr">
        <is>
          <t>in-c5b7e498a501a803</t>
        </is>
      </c>
      <c r="B272" t="inlineStr">
        <is>
          <t>Applied Scientist, Prime Video - Content Understanding, Localization &amp; Enrichment Team</t>
        </is>
      </c>
      <c r="C272" t="inlineStr">
        <is>
          <t>Amazon.com</t>
        </is>
      </c>
      <c r="D272" t="inlineStr">
        <is>
          <t>indeed</t>
        </is>
      </c>
      <c r="E272">
        <f>HYPERLINK("https://www.indeed.com/viewjob?jk=c5b7e498a501a803", "https://www.indeed.com/viewjob?jk=c5b7e498a501a803")</f>
        <v/>
      </c>
      <c r="F272">
        <f>HYPERLINK("https://www.amazon.jobs/jobs/3111928/applied-scientist-prime-video--content-understanding-localization--enrichment-team?cmpid=DA_INAD200785B", "https://www.amazon.jobs/jobs/3111928/applied-scientist-prime-video--content-understanding-localization--enrichment-team?cmpid=DA_INAD200785B")</f>
        <v/>
      </c>
      <c r="G272" t="inlineStr">
        <is>
          <t>San Francisco, CA, US</t>
        </is>
      </c>
      <c r="H272" s="3" t="n">
        <v>45943</v>
      </c>
      <c r="I27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subscriptions such as Apple TV\+, HBO Max, Peacock,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team member,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We are looking for passionate, hard\-working, and talented individuals to help us push the envelope of content localization. We work on a broad array of research areas and applications, including but not limited to multimodal machine translation, speech synthesis, speech analysis, and asset quality assessment. Candidates should be prepared to help drive innovation in one or more areas of machine learning, audio processing, and natural language understanding.  
The ideal candidate would have experience in audio processing, natural language understanding and machine learning. Familiarity with machine translation, foundational models, and speech synthesis will be a plus. As an Applied Scientist, you should be a strong communicator, able to describe scientifically rigorous work to business stakeholders of varying levels of technical sophistication. You will closely partner with the solution development teams, and should be intensely curious about how the research is moving the needle for business. Strong inter\-personal and mentoring skills to develop applied science talent in the team is another important requirement.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\- 171,600\.00 \- 222,200\.00 USD annually  
USA, WA, Seattle \- 142,800\.00 \- 193,200\.00 USD annually</t>
        </is>
      </c>
    </row>
    <row r="273">
      <c r="A273" t="inlineStr">
        <is>
          <t>in-6a7817df57ab4f64</t>
        </is>
      </c>
      <c r="B273" t="inlineStr">
        <is>
          <t>Applied Scientist, Prime Video - Content Understanding, Localization &amp; Enrichment Team</t>
        </is>
      </c>
      <c r="C273" t="inlineStr">
        <is>
          <t>Amazon.com</t>
        </is>
      </c>
      <c r="D273" t="inlineStr">
        <is>
          <t>indeed</t>
        </is>
      </c>
      <c r="E273">
        <f>HYPERLINK("https://www.indeed.com/viewjob?jk=6a7817df57ab4f64", "https://www.indeed.com/viewjob?jk=6a7817df57ab4f64")</f>
        <v/>
      </c>
      <c r="F273">
        <f>HYPERLINK("https://www.amazon.jobs/jobs/3111928/applied-scientist-prime-video--content-understanding-localization--enrichment-team?cmpid=DA_INAD200785B", "https://www.amazon.jobs/jobs/3111928/applied-scientist-prime-video--content-understanding-localization--enrichment-team?cmpid=DA_INAD200785B")</f>
        <v/>
      </c>
      <c r="G273" t="inlineStr">
        <is>
          <t>Seattle, WA, US</t>
        </is>
      </c>
      <c r="H273" s="3" t="n">
        <v>45943</v>
      </c>
      <c r="I27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subscriptions such as Apple TV\+, HBO Max, Peacock,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team member,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We are looking for passionate, hard\-working, and talented individuals to help us push the envelope of content localization. We work on a broad array of research areas and applications, including but not limited to multimodal machine translation, speech synthesis, speech analysis, and asset quality assessment. Candidates should be prepared to help drive innovation in one or more areas of machine learning, audio processing, and natural language understanding.  
The ideal candidate would have experience in audio processing, natural language understanding and machine learning. Familiarity with machine translation, foundational models, and speech synthesis will be a plus. As an Applied Scientist, you should be a strong communicator, able to describe scientifically rigorous work to business stakeholders of varying levels of technical sophistication. You will closely partner with the solution development teams, and should be intensely curious about how the research is moving the needle for business. Strong inter\-personal and mentoring skills to develop applied science talent in the team is another important requirement.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\- 171,600\.00 \- 222,200\.00 USD annually  
USA, WA, Seattle \- 142,800\.00 \- 193,200\.00 USD annually</t>
        </is>
      </c>
    </row>
    <row r="274">
      <c r="A274" t="inlineStr">
        <is>
          <t>in-721cb4c8be53364a</t>
        </is>
      </c>
      <c r="B274" t="inlineStr">
        <is>
          <t>Principal Applied Scientist, Advertiser Growth, Amazon Sponsored Products &amp; Brands</t>
        </is>
      </c>
      <c r="C274" t="inlineStr">
        <is>
          <t>Amazon.com</t>
        </is>
      </c>
      <c r="D274" t="inlineStr">
        <is>
          <t>indeed</t>
        </is>
      </c>
      <c r="E274">
        <f>HYPERLINK("https://www.indeed.com/viewjob?jk=721cb4c8be53364a", "https://www.indeed.com/viewjob?jk=721cb4c8be53364a")</f>
        <v/>
      </c>
      <c r="F274">
        <f>HYPERLINK("https://www.amazon.jobs/jobs/3115279/principal-applied-scientist-advertiser-growth-amazon-sponsored-products--brands?cmpid=DA_INAD200785B", "https://www.amazon.jobs/jobs/3115279/principal-applied-scientist-advertiser-growth-amazon-sponsored-products--brands?cmpid=DA_INAD200785B")</f>
        <v/>
      </c>
      <c r="G274" t="inlineStr">
        <is>
          <t>Palo Alto, CA, US</t>
        </is>
      </c>
      <c r="H274" s="3" t="n">
        <v>45942</v>
      </c>
      <c r="I274"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75">
      <c r="A275" t="inlineStr">
        <is>
          <t>in-879892fb36cfa4f1</t>
        </is>
      </c>
      <c r="B275" t="inlineStr">
        <is>
          <t>Principal Applied Scientist, Advertiser Growth, Amazon Sponsored Products &amp; Brands</t>
        </is>
      </c>
      <c r="C275" t="inlineStr">
        <is>
          <t>Amazon.com</t>
        </is>
      </c>
      <c r="D275" t="inlineStr">
        <is>
          <t>indeed</t>
        </is>
      </c>
      <c r="E275">
        <f>HYPERLINK("https://www.indeed.com/viewjob?jk=879892fb36cfa4f1", "https://www.indeed.com/viewjob?jk=879892fb36cfa4f1")</f>
        <v/>
      </c>
      <c r="F275">
        <f>HYPERLINK("https://www.amazon.jobs/jobs/3115279/principal-applied-scientist-advertiser-growth-amazon-sponsored-products--brands?cmpid=DA_INAD200785B", "https://www.amazon.jobs/jobs/3115279/principal-applied-scientist-advertiser-growth-amazon-sponsored-products--brands?cmpid=DA_INAD200785B")</f>
        <v/>
      </c>
      <c r="G275" t="inlineStr">
        <is>
          <t>New York, NY, US</t>
        </is>
      </c>
      <c r="H275" s="3" t="n">
        <v>45942</v>
      </c>
      <c r="I275"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76">
      <c r="A276" t="inlineStr">
        <is>
          <t>in-8f126273380105db</t>
        </is>
      </c>
      <c r="B276" t="inlineStr">
        <is>
          <t>Principal Applied Scientist, Advertiser Growth, Amazon Sponsored Products &amp; Brands</t>
        </is>
      </c>
      <c r="C276" t="inlineStr">
        <is>
          <t>Amazon.com</t>
        </is>
      </c>
      <c r="D276" t="inlineStr">
        <is>
          <t>indeed</t>
        </is>
      </c>
      <c r="E276">
        <f>HYPERLINK("https://www.indeed.com/viewjob?jk=8f126273380105db", "https://www.indeed.com/viewjob?jk=8f126273380105db")</f>
        <v/>
      </c>
      <c r="F276">
        <f>HYPERLINK("https://www.amazon.jobs/jobs/3115279/principal-applied-scientist-advertiser-growth-amazon-sponsored-products--brands?cmpid=DA_INAD200785B", "https://www.amazon.jobs/jobs/3115279/principal-applied-scientist-advertiser-growth-amazon-sponsored-products--brands?cmpid=DA_INAD200785B")</f>
        <v/>
      </c>
      <c r="G276" t="inlineStr">
        <is>
          <t>Seattle, WA, US</t>
        </is>
      </c>
      <c r="H276" s="3" t="n">
        <v>45942</v>
      </c>
      <c r="I276"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77">
      <c r="A277" t="inlineStr">
        <is>
          <t>in-eebf06e9287783c4</t>
        </is>
      </c>
      <c r="B277" t="inlineStr">
        <is>
          <t>Applied Scientist</t>
        </is>
      </c>
      <c r="C277" t="inlineStr">
        <is>
          <t>Amazon.com</t>
        </is>
      </c>
      <c r="D277" t="inlineStr">
        <is>
          <t>indeed</t>
        </is>
      </c>
      <c r="E277">
        <f>HYPERLINK("https://www.indeed.com/viewjob?jk=eebf06e9287783c4", "https://www.indeed.com/viewjob?jk=eebf06e9287783c4")</f>
        <v/>
      </c>
      <c r="F277">
        <f>HYPERLINK("https://www.amazon.jobs/jobs/3106501/applied-scientist?cmpid=DA_INAD200785B", "https://www.amazon.jobs/jobs/3106501/applied-scientist?cmpid=DA_INAD200785B")</f>
        <v/>
      </c>
      <c r="G277" t="inlineStr">
        <is>
          <t>New York, NY, US</t>
        </is>
      </c>
      <c r="H277" s="3" t="n">
        <v>45939</v>
      </c>
      <c r="I277"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78">
      <c r="A278" t="inlineStr">
        <is>
          <t>in-e1b6c33ec12bcaac</t>
        </is>
      </c>
      <c r="B278" t="inlineStr">
        <is>
          <t>Applied Scientist, Workplace Health &amp; Safety</t>
        </is>
      </c>
      <c r="C278" t="inlineStr">
        <is>
          <t>Amazon.com</t>
        </is>
      </c>
      <c r="D278" t="inlineStr">
        <is>
          <t>indeed</t>
        </is>
      </c>
      <c r="E278">
        <f>HYPERLINK("https://www.indeed.com/viewjob?jk=e1b6c33ec12bcaac", "https://www.indeed.com/viewjob?jk=e1b6c33ec12bcaac")</f>
        <v/>
      </c>
      <c r="F278">
        <f>HYPERLINK("https://www.amazon.jobs/jobs/3144886/applied-scientist-workplace-health--safety-?cmpid=DA_INAD200785B", "https://www.amazon.jobs/jobs/3144886/applied-scientist-workplace-health--safety-?cmpid=DA_INAD200785B")</f>
        <v/>
      </c>
      <c r="G278" t="inlineStr">
        <is>
          <t>Bellevue, WA, US</t>
        </is>
      </c>
      <c r="H278" s="3" t="n">
        <v>45917</v>
      </c>
      <c r="I278" t="inlineStr">
        <is>
          <t>**DESCRIPTION**
---------------
Are you driven by the challenge of solving complex problems that directly impact the safety and well\-being of millions of Amazon Associates worldwide? Do you want to push the boundaries of AI to build innovative solutions that make workplaces safer and more efficient? If so, we invite you to join our WHS DataTech team as an Applied Scientist and take your career to the next level!  
At WHS DataTech, we leverage Large Language Models (LLMs), Computer Vision, and AI\-driven innovations to develop industry\-leading solutions that proactively enhance workplace safety. Our work spans real\-time risk assessment, predictive analytics, and AI\-powered insights, all aimed at creating a safer work environment at scale.  
As an Applied Scientist specializing in LLMs and Computer Vision, you will play a pivotal role in shaping our next\-generation safety solutions. You’ll be at the forefront of innovation, designing and implementing AI\-powered features that redefine workplace safety. Your work will drive strategic decisions, optimize system architecture, and influence best practices, ensuring our technology remains industry\-leading.  
Key job responsibilities  
* Apply LLM model to analyze complex unstructured datasets and extract meaningful insights.
* Collaborate with software engineers to implement and deploy machine learning (LLM or CV) solutions.
* Conduct experiments and evaluate model performance, iterating and improving as needed.
* Stay up\-to\-date with the latest advancements in machine learning and related fields.
* Collaborate with cross\-functional teams to understand business needs and identify areas for application of machine learning.
* Present findings and recommendations to stakeholders and contribute to the overall research and development strategy.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WHS DataTech is a multidisciplinary team of scientists and engineers dedicated to building AI\-powered solutions that improve workplace safety across Amazon. We work at the intersection of large\-scale data, advanced machine learning, and computer vision, delivering innovations that enhance decision\-making, streamline operations, and protect millions of associates worldwide. Our collaborative culture emphasizes scientific rigor, engineering excellence, and a strong mission focus on creating safer, more efficient workplaces.**BASIC QUALIFICATIONS**
------------------------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 PhD degree in Computer Science or Computer engineering
* A formal PhD degree in Computer Science or Computer engineering or can be replaced by 5 years of relevant experience on top of a MSc, and 7 years on top of a BSc.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79">
      <c r="A279" t="inlineStr">
        <is>
          <t>in-97db6225351dffe3</t>
        </is>
      </c>
      <c r="B279" t="inlineStr">
        <is>
          <t>Applied Scientist, Workplace Health &amp; Safety</t>
        </is>
      </c>
      <c r="C279" t="inlineStr">
        <is>
          <t>Amazon.com</t>
        </is>
      </c>
      <c r="D279" t="inlineStr">
        <is>
          <t>indeed</t>
        </is>
      </c>
      <c r="E279">
        <f>HYPERLINK("https://www.indeed.com/viewjob?jk=97db6225351dffe3", "https://www.indeed.com/viewjob?jk=97db6225351dffe3")</f>
        <v/>
      </c>
      <c r="F279">
        <f>HYPERLINK("https://www.amazon.jobs/jobs/3144886/applied-scientist-workplace-health--safety-?cmpid=DA_INAD200785B", "https://www.amazon.jobs/jobs/3144886/applied-scientist-workplace-health--safety-?cmpid=DA_INAD200785B")</f>
        <v/>
      </c>
      <c r="G279" t="inlineStr">
        <is>
          <t>Nashville, TN, US</t>
        </is>
      </c>
      <c r="H279" s="3" t="n">
        <v>45917</v>
      </c>
      <c r="I279" t="inlineStr">
        <is>
          <t>**DESCRIPTION**
---------------
Are you driven by the challenge of solving complex problems that directly impact the safety and well\-being of millions of Amazon Associates worldwide? Do you want to push the boundaries of AI to build innovative solutions that make workplaces safer and more efficient? If so, we invite you to join our WHS DataTech team as an Applied Scientist and take your career to the next level!  
At WHS DataTech, we leverage Large Language Models (LLMs), Computer Vision, and AI\-driven innovations to develop industry\-leading solutions that proactively enhance workplace safety. Our work spans real\-time risk assessment, predictive analytics, and AI\-powered insights, all aimed at creating a safer work environment at scale.  
As an Applied Scientist specializing in LLMs and Computer Vision, you will play a pivotal role in shaping our next\-generation safety solutions. You’ll be at the forefront of innovation, designing and implementing AI\-powered features that redefine workplace safety. Your work will drive strategic decisions, optimize system architecture, and influence best practices, ensuring our technology remains industry\-leading.  
Key job responsibilities  
* Apply LLM model to analyze complex unstructured datasets and extract meaningful insights.
* Collaborate with software engineers to implement and deploy machine learning (LLM or CV) solutions.
* Conduct experiments and evaluate model performance, iterating and improving as needed.
* Stay up\-to\-date with the latest advancements in machine learning and related fields.
* Collaborate with cross\-functional teams to understand business needs and identify areas for application of machine learning.
* Present findings and recommendations to stakeholders and contribute to the overall research and development strategy.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WHS DataTech is a multidisciplinary team of scientists and engineers dedicated to building AI\-powered solutions that improve workplace safety across Amazon. We work at the intersection of large\-scale data, advanced machine learning, and computer vision, delivering innovations that enhance decision\-making, streamline operations, and protect millions of associates worldwide. Our collaborative culture emphasizes scientific rigor, engineering excellence, and a strong mission focus on creating safer, more efficient workplaces.**BASIC QUALIFICATIONS**
------------------------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 PhD degree in Computer Science or Computer engineering
* A formal PhD degree in Computer Science or Computer engineering or can be replaced by 5 years of relevant experience on top of a MSc, and 7 years on top of a BSc.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80">
      <c r="A280" t="inlineStr">
        <is>
          <t>in-973dac5087257272</t>
        </is>
      </c>
      <c r="B280" t="inlineStr">
        <is>
          <t>Applied Scientist II, Creative X - RAPID</t>
        </is>
      </c>
      <c r="C280" t="inlineStr">
        <is>
          <t>Amazon.com</t>
        </is>
      </c>
      <c r="D280" t="inlineStr">
        <is>
          <t>indeed</t>
        </is>
      </c>
      <c r="E280">
        <f>HYPERLINK("https://www.indeed.com/viewjob?jk=973dac5087257272", "https://www.indeed.com/viewjob?jk=973dac5087257272")</f>
        <v/>
      </c>
      <c r="F280">
        <f>HYPERLINK("https://www.amazon.jobs/jobs/3083576/applied-scientist-ii-creative-x--rapid?cmpid=DA_INAD200785B", "https://www.amazon.jobs/jobs/3083576/applied-scientist-ii-creative-x--rapid?cmpid=DA_INAD200785B")</f>
        <v/>
      </c>
      <c r="G280" t="inlineStr">
        <is>
          <t>Seattle, WA, US</t>
        </is>
      </c>
      <c r="H280" s="3" t="n">
        <v>45908</v>
      </c>
      <c r="I280" t="inlineStr">
        <is>
          <t>**DESCRIPTION**
---------------
About Amazon Advertising:  
Amazon Advertising operates at the intersection of eCommerce and advertising, offering a rich array of digital display advertising solutions with the goal of helping our customers find and discover anything they want to buy. We help advertisers of all types to reach Amazon customers on Amazon.com, across our other owned and operated sites, on other high quality sites across the web, and on millions of mobile devices. We start with the customer and work backwards in everything we do, including advertising. If you’re interested in joining a rapidly growing team working to build a unique, world\-class advertising group with a relentless focus on the customer, you’ve come to the right place.  
About our team:  
Our team, CreativeX optimizations, is responsible for tailoring the visual experience of ads to each context in real time. To accomplish this, we are investing in latent\-diffusion models, large language models (LLM), reinforced learning (RL), Computer Vision, and related methods.  
Key job responsibilities  
We are looking for talented Applied Scientists who are adept at a variety of skills, especially with reinforcement learning and recommendations, and familiarity with LLMs, latent diffusion, or related foundational models that will accelerate our plans to dynamically optimize ad creatives on behalf of advertisers. Every member of the team is expected to build customer (advertiser) facing features, contribute to the collaborative spirit within the team, publish, patent, and bring state\-of\-the\-art research to raise the bar within the team.
**BASIC QUALIFICATIONS**
------------------------
* PhD, or Master's degree and 3\+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 Experience building machine learning models or developing algorithms for business application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281">
      <c r="A281" t="inlineStr">
        <is>
          <t>in-86a56e5b23f58416</t>
        </is>
      </c>
      <c r="B281" t="inlineStr">
        <is>
          <t>Applied Scientist II, Creative X - RAPID</t>
        </is>
      </c>
      <c r="C281" t="inlineStr">
        <is>
          <t>Amazon.com</t>
        </is>
      </c>
      <c r="D281" t="inlineStr">
        <is>
          <t>indeed</t>
        </is>
      </c>
      <c r="E281">
        <f>HYPERLINK("https://www.indeed.com/viewjob?jk=86a56e5b23f58416", "https://www.indeed.com/viewjob?jk=86a56e5b23f58416")</f>
        <v/>
      </c>
      <c r="F281">
        <f>HYPERLINK("https://www.amazon.jobs/jobs/3083576/applied-scientist-ii-creative-x--rapid?cmpid=DA_INAD200785B", "https://www.amazon.jobs/jobs/3083576/applied-scientist-ii-creative-x--rapid?cmpid=DA_INAD200785B")</f>
        <v/>
      </c>
      <c r="G281" t="inlineStr">
        <is>
          <t>New York, NY, US</t>
        </is>
      </c>
      <c r="H281" s="3" t="n">
        <v>45908</v>
      </c>
      <c r="I281" t="inlineStr">
        <is>
          <t>**DESCRIPTION**
---------------
About Amazon Advertising:  
Amazon Advertising operates at the intersection of eCommerce and advertising, offering a rich array of digital display advertising solutions with the goal of helping our customers find and discover anything they want to buy. We help advertisers of all types to reach Amazon customers on Amazon.com, across our other owned and operated sites, on other high quality sites across the web, and on millions of mobile devices. We start with the customer and work backwards in everything we do, including advertising. If you’re interested in joining a rapidly growing team working to build a unique, world\-class advertising group with a relentless focus on the customer, you’ve come to the right place.  
About our team:  
Our team, CreativeX optimizations, is responsible for tailoring the visual experience of ads to each context in real time. To accomplish this, we are investing in latent\-diffusion models, large language models (LLM), reinforced learning (RL), Computer Vision, and related methods.  
Key job responsibilities  
We are looking for talented Applied Scientists who are adept at a variety of skills, especially with reinforcement learning and recommendations, and familiarity with LLMs, latent diffusion, or related foundational models that will accelerate our plans to dynamically optimize ad creatives on behalf of advertisers. Every member of the team is expected to build customer (advertiser) facing features, contribute to the collaborative spirit within the team, publish, patent, and bring state\-of\-the\-art research to raise the bar within the team.
**BASIC QUALIFICATIONS**
------------------------
* PhD, or Master's degree and 3\+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 Experience building machine learning models or developing algorithms for business application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282">
      <c r="A282" t="inlineStr">
        <is>
          <t>in-903e03359640a8c4</t>
        </is>
      </c>
      <c r="B282" t="inlineStr">
        <is>
          <t>Applied Scientist II, Prime Video , Personalization and Discovery Science</t>
        </is>
      </c>
      <c r="C282" t="inlineStr">
        <is>
          <t>Amazon.com</t>
        </is>
      </c>
      <c r="D282" t="inlineStr">
        <is>
          <t>indeed</t>
        </is>
      </c>
      <c r="E282">
        <f>HYPERLINK("https://www.indeed.com/viewjob?jk=903e03359640a8c4", "https://www.indeed.com/viewjob?jk=903e03359640a8c4")</f>
        <v/>
      </c>
      <c r="F282">
        <f>HYPERLINK("https://www.amazon.jobs/jobs/3061303/applied-scientist-ii-prime-video--personalization-and-discovery-science?cmpid=DA_INAD200785B", "https://www.amazon.jobs/jobs/3061303/applied-scientist-ii-prime-video--personalization-and-discovery-science?cmpid=DA_INAD200785B")</f>
        <v/>
      </c>
      <c r="G282" t="inlineStr">
        <is>
          <t>Sunnyvale, CA, US</t>
        </is>
      </c>
      <c r="H282" s="3" t="n">
        <v>45886</v>
      </c>
      <c r="I28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City \- 172,400\.00 \- 223,400\.00 USD annually  
USA, OR, Corvallis \- 142,800\.00 \- 193,200\.00 USD annually  
USA, WA, SEATTLE \- 142,800\.00 \- 193,200\.00 USD annually  
USA, WA, Seattle \- 142,800\.00 \- 193,200\.00 USD annually</t>
        </is>
      </c>
    </row>
    <row r="283">
      <c r="A283" t="inlineStr">
        <is>
          <t>in-248ca94058ab0448</t>
        </is>
      </c>
      <c r="B283" t="inlineStr">
        <is>
          <t>Applied Scientist II, Prime Video , Personalization and Discovery Science</t>
        </is>
      </c>
      <c r="C283" t="inlineStr">
        <is>
          <t>Amazon.com</t>
        </is>
      </c>
      <c r="D283" t="inlineStr">
        <is>
          <t>indeed</t>
        </is>
      </c>
      <c r="E283">
        <f>HYPERLINK("https://www.indeed.com/viewjob?jk=248ca94058ab0448", "https://www.indeed.com/viewjob?jk=248ca94058ab0448")</f>
        <v/>
      </c>
      <c r="F283">
        <f>HYPERLINK("https://www.amazon.jobs/jobs/3061303/applied-scientist-ii-prime-video--personalization-and-discovery-science?cmpid=DA_INAD200785B", "https://www.amazon.jobs/jobs/3061303/applied-scientist-ii-prime-video--personalization-and-discovery-science?cmpid=DA_INAD200785B")</f>
        <v/>
      </c>
      <c r="G283" t="inlineStr">
        <is>
          <t>Seattle, WA, US</t>
        </is>
      </c>
      <c r="H283" s="3" t="n">
        <v>45886</v>
      </c>
      <c r="I28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City \- 172,400\.00 \- 223,400\.00 USD annually  
USA, OR, Corvallis \- 142,800\.00 \- 193,200\.00 USD annually  
USA, WA, SEATTLE \- 142,800\.00 \- 193,200\.00 USD annually  
USA, WA, Seattle \- 142,800\.00 \- 193,200\.00 USD annually</t>
        </is>
      </c>
    </row>
    <row r="284">
      <c r="A284" t="inlineStr">
        <is>
          <t>in-4240bf08572dc0b2</t>
        </is>
      </c>
      <c r="B284" t="inlineStr">
        <is>
          <t>Applied Scientist II, Prime Video , Personalization and Discovery Science</t>
        </is>
      </c>
      <c r="C284" t="inlineStr">
        <is>
          <t>Amazon.com</t>
        </is>
      </c>
      <c r="D284" t="inlineStr">
        <is>
          <t>indeed</t>
        </is>
      </c>
      <c r="E284">
        <f>HYPERLINK("https://www.indeed.com/viewjob?jk=4240bf08572dc0b2", "https://www.indeed.com/viewjob?jk=4240bf08572dc0b2")</f>
        <v/>
      </c>
      <c r="F284">
        <f>HYPERLINK("https://www.amazon.jobs/jobs/3061303/applied-scientist-ii-prime-video--personalization-and-discovery-science?cmpid=DA_INAD200785B", "https://www.amazon.jobs/jobs/3061303/applied-scientist-ii-prime-video--personalization-and-discovery-science?cmpid=DA_INAD200785B")</f>
        <v/>
      </c>
      <c r="G284" t="inlineStr">
        <is>
          <t>New York, NY, US</t>
        </is>
      </c>
      <c r="H284" s="3" t="n">
        <v>45886</v>
      </c>
      <c r="I28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City \- 172,400\.00 \- 223,400\.00 USD annually  
USA, OR, Corvallis \- 142,800\.00 \- 193,200\.00 USD annually  
USA, WA, SEATTLE \- 142,800\.00 \- 193,200\.00 USD annually  
USA, WA, Seattle \- 142,800\.00 \- 193,200\.00 USD annually</t>
        </is>
      </c>
    </row>
    <row r="285">
      <c r="A285" t="inlineStr">
        <is>
          <t>in-0bc9e81db084ebd2</t>
        </is>
      </c>
      <c r="B285" t="inlineStr">
        <is>
          <t>Applied Scientist III, StoreGen</t>
        </is>
      </c>
      <c r="C285" t="inlineStr">
        <is>
          <t>Amazon.com</t>
        </is>
      </c>
      <c r="D285" t="inlineStr">
        <is>
          <t>indeed</t>
        </is>
      </c>
      <c r="E285">
        <f>HYPERLINK("https://www.indeed.com/viewjob?jk=0bc9e81db084ebd2", "https://www.indeed.com/viewjob?jk=0bc9e81db084ebd2")</f>
        <v/>
      </c>
      <c r="F285">
        <f>HYPERLINK("https://www.amazon.jobs/jobs/3065534/applied-scientist-iii-storegen?cmpid=DA_INAD200785B", "https://www.amazon.jobs/jobs/3065534/applied-scientist-iii-storegen?cmpid=DA_INAD200785B")</f>
        <v/>
      </c>
      <c r="G285" t="inlineStr">
        <is>
          <t>Seattle, WA, US</t>
        </is>
      </c>
      <c r="H285" s="3" t="n">
        <v>45868</v>
      </c>
      <c r="I285" t="inlineStr">
        <is>
          <t>**DESCRIPTION**
---------------
Join our Generative AI focus team to innovate Software Development at Amazon  
Are you ready to be part of a team that's redefining the future of software engineering? Our team is Amazon's ambitious initiative to pioneer AI development practices that will fundamentally transform how we build software at scale.  
Our Mission  
We’re building the next generation of development tools — uncovering how LLMs can originate new ways of thinking, building, and collaborating.  
What Makes Us Different  
* Ground\-floor opportunity to shape the future of software development
* Direct impact on Amazon's global engineering practices
* Working with the latest technologies and large language models
* Culture of experimentation and innovative thinking
What We’re Looking For  
You’ll lead the research, design, and development of AI technologies that challenge conventional software practices and uncover new ways for engineers to build and collaborate.  
You’re comfortable working in ambiguous spaces, exploring emergent behaviors, and collaborating with designers, prototypers, and engineers to test hypotheses in live, evolving systems.  
You explore where LLMs behave in unexpected yet promising ways, especially in tasks like context retention, code reasoning, or agent behavior , and use those moments to uncover new AI\-native workflows.  
We’re looking for applied scientists with experience in areas like:  
\+ Information retrieval  
\+ Context and memory modeling  
\+ Agent behavior and autonomy  
\+ Code understanding and generation  
\+ Human\-AI interaction  
What You'll Do  
* Prototype new ways of working with LLMs in engineering workflows
* Help shape and evaluate scientific approaches behind agentic systems and engineering tools
* Move fast with engineers and prototypers to guide design decisions and model choices
* Make sense of unexpected model behavior and guide what to try next
Impact  
Your work will surface where LLMs can meaningfully change how Amazon engineers build.  
You’ll help the team uncover which surprises are worth pursuing and where to push beyond what’s already known.  
Always find a way ️**BASIC QUALIFICATIONS**
------------------------
* 3\+ years of building machine learning models for business application experience
* PhD, or Master's degree and 6\+ years of applied research experience
* Experience in patents or publications at top\-tier peer\-reviewed conferences or journals
* Strong analytical, mathematical, and coding skills (e.g., Python, C\+\+, or Java)
* Previous work on agents or LLMs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86">
      <c r="A286" t="inlineStr">
        <is>
          <t>in-e30059887febb71f</t>
        </is>
      </c>
      <c r="B286" t="inlineStr">
        <is>
          <t>Applied Scientist III, StoreGen</t>
        </is>
      </c>
      <c r="C286" t="inlineStr">
        <is>
          <t>Amazon.com</t>
        </is>
      </c>
      <c r="D286" t="inlineStr">
        <is>
          <t>indeed</t>
        </is>
      </c>
      <c r="E286">
        <f>HYPERLINK("https://www.indeed.com/viewjob?jk=e30059887febb71f", "https://www.indeed.com/viewjob?jk=e30059887febb71f")</f>
        <v/>
      </c>
      <c r="F286">
        <f>HYPERLINK("https://www.amazon.jobs/jobs/3065534/applied-scientist-iii-storegen?cmpid=DA_INAD200785B", "https://www.amazon.jobs/jobs/3065534/applied-scientist-iii-storegen?cmpid=DA_INAD200785B")</f>
        <v/>
      </c>
      <c r="G286" t="inlineStr">
        <is>
          <t>Sunnyvale, CA, US</t>
        </is>
      </c>
      <c r="H286" s="3" t="n">
        <v>45868</v>
      </c>
      <c r="I286" t="inlineStr">
        <is>
          <t>**DESCRIPTION**
---------------
Join our Generative AI focus team to innovate Software Development at Amazon  
Are you ready to be part of a team that's redefining the future of software engineering? Our team is Amazon's ambitious initiative to pioneer AI development practices that will fundamentally transform how we build software at scale.  
Our Mission  
We’re building the next generation of development tools — uncovering how LLMs can originate new ways of thinking, building, and collaborating.  
What Makes Us Different  
* Ground\-floor opportunity to shape the future of software development
* Direct impact on Amazon's global engineering practices
* Working with the latest technologies and large language models
* Culture of experimentation and innovative thinking
What We’re Looking For  
You’ll lead the research, design, and development of AI technologies that challenge conventional software practices and uncover new ways for engineers to build and collaborate.  
You’re comfortable working in ambiguous spaces, exploring emergent behaviors, and collaborating with designers, prototypers, and engineers to test hypotheses in live, evolving systems.  
You explore where LLMs behave in unexpected yet promising ways, especially in tasks like context retention, code reasoning, or agent behavior , and use those moments to uncover new AI\-native workflows.  
We’re looking for applied scientists with experience in areas like:  
\+ Information retrieval  
\+ Context and memory modeling  
\+ Agent behavior and autonomy  
\+ Code understanding and generation  
\+ Human\-AI interaction  
What You'll Do  
* Prototype new ways of working with LLMs in engineering workflows
* Help shape and evaluate scientific approaches behind agentic systems and engineering tools
* Move fast with engineers and prototypers to guide design decisions and model choices
* Make sense of unexpected model behavior and guide what to try next
Impact  
Your work will surface where LLMs can meaningfully change how Amazon engineers build.  
You’ll help the team uncover which surprises are worth pursuing and where to push beyond what’s already known.  
Always find a way ️**BASIC QUALIFICATIONS**
------------------------
* 3\+ years of building machine learning models for business application experience
* PhD, or Master's degree and 6\+ years of applied research experience
* Experience in patents or publications at top\-tier peer\-reviewed conferences or journals
* Strong analytical, mathematical, and coding skills (e.g., Python, C\+\+, or Java)
* Previous work on agents or LLMs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87">
      <c r="A287" t="inlineStr">
        <is>
          <t>in-e44367136077a5b2</t>
        </is>
      </c>
      <c r="B287" t="inlineStr">
        <is>
          <t>Sr. Applied Scientist, Amazon Advertising</t>
        </is>
      </c>
      <c r="C287" t="inlineStr">
        <is>
          <t>Amazon.com</t>
        </is>
      </c>
      <c r="D287" t="inlineStr">
        <is>
          <t>indeed</t>
        </is>
      </c>
      <c r="E287">
        <f>HYPERLINK("https://www.indeed.com/viewjob?jk=e44367136077a5b2", "https://www.indeed.com/viewjob?jk=e44367136077a5b2")</f>
        <v/>
      </c>
      <c r="F287">
        <f>HYPERLINK("https://www.amazon.jobs/jobs/3035686/sr-applied-scientist-amazon-advertising?cmpid=DA_INAD200785B", "https://www.amazon.jobs/jobs/3035686/sr-applied-scientist-amazon-advertising?cmpid=DA_INAD200785B")</f>
        <v/>
      </c>
      <c r="G287" t="inlineStr">
        <is>
          <t>West Hollywood, CA, US</t>
        </is>
      </c>
      <c r="H287" s="3" t="n">
        <v>45851</v>
      </c>
      <c r="I287"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88">
      <c r="A288" t="inlineStr">
        <is>
          <t>in-5dd7dc4183c77c78</t>
        </is>
      </c>
      <c r="B288" t="inlineStr">
        <is>
          <t>Sr. Applied Scientist, Amazon Advertising</t>
        </is>
      </c>
      <c r="C288" t="inlineStr">
        <is>
          <t>Amazon.com</t>
        </is>
      </c>
      <c r="D288" t="inlineStr">
        <is>
          <t>indeed</t>
        </is>
      </c>
      <c r="E288">
        <f>HYPERLINK("https://www.indeed.com/viewjob?jk=5dd7dc4183c77c78", "https://www.indeed.com/viewjob?jk=5dd7dc4183c77c78")</f>
        <v/>
      </c>
      <c r="F288">
        <f>HYPERLINK("https://www.amazon.jobs/jobs/3035686/sr-applied-scientist-amazon-advertising?cmpid=DA_INAD200785B", "https://www.amazon.jobs/jobs/3035686/sr-applied-scientist-amazon-advertising?cmpid=DA_INAD200785B")</f>
        <v/>
      </c>
      <c r="G288" t="inlineStr">
        <is>
          <t>Los Angeles, CA, US</t>
        </is>
      </c>
      <c r="H288" s="3" t="n">
        <v>45851</v>
      </c>
      <c r="I288"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89">
      <c r="A289" t="inlineStr">
        <is>
          <t>in-10124824bc6c2c02</t>
        </is>
      </c>
      <c r="B289" t="inlineStr">
        <is>
          <t>Sr. Applied Scientist, Amazon Advertising</t>
        </is>
      </c>
      <c r="C289" t="inlineStr">
        <is>
          <t>Amazon.com</t>
        </is>
      </c>
      <c r="D289" t="inlineStr">
        <is>
          <t>indeed</t>
        </is>
      </c>
      <c r="E289">
        <f>HYPERLINK("https://www.indeed.com/viewjob?jk=10124824bc6c2c02", "https://www.indeed.com/viewjob?jk=10124824bc6c2c02")</f>
        <v/>
      </c>
      <c r="F289">
        <f>HYPERLINK("https://www.amazon.jobs/jobs/3035686/sr-applied-scientist-amazon-advertising?cmpid=DA_INAD200785B", "https://www.amazon.jobs/jobs/3035686/sr-applied-scientist-amazon-advertising?cmpid=DA_INAD200785B")</f>
        <v/>
      </c>
      <c r="G289" t="inlineStr">
        <is>
          <t>Seattle, WA, US</t>
        </is>
      </c>
      <c r="H289" s="3" t="n">
        <v>45851</v>
      </c>
      <c r="I289"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90">
      <c r="A290" t="inlineStr">
        <is>
          <t>in-de12ffde64eb770a</t>
        </is>
      </c>
      <c r="B290" t="inlineStr">
        <is>
          <t>Sr. Applied Scientist, Amazon Advertising</t>
        </is>
      </c>
      <c r="C290" t="inlineStr">
        <is>
          <t>Amazon.com</t>
        </is>
      </c>
      <c r="D290" t="inlineStr">
        <is>
          <t>indeed</t>
        </is>
      </c>
      <c r="E290">
        <f>HYPERLINK("https://www.indeed.com/viewjob?jk=de12ffde64eb770a", "https://www.indeed.com/viewjob?jk=de12ffde64eb770a")</f>
        <v/>
      </c>
      <c r="F290">
        <f>HYPERLINK("https://www.amazon.jobs/jobs/3035686/sr-applied-scientist-amazon-advertising?cmpid=DA_INAD200785B", "https://www.amazon.jobs/jobs/3035686/sr-applied-scientist-amazon-advertising?cmpid=DA_INAD200785B")</f>
        <v/>
      </c>
      <c r="G290" t="inlineStr">
        <is>
          <t>Palo Alto, CA, US</t>
        </is>
      </c>
      <c r="H290" s="3" t="n">
        <v>45851</v>
      </c>
      <c r="I290"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91">
      <c r="A291" t="inlineStr">
        <is>
          <t>in-0974070160d030e8</t>
        </is>
      </c>
      <c r="B291" t="inlineStr">
        <is>
          <t>Sr. Applied Scientist, Amazon Advertising</t>
        </is>
      </c>
      <c r="C291" t="inlineStr">
        <is>
          <t>Amazon.com</t>
        </is>
      </c>
      <c r="D291" t="inlineStr">
        <is>
          <t>indeed</t>
        </is>
      </c>
      <c r="E291">
        <f>HYPERLINK("https://www.indeed.com/viewjob?jk=0974070160d030e8", "https://www.indeed.com/viewjob?jk=0974070160d030e8")</f>
        <v/>
      </c>
      <c r="F291">
        <f>HYPERLINK("https://www.amazon.jobs/jobs/3035686/sr-applied-scientist-amazon-advertising?cmpid=DA_INAD200785B", "https://www.amazon.jobs/jobs/3035686/sr-applied-scientist-amazon-advertising?cmpid=DA_INAD200785B")</f>
        <v/>
      </c>
      <c r="G291" t="inlineStr">
        <is>
          <t>Simi Valley, CA, US</t>
        </is>
      </c>
      <c r="H291" s="3" t="n">
        <v>45851</v>
      </c>
      <c r="I291"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92">
      <c r="A292" t="inlineStr">
        <is>
          <t>in-3cdf57191e0cb0a5</t>
        </is>
      </c>
      <c r="B292" t="inlineStr">
        <is>
          <t>Sr. Applied Scientist, Amazon Advertising</t>
        </is>
      </c>
      <c r="C292" t="inlineStr">
        <is>
          <t>Amazon.com</t>
        </is>
      </c>
      <c r="D292" t="inlineStr">
        <is>
          <t>indeed</t>
        </is>
      </c>
      <c r="E292">
        <f>HYPERLINK("https://www.indeed.com/viewjob?jk=3cdf57191e0cb0a5", "https://www.indeed.com/viewjob?jk=3cdf57191e0cb0a5")</f>
        <v/>
      </c>
      <c r="F292">
        <f>HYPERLINK("https://www.amazon.jobs/jobs/3035686/sr-applied-scientist-amazon-advertising?cmpid=DA_INAD200785B", "https://www.amazon.jobs/jobs/3035686/sr-applied-scientist-amazon-advertising?cmpid=DA_INAD200785B")</f>
        <v/>
      </c>
      <c r="G292" t="inlineStr">
        <is>
          <t>New York, NY, US</t>
        </is>
      </c>
      <c r="H292" s="3" t="n">
        <v>45851</v>
      </c>
      <c r="I292"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93">
      <c r="A293" t="inlineStr">
        <is>
          <t>in-54a37de321383a55</t>
        </is>
      </c>
      <c r="B293" t="inlineStr">
        <is>
          <t>Sr. Applied Scientist, Amazon Advertising</t>
        </is>
      </c>
      <c r="C293" t="inlineStr">
        <is>
          <t>Amazon.com</t>
        </is>
      </c>
      <c r="D293" t="inlineStr">
        <is>
          <t>indeed</t>
        </is>
      </c>
      <c r="E293">
        <f>HYPERLINK("https://www.indeed.com/viewjob?jk=54a37de321383a55", "https://www.indeed.com/viewjob?jk=54a37de321383a55")</f>
        <v/>
      </c>
      <c r="F293">
        <f>HYPERLINK("https://www.amazon.jobs/jobs/3035686/sr-applied-scientist-amazon-advertising?cmpid=DA_INAD200785B", "https://www.amazon.jobs/jobs/3035686/sr-applied-scientist-amazon-advertising?cmpid=DA_INAD200785B")</f>
        <v/>
      </c>
      <c r="G293" t="inlineStr">
        <is>
          <t>Austin, TX, US</t>
        </is>
      </c>
      <c r="H293" s="3" t="n">
        <v>45851</v>
      </c>
      <c r="I293"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94">
      <c r="A294" t="inlineStr">
        <is>
          <t>in-2190b3ac959be173</t>
        </is>
      </c>
      <c r="B294" t="inlineStr">
        <is>
          <t>Sr. Applied Scientist, Amazon Advertising</t>
        </is>
      </c>
      <c r="C294" t="inlineStr">
        <is>
          <t>Amazon.com</t>
        </is>
      </c>
      <c r="D294" t="inlineStr">
        <is>
          <t>indeed</t>
        </is>
      </c>
      <c r="E294">
        <f>HYPERLINK("https://www.indeed.com/viewjob?jk=2190b3ac959be173", "https://www.indeed.com/viewjob?jk=2190b3ac959be173")</f>
        <v/>
      </c>
      <c r="F294">
        <f>HYPERLINK("https://www.amazon.jobs/jobs/3035686/sr-applied-scientist-amazon-advertising?cmpid=DA_INAD200785B", "https://www.amazon.jobs/jobs/3035686/sr-applied-scientist-amazon-advertising?cmpid=DA_INAD200785B")</f>
        <v/>
      </c>
      <c r="G294" t="inlineStr">
        <is>
          <t>Arlington, VA, US</t>
        </is>
      </c>
      <c r="H294" s="3" t="n">
        <v>45851</v>
      </c>
      <c r="I294"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95">
      <c r="A295" t="inlineStr">
        <is>
          <t>in-c86aeae744bb0297</t>
        </is>
      </c>
      <c r="B295" t="inlineStr">
        <is>
          <t>Sr. Applied Scientist, Sales AI</t>
        </is>
      </c>
      <c r="C295" t="inlineStr">
        <is>
          <t>Amazon.com</t>
        </is>
      </c>
      <c r="D295" t="inlineStr">
        <is>
          <t>indeed</t>
        </is>
      </c>
      <c r="E295">
        <f>HYPERLINK("https://www.indeed.com/viewjob?jk=c86aeae744bb0297", "https://www.indeed.com/viewjob?jk=c86aeae744bb0297")</f>
        <v/>
      </c>
      <c r="F295">
        <f>HYPERLINK("https://www.amazon.jobs/jobs/3020528/sr-applied-scientist-sales-ai?cmpid=DA_INAD200785B", "https://www.amazon.jobs/jobs/3020528/sr-applied-scientist-sales-ai?cmpid=DA_INAD200785B")</f>
        <v/>
      </c>
      <c r="G295" t="inlineStr">
        <is>
          <t>Sunnyvale, CA, US</t>
        </is>
      </c>
      <c r="H295" s="3" t="n">
        <v>45830</v>
      </c>
      <c r="I295"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96">
      <c r="A296" t="inlineStr">
        <is>
          <t>in-96a4bf02ab01cf12</t>
        </is>
      </c>
      <c r="B296" t="inlineStr">
        <is>
          <t>Sr. Applied Scientist, Sales AI</t>
        </is>
      </c>
      <c r="C296" t="inlineStr">
        <is>
          <t>Amazon.com</t>
        </is>
      </c>
      <c r="D296" t="inlineStr">
        <is>
          <t>indeed</t>
        </is>
      </c>
      <c r="E296">
        <f>HYPERLINK("https://www.indeed.com/viewjob?jk=96a4bf02ab01cf12", "https://www.indeed.com/viewjob?jk=96a4bf02ab01cf12")</f>
        <v/>
      </c>
      <c r="F296">
        <f>HYPERLINK("https://www.amazon.jobs/jobs/3020528/sr-applied-scientist-sales-ai?cmpid=DA_INAD200785B", "https://www.amazon.jobs/jobs/3020528/sr-applied-scientist-sales-ai?cmpid=DA_INAD200785B")</f>
        <v/>
      </c>
      <c r="G296" t="inlineStr">
        <is>
          <t>New York, NY, US</t>
        </is>
      </c>
      <c r="H296" s="3" t="n">
        <v>45830</v>
      </c>
      <c r="I296"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97">
      <c r="A297" t="inlineStr">
        <is>
          <t>in-99c3ecf76a4bb3cc</t>
        </is>
      </c>
      <c r="B297" t="inlineStr">
        <is>
          <t>Sr. Applied Scientist, Sales AI</t>
        </is>
      </c>
      <c r="C297" t="inlineStr">
        <is>
          <t>Amazon.com</t>
        </is>
      </c>
      <c r="D297" t="inlineStr">
        <is>
          <t>indeed</t>
        </is>
      </c>
      <c r="E297">
        <f>HYPERLINK("https://www.indeed.com/viewjob?jk=99c3ecf76a4bb3cc", "https://www.indeed.com/viewjob?jk=99c3ecf76a4bb3cc")</f>
        <v/>
      </c>
      <c r="F297">
        <f>HYPERLINK("https://www.amazon.jobs/jobs/3020528/sr-applied-scientist-sales-ai?cmpid=DA_INAD200785B", "https://www.amazon.jobs/jobs/3020528/sr-applied-scientist-sales-ai?cmpid=DA_INAD200785B")</f>
        <v/>
      </c>
      <c r="G297" t="inlineStr">
        <is>
          <t>Seattle, WA, US</t>
        </is>
      </c>
      <c r="H297" s="3" t="n">
        <v>45830</v>
      </c>
      <c r="I297"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98">
      <c r="A298" t="inlineStr">
        <is>
          <t>in-c9612b04746e1007</t>
        </is>
      </c>
      <c r="B298" t="inlineStr">
        <is>
          <t>Principal Applied Scientist, Delivery Foundation Model</t>
        </is>
      </c>
      <c r="C298" t="inlineStr">
        <is>
          <t>Amazon.com</t>
        </is>
      </c>
      <c r="D298" t="inlineStr">
        <is>
          <t>indeed</t>
        </is>
      </c>
      <c r="E298">
        <f>HYPERLINK("https://www.indeed.com/viewjob?jk=c9612b04746e1007", "https://www.indeed.com/viewjob?jk=c9612b04746e1007")</f>
        <v/>
      </c>
      <c r="F298">
        <f>HYPERLINK("https://www.amazon.jobs/jobs/3006938/principal-applied-scientist-delivery-foundation-model-?cmpid=DA_INAD200785B", "https://www.amazon.jobs/jobs/3006938/principal-applied-scientist-delivery-foundation-model-?cmpid=DA_INAD200785B")</f>
        <v/>
      </c>
      <c r="G298" t="inlineStr">
        <is>
          <t>Santa Clara, CA, US</t>
        </is>
      </c>
      <c r="H298" s="3" t="n">
        <v>45810</v>
      </c>
      <c r="I298"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99">
      <c r="A299" t="inlineStr">
        <is>
          <t>in-571e9ad9a02732ed</t>
        </is>
      </c>
      <c r="B299" t="inlineStr">
        <is>
          <t>Principal Applied Scientist, Delivery Foundation Model</t>
        </is>
      </c>
      <c r="C299" t="inlineStr">
        <is>
          <t>Amazon.com</t>
        </is>
      </c>
      <c r="D299" t="inlineStr">
        <is>
          <t>indeed</t>
        </is>
      </c>
      <c r="E299">
        <f>HYPERLINK("https://www.indeed.com/viewjob?jk=571e9ad9a02732ed", "https://www.indeed.com/viewjob?jk=571e9ad9a02732ed")</f>
        <v/>
      </c>
      <c r="F299">
        <f>HYPERLINK("https://www.amazon.jobs/jobs/3006938/principal-applied-scientist-delivery-foundation-model-?cmpid=DA_INAD200785B", "https://www.amazon.jobs/jobs/3006938/principal-applied-scientist-delivery-foundation-model-?cmpid=DA_INAD200785B")</f>
        <v/>
      </c>
      <c r="G299" t="inlineStr">
        <is>
          <t>New York, NY, US</t>
        </is>
      </c>
      <c r="H299" s="3" t="n">
        <v>45810</v>
      </c>
      <c r="I299"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00">
      <c r="A300" t="inlineStr">
        <is>
          <t>in-4fad2e4e8b39b843</t>
        </is>
      </c>
      <c r="B300" t="inlineStr">
        <is>
          <t>Principal Applied Scientist, Delivery Foundation Model</t>
        </is>
      </c>
      <c r="C300" t="inlineStr">
        <is>
          <t>Amazon.com</t>
        </is>
      </c>
      <c r="D300" t="inlineStr">
        <is>
          <t>indeed</t>
        </is>
      </c>
      <c r="E300">
        <f>HYPERLINK("https://www.indeed.com/viewjob?jk=4fad2e4e8b39b843", "https://www.indeed.com/viewjob?jk=4fad2e4e8b39b843")</f>
        <v/>
      </c>
      <c r="F300">
        <f>HYPERLINK("https://www.amazon.jobs/jobs/3006938/principal-applied-scientist-delivery-foundation-model-?cmpid=DA_INAD200785B", "https://www.amazon.jobs/jobs/3006938/principal-applied-scientist-delivery-foundation-model-?cmpid=DA_INAD200785B")</f>
        <v/>
      </c>
      <c r="G300" t="inlineStr">
        <is>
          <t>Austin, TX, US</t>
        </is>
      </c>
      <c r="H300" s="3" t="n">
        <v>45810</v>
      </c>
      <c r="I300"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01">
      <c r="A301" t="inlineStr">
        <is>
          <t>in-f673e6854bcbc959</t>
        </is>
      </c>
      <c r="B301" t="inlineStr">
        <is>
          <t>Principal Applied Scientist, Delivery Foundation Model</t>
        </is>
      </c>
      <c r="C301" t="inlineStr">
        <is>
          <t>Amazon.com</t>
        </is>
      </c>
      <c r="D301" t="inlineStr">
        <is>
          <t>indeed</t>
        </is>
      </c>
      <c r="E301">
        <f>HYPERLINK("https://www.indeed.com/viewjob?jk=f673e6854bcbc959", "https://www.indeed.com/viewjob?jk=f673e6854bcbc959")</f>
        <v/>
      </c>
      <c r="F301">
        <f>HYPERLINK("https://www.amazon.jobs/jobs/3006938/principal-applied-scientist-delivery-foundation-model-?cmpid=DA_INAD200785B", "https://www.amazon.jobs/jobs/3006938/principal-applied-scientist-delivery-foundation-model-?cmpid=DA_INAD200785B")</f>
        <v/>
      </c>
      <c r="G301" t="inlineStr">
        <is>
          <t>Bellevue, WA, US</t>
        </is>
      </c>
      <c r="H301" s="3" t="n">
        <v>45810</v>
      </c>
      <c r="I301"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02">
      <c r="A302" t="inlineStr">
        <is>
          <t>in-7f6924bfa73144d0</t>
        </is>
      </c>
      <c r="B302" t="inlineStr">
        <is>
          <t>Senior Applied Scientist, Delivery Foundation Model</t>
        </is>
      </c>
      <c r="C302" t="inlineStr">
        <is>
          <t>Amazon.com</t>
        </is>
      </c>
      <c r="D302" t="inlineStr">
        <is>
          <t>indeed</t>
        </is>
      </c>
      <c r="E302">
        <f>HYPERLINK("https://www.indeed.com/viewjob?jk=7f6924bfa73144d0", "https://www.indeed.com/viewjob?jk=7f6924bfa73144d0")</f>
        <v/>
      </c>
      <c r="F302">
        <f>HYPERLINK("https://www.amazon.jobs/jobs/2998435/senior-applied-scientist-delivery-foundation-model-?cmpid=DA_INAD200785B", "https://www.amazon.jobs/jobs/2998435/senior-applied-scientist-delivery-foundation-model-?cmpid=DA_INAD200785B")</f>
        <v/>
      </c>
      <c r="G302" t="inlineStr">
        <is>
          <t>New York, NY, US</t>
        </is>
      </c>
      <c r="H302" s="3" t="n">
        <v>45806</v>
      </c>
      <c r="I302"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Senior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in engineering, technology, computer science, machine learning, robotics, operations research, statistics, mathematics or equivalent quantitative field, or Master's degree and 10\+ years of industry or academic research experience
* 5\+ years of building machine learning models or developing algorithms for business application experience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Experience mentoring junior scientists / engineers.**PREFERRED QUALIFICATIONS**
----------------------------
* Experience building foundation models for industry or research
* Experience designing multi\-modal model architectures
\- Experience building models for motion prediction, e.g.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03">
      <c r="A303" t="inlineStr">
        <is>
          <t>in-128c622c34e4b309</t>
        </is>
      </c>
      <c r="B303" t="inlineStr">
        <is>
          <t>Senior Applied Scientist, Delivery Foundation Model</t>
        </is>
      </c>
      <c r="C303" t="inlineStr">
        <is>
          <t>Amazon.com</t>
        </is>
      </c>
      <c r="D303" t="inlineStr">
        <is>
          <t>indeed</t>
        </is>
      </c>
      <c r="E303">
        <f>HYPERLINK("https://www.indeed.com/viewjob?jk=128c622c34e4b309", "https://www.indeed.com/viewjob?jk=128c622c34e4b309")</f>
        <v/>
      </c>
      <c r="F303">
        <f>HYPERLINK("https://www.amazon.jobs/jobs/2998435/senior-applied-scientist-delivery-foundation-model-?cmpid=DA_INAD200785B", "https://www.amazon.jobs/jobs/2998435/senior-applied-scientist-delivery-foundation-model-?cmpid=DA_INAD200785B")</f>
        <v/>
      </c>
      <c r="G303" t="inlineStr">
        <is>
          <t>Santa Clara, CA, US</t>
        </is>
      </c>
      <c r="H303" s="3" t="n">
        <v>45806</v>
      </c>
      <c r="I303"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Senior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in engineering, technology, computer science, machine learning, robotics, operations research, statistics, mathematics or equivalent quantitative field, or Master's degree and 10\+ years of industry or academic research experience
* 5\+ years of building machine learning models or developing algorithms for business application experience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Experience mentoring junior scientists / engineers.**PREFERRED QUALIFICATIONS**
----------------------------
* Experience building foundation models for industry or research
* Experience designing multi\-modal model architectures
\- Experience building models for motion prediction, e.g.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04">
      <c r="A304" t="inlineStr">
        <is>
          <t>in-f5aa0cd1256c881e</t>
        </is>
      </c>
      <c r="B304" t="inlineStr">
        <is>
          <t>Senior Applied Scientist, Delivery Foundation Model</t>
        </is>
      </c>
      <c r="C304" t="inlineStr">
        <is>
          <t>Amazon.com</t>
        </is>
      </c>
      <c r="D304" t="inlineStr">
        <is>
          <t>indeed</t>
        </is>
      </c>
      <c r="E304">
        <f>HYPERLINK("https://www.indeed.com/viewjob?jk=f5aa0cd1256c881e", "https://www.indeed.com/viewjob?jk=f5aa0cd1256c881e")</f>
        <v/>
      </c>
      <c r="F304">
        <f>HYPERLINK("https://www.amazon.jobs/jobs/2998435/senior-applied-scientist-delivery-foundation-model-?cmpid=DA_INAD200785B", "https://www.amazon.jobs/jobs/2998435/senior-applied-scientist-delivery-foundation-model-?cmpid=DA_INAD200785B")</f>
        <v/>
      </c>
      <c r="G304" t="inlineStr">
        <is>
          <t>Bellevue, WA, US</t>
        </is>
      </c>
      <c r="H304" s="3" t="n">
        <v>45806</v>
      </c>
      <c r="I304"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Senior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in engineering, technology, computer science, machine learning, robotics, operations research, statistics, mathematics or equivalent quantitative field, or Master's degree and 10\+ years of industry or academic research experience
* 5\+ years of building machine learning models or developing algorithms for business application experience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Experience mentoring junior scientists / engineers.**PREFERRED QUALIFICATIONS**
----------------------------
* Experience building foundation models for industry or research
* Experience designing multi\-modal model architectures
\- Experience building models for motion prediction, e.g.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05">
      <c r="A305" t="inlineStr">
        <is>
          <t>in-38156efc177e8156</t>
        </is>
      </c>
      <c r="B305" t="inlineStr">
        <is>
          <t>Principal Applied Scientist, Delivery Foundation Model</t>
        </is>
      </c>
      <c r="C305" t="inlineStr">
        <is>
          <t>Amazon.com</t>
        </is>
      </c>
      <c r="D305" t="inlineStr">
        <is>
          <t>indeed</t>
        </is>
      </c>
      <c r="E305">
        <f>HYPERLINK("https://www.indeed.com/viewjob?jk=38156efc177e8156", "https://www.indeed.com/viewjob?jk=38156efc177e8156")</f>
        <v/>
      </c>
      <c r="F305">
        <f>HYPERLINK("https://www.amazon.jobs/jobs/2998635/principal-applied-scientist-delivery-foundation-model-?cmpid=DA_INAD200785B", "https://www.amazon.jobs/jobs/2998635/principal-applied-scientist-delivery-foundation-model-?cmpid=DA_INAD200785B")</f>
        <v/>
      </c>
      <c r="G305" t="inlineStr">
        <is>
          <t>Santa Clara, CA, US</t>
        </is>
      </c>
      <c r="H305" s="3" t="n">
        <v>45757</v>
      </c>
      <c r="I305"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06">
      <c r="A306" t="inlineStr">
        <is>
          <t>in-9a59702be72369ee</t>
        </is>
      </c>
      <c r="B306" t="inlineStr">
        <is>
          <t>Principal Applied Scientist, Delivery Foundation Model</t>
        </is>
      </c>
      <c r="C306" t="inlineStr">
        <is>
          <t>Amazon.com</t>
        </is>
      </c>
      <c r="D306" t="inlineStr">
        <is>
          <t>indeed</t>
        </is>
      </c>
      <c r="E306">
        <f>HYPERLINK("https://www.indeed.com/viewjob?jk=9a59702be72369ee", "https://www.indeed.com/viewjob?jk=9a59702be72369ee")</f>
        <v/>
      </c>
      <c r="F306">
        <f>HYPERLINK("https://www.amazon.jobs/jobs/2998635/principal-applied-scientist-delivery-foundation-model-?cmpid=DA_INAD200785B", "https://www.amazon.jobs/jobs/2998635/principal-applied-scientist-delivery-foundation-model-?cmpid=DA_INAD200785B")</f>
        <v/>
      </c>
      <c r="G306" t="inlineStr">
        <is>
          <t>New York, NY, US</t>
        </is>
      </c>
      <c r="H306" s="3" t="n">
        <v>45757</v>
      </c>
      <c r="I306"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07">
      <c r="A307" t="inlineStr">
        <is>
          <t>in-c624907617ba4ac4</t>
        </is>
      </c>
      <c r="B307" t="inlineStr">
        <is>
          <t>Principal Applied Scientist, Delivery Foundation Model</t>
        </is>
      </c>
      <c r="C307" t="inlineStr">
        <is>
          <t>Amazon.com</t>
        </is>
      </c>
      <c r="D307" t="inlineStr">
        <is>
          <t>indeed</t>
        </is>
      </c>
      <c r="E307">
        <f>HYPERLINK("https://www.indeed.com/viewjob?jk=c624907617ba4ac4", "https://www.indeed.com/viewjob?jk=c624907617ba4ac4")</f>
        <v/>
      </c>
      <c r="F307">
        <f>HYPERLINK("https://www.amazon.jobs/jobs/2998635/principal-applied-scientist-delivery-foundation-model-?cmpid=DA_INAD200785B", "https://www.amazon.jobs/jobs/2998635/principal-applied-scientist-delivery-foundation-model-?cmpid=DA_INAD200785B")</f>
        <v/>
      </c>
      <c r="G307" t="inlineStr">
        <is>
          <t>Bellevue, WA, US</t>
        </is>
      </c>
      <c r="H307" s="3" t="n">
        <v>45757</v>
      </c>
      <c r="I307"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08">
      <c r="A308" t="inlineStr">
        <is>
          <t>in-3f697e604dc83e1b</t>
        </is>
      </c>
      <c r="B308" t="inlineStr">
        <is>
          <t>Principal Applied Scientist, FAR (Frontier AI &amp; Robotics)</t>
        </is>
      </c>
      <c r="C308" t="inlineStr">
        <is>
          <t>Amazon.com</t>
        </is>
      </c>
      <c r="D308" t="inlineStr">
        <is>
          <t>indeed</t>
        </is>
      </c>
      <c r="E308">
        <f>HYPERLINK("https://www.indeed.com/viewjob?jk=3f697e604dc83e1b", "https://www.indeed.com/viewjob?jk=3f697e604dc83e1b")</f>
        <v/>
      </c>
      <c r="F308">
        <f>HYPERLINK("https://www.amazon.jobs/jobs/2938625/principal-applied-scientist-far-frontier-ai--robotics?cmpid=DA_INAD200785B", "https://www.amazon.jobs/jobs/2938625/principal-applied-scientist-far-frontier-ai--robotics?cmpid=DA_INAD200785B")</f>
        <v/>
      </c>
      <c r="G308" t="inlineStr">
        <is>
          <t>Seattle, WA, US</t>
        </is>
      </c>
      <c r="H308" s="3" t="n">
        <v>45740</v>
      </c>
      <c r="I308" t="inlineStr">
        <is>
          <t>**DESCRIPTION**
---------------
Join the next revolution in robotics at Amazon's Frontier AI \&amp; Robotics team, where you'll work alongside world\-renowned AI pioneers to lead key initiatives in robotic intelligence. As a Principal Applied Scientist, you'll spearhead the development of breakthrough foundation models that enable robots to perceive, understand, and interact with the world in unprecedented ways. You'll drive technical excellence in areas such as perception, manipulation, science understanding, sim2real transfer, multi\-modal foundation models, and multi\-task learning, designing novel algorithms that bridge the gap between state\-of\-the\-art research and real\-world deployment at Amazon scale.  
In this role, you'll combine hands\-on technical work with scientific leadership, ensuring your team delivers robust solutions for dynamic real\-world environments. You'll leverage Amazon's vast computational resources to tackle ambitious problems in areas like very large multi\-modal robotic foundation models and efficient, promptable model architectures that can scale across diverse robotic applications.  
Key job responsibilities  
* Lead technical initiatives in robotics foundation models, driving breakthrough approaches through hands\-on research and development in areas like open\-vocabulary panoptic scene understanding, scaling up multi\-modal LLMs, sim2real/real2sim techniques, end\-to\-end vision\-language\-action models, efficient model inference, video tokenization
* Design and implement novel deep learning architectures that push the boundaries of what robots can understand and accomplish
* Guide technical direction for specific research initiatives, ensuring robust performance in production environments
* Mentor and support fellow scientists while maintaining strong individual technical contributions
* Collaborate with engineering teams to optimize and scale models for real\-world applications
* Influence technical decisions and implementation strategies within your area of focus
A day in the life  
* Develop and implement novel foundation model architectures, working hands\-on with our extensive compute infrastructure
* Guide and support fellow scientists in solving complex technical challenges, from sim2real transfer to efficient multi\-task learning
* Lead focused technical initiatives from conception through deployment, ensuring successful integration with production systems
* Drive technical discussions within your team and with key stakeholders
* Conduct experiments and prototype new ideas using our massive compute cluster
* Mentor team members while maintaining significant hands\-on contribution to technical solutions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At Frontier AI \&amp; Robotics, we're not just advancing robotics – we're reimagining it from the ground up. Our team is building the future of intelligent robotics through ground breaking foundation models and end\-to\-end learned systems. We tackle some of the most challenging problems in AI and robotics, from developing sophisticated perception systems to creating adaptive manipulation strategies that work in complex, real\-world scenarios.  
What sets us apart is our unique combination of ambitious research vision and practical impact. We leverage Amazon's massive computational infrastructure and rich real\-world datasets to train and deploy state\-of\-the\-art foundation models. Our work spans the full spectrum of robotics intelligence – from multimodal perception using images, videos, and sensor data, to sophisticated manipulation strategies that can handle diverse real\-world scenarios. We're building systems that don't just work in the lab, but scale to meet the demands of Amazon's global operations.  
Join us if you're excited about pushing the boundaries of what's possible in robotics, working with world\-class researchers, and seeing your innovations deployed at unprecedented scale.**BASIC QUALIFICATIONS**
------------------------
* PhD, or Master's degree and 6\+ years of applied research experience
* 5\+ years of industry or academic research experience
* Experience programming in Java, C\+\+, Python or related language
* 5\+ years of building machine learning models or developing algorithms for business application experience
* Experience in patents or publication at top\-tier conferences (NeurIPS, ICML, ICLR, CVPR, ICCV, RSS, CoRL).
* Extensive track record of leading technical projects.
* Experience mentoring junior scientists / engineers.
* Demonstrated expertise in deep learning and model development.
**PREFERRED QUALIFICATIONS**
----------------------------
* Experience as first\-author publications at major conferences
* Experience leading research initiatives in robotics or foundation models
* Track record of successful production ML deployments
* Experience with large\-scale distributed systems
* Experience in technical leadership and team mentorship
* Experience bridging research with practical engineering implementation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09">
      <c r="A309" t="inlineStr">
        <is>
          <t>in-35e7c9e3bd274538</t>
        </is>
      </c>
      <c r="B309" t="inlineStr">
        <is>
          <t>Principal Applied Scientist, FAR (Frontier AI &amp; Robotics)</t>
        </is>
      </c>
      <c r="C309" t="inlineStr">
        <is>
          <t>Amazon.com</t>
        </is>
      </c>
      <c r="D309" t="inlineStr">
        <is>
          <t>indeed</t>
        </is>
      </c>
      <c r="E309">
        <f>HYPERLINK("https://www.indeed.com/viewjob?jk=35e7c9e3bd274538", "https://www.indeed.com/viewjob?jk=35e7c9e3bd274538")</f>
        <v/>
      </c>
      <c r="F309">
        <f>HYPERLINK("https://www.amazon.jobs/jobs/2938625/principal-applied-scientist-far-frontier-ai--robotics?cmpid=DA_INAD200785B", "https://www.amazon.jobs/jobs/2938625/principal-applied-scientist-far-frontier-ai--robotics?cmpid=DA_INAD200785B")</f>
        <v/>
      </c>
      <c r="G309" t="inlineStr">
        <is>
          <t>San Francisco, CA, US</t>
        </is>
      </c>
      <c r="H309" s="3" t="n">
        <v>45740</v>
      </c>
      <c r="I309" t="inlineStr">
        <is>
          <t>**DESCRIPTION**
---------------
Join the next revolution in robotics at Amazon's Frontier AI \&amp; Robotics team, where you'll work alongside world\-renowned AI pioneers to lead key initiatives in robotic intelligence. As a Principal Applied Scientist, you'll spearhead the development of breakthrough foundation models that enable robots to perceive, understand, and interact with the world in unprecedented ways. You'll drive technical excellence in areas such as perception, manipulation, science understanding, sim2real transfer, multi\-modal foundation models, and multi\-task learning, designing novel algorithms that bridge the gap between state\-of\-the\-art research and real\-world deployment at Amazon scale.  
In this role, you'll combine hands\-on technical work with scientific leadership, ensuring your team delivers robust solutions for dynamic real\-world environments. You'll leverage Amazon's vast computational resources to tackle ambitious problems in areas like very large multi\-modal robotic foundation models and efficient, promptable model architectures that can scale across diverse robotic applications.  
Key job responsibilities  
* Lead technical initiatives in robotics foundation models, driving breakthrough approaches through hands\-on research and development in areas like open\-vocabulary panoptic scene understanding, scaling up multi\-modal LLMs, sim2real/real2sim techniques, end\-to\-end vision\-language\-action models, efficient model inference, video tokenization
* Design and implement novel deep learning architectures that push the boundaries of what robots can understand and accomplish
* Guide technical direction for specific research initiatives, ensuring robust performance in production environments
* Mentor and support fellow scientists while maintaining strong individual technical contributions
* Collaborate with engineering teams to optimize and scale models for real\-world applications
* Influence technical decisions and implementation strategies within your area of focus
A day in the life  
* Develop and implement novel foundation model architectures, working hands\-on with our extensive compute infrastructure
* Guide and support fellow scientists in solving complex technical challenges, from sim2real transfer to efficient multi\-task learning
* Lead focused technical initiatives from conception through deployment, ensuring successful integration with production systems
* Drive technical discussions within your team and with key stakeholders
* Conduct experiments and prototype new ideas using our massive compute cluster
* Mentor team members while maintaining significant hands\-on contribution to technical solutions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At Frontier AI \&amp; Robotics, we're not just advancing robotics – we're reimagining it from the ground up. Our team is building the future of intelligent robotics through ground breaking foundation models and end\-to\-end learned systems. We tackle some of the most challenging problems in AI and robotics, from developing sophisticated perception systems to creating adaptive manipulation strategies that work in complex, real\-world scenarios.  
What sets us apart is our unique combination of ambitious research vision and practical impact. We leverage Amazon's massive computational infrastructure and rich real\-world datasets to train and deploy state\-of\-the\-art foundation models. Our work spans the full spectrum of robotics intelligence – from multimodal perception using images, videos, and sensor data, to sophisticated manipulation strategies that can handle diverse real\-world scenarios. We're building systems that don't just work in the lab, but scale to meet the demands of Amazon's global operations.  
Join us if you're excited about pushing the boundaries of what's possible in robotics, working with world\-class researchers, and seeing your innovations deployed at unprecedented scale.**BASIC QUALIFICATIONS**
------------------------
* PhD, or Master's degree and 6\+ years of applied research experience
* 5\+ years of industry or academic research experience
* Experience programming in Java, C\+\+, Python or related language
* 5\+ years of building machine learning models or developing algorithms for business application experience
* Experience in patents or publication at top\-tier conferences (NeurIPS, ICML, ICLR, CVPR, ICCV, RSS, CoRL).
* Extensive track record of leading technical projects.
* Experience mentoring junior scientists / engineers.
* Demonstrated expertise in deep learning and model development.
**PREFERRED QUALIFICATIONS**
----------------------------
* Experience as first\-author publications at major conferences
* Experience leading research initiatives in robotics or foundation models
* Track record of successful production ML deployments
* Experience with large\-scale distributed systems
* Experience in technical leadership and team mentorship
* Experience bridging research with practical engineering implementation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10">
      <c r="A310" t="inlineStr">
        <is>
          <t>in-47fa2a3bf7228f1c</t>
        </is>
      </c>
      <c r="B310" t="inlineStr">
        <is>
          <t>Data Scientist - Computer Vision, Data &amp; Machine Learning (DML)</t>
        </is>
      </c>
      <c r="C310" t="inlineStr">
        <is>
          <t>Amazon Web Services</t>
        </is>
      </c>
      <c r="D310" t="inlineStr">
        <is>
          <t>indeed</t>
        </is>
      </c>
      <c r="E310">
        <f>HYPERLINK("https://www.indeed.com/viewjob?jk=47fa2a3bf7228f1c", "https://www.indeed.com/viewjob?jk=47fa2a3bf7228f1c")</f>
        <v/>
      </c>
      <c r="F310">
        <f>HYPERLINK("https://www.amazon.jobs/jobs/3171977/data-scientist--computer-vision-data--machine-learning-dml?cmpid=DA_INAD200785B", "https://www.amazon.jobs/jobs/3171977/data-scientist--computer-vision-data--machine-learning-dml?cmpid=DA_INAD200785B")</f>
        <v/>
      </c>
      <c r="G310" t="inlineStr">
        <is>
          <t>Arlington, VA, US</t>
        </is>
      </c>
      <c r="H310" s="3" t="n">
        <v>46051</v>
      </c>
      <c r="I310" t="inlineStr">
        <is>
          <t>**DESCRIPTION**
---------------
This position requires that the candidate selected be a US Citizen and currently possess and maintain an active Top Secret security clearance.  
Join a sizeable team of data scientists, research scientists, and machine learning engineers that develop computer vision models on overhead imagery for a high\-impact government customer. We own the entire machine learning development life cycle, developing models on customer data:
* Exploring the data and brainstorming and prioritizing ideas for model development
* Implementing new features in our sizable code base
* Training models in support of experimental or performance goals
* T\&amp;E\-ing, packaging, and delivering models
We perform this work on both unclassified and classified networks, with portions of our team working on each network.
We seek a new team member to work on the classified networks. Three to four days a week, you would travel to the customer site in Northern Virginia to perform tasking as described below. Weekdays when you do not travel to the customer site, you would work from your local Amazon office. You would work collaboratively with teammates to use and contribute to a well\-maintained code base that the team has developed over the last several years, almost entirely in python. You would have great opportunities to learn from team members and technical leads, while also having opportunities for ownership of important project workflows. You would work with Jupyter Notebooks, the Linux command line, Apache AirFlow, GitLab, and Visual Studio Code. We are a very collaborative team, and regularly teach and learn from each other, so, if you are familiar with some of these technologies, but unfamiliar with others, we encourage you to apply \- especially if you are someone who likes to learn. We are always learning on the job ourselves.  
Key job responsibilities  
With support from technical leads, carry out tasking across the entire machine learning development lifecycle to develop computer vision models on overhead imagery:
* Run data conversion pipelines to transform customer data into the structure needed by models for training
* Perform EDA on the customer data
* Train deep neural network models on overhead imagery
* Develop and implement hyper\-parameter optimization strategies
* Test and Evaluate models and analyze results
* Package and deliver models to the customer
* Incorporate model R\&amp;D from low\-side researchers
* Implement new features to the model development code base
* Collaborate with the rest of the team on long term strategy and short\-medium term implementation.
* Contribute to presentations to the customer regarding the team’s work.
**BASIC QUALIFICATIONS**
------------------------
* 3\+ years of data querying languages (e.g. SQL), scripting languages (e.g. Python) or statistical/mathematical software (e.g. R, SAS, Matlab, etc.) experience
* 3\+ years of machine learning/statistical modeling data analysis tools and techniques, and parameters that affect their performance experience
* Bachelor's degree or above in computer science, machine learning, engineering, or related fields
* Experience with AWS services including S3, Redshift, Sagemaker, EMR, Kinesis, Lambda, and EC2
* Current, active US Government Security Clearance of Top Secret or above
**PREFERRED QUALIFICATIONS**
----------------------------
* Master's degree or above in computer science, machine learning, engineering, or related fields
* Knowledge of machine learning concepts and their application to reasoning and problem\-solving
* Experience working on multi\-team, cross\-disciplinary projects
* Experience effectively communicating complex concepts through written and verbal communication
* Experience in Linux, PyTorch, and Git workflows for MLOps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Arlington \- 136,000\.00 \- 184,000\.00 USD annually  
USA, VA, Herndon \- 136,000\.00 \- 184,000\.00 USD annually</t>
        </is>
      </c>
    </row>
    <row r="311">
      <c r="A311" t="inlineStr">
        <is>
          <t>in-cb02efd59f12697d</t>
        </is>
      </c>
      <c r="B311" t="inlineStr">
        <is>
          <t>Data Scientist - Computer Vision, Data &amp; Machine Learning (DML)</t>
        </is>
      </c>
      <c r="C311" t="inlineStr">
        <is>
          <t>Amazon Web Services</t>
        </is>
      </c>
      <c r="D311" t="inlineStr">
        <is>
          <t>indeed</t>
        </is>
      </c>
      <c r="E311">
        <f>HYPERLINK("https://www.indeed.com/viewjob?jk=cb02efd59f12697d", "https://www.indeed.com/viewjob?jk=cb02efd59f12697d")</f>
        <v/>
      </c>
      <c r="F311">
        <f>HYPERLINK("https://www.amazon.jobs/jobs/3171977/data-scientist--computer-vision-data--machine-learning-dml?cmpid=DA_INAD200785B", "https://www.amazon.jobs/jobs/3171977/data-scientist--computer-vision-data--machine-learning-dml?cmpid=DA_INAD200785B")</f>
        <v/>
      </c>
      <c r="G311" t="inlineStr">
        <is>
          <t>Herndon, VA, US</t>
        </is>
      </c>
      <c r="H311" s="3" t="n">
        <v>46051</v>
      </c>
      <c r="I311" t="inlineStr">
        <is>
          <t>**DESCRIPTION**
---------------
This position requires that the candidate selected be a US Citizen and currently possess and maintain an active Top Secret security clearance.  
Join a sizeable team of data scientists, research scientists, and machine learning engineers that develop computer vision models on overhead imagery for a high\-impact government customer. We own the entire machine learning development life cycle, developing models on customer data:
* Exploring the data and brainstorming and prioritizing ideas for model development
* Implementing new features in our sizable code base
* Training models in support of experimental or performance goals
* T\&amp;E\-ing, packaging, and delivering models
We perform this work on both unclassified and classified networks, with portions of our team working on each network.
We seek a new team member to work on the classified networks. Three to four days a week, you would travel to the customer site in Northern Virginia to perform tasking as described below. Weekdays when you do not travel to the customer site, you would work from your local Amazon office. You would work collaboratively with teammates to use and contribute to a well\-maintained code base that the team has developed over the last several years, almost entirely in python. You would have great opportunities to learn from team members and technical leads, while also having opportunities for ownership of important project workflows. You would work with Jupyter Notebooks, the Linux command line, Apache AirFlow, GitLab, and Visual Studio Code. We are a very collaborative team, and regularly teach and learn from each other, so, if you are familiar with some of these technologies, but unfamiliar with others, we encourage you to apply \- especially if you are someone who likes to learn. We are always learning on the job ourselves.  
Key job responsibilities  
With support from technical leads, carry out tasking across the entire machine learning development lifecycle to develop computer vision models on overhead imagery:
* Run data conversion pipelines to transform customer data into the structure needed by models for training
* Perform EDA on the customer data
* Train deep neural network models on overhead imagery
* Develop and implement hyper\-parameter optimization strategies
* Test and Evaluate models and analyze results
* Package and deliver models to the customer
* Incorporate model R\&amp;D from low\-side researchers
* Implement new features to the model development code base
* Collaborate with the rest of the team on long term strategy and short\-medium term implementation.
* Contribute to presentations to the customer regarding the team’s work.
**BASIC QUALIFICATIONS**
------------------------
* 3\+ years of data querying languages (e.g. SQL), scripting languages (e.g. Python) or statistical/mathematical software (e.g. R, SAS, Matlab, etc.) experience
* 3\+ years of machine learning/statistical modeling data analysis tools and techniques, and parameters that affect their performance experience
* Bachelor's degree or above in computer science, machine learning, engineering, or related fields
* Experience with AWS services including S3, Redshift, Sagemaker, EMR, Kinesis, Lambda, and EC2
* Current, active US Government Security Clearance of Top Secret or above
**PREFERRED QUALIFICATIONS**
----------------------------
* Master's degree or above in computer science, machine learning, engineering, or related fields
* Knowledge of machine learning concepts and their application to reasoning and problem\-solving
* Experience working on multi\-team, cross\-disciplinary projects
* Experience effectively communicating complex concepts through written and verbal communication
* Experience in Linux, PyTorch, and Git workflows for MLOps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Arlington \- 136,000\.00 \- 184,000\.00 USD annually  
USA, VA, Herndon \- 136,000\.00 \- 184,000\.00 USD annually</t>
        </is>
      </c>
    </row>
    <row r="312">
      <c r="A312" t="inlineStr">
        <is>
          <t>in-6120e4fff34307a3</t>
        </is>
      </c>
      <c r="B312" t="inlineStr">
        <is>
          <t>Data Scientist- Vision Language Model Researcher, Data &amp; Machine Learning (DML)</t>
        </is>
      </c>
      <c r="C312" t="inlineStr">
        <is>
          <t>Amazon Web Services</t>
        </is>
      </c>
      <c r="D312" t="inlineStr">
        <is>
          <t>indeed</t>
        </is>
      </c>
      <c r="E312">
        <f>HYPERLINK("https://www.indeed.com/viewjob?jk=6120e4fff34307a3", "https://www.indeed.com/viewjob?jk=6120e4fff34307a3")</f>
        <v/>
      </c>
      <c r="F312">
        <f>HYPERLINK("https://www.amazon.jobs/jobs/3172308/data-scientist-vision-language-model-researcher-data--machine-learning-dml?cmpid=DA_INAD200785B", "https://www.amazon.jobs/jobs/3172308/data-scientist-vision-language-model-researcher-data--machine-learning-dml?cmpid=DA_INAD200785B")</f>
        <v/>
      </c>
      <c r="G312" t="inlineStr">
        <is>
          <t>Arlington, VA, US</t>
        </is>
      </c>
      <c r="H312" s="3" t="n">
        <v>46051</v>
      </c>
      <c r="I312" t="inlineStr">
        <is>
          <t>**DESCRIPTION**
---------------
This position requires that the candidate selected be a US Citizen and currently possess and maintain an active Top Secret security clearance.  
Join a sizeable team of data scientists, research scientists, and machine learning engineers that develop vision language models (VLMs) on overhead imagery for a high\-impact government customer. We own the entire machine learning development life cycle, developing models on customer data:
* Exploring the data and brainstorming and prioritizing ideas for model development
* Implementing new features
* Training models in support of experimental or performance goals
* T\&amp;E\-ing, packaging, and delivering models
We perform this work on both unclassified and classified networks, with portions of our team working on each network.
We seek a new team member to work on the classified networks. You would work collaboratively with teammates to develop and use a python codebase for fine\-tuning VLMs.
You would have great opportunities to learn from team members and technical leads, while also having opportunities for ownership of important project workflows. You would work with Jupyter Notebooks, the Linux command line, GitLab, and Visual Studio Code.
Key job responsibilities  
With support from technical leads, carry out tasking across the entire machine learning development lifecycle to fine\-tune VLMs on overhead imagery:
* Run data conversion pipelines to transform customer data into the structure needed by models for training
* Perform EDA on the customer data
* Train VLMs on overhead imagery
* Develop and implement hyper\-parameter optimization strategies
* Test and Evaluate models and analyze results
* Package and deliver models to the customer
* Implement new features to the code base
* Collaborate with the rest of the team on long term strategy and short\-medium term implementation.
* Contribute to presentations to the customer regarding the team’s work.
**BASIC QUALIFICATIONS**
------------------------
* 3\+ years of data querying languages (e.g. SQL), scripting languages (e.g. Python) or statistical/mathematical software (e.g. R, SAS, Matlab, etc.) experience
* 3\+ years of machine learning/statistical modeling data analysis tools and techniques, and parameters that affect their performance experience
* Bachelor's degree or above in computer science, machine learning, engineering, or related fields
* Current, active US government Security Clearance of TS/SCI
* Familiarity with internals of LLMs, VLMs, and traditional Computer Vision object detection models
* Ability to implement and modify deep neural networks in PyTorch
* Familiarity with techniques and libraries such as Deepspeed/ZeRO, LoRA/QLoRA, or SFT for LLMs
**PREFERRED QUALIFICATIONS**
----------------------------
* Master's degree or above in computer science, machine learning, engineering, or related fields
* Knowledge of machine learning concepts and their application to reasoning and problem\-solving
* Experience working on multi\-team, cross\-disciplinary projects
* Experience with AWS services including S3, Redshift, Sagemaker, EMR, Kinesis, Lambda, and EC2
* Experience in Linux, Git workflows, and use of satellite imagery for computer vision requirements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Arlington \- 136,000\.00 \- 184,000\.00 USD annually  
USA, VA, Herndon \- 136,000\.00 \- 184,000\.00 USD annually</t>
        </is>
      </c>
    </row>
    <row r="313">
      <c r="A313" t="inlineStr">
        <is>
          <t>in-b804faad9902a11f</t>
        </is>
      </c>
      <c r="B313" t="inlineStr">
        <is>
          <t>Data Scientist- Vision Language Model Researcher, Data &amp; Machine Learning (DML)</t>
        </is>
      </c>
      <c r="C313" t="inlineStr">
        <is>
          <t>Amazon Web Services</t>
        </is>
      </c>
      <c r="D313" t="inlineStr">
        <is>
          <t>indeed</t>
        </is>
      </c>
      <c r="E313">
        <f>HYPERLINK("https://www.indeed.com/viewjob?jk=b804faad9902a11f", "https://www.indeed.com/viewjob?jk=b804faad9902a11f")</f>
        <v/>
      </c>
      <c r="F313">
        <f>HYPERLINK("https://www.amazon.jobs/jobs/3172308/data-scientist-vision-language-model-researcher-data--machine-learning-dml?cmpid=DA_INAD200785B", "https://www.amazon.jobs/jobs/3172308/data-scientist-vision-language-model-researcher-data--machine-learning-dml?cmpid=DA_INAD200785B")</f>
        <v/>
      </c>
      <c r="G313" t="inlineStr">
        <is>
          <t>Herndon, VA, US</t>
        </is>
      </c>
      <c r="H313" s="3" t="n">
        <v>46051</v>
      </c>
      <c r="I313" t="inlineStr">
        <is>
          <t>**DESCRIPTION**
---------------
This position requires that the candidate selected be a US Citizen and currently possess and maintain an active Top Secret security clearance.  
Join a sizeable team of data scientists, research scientists, and machine learning engineers that develop vision language models (VLMs) on overhead imagery for a high\-impact government customer. We own the entire machine learning development life cycle, developing models on customer data:
* Exploring the data and brainstorming and prioritizing ideas for model development
* Implementing new features
* Training models in support of experimental or performance goals
* T\&amp;E\-ing, packaging, and delivering models
We perform this work on both unclassified and classified networks, with portions of our team working on each network.
We seek a new team member to work on the classified networks. You would work collaboratively with teammates to develop and use a python codebase for fine\-tuning VLMs.
You would have great opportunities to learn from team members and technical leads, while also having opportunities for ownership of important project workflows. You would work with Jupyter Notebooks, the Linux command line, GitLab, and Visual Studio Code.
Key job responsibilities  
With support from technical leads, carry out tasking across the entire machine learning development lifecycle to fine\-tune VLMs on overhead imagery:
* Run data conversion pipelines to transform customer data into the structure needed by models for training
* Perform EDA on the customer data
* Train VLMs on overhead imagery
* Develop and implement hyper\-parameter optimization strategies
* Test and Evaluate models and analyze results
* Package and deliver models to the customer
* Implement new features to the code base
* Collaborate with the rest of the team on long term strategy and short\-medium term implementation.
* Contribute to presentations to the customer regarding the team’s work.
**BASIC QUALIFICATIONS**
------------------------
* 3\+ years of data querying languages (e.g. SQL), scripting languages (e.g. Python) or statistical/mathematical software (e.g. R, SAS, Matlab, etc.) experience
* 3\+ years of machine learning/statistical modeling data analysis tools and techniques, and parameters that affect their performance experience
* Bachelor's degree or above in computer science, machine learning, engineering, or related fields
* Current, active US government Security Clearance of TS/SCI
* Familiarity with internals of LLMs, VLMs, and traditional Computer Vision object detection models
* Ability to implement and modify deep neural networks in PyTorch
* Familiarity with techniques and libraries such as Deepspeed/ZeRO, LoRA/QLoRA, or SFT for LLMs
**PREFERRED QUALIFICATIONS**
----------------------------
* Master's degree or above in computer science, machine learning, engineering, or related fields
* Knowledge of machine learning concepts and their application to reasoning and problem\-solving
* Experience working on multi\-team, cross\-disciplinary projects
* Experience with AWS services including S3, Redshift, Sagemaker, EMR, Kinesis, Lambda, and EC2
* Experience in Linux, Git workflows, and use of satellite imagery for computer vision requirements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Arlington \- 136,000\.00 \- 184,000\.00 USD annually  
USA, VA, Herndon \- 136,000\.00 \- 184,000\.00 USD annually</t>
        </is>
      </c>
    </row>
    <row r="314">
      <c r="A314" t="inlineStr">
        <is>
          <t>in-f42216d2f243ed02</t>
        </is>
      </c>
      <c r="B314" t="inlineStr">
        <is>
          <t>Applied Scientist, Alexa Smart Home</t>
        </is>
      </c>
      <c r="C314" t="inlineStr">
        <is>
          <t>Amazon.com</t>
        </is>
      </c>
      <c r="D314" t="inlineStr">
        <is>
          <t>indeed</t>
        </is>
      </c>
      <c r="E314">
        <f>HYPERLINK("https://www.indeed.com/viewjob?jk=f42216d2f243ed02", "https://www.indeed.com/viewjob?jk=f42216d2f243ed02")</f>
        <v/>
      </c>
      <c r="F314">
        <f>HYPERLINK("https://www.amazon.jobs/jobs/3169205/applied-scientist-alexa-smart-home?cmpid=DA_INAD200785B", "https://www.amazon.jobs/jobs/3169205/applied-scientist-alexa-smart-home?cmpid=DA_INAD200785B")</f>
        <v/>
      </c>
      <c r="G314" t="inlineStr">
        <is>
          <t>Seattle, WA, US</t>
        </is>
      </c>
      <c r="H314" s="3" t="n">
        <v>46033</v>
      </c>
      <c r="I314" t="inlineStr">
        <is>
          <t>**DESCRIPTION**
---------------
The Smart Home team is focused on making Alexa\+ the user interface for the future home. From the simplest voice commands (turn on the lights, turn down the heat) to use cases spanning home security, home entertainment, and the home environment, we are evolving Alexa\+ into intelligent, indispensable companion that automates daily routines, simplifies interaction with appliances and electronics, and alerts when something unusual is detected. You will be part of a team delivering features that are highly anticipated by media and well received by our customers.  
Key job responsibilities  
As an Applied Scientist, you will work with other scientists and software developers to design and build the next generation of Smart Home voice and ambient controls using the latest Large Language Models and ML methods. And, you will have the satisfaction of working on a product your friends and family can relate to, and want to use every day.  
About the team  
We are a team of Scientists and Machine Learning Engineers that work together to make Alexa\+ Smart Home easier to control and manage through voice, and become proactive through ambient intelligence, with feature like automatic actions that help customer meet their energy, comfort and safety preferences.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315">
      <c r="A315" t="inlineStr">
        <is>
          <t>in-5ad23f9411dd47c7</t>
        </is>
      </c>
      <c r="B315" t="inlineStr">
        <is>
          <t>Applied Scientist, Alexa Smart Home</t>
        </is>
      </c>
      <c r="C315" t="inlineStr">
        <is>
          <t>Amazon.com</t>
        </is>
      </c>
      <c r="D315" t="inlineStr">
        <is>
          <t>indeed</t>
        </is>
      </c>
      <c r="E315">
        <f>HYPERLINK("https://www.indeed.com/viewjob?jk=5ad23f9411dd47c7", "https://www.indeed.com/viewjob?jk=5ad23f9411dd47c7")</f>
        <v/>
      </c>
      <c r="F315">
        <f>HYPERLINK("https://www.amazon.jobs/jobs/3169205/applied-scientist-alexa-smart-home?cmpid=DA_INAD200785B", "https://www.amazon.jobs/jobs/3169205/applied-scientist-alexa-smart-home?cmpid=DA_INAD200785B")</f>
        <v/>
      </c>
      <c r="G315" t="inlineStr">
        <is>
          <t>Sunnyvale, CA, US</t>
        </is>
      </c>
      <c r="H315" s="3" t="n">
        <v>46033</v>
      </c>
      <c r="I315" t="inlineStr">
        <is>
          <t>**DESCRIPTION**
---------------
The Smart Home team is focused on making Alexa\+ the user interface for the future home. From the simplest voice commands (turn on the lights, turn down the heat) to use cases spanning home security, home entertainment, and the home environment, we are evolving Alexa\+ into intelligent, indispensable companion that automates daily routines, simplifies interaction with appliances and electronics, and alerts when something unusual is detected. You will be part of a team delivering features that are highly anticipated by media and well received by our customers.  
Key job responsibilities  
As an Applied Scientist, you will work with other scientists and software developers to design and build the next generation of Smart Home voice and ambient controls using the latest Large Language Models and ML methods. And, you will have the satisfaction of working on a product your friends and family can relate to, and want to use every day.  
About the team  
We are a team of Scientists and Machine Learning Engineers that work together to make Alexa\+ Smart Home easier to control and manage through voice, and become proactive through ambient intelligence, with feature like automatic actions that help customer meet their energy, comfort and safety preferences.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58"/>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li-4370029551</t>
        </is>
      </c>
      <c r="B2" t="inlineStr">
        <is>
          <t>Data Scientist</t>
        </is>
      </c>
      <c r="C2" t="inlineStr">
        <is>
          <t>Kinect</t>
        </is>
      </c>
      <c r="D2" t="inlineStr">
        <is>
          <t>linkedin</t>
        </is>
      </c>
      <c r="E2" t="inlineStr"/>
      <c r="F2" t="inlineStr"/>
      <c r="G2" t="inlineStr"/>
      <c r="H2" t="inlineStr"/>
      <c r="I2" t="inlineStr">
        <is>
          <t>**Key required skill \- Experience with Domo (data science, automation, or analytics workflows)** 
**Industry:** 
 FinTech / Digital Assets / Financial Services
 A fast\-growing financial technology company is seeking a
 **Data Scientist** 
 to join its analytics and engineering organization. This role focuses on building predictive models and data products that directly impact revenue, growth, and operational decision\-making across Finance, Marketing, Sales, and Operations.
 You’ll partner closely with senior data leadership and cross\-functional stakeholders, working in a modern data stack to turn complex datasets into actionable, business\-driven insights.
 What You’ll Do
* Build and deploy
 **predictive and forecasting models** 
 tied to revenue, sales, and financial performance
* Perform
 **statistical modeling, feature engineering, and experimentation** 
 (A/B testing, backtesting)
* Collaborate with Data Engineering on
 **scalable, production\-ready pipelines**
* Develop executive\-level
 **analytics and dashboards** 
 to support decision\-making
* Translate ambiguous business questions into measurable, data\-driven outcomes
 What We’re Looking For
* 5\+ years of experience in
 **Data Science, Machine Learning, or Advanced Analytics**
* Strong
 **Python** 
 (pandas, scikit\-learn; TensorFlow/PyTorch a plus) and
 **SQL**
* Hands\-on experience with
 **Snowflake** 
 and
 **dbt**
* Proven ability to build
 **predictive / forecasting models** 
 with real business impact
* Comfortable working in a fast\-paced, cross\-functional environment
* Experience with
 **Domo** 
 (data science, automation, or analytics workflows)
 Nice to Have
* Background in FinTech or regulated industries
* Exposure to
 **LLMs, GenAI, or MLOps**
* Experience with revenue, marketing, or sales analytics</t>
        </is>
      </c>
    </row>
    <row r="3">
      <c r="A3" t="inlineStr">
        <is>
          <t>li-4360029768</t>
        </is>
      </c>
      <c r="B3" t="inlineStr">
        <is>
          <t>Data Scientist</t>
        </is>
      </c>
      <c r="C3" t="inlineStr">
        <is>
          <t>SLB</t>
        </is>
      </c>
      <c r="D3" t="inlineStr">
        <is>
          <t>linkedin</t>
        </is>
      </c>
      <c r="E3" t="inlineStr"/>
      <c r="F3" t="inlineStr"/>
      <c r="G3" t="inlineStr">
        <is>
          <t>Houston, TX</t>
        </is>
      </c>
      <c r="H3" t="inlineStr"/>
      <c r="I3" t="inlineStr">
        <is>
          <t>**Job Description**
 Build, train, and deploy large\-scale, self\-supervised "foundation" models that learn rich representations of time series, sequential sensor data in addition to textual and vision data, to be fine\-tuned for tasks such as anomaly/event detection, predictive maintenance, forecasting, classification, or multi\-modal sensor fusion for industrial and scientific applications.
**Data/Signal Processing**
* Time Series \&amp; Sequential Data: processing, augmentation, feature engineering for financial, industrial, IoT, medical, or other sensor streams (univariate/multivariate time series).
* Sensor Data Analysis: expertise with diverse sensor modalities (e.g., accelerometers, temperature, vibration, audio, images), sampling rates, synchronization, and real\-world noise/artifact handling.
* Multi\-Modality Learning: integrating heterogeneous data types (time series, images, text, audio, structured) into robust deep learning architectures; cross\-modal representation learning.
**Machine Learning \&amp; Foundation Model Expertise**
* Self\-supervised and Semi\-supervised Learning: time series foundation models, masked modeling, contrastive methods, temporal predictive coding, multimodal alignment and fusion.
* Model Architectures: sequence models (RNNs, GRU/LSTM, TCN), 1D/2D/3D CNNs, Transformers (BERT, ViT, TimeSFormer), graph neural networks, diffusion/generative models, multi\-modal/fusion encoders.
* Transfer Learning \&amp; Fine\-Tuning at Scale: prompt/adapter\-based strategies, temporal domain adaptation, few\-shot learning for specialized tasks.
* Evaluation Metrics: regression/classification (MSE, F1, AUC), time series similarity (DTW, correlation), event detection/segmentation (IoU, accuracy), business/end\-user KPIs.
**Software \&amp; Infrastructure**
* Programming: expert Python (NumPy, SciPy, Pandas), C\+\+/CUDA for custom kernels and high\-performance preprocessing.
* Deep Learning Frameworks: PyTorch (Lightning, Distributed), TensorFlow/Keras, JAX/Flax.
* Large\-scale Training: multi\-GPU, multi\-node clusters, mixed\-precision, ZeRO optimization, scalable data loaders for long sequences.
* Data Engineering: robust pipelines for ingesting, cleaning, segmenting, and aligning large\-scale, time\-synchronized multi\-sensor datasets.
**Mathematical \&amp; Algorithmic Foundations**
* Linear Algebra, Probability \&amp; Statistics, Optimization (stochastic, convex/non\-convex, Bayesian).
* Signal Processing: Fourier/wavelet analysis, filters (Kalman, Savitzky–Golay), resampling, noise modeling.
* Numerical Methods: ODE/PDE solvers, inverse problems, regularization, time\-frequency methods for complex systems.
**Collaboration \&amp; Communication**
* Cross\-disciplinary teamwork with domain experts, engineers, product owners, and end\-users from industrial, scientific, or medical backgrounds.
* Clear presentation of complex model behaviors (interpretability, attention analysis), uncertainty quantification, and value impact.
* MS / Ph.D. in computer science, data science and AI or related fields.
* 3\+ years of relevant experience in data science and AI or related fields.</t>
        </is>
      </c>
    </row>
    <row r="4">
      <c r="A4" t="inlineStr">
        <is>
          <t>li-4370162663</t>
        </is>
      </c>
      <c r="B4" t="inlineStr">
        <is>
          <t>Data Scientist II</t>
        </is>
      </c>
      <c r="C4" t="inlineStr">
        <is>
          <t>Tempus AI</t>
        </is>
      </c>
      <c r="D4" t="inlineStr">
        <is>
          <t>linkedin</t>
        </is>
      </c>
      <c r="E4" t="inlineStr"/>
      <c r="F4" t="inlineStr"/>
      <c r="G4" t="inlineStr"/>
      <c r="H4" t="inlineStr"/>
      <c r="I4" t="inlineStr">
        <is>
          <t>**About The Company**
 Tempus AI is a pioneering leader in the field of precision medicine, dedicated to transforming healthcare through innovative data\-driven solutions. Our proprietary platform integrates a comprehensive ecosystem of real\-world evidence, including genomic, clinical, and imaging data, to deliver real\-time, actionable insights to healthcare providers and researchers. By leveraging advanced analytics and cutting\-edge technology, Tempus aims to enable personalized treatment strategies, improve patient outcomes, and accelerate medical research. Our commitment to scientific excellence and technological innovation positions us at the forefront of healthcare transformation, making a meaningful impact on the way diseases are diagnosed, studied, and treated.
**About The Role**
 The Data Scientist II, Real World Data Science at Tempus AI is a vital role within our Scientific and Technological Solutions team. This position is designed for a highly motivated and technically skilled individual passionate about applying data science to real\-world healthcare challenges. As a key scientific and technical resource, you will lead client onboarding processes, understand complex research questions, and translate scientific hypotheses into actionable insights using our platform. Your expertise will facilitate seamless integration of client research needs with our analytical tools, ensuring that researchers and clinicians can derive meaningful, scientifically valid answers from large\-scale biomedical datasets. This role offers a unique opportunity to work at the intersection of data science, healthcare, and biotechnology, contributing directly to advancements in personalized medicine and clinical research.
**Qualifications**
* Master’s or Ph.D. in Computational Biology, Bioinformatics, Genomics, Data Science, or a related life sciences discipline
* Proven experience analyzing large biomedical datasets such as NGS, clinical trial, or real\-world data
* Hands\-on proficiency with analytical tools and programming languages, especially R; knowledge of Python, SQL, and cloud environments (AWS/GCP) is a plus
* Strong collaboration skills and ability to thrive in fast\-paced, dynamic environments
* Excellent written and verbal communication skills, capable of explaining complex concepts to diverse audiences
* Problem\-solving mindset with a track record of developing pragmatic solutions to scientific or technical challenges
**Responsibilities**
* Lead the technical and scientific onboarding process for new clients, ensuring smooth integration into the Tempus Data Ecosystem
* Engage with clients to understand their specific scientific hypotheses, such as biomarker discovery, target identification, or clinical trial design
* Translate client scientific needs into platform workflows, designing queries, and guiding complex data analysis processes involving genomics, clinical, and imaging datasets
* Identify opportunities to optimize platform workflows and implement technological solutions that enhance user experience and efficiency
* Act as the primary technical and scientific liaison, collaborating with product, engineering, and data science teams to prioritize features and resolve technical challenges
* Create comprehensive documentation, tutorials, and training materials to support client education and best practices in scientific analysis
**Benefits**
* Competitive salary ranging from $80,000 to $135,000 USD depending on location and experience
* Full benefits package, including health insurance, incentive compensation, restricted stock units, and other perks
* Opportunities for professional growth and development within a leading healthcare technology company
* Flexible work arrangements, including remote work options in certain locations
* Collaborative and innovative work environment focused on impactful healthcare solutions
 Equal Opportunity
 Tempus AI is an equal opportunity employer. We celebrate diversity and are committed to creating an inclusive environment for all employees. We do not discriminate based on race, religion, gender, sexual orientation, age, marital status, veteran status, disability, or any other protected characteristic. We encourage qualified individuals from all backgrounds to apply and join our mission to improve healthcare through data\-driven insights.</t>
        </is>
      </c>
    </row>
    <row r="5">
      <c r="A5" t="inlineStr">
        <is>
          <t>li-4359218259</t>
        </is>
      </c>
      <c r="B5" t="inlineStr">
        <is>
          <t>Data Scientist, Product</t>
        </is>
      </c>
      <c r="C5" t="inlineStr">
        <is>
          <t>Cantina Labs</t>
        </is>
      </c>
      <c r="D5" t="inlineStr">
        <is>
          <t>linkedin</t>
        </is>
      </c>
      <c r="E5" t="inlineStr"/>
      <c r="F5" t="inlineStr"/>
      <c r="G5" t="inlineStr">
        <is>
          <t>San Francisco, CA</t>
        </is>
      </c>
      <c r="H5" t="inlineStr"/>
      <c r="I5" t="inlineStr">
        <is>
          <t>**About Cantina**
 Cantina Labs is a social AI company, developing a suite of advanced real\-time models that push the boundaries of expression, personality, and realism. We bring characters to life, transforming how people tell stories, connect, and create. We build and power ecosystems. Cantina, our flagship social AI platform, is just the beginning.
 If you're excited about the potential AI has to shape human creativity and social interactions, join us in building the future!
**About The Role**
 As a Data Scientist at Cantina, you’ll be a founding member of our data team and help lay the foundation for how data science is done here. And as an early team member in a new product category, you’ll partner with our product, marketing, and engineering teams to shape the future of AI\-native social platforms. You’ll define product success, build models and surface insights that inform product decisions, and create systems that help the entire company work smarter with data.
**What You’ll Do**
* Work closely with product managers, marketers, engineers, and designers to define success metrics and inform our product and growth strategy
* Design and analyze A/B tests and experiments to guide product and growth decisions
* Build and maintain dashboards, reporting pipelines, and monitoring tools that turn product data into actionable insights
* Research user behavior, and use the results to drive product innovation
* Help foster a data\-informed culture across product and leadership teams
**What You’ll Bring**
* 5\+ years of experience in a data science, product analytics, or similar quantitative role
* Strong proficiency in SQL and hands on experience with data warehouses (Redshift, Snowflake, Bigquery) and tools like dbt or Airflow
* Proficiency in Python for data analysis and machine learning. Experience with Hex is a plus.
* Ability to translate ambiguous questions into structured analyses with clear takeaways
* Excellent communication skills and the ability to influence decisions across technical and non\-technical stakeholders
**Compensation**
 The anticipated annual base salary range for this role is between $180,000\-$240,000\. When determining compensation, a number of factors will be considered, including skills, experience, job scope, location, and competitive compensation market data.
**Benefits**
* Competitive salary and generous company equity
* Medical, dental, and vision insurance – 99\.99% of premiums covered by Cantina
* 42 days of paid time off, including:
+ 15 PTO days
+ 10 sick days
+ 15 company holidays
+ 2 floating holidays
* Generous parental leave \&amp; fertility support
* 401(k) retirement savings plan
* Lifestyle spending account – $500/month to use however you’d like
* Complimentary lunch and snacks for in\-office employees
* One Medical membership, and more!</t>
        </is>
      </c>
    </row>
    <row r="6">
      <c r="A6" t="inlineStr">
        <is>
          <t>li-4297313562</t>
        </is>
      </c>
      <c r="B6" t="inlineStr">
        <is>
          <t>AI/ML Scientist II</t>
        </is>
      </c>
      <c r="C6" t="inlineStr">
        <is>
          <t>Dentsply Sirona</t>
        </is>
      </c>
      <c r="D6" t="inlineStr">
        <is>
          <t>linkedin</t>
        </is>
      </c>
      <c r="E6" t="inlineStr"/>
      <c r="F6" t="inlineStr"/>
      <c r="G6" t="inlineStr">
        <is>
          <t>Waltham, MA</t>
        </is>
      </c>
      <c r="H6" t="inlineStr"/>
      <c r="I6" t="inlineStr">
        <is>
          <t>Dentsply Sirona is the world’s largest manufacturer of professional dental products and technologies, with a 130\-year history of innovation and service to the dental industry and patients worldwide. Dentsply Sirona develops, manufactures, and markets a comprehensive solutions offering including dental and oral health products as well as other consumable medical devices under a strong portfolio of world class brands. Dentsply Sirona’s products provide innovative, high\-quality and effective solutions to advance patient care and deliver better and safer dentistry. Dentsply Sirona’s global headquarters is located in Charlotte, North Carolina. The company’s shares are listed in the United States on NASDAQ under the symbol XRAY.
**Bringing out the best in people**
 As advanced as dentistry is today, we are dedicated to making it even better. Our people have a passion for innovation and are committed to applying it to improve dental care. We live and breathe high performance, working as one global team, bringing out the best in each other for the benefit of dental patients, and the professionals who serve them. If you want to grow and develop as a part of a team that is shaping an industry, then we’re looking for the best to join us.
**Working At Dentsply Sirona You Are Able To**
**Develop faster** 
 \- with our commitment to the best professional development.
**Perform better** 
 \- as part of a high\-performance, empowering culture.
**Shape an industry** 
 \- with a market leader that continues to drive innovation.
**Make a difference** 
 \-by helping improve oral health worldwide.
 Dentsply Sirona is looking for a scientist with AI product development experience. The candidate will join a team working on cutting edge applications of machine learning (ML) and AI. They will work on applying the forefront of AI research to Dentsply Sirona’s medical applications. Candidates will get to create novel products for customers of Dentsply Sirona’s cloud\-based platform and help further our mission – To transform dentistry and improve oral health globally.
 This is a hybrid position which requires working in the Waltham,MA office at least one day per week.
**Primary Job Responsibilities**
* Investigate applying new AI research to areas such as 3D medical image analysis, 3D reconstruction, AI treatment planning and other topics
* Work independently on AI tasks
* Contributes to the development of machine learning models
* Gather and prepare data for projects and clinical studies
* Conduct literature reviews and implement algorithms and frameworks
* Test and validate models
* Communicate progress and findings within the team
* Contribute to technical discussions
* Clearly communicates research findings and ideas to peers, both verbally and in writing
* Follow the current state\-of\-the\-art technology (literature surveys, or attends conferences)
**Education**
* Master's degree or PhD in Computer Science or equivalent
**Years And Type Of Experience**
* 2 to 4 years of experience with a Masters or 0 to 3 years of experience with a PhD in applying AI and machine learning algorithms to real\-world problems
* Experience with complex technical projects across teams
* Proficiency in machine learning concepts, programming and data analysis
* Experience in 3D medical image analysis is a plus
* Experience in medical device development is a plus
**Key Skills, Knowledge \&amp; Capabilities**
* Excellent written, verbal presentation, and communication skills
* Experience working in a global team
* Experience in working in the cloud
* Experience in one of the ML model development libraries: TensorFlow, PyTorch, scikit\-learn, etc.
 The base salary for this role located in Massachusetts is between $115,000 \- $130,000\. Actual compensation is influenced by a wide array of factors including but not limited to skill set, level of experience, and specific office location.
 Dentsply Sirona is an Equal Opportunity/ Affirmative Action employer. All qualified applicants will receive consideration for employment without regard to race, color, religion, sex, national origin, age, sexual orientation, disability, or protected Veteran status. We appreciate your interest in Dentsply Sirona.
 If you need assistance with completing the online application due to a disability, please send an accommodation request to careers@dentsplysirona.com. Please be sure to include “Accommodation Request” in the subject.
**For California Residents**
 We may collect the following categories of personal information in connection with the submission of your resume or application materials to us for employment, and if hired, your employment with us: identifiers (e.g., name, address, email address, birthdate); personal records (e.g., telephone number, signature, education information, criminal background information, passport number and visa information); consumer characteristics (e.g., sex, marital status, veteran status, race, disability, sexual orientation); professional or employment information (e.g., resume, cover letter, employment history, background check forms, references, certifications, transcripts and languages spoken); and inferences from personal information collected (e.g., a profile reflecting abilities and aptitudes).
 The above categories of personal information are collected for the following business purposes: performing recruitment and hiring services; processing interactions and transactions (e.g., to comply with federal and state laws requiring us to maintain certain records, managing the workforce); and security (e.g., detecting security incidents, protecting against fraudulent or illegal activity).
 For additional details and questions, contact us at careers@dentsplysirona.com</t>
        </is>
      </c>
    </row>
    <row r="7">
      <c r="A7" t="inlineStr">
        <is>
          <t>li-4370176244</t>
        </is>
      </c>
      <c r="B7" t="inlineStr">
        <is>
          <t>Senior Data Scientist</t>
        </is>
      </c>
      <c r="C7" t="inlineStr">
        <is>
          <t>James Search Group</t>
        </is>
      </c>
      <c r="D7" t="inlineStr">
        <is>
          <t>linkedin</t>
        </is>
      </c>
      <c r="E7" t="inlineStr"/>
      <c r="F7" t="inlineStr"/>
      <c r="G7" t="inlineStr"/>
      <c r="H7" t="inlineStr"/>
      <c r="I7" t="inlineStr">
        <is>
          <t>**Senior / Lead Data Scientist (P\&amp;C Insurance)** 
*Fully Remote \| Full\-Time* 
**Partnering with a Leading P\&amp;C Insurance Carrier** 
 James Search Group is proud to partner with a high\-performing Property \&amp; Casualty insurance carrier that is deeply investing in Data Science, Machine Learning (ML), and Artificial Intelligence (AI) to transform how insurance is priced, underwritten, and serviced. We’re seeking a
 **Senior / Lead Data Scientist** 
 to join their centralized Data \&amp; ML/AI department and take a key role in building scalable, production\-grade models that drive enterprise decision\-making.
 This is a hands\-on and strategic role where you'll help shape the carrier’s approach to predictive modeling, optimization, and data\-driven automation. You’ll collaborate across actuarial, underwriting, product, claims, and data engineering teams to identify high\-impact problems and bring elegant ML solutions to life.
**Office Locations (Optional Hybrid):** 
 This is a remote\-first position, but you can also work from one of the carrier’s multiple U.S. office locations
**What You’ll Do:** 
* Lead the design, development, and deployment of predictive models and machine learning pipelines across the insurance value chain.
* Partner with stakeholders to scope high\-value use cases in pricing, risk segmentation, underwriting automation, claims triage, fraud, retention, and more.
* Own model lifecycle management from ideation through to deployment and monitoring in production.
* Mentor junior data scientists, establish coding and modeling best practices, and participate in peer reviews.
* Collaborate with data engineers and ML engineers to scale models using a modern MLOps stack.
* Translate technical results into actionable insights for non\-technical stakeholders.
**What You Bring:** 
* 5–8\+ years of hands\-on experience in Data Science or ML Engineering, with a strong portfolio of deployed models.
* Deep understanding of statistical modeling, machine learning algorithms (e.g., tree\-based models, ensemble methods, NLP, deep learning), and model evaluation techniques.
* Advanced programming skills in
 **Python** 
 , and experience with data manipulation libraries (e.g., pandas, NumPy), machine learning frameworks (e.g., scikit\-learn, XGBoost, LightGBM), and deep learning tools (e.g., TensorFlow, PyTorch).
* Experience with
 **Databricks, MLflow, GitHub** 
 , and MLOps practices for productionization of models.
* Strong SQL skills and ability to work with large, complex datasets.
* Ability to communicate technical results clearly to cross\-functional teams and business stakeholders.
* Bachelor’s, Master’s, or Ph.D. in Data Science, Statistics, Computer Science, Mathematics, or a related field.
**Bonus Points For:** 
* Prior experience in the insurance industry, particularly P\&amp;C, working with claims, pricing, or underwriting data.
* Familiarity with regulatory modeling standards (e.g., explainability, fairness).
* Exposure to Hex, Arize, or similar tools for monitoring and visualization.
* Experience with time series forecasting or geospatial modeling.
**What’s In It for You:** 
* **$120,000\-$170,000 base salary**
* **Performance\-based bonus/variable compensation**
* **Comprehensive benefits** 
 , including:
* Medical, dental, and vision insurance
* 401(k) with company match
* Generous PTO
* Wellness and mental health support programs
 This is a rare opportunity to lead cutting\-edge Data Science work at a modern insurance organization where innovation is a priority.
 If you’re excited to build models that go into production and directly shape customer and business outcomes — we’d love to connect.</t>
        </is>
      </c>
    </row>
    <row r="8">
      <c r="A8" t="inlineStr">
        <is>
          <t>li-4370179359</t>
        </is>
      </c>
      <c r="B8" t="inlineStr">
        <is>
          <t>Data Scientist</t>
        </is>
      </c>
      <c r="C8" t="inlineStr">
        <is>
          <t>Hirenza</t>
        </is>
      </c>
      <c r="D8" t="inlineStr">
        <is>
          <t>linkedin</t>
        </is>
      </c>
      <c r="E8" t="inlineStr"/>
      <c r="F8" t="inlineStr"/>
      <c r="G8" t="inlineStr"/>
      <c r="H8" t="inlineStr"/>
      <c r="I8" t="inlineStr">
        <is>
          <t>**About The Company**
 Bowhead / UIC Technical Services is a leading provider of innovative solutions and technical expertise to the defense, government, and commercial sectors. Renowned for our commitment to excellence and our focus on delivering impactful results, we support a wide range of national security initiatives and technological advancements. Our team comprises highly skilled professionals dedicated to addressing complex challenges through cutting\-edge research, development, and operational support. At Bowhead, we foster a collaborative environment that encourages continuous learning, innovation, and integrity, ensuring our clients receive the highest quality services and solutions.
**About The Role**
 We are seeking a highly skilled Data Scientist to join our team supporting the Naval Surface Warfare Center Dahlgren Division (NSWCDD), E Department. This role involves applying advanced data analysis techniques to uncover meaningful insights from diverse data sets, including numbers, symbols, text, sound, and images. The successful candidate will be responsible for designing, developing, and refining software components that facilitate data\-driven decision\-making and operational efficiencies. The position requires onsite work at the Bowhead office or Navy installation, emphasizing collaboration with technical teams and stakeholders. The ideal candidate will possess a strong background in mathematics, statistics, predictive modeling, and machine learning, with experience in handling high\-volume, high\-velocity, and high\-variety data environments. This role offers an exciting opportunity to contribute to national security efforts by transforming complex data into actionable intelligence and predictive insights.
**Qualifications**
 The ideal candidate will hold a Bachelor’s Degree in physics, data science, or a related field, complemented by a minimum of 5\-8 years of relevant experience. Proven expertise in database management and development, along with knowledge of relational database management systems and data warehousing, is essential. Experience in creating reports and dashboards, as well as proficiency in writing and analyzing SQL queries, is highly desirable. Candidates with virtual machine or artificial intelligence experience will have a competitive edge. Strong coding and software development skills, particularly in analytical tools and evaluation techniques, are required. The ability to communicate complex technical concepts effectively, both orally and in writing, is critical for engaging with senior government customers. Candidates must be US Citizens capable of obtaining and maintaining a security clearance at the Secret level.
**Responsibilities**
* Apply mathematical, statistical, and machine learning techniques to analyze and interpret complex data sets to identify patterns and trends.
* Design, develop, modify, verify, and document software components to support data analysis and stakeholder requirements.
* Create and maintain tools for data testing and validation to ensure accuracy and reliability of insights.
* Analyze high\-volume, high\-velocity, and diverse data types, including text, images, sound, and symbols, to extract meaningful insights.
* Develop predictive, real\-time models that provide forward\-looking insights to enhance decision\-making processes.
* Present complex data findings and insights in innovative and accessible formats to both technical and non\-technical audiences.
* Identify, validate, and leverage internal and external data sources generated from various processes.
* Manage and organize data and information in all formats, including logical analysis of taxonomies, data, and metadata.
* Collaborate with cross\-functional teams to gather requirements, validate solutions, and support project objectives.
* Perform other duties as assigned to support project goals and organizational needs.
**Benefits**
 Bowhead / UIC Technical Services offers a comprehensive benefits package designed to support the health, well\-being, and professional growth of our employees. Our benefits include competitive health insurance plans, retirement savings options, paid time off, and opportunities for continuous training and development. We foster a dynamic work environment that values innovation, collaboration, and work\-life balance. Our commitment to employee success is reflected in our support for career advancement and skill enhancement initiatives, ensuring our team remains at the forefront of technological and analytical advancements.
 Equal Opportunity
 Bowhead / UIC Technical Services is an equal opportunity employer. We are committed to creating an inclusive environment where all employees and applicants are treated with respect and fairness. We do not discriminate based on race, color, religion, sex, national origin, age, disability, veteran status, or any other protected characteristic. We believe diversity fosters innovation and excellence, and we are dedicated to providing equal employment opportunities to all qualified individuals.</t>
        </is>
      </c>
    </row>
    <row r="9">
      <c r="A9" t="inlineStr">
        <is>
          <t>li-4370035549</t>
        </is>
      </c>
      <c r="B9" t="inlineStr">
        <is>
          <t>Data Scientist</t>
        </is>
      </c>
      <c r="C9" t="inlineStr">
        <is>
          <t>RemoteHunter</t>
        </is>
      </c>
      <c r="D9" t="inlineStr">
        <is>
          <t>linkedin</t>
        </is>
      </c>
      <c r="E9" t="inlineStr"/>
      <c r="F9" t="inlineStr"/>
      <c r="G9" t="inlineStr"/>
      <c r="H9" t="inlineStr"/>
      <c r="I9" t="inlineStr">
        <is>
          <t>About the Opportunity:
 This team is focused on revolutionizing healthcare by leveraging data to uncover key insights, shape product development, and promote a culture of data\-informed decision\-making. The Product Data Scientist role involves working cross\-functionally to guide product creation and ensure solutions deliver real\-world impact in telehealth.
 Responsibilities:
 • Uncover actionable insights through data analysis
 • Challenge assumptions and reveal stories hidden in data to guide decisions
 • Apply analytical, statistical, and technical expertise to influence product and business strategy
 • Utilize regression analysis, segmentation, and A/B testing for product optimization and improvement
 • Collaborate across teams to shape innovative telehealth solutions
 Requirements:
 • Bachelor’s degree in Data Science, Computer Science, Statistics, Mathematics, or related field; advanced degrees preferred
 • 3\+ years of experience in data analysis or data science with a proven impact on product decisions
 • Experience working with cross\-functional teams including product managers, engineers, and designers
 • Healthcare or telehealth industry experience is desirable but not required
 • Proficiency in Python and SQL for data manipulation and analysis
 • Strong experience with data visualization tools such as Tableau or Looker
 • At least 1 year of experience with Alteryx
 • Skilled in statistical techniques including regression analysis, hypothesis testing, clustering, and segmentation
 • Experience designing and analyzing A/B tests
 • Familiarity with data tools like Segment and Snowflake, ETL processes, and cloud platforms such as AWS or Google Cloud is a plus
 • Ability to extract actionable insights from complex datasets
 • Strong problem\-solving skills and curiosity
 • Experience with machine learning techniques is a plus
 • Excellent communication skills to convey complex data insights to non\-technical stakeholders
 • Strong project management skills and ability to prioritize tasks and meet deadlines
 • Collaborative and proactive mindset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10">
      <c r="A10" t="inlineStr">
        <is>
          <t>li-4370160907</t>
        </is>
      </c>
      <c r="B10" t="inlineStr">
        <is>
          <t>Software Engineer / Data Scientist</t>
        </is>
      </c>
      <c r="C10" t="inlineStr">
        <is>
          <t>Waymo</t>
        </is>
      </c>
      <c r="D10" t="inlineStr">
        <is>
          <t>linkedin</t>
        </is>
      </c>
      <c r="E10" t="inlineStr"/>
      <c r="F10" t="inlineStr"/>
      <c r="G10" t="inlineStr"/>
      <c r="H10" t="inlineStr"/>
      <c r="I10" t="inlineStr">
        <is>
          <t>**About The Company**
 Waymo is a pioneering autonomous driving technology company dedicated to transforming mobility and enhancing safety on the roads. Originating from the Google Self\-Driving Car Project in 2009, Waymo has established itself as a leader in developing advanced driver\-assistance systems and fully autonomous vehicles. The company's core mission is to be the world's most trusted driver by continuously innovating and deploying the Waymo Driver, which powers its fully autonomous ride\-hail service and other vehicle platforms. With over ten million rider\-only trips completed and autonomous driving experience exceeding 100 million miles on public roads across more than 15 states, Waymo is at the forefront of making transportation safer, more accessible, and more efficient.
**About The Role**
 Waymo is seeking a highly skilled and quantitatively driven engineer to join the Large Model Evaluation team. This team is central to Waymo's AI ambitions, focusing on developing and deploying state\-of\-the\-art AI systems capable of handling the complexities of real\-world driving environments. The role involves designing innovative metrics and sampling techniques to evaluate the performance of large language and vision\-language models used in autonomous driving applications. You will leverage simulation strategies, data pipelines, and analytical tools to assess model robustness, identify potential edge cases, and provide performance insights that directly influence model development and deployment. Collaborating with world\-class research and engineering teams, you will play a vital role in ensuring the safety and reliability of Waymo's autonomous systems.
**Qualifications**
* 7\+ years of relevant industry experience in a quantitative software engineering environment
* Proficiency in programming languages such as Python or C\+\+
* Strong understanding of software design principles, testing methodologies, and version control systems
* Experience developing data processing pipelines, system evaluation tools, or metric computation frameworks at scale
* Knowledge of AI fundamentals, including transformer architectures and distillation techniques
* Experience evaluating machine learning model quality and translating quantitative insights into production tools
* Familiarity with simulation systems, robotics, or autonomous vehicle platforms is preferred
* Experience with modern deep learning frameworks such as JAX or TensorFlow is a plus
* Leadership experience in managing engineering teams is advantageous
**Responsibilities**
* Develop innovative metrics and sampling techniques to evaluate driving trajectories generated by ML models
* Design and implement simulation strategies to measure the driving performance of generative AI models
* Identify potential edge cases and provide reliable performance insights to inform model development and deployment
* Build and maintain data pipelines for signal discovery, data labeling, feature extraction, and metric computation based on large\-scale simulations
* Conduct thorough data analysis to diagnose regressions and performance issues in ML models
* Collaborate with cross\-functional teams of engineers and researchers to improve model evaluation processes
* Contribute to the development of scalable evaluation frameworks that support safety\-critical autonomous driving systems
**Benefits**
* Competitive salary range of $238,000 to $302,000 USD, commensurate with experience and location
* Participation in Waymo’s discretionary annual bonus program
* Equity incentive plans to share in the company's success
* Comprehensive benefits package, including health, dental, and vision coverage
* Generous paid time off and flexible work arrangements
* Opportunities for professional growth and development within a leading autonomous driving company
 Equal Opportunity
 Waymo is an equal opportunity employer committed to fostering an inclusive environment. We welcome applications from all qualified individuals regardless of race, color, religion, gender, gender identity or expression, sexual orientation, national origin, genetics, disability, age, or veteran status. We believe diversity enhances our innovation and success, and we are dedicated to providing equal employment opportunities to all employees and applicants.</t>
        </is>
      </c>
    </row>
    <row r="11">
      <c r="A11" t="inlineStr">
        <is>
          <t>li-3594987830</t>
        </is>
      </c>
      <c r="B11" t="inlineStr">
        <is>
          <t>Data Scientist</t>
        </is>
      </c>
      <c r="C11" t="inlineStr">
        <is>
          <t>Sandhills Global</t>
        </is>
      </c>
      <c r="D11" t="inlineStr">
        <is>
          <t>linkedin</t>
        </is>
      </c>
      <c r="E11" t="inlineStr"/>
      <c r="F11" t="inlineStr"/>
      <c r="G11" t="inlineStr">
        <is>
          <t>Lincoln, NE</t>
        </is>
      </c>
      <c r="H11" t="inlineStr"/>
      <c r="I11" t="inlineStr">
        <is>
          <t>DESCRIPTION:
 The Data Scientist may be responsible for any of the following tasks: Analyzing data that is collected in our current and future products and services, Develop statistical and machine learning models using state of the art Machine Learning and AI technologies, Visualize insights for business actions and collaborate with Software Developers to implement into our products and services. The Data Scientist would need to be able to apply the data analysis, models, and software to the markets our products are in for us to better serve our customers. The Data Scientist must have good communication and organization skills, along with a working knowledge of day\-to\-day operations and priorities within their department and the company. Assume other duties as assigned.
 Now offering a 4\.5\-day workweek!
 QUALIFICATIONS:
* Completed Post Secondary Degree in Data Science, Mathematics or Statistics preferred or any other quantitative discipline
* Strong proficiencies in Python or R, and various libraries/packages
* Ability to gain knowledge of the products and customers of the Auction and Heavy Equipment industries
* Technical understanding regarding data models, database design and development, data mining and segmentation techniques
* General understanding of Machine Learning and AI tools and frameworks
* Knowledge of statistics and experience using statistical packages for analyzing large datasets
* Strong analytical skills with the ability to collect, organize, analyze, and disseminate significant amounts of information with attention to detail and accuracy
* Experience with SQL, stored procedures, or APIs preferred
* Knowledge of Data Ops and Data Management tools, such as Docker, Jenkins and Spark.
* Adept at generating reports and presenting findings in an understandable manner
* Excellent oral and written communication skills
* Able to work independently and communicate within a team environment
* Results oriented
* Flexible and open to change
* Stable and progressive work history
* Professional appearance and demeanor
* Ability to travel by air and ground \-\- valid driver’s license required
* Able to work with minimal supervision
* In Office Position. 4\.5 day regular work week. Ability to commute daily to local office is required.</t>
        </is>
      </c>
    </row>
    <row r="12">
      <c r="A12" t="inlineStr">
        <is>
          <t>li-4348675492</t>
        </is>
      </c>
      <c r="B12" t="inlineStr">
        <is>
          <t>Senior Data Scientist - Operations Research, Decision Engine (REMOTE)</t>
        </is>
      </c>
      <c r="C12" t="inlineStr">
        <is>
          <t>DICK'S Sporting Goods</t>
        </is>
      </c>
      <c r="D12" t="inlineStr">
        <is>
          <t>linkedin</t>
        </is>
      </c>
      <c r="E12" t="inlineStr"/>
      <c r="F12" t="inlineStr"/>
      <c r="G12" t="inlineStr"/>
      <c r="H12" t="inlineStr"/>
      <c r="I12" t="inlineStr">
        <is>
          <t>At
 **DICK’S Sporting Goods** 
 , we believe in how positively sports can change lives. On our team, everyone plays a critical role in creating confidence and excitement by personally equipping all athletes to achieve their dreams. We are committed to creating an inclusive and diverse workforce, reflecting the communities we serve.
 If you are ready to make a difference as part of the world’s greatest sports team, apply to join our team today!
**Overview**
 Are you a passionate technologist with experience in Operations Research, AI, Machine Learning and Data Science? Are you looking for an opportunity to drive enterprise impact and shape the future of a leading sports retailer with $12B\+ in revenue and 800\+ physical stores? Do you enjoy working with a highly skilled team of Machine Learning engineers \&amp; Scientists, co\-creating enterprise grade AI capabilities?
 We are seeking a
 **Senior Data Scientist (Operations Research, Decision Engine)** 
 to lead the development of intelligent decisioning systems that optimize fulfillment operations and drive exceptional customer experiences. This role sits at the intersection of machine learning, operations research, and enterprise systems — powering decisions that determine how, when, and where we fulfill customer demand.
 This role requires a subject matter expert with deep experience in traditional machine learning and cutting edge AI with a strong foundation in operations research. You’ll apply advanced modeling techniques to design intelligent decisioning systems that optimize fulfillment operations and elevate the customer experience. Your work will focus on solving complex optimization problems — from order routing and labor planning to queuing and service layer optimization for our customer support agents —using a blend of predictive analytics, simulation, and mathematical programming.
**Job Purpose**
 As a senior data scientist, you’ll influence the enterprise decisioning landscape by developing models that integrate with high\-impact systems across backend data platforms and orchestration layers. You’ll collaborate with product, engineering, and business leaders to translate operational challenges into solvable data science problems, and help them understand the art of the possible through rigorous experimentation, simulation, and model design. Your work will directly influence delivery speed, order accuracy, and service reliability — ensuring every customer interaction is fast, efficient, and frictionless.
**Responsibilities**
* Develop OR\-based models for fulfillment routing, labor scheduling, and queuing, triaging \&amp; agent optimization.
* Apply techniques such as mixed\-integer programming, dynamic programming, graph theory, spatial optimization and simulation to solve real\-time decisioning problems.
* Integrate predictive ML models with optimization logic to enable adaptive, data\-driven decisions.
* Build and operationalize decision engines that automate fulfillment decisions across the enterprise.
* Collaborate with engineering to deploy models into production systems with real\-time data pipelines and monitoring.
* Ensure models are interpretable, auditable, and aligned with business constraints.
* Combine ML outputs with OR solvers via hybrid decision frameworks, enabling scenario\-aware optimization and policy simulation.
* Ensure robustness and scalability of models by leveraging containerized environments and observability tools
* Enable real time decisioning by building \&amp; incorporating streaming pipelines and supporting low latency inference and optimization.
* Use graph\-based models and reinforcement learning to dynamically adjust pick paths and task sequences.
* Partner with product and operations to define decision boundaries, constraints, and success metrics.
* Communicate insights and model performance to technical and nontechnical audiences.
* Understand latest research in the field of OR and AI to give inputs to enterprise roadmaps to ensure we are on the path to build Best in Class fulfillment and athlete service solution
**Preferred Skillset**
* Advanced degree (MS/PhD) in Opera0ons Research, Computer Science, Statistics, or related field.
* 
* 4\+ years of experience in building optimization and ML models in fulfillment, logistics, or supply chain domains.
* OR Techniques: linear/mixed\-integer programming, simulation, queuing theory.
* ML Tools: Python, PyTorch/TensorFlow, scikit\-learn.
* Data \&amp; Infra: SQL, Spark, Airflow, cloud platforms (Azure, AWS, GCP).
* Solid understanding of distributed systems, APIs, and cloud infrastructure (Azure, AWS, or GCP).
* Familiarity with reinforcement learning or contextual bandits for adaptive decisioning in dynamic environments.
* Familiarity with graph algorithms and path planning for spa0al routing and pick path optimization.
* Skilled in designing and analyzing A/B tests or switchback experiments for operational models.
* Experience in an Agile working environment and at least one related project management tool (Azure DevOps, Jira, etc.)
* Comfortable presenting results to cross functional partners and help them understand technical trade offs
* Brings a collaborative, problem solving and growth mindset to all interactions with a strong focus on delivery.
* Experience with real\-time decisioning systems and streaming data architectures.
* Familiarity with reinforcement learning or hybrid ML\-OR frameworks.
* Background in eCommerce, retail, or customer\-facing fulfillment systems.
* Strong understanding of experimentation design and causal inference.
**Qualifications**
* Bachelor's Degree or equivalent level preferred
* General Experience: Experience enables job holder to deal with the majority of situations and to advise others (Over 3 years to 6 years)
* Managerial Experience: Basic experience of coordinating the work of others (4 to 6 months)
**Virtual Requirements**
 At DICK’S, we thrive on innovation and authenticity. That said, to protect the integrity and security of our hiring process, we ask that candidates do not use AI tools (like ChatGPT or others) during interviews or assessments.
 To ensure a smooth and secure experience, please note the following:
* Cameras must be on during all virtual interviews.
* AI tools are not permitted to be used by the candidate during any part of the interview process.
* Offers are contingent upon a satisfactory background check which may include ID verification.
 If you have any questions or need accommodations, we’re here to help. Thanks for helping us keep the process fair and secure for everyone!
 Targeted Pay Range: $83,000\.00 \- $138,200\.00\. This is part of a competitive total rewards package that could include other components such as: incentive, equity and benefits. Individual pay is determined by a number of factors including experience, location, internal pay equity, and other relevant business considerations. We review all teammate pay regularly to ensure competitive and equitable pay.DICK'S Sporting Goods complies with all state paid leave requirements. We also offer a generous suite of benefits. To learn more, visit www.benefityourliferesources.com.</t>
        </is>
      </c>
    </row>
    <row r="13">
      <c r="A13" t="inlineStr">
        <is>
          <t>li-4370025740</t>
        </is>
      </c>
      <c r="B13" t="inlineStr">
        <is>
          <t>Data Scientist | Clinical AI</t>
        </is>
      </c>
      <c r="C13" t="inlineStr">
        <is>
          <t>RemoteHunter</t>
        </is>
      </c>
      <c r="D13" t="inlineStr">
        <is>
          <t>linkedin</t>
        </is>
      </c>
      <c r="E13" t="inlineStr"/>
      <c r="F13" t="inlineStr"/>
      <c r="G13" t="inlineStr"/>
      <c r="H13" t="inlineStr"/>
      <c r="I13" t="inlineStr">
        <is>
          <t>About the Opportunity:
 A healthcare intelligence organization with expertise across the payment continuum seeks a Data Scientist to advance an AI system for clinical criteria evaluation. The role involves translating medical policy into testable code and building measurement and quality systems to improve an AI pipeline that extracts structured clinical signals from medical records.
 Responsibilities:
 • Translate medical policy into executable logic by interpreting clinical criteria such as lab thresholds, temporal windows, trend logic, and exclusions
 • Convert requirements into maintainable SQL and Python code (e.g., creatinine\-based AKI rules, bilirubin thresholds, troponin dynamics, ABG\-derived criteria)
 • Design composable and auditable rule representations with clear inputs, outputs, assumptions, and edge cases
 • Perform prompt engineering and tune system parameters for AI extraction of clinical information from medical records
 • Build and maintain robust clinical feature pipelines computing features from labs, vitals, flowsheets, and notes\-derived facts
 • Handle data challenges including missing timestamps, multiple sources, unit normalization, deduplication, conflicting values, and provenance tracking
 • Define and instrument accuracy metrics for the AI extraction system
 • Develop gold datasets, sampling strategies, and review workflows with clinical and operations partners
 • Conduct error analysis to identify root causes such as retrieval failures, OCR issues, extraction ambiguity, and policy gaps, and drive improvements
 • Create reusable tooling for policy\-to\-code translation including templates, test harnesses, validation suites, regression checks, and monitoring dashboards
 • Improve infrastructure for large\-scale runs covering orchestration, logging, lineage, versioning, and reproducibility
 • Implement guardrails and QA gates to ensure safe, traceable, and measurable policy logic changes
 • Collaborate with clinicians, policy specialists, and operations to clarify ambiguous requirements and ensure implementations reflect real\-world intent
 • Produce clear documentation explaining code functionality with examples and edge\-case handling
 Requirements:
 • Strong SQL and Python skills with ability to write correct, efficient, and maintainable code using CTEs, window functions, joins, and performance tuning
 • Experience building testable, production\-quality pipelines rather than ad hoc analyses
 • Proven record of operationalizing complex business or clinical logic reliably
 • Comfort working with imperfect, high\-volume, messy datasets
 • Experience designing metrics, building ground truth, running experiments, and improving system quality through structured iteration
 • Ability to link technical quality metrics to business outcomes such as accuracy versus reviewer burden
 • Systems thinking to develop shared libraries, patterns, tooling, and clear interfaces that accelerate team productivity
 • Attention to detail in handling edge cases, provenance, temporal logic, unit conversion, and regression safety
 • Interest in healthcare data, medical records, and policy\-to\-decision translation; prior healthcare experience is a plus but not required
 Nice to Have:
 • Familiarity with clinical data standards or lab data normalization (e.g., LOINC, units conversion, reference ranges)
 • Experience evaluating large language models or information extraction systems and building human\-in\-the\-loop QA workflows
 • Knowledge of distributed data systems such as Spark, BigQuery, Snowflake, Databricks, and workflow orchestrators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14">
      <c r="A14" t="inlineStr">
        <is>
          <t>li-4363774568</t>
        </is>
      </c>
      <c r="B14" t="inlineStr">
        <is>
          <t>Applied Scientist - Safety ML</t>
        </is>
      </c>
      <c r="C14" t="inlineStr">
        <is>
          <t>Twitch</t>
        </is>
      </c>
      <c r="D14" t="inlineStr">
        <is>
          <t>linkedin</t>
        </is>
      </c>
      <c r="E14" t="inlineStr"/>
      <c r="F14" t="inlineStr"/>
      <c r="G14" t="inlineStr">
        <is>
          <t>San Francisco, CA</t>
        </is>
      </c>
      <c r="H14" t="inlineStr"/>
      <c r="I14" t="inlineStr">
        <is>
          <t>**About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looking for applied scientists to solve challenging and open\-ended problems in the domain of user and content safety. As an applied scientist on Twitch's Community team, you will use machine learning to develop data products tackling problems such as harassment, spam, and illegal content. You will use a wide toolbox of ML tools to handle multiple types of data, including user behavior, metadata, and user generated content such as text and video. You will collaborate with a team of passionate scientists and engineers to develop these models and put them into production, where they can help Twitch's creators and viewers succeed and build communities.
 You will report to our Senior Applied Science Manager in San Francisco, CA. You can work from San Francisco, CA or Seattle, WA.
**You Will:**
* Build machine learning products to protect Twitch and its users from abusive behavior such as harassment, spam, and violent or illegal content.
* Work backwards from customer problems to develop the right solution for the job, whether a classical ML model or a state\-of\-the\-art one.
* Collaborate with Community Health's engineering and product management team to productionize your models into flexible data pipelines and ML\-based services.
* Continue to learn and experiment with new techniques in ML, software engineering, or safety so that we can better help communities on Twitch grow and stay safe.
**You Have:**
* 2\+ years of hands\-on industry experience building models for NLP, deep learning, bot detection, anomaly detection or in another practical ML domain.
* 2\+ years experience writing high quality code to ship those models in production systems.
* PhD / MSc Degree in Computer Science, Mathematics, Statistics, Physics, Engineering, or similar quantitative field OR equivalent hands on experience.
* Expertise with: Python and SQL, modern open source ML libraries (Pytorch, Tensorflow, etc.).
* Familiarity with operating in AWS or similar cloud\-computing services.
**Bonus Points**
* PhD with a specialization in Machine Learning.
* 1\+ years of experience working in the safety or fraud prevention domain (not necessarily as a scientist).
* Experience communicating with both technical and non\-technical partners and stakeholders.
* Familiarity with Twitch, its business, and its community.
**Perks**
* Medical, Dental, Vision \&amp; Disability Insurance
* 401(k)
* Maternity \&amp; Parental Leave
* Flexible PTO
* Amazon Employee Discount
*Pursuant to the San Francisco Fair Chance Ordinance, we will consider for employment qualified applicants with arrest and conviction records.*
 Job ID: TW9077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 WA, Seattle \- Annually
 $142,800—$193,200 USD
 US, CA, San Francisco \- Annually
 $171,600—$222,200 USD
*Twitch is an equal opportunity employer and does not discriminate on the basis of protected veteran status, disability, or other legally protected status.*
*Twitch values your privacy. Please consult our Candidate Privacy Notice, for information about how we collect, use, and disclose personal information of our candidates.*</t>
        </is>
      </c>
    </row>
    <row r="15">
      <c r="A15" t="inlineStr">
        <is>
          <t>li-4322260150</t>
        </is>
      </c>
      <c r="B15" t="inlineStr">
        <is>
          <t>Sr Data Scientist</t>
        </is>
      </c>
      <c r="C15" t="inlineStr">
        <is>
          <t>GM Financial</t>
        </is>
      </c>
      <c r="D15" t="inlineStr">
        <is>
          <t>linkedin</t>
        </is>
      </c>
      <c r="E15" t="inlineStr"/>
      <c r="F15" t="inlineStr"/>
      <c r="G15" t="inlineStr">
        <is>
          <t>Fort Worth, TX</t>
        </is>
      </c>
      <c r="H15" t="inlineStr"/>
      <c r="I15" t="inlineStr">
        <is>
          <t>**Job Description**
**Why GM Financial?**
 GM Financial is the wholly owned captive finance subsidiary of General Motors and is headquartered in Fort Worth, U.S. We are a global provider of auto finance solutions, with operations in North America, South America and the Asia Pacific region. Through our long\-standing relationships with auto dealers, we offer attractive retail financing and lease programs to meet the needs of each customer. We also offer commercial lending products to dealers to help them finance and grow their businesses.
 At GM Financial, our team members define and shape our culture — an environment that welcomes new ideas, fosters integrity and creates a sense of community and belonging. Here we do more than work — we thrive.
 Our Purpose: We pioneer the innovations that move and connect people to what matters
**Responsibilities**
**About the role:**
 The Senior Data Scientist is responsible for implementing the design, development, deployment, and maintenance of predictive/prescriptive/statistical models in originations, collections, risk, pricing, fraud, customer experience and marketing; Modeling with expertise in forecasting, optimization, data mining, analysis, and analyzing complex datasets; Conducting studies with the use of descriptive and supervised machine learning methods and advanced statistical methods using innovative and the latest advanced technique and algorithms; Summarizing, reporting, and providing polished presentations of findings to a variety of internal clients as well as working with other departments to achieve the overall company objectives; Lead in the production of research and analysis to quantify the impact of internal and external environments on portfolio performance. The Senior Data Scientist is the subject matter expert with an in\-depth knowledge of quantitative methods and diligent knowledge of data sources and tools.
**In This Role You Will**
* ﻿Provides leadership, coaching, and/or mentoring to Data Scientists I and II
* Performs research, analysis, and modeling on organizational data
* Assists in analyzing key metrics and performing data analysis
* Build technical knowledge to support research and analytic responsibilities including advanced techniques and algorithms
* Conducts research projects, incorporate project design, data collection and analysis, summarizing findings, developing recommendations and effectively communicating to leadership the impact to the business
* Develop and apply algorithms or models to key business metrics with the goal of improving operations or answering business questions
* Presents findings and analysis for use in decision making
* Ensure that the delivered products meet the business needs of the company
* Partners with and provide recommendations to business leadership on the appropriate application of analytics to business strategies and effectively communicate analysis and implications to senior leadership
* Prioritize tasks and meet project deadlines in a fast\-paced work environment
**Qualifications**
**What makes you an ideal candidate?**
* ﻿Strong quantitative, analytical and data interpretation skills with a solid foundation of mathematics, probability, and statistics
* Ability to identify and understand business issues and map these issues into quantitative questions
* Advanced knowledge and demonstrated understanding of applied methodologies including least squares regression, logistic regression, sampling methodologies, time series, survival analysis, cluster analysis, categorical data analysis, decision trees, multivariate methodologies, non\-parametric techniques, principal components, and linear programming techniques.
* Advanced skills in Python, SAS, SQL, R, JMP, Excel, Word, PowerPoint
* Ability to design and implement model documentation and monitoring protocols
* Comprehensive knowledge and experience with technical systems, datasets, data warehouses, and data analysis techniques
* Efficiently work with large datasets
* Provides leadership, coaching, and/or mentoring to Data Scientists I and II
* Strong written and verbal presentation skills with an ability to communicate effectively with Senior Management by making complex concepts easy to understand
* Ability to be curious, ask questions, explore, and be creative when analyzing data and business problems
* Ability to identify and seek needed information/research skills
* Analytical thinking skills
* Ability to interact collaboratively with internal and external customers
* Capable of managing multiple and varied projects, including the ability to coordinate and balance numerous tasks in a time\-sensitive environment, under pressure
* Strong problem\-solving skills
**Experience**
* 4\+ years as Data Scientist or similar quantitative field required
* High School Diploma or equivalent required
* Master’s Degree or PhD in Statistics, Applied Mathematics, Econometrics, Economics, Operations Research, Industrial Engineering, Computer Science, Physics or similar quantitative field required (a combination of education, certifications, and/or work experience may be considered in lieu of an advanced degree)
**What We Offer:** 
 Generous benefits package available on day one to include: 401K matching, bonding leave for new parents (12 weeks, 100% paid), tuition assistance, training, GM employee auto discount, community service pay and nine company holidays.
**Our Culture:** 
 Our team members define and shape our culture — an environment that welcomes innovative ideas, fosters integrity, and creates a sense of community and belonging. Here we do more than work — we thrive.
**Compensation:** 
 Competitive pay and bonus eligibility
**Work Life Balance:** 
 Flexible hybrid work environment, minimum of 2\-days a week in office in Fort Worth, Texas</t>
        </is>
      </c>
    </row>
    <row r="16">
      <c r="A16" t="inlineStr">
        <is>
          <t>li-4322059978</t>
        </is>
      </c>
      <c r="B16" t="inlineStr">
        <is>
          <t>Sr Data Scientist</t>
        </is>
      </c>
      <c r="C16" t="inlineStr">
        <is>
          <t>GM Financial</t>
        </is>
      </c>
      <c r="D16" t="inlineStr">
        <is>
          <t>linkedin</t>
        </is>
      </c>
      <c r="E16" t="inlineStr"/>
      <c r="F16" t="inlineStr"/>
      <c r="G16" t="inlineStr">
        <is>
          <t>Detroit, MI</t>
        </is>
      </c>
      <c r="H16" t="inlineStr"/>
      <c r="I16" t="inlineStr">
        <is>
          <t>**Job Description**
**Why GM Financial?**
 GM Financial is the wholly owned captive finance subsidiary of General Motors and is headquartered in Fort Worth, U.S. We are a global provider of auto finance solutions, with operations in North America, South America and the Asia Pacific region. Through our long\-standing relationships with auto dealers, we offer attractive retail financing and lease programs to meet the needs of each customer. We also offer commercial lending products to dealers to help them finance and grow their businesses.
 At GM Financial, our team members define and shape our culture — an environment that welcomes new ideas, fosters integrity and creates a sense of community and belonging. Here we do more than work — we thrive.
 Our Purpose: We pioneer the innovations that move and connect people to what matters
**Responsibilities**
**About the role:**
 The Senior Data Scientist is responsible for implementing the design, development, deployment, and maintenance of predictive/prescriptive/statistical models in originations, collections, risk, pricing, fraud, customer experience and marketing; Modeling with expertise in forecasting, optimization, data mining, analysis, and analyzing complex datasets; Conducting studies with the use of descriptive and supervised machine learning methods and advanced statistical methods using innovative and the latest advanced technique and algorithms; Summarizing, reporting, and providing polished presentations of findings to a variety of internal clients as well as working with other departments to achieve the overall company objectives; Lead in the production of research and analysis to quantify the impact of internal and external environments on portfolio performance. The Senior Data Scientist is the subject matter expert with an in\-depth knowledge of quantitative methods and diligent knowledge of data sources and tools.
**In This Role You Will**
* ﻿Provides leadership, coaching, and/or mentoring to Data Scientists I and II
* Performs research, analysis, and modeling on organizational data
* Assists in analyzing key metrics and performing data analysis
* Build technical knowledge to support research and analytic responsibilities including advanced techniques and algorithms
* Conducts research projects, incorporate project design, data collection and analysis, summarizing findings, developing recommendations and effectively communicating to leadership the impact to the business
* Develop and apply algorithms or models to key business metrics with the goal of improving operations or answering business questions
* Presents findings and analysis for use in decision making
* Ensure that the delivered products meet the business needs of the company
* Partners with and provide recommendations to business leadership on the appropriate application of analytics to business strategies and effectively communicate analysis and implications to senior leadership
* Prioritize tasks and meet project deadlines in a fast\-paced work environment
**Qualifications**
**What makes you an ideal candidate?**
* ﻿Strong quantitative, analytical and data interpretation skills with a solid foundation of mathematics, probability, and statistics
* Ability to identify and understand business issues and map these issues into quantitative questions
* Advanced knowledge and demonstrated understanding of applied methodologies including least squares regression, logistic regression, sampling methodologies, time series, survival analysis, cluster analysis, categorical data analysis, decision trees, multivariate methodologies, non\-parametric techniques, principal components, and linear programming techniques.
* Advanced skills in Python, SAS, SQL, R, JMP, Excel, Word, PowerPoint
* Ability to design and implement model documentation and monitoring protocols
* Comprehensive knowledge and experience with technical systems, datasets, data warehouses, and data analysis techniques
* Efficiently work with large datasets
* Provides leadership, coaching, and/or mentoring to Data Scientists I and II
* Strong written and verbal presentation skills with an ability to communicate effectively with Senior Management by making complex concepts easy to understand
* Ability to be curious, ask questions, explore, and be creative when analyzing data and business problems
* Ability to identify and seek needed information/research skills
* Analytical thinking skills
* Ability to interact collaboratively with internal and external customers
* Capable of managing multiple and varied projects, including the ability to coordinate and balance numerous tasks in a time\-sensitive environment, under pressure
* Strong problem\-solving skills
**Experience**
* 4\+ years as Data Scientist or similar quantitative field required
* High School Diploma or equivalent required
* Master’s Degree or PhD in Statistics, Applied Mathematics, Econometrics, Economics, Operations Research, Industrial Engineering, Computer Science, Physics or similar quantitative field required (a combination of education, certifications, and/or work experience may be considered in lieu of an advanced degree)
**What We Offer:** 
 Generous benefits package available on day one to include: 401K matching, bonding leave for new parents (12 weeks, 100% paid), tuition assistance, training, GM employee auto discount, community service pay and nine company holidays.
**Our Culture:** 
 Our team members define and shape our culture — an environment that welcomes innovative ideas, fosters integrity, and creates a sense of community and belonging. Here we do more than work — we thrive.
**Compensation:** 
 Competitive pay and bonus eligibility
**Work Life Balance:** 
 Flexible hybrid work environment, minimum of 2\-days a week in office in Fort Worth, Texas</t>
        </is>
      </c>
    </row>
    <row r="17">
      <c r="A17" t="inlineStr">
        <is>
          <t>li-4359228070</t>
        </is>
      </c>
      <c r="B17" t="inlineStr">
        <is>
          <t>Senior Data Scientist, Marketing</t>
        </is>
      </c>
      <c r="C17" t="inlineStr">
        <is>
          <t>Rockstar Games</t>
        </is>
      </c>
      <c r="D17" t="inlineStr">
        <is>
          <t>linkedin</t>
        </is>
      </c>
      <c r="E17" t="inlineStr"/>
      <c r="F17" t="inlineStr"/>
      <c r="G17" t="inlineStr">
        <is>
          <t>Manhattan, NY</t>
        </is>
      </c>
      <c r="H17" t="inlineStr"/>
      <c r="I17" t="inlineStr">
        <is>
          <t>At Rockstar Games, we create world\-class entertainment experiences.
 Become part of a team working on some of the most rewarding, large\-scale creative projects to be found in any entertainment medium \- all within an inclusive, highly\-motivated environment where you can learn and collaborate with some of the most talented people in the industry.
 Rockstar is on the lookout for a passionate Senior Data Scientist of Marketing who possesses a passion for videogames and creating valuable insights from a variety of data sources.
 This is a full\-time, in\-office position based out of Rockstar’s NYC headquarters in Downtown Manhattan.
**What We Do**
* The Rockstar Analytics team provides insights and actionable results to a wide variety of stakeholders across the organization in support of their decision making.
* We perform complex analyses, build reporting solutions, and help develop data that drives forward actionable, efficient insight delivery to help inform decisions across multiple stakeholder groups and development projects.
**Responsibilities**
* Assure Rockstar’s ongoing competitive advantage through statistical analysis, machine learning, and useful monitoring reports to identify patterns and predict outcomes.
* Partner with marketing stakeholders to define business objectives, translate those objectives into data questions, and identify the appropriate analytical solution to drive insights and data\-informed business decisions.
* Build self\-service reporting and other data products that provide flexibility for business stakeholders to investigate questions while maintaining accuracy, efficiency, and clarity in results.
* Drive creation and adoption of predictive models for marketing campaign performance, leading implementation across stakeholders.
* Generate marketing reports, dashboards, and insights collaborating with the marketing analytics team, across analytics teams, and with our stakeholders.
* Evaluate performance of marketing campaigns, collating data across multiple marketing channels.
* Generate insights at scale, prioritizing automation of reports and data standardization.
* Possess subject matter expertise for Marketing Analytics and build the team’s analytics capabilities.
* Use machine learning for predictive modeling of our player and marketing channel data to help inform targeting strategies and campaign goals.
* Maintain and enhance existing marketing reports, ensuring accuracy, consistency, and relevance to executive stakeholders.
**Requirements**
* 5\+ years of experience in data science or similar role within the gaming, marketing, finance, or technology fields required.
* 4\+ years of experience working with SQL, Python, and/or PySpark to perform exploratory analyses with optimized queries.
* 4\+ years of experience in data visualization and hands on working with complex data.
* 2\+ years of experience developing machine learning models to solve complex business problems.
* Excellent written and verbal communication skills with the ability to communicate and visualize complex information in a meaningful way to a variety of audiences.
* Strong interpersonal skills with the ability to develop and maintain relations with diverse teams and stakeholders, at all hierarchal levels.
* Ability to work directly with a variety of stakeholders to understand their needs and provide relevant and actionable solutions.
* Ability to draw inferences from disparate pieces of data, identifying key findings and linking to business strategies or objectives.
**PLUSES**
 Please note that these are desirable skills and are not required to apply for the position.
* Experience with Snowflake and/or Databricks.
* Game industry experience strongly desired.
* Experience with marketing data and deliverables preferred.
**How To Apply**
 Please apply with a resume and cover letter demonstrating how you meet the skills above. If we would like to move forward with your application, a Rockstar recruiter will reach out to you to explain next steps and guide you through the process.
 Rockstar is committed to creating a work environment that promotes equal opportunity, dignity and respect. In line with this commitment, Rockstar will provide reasonable accommodations to qualified job applicants with disabilities during the recruitment process in order for such applicants to be considered for the position for which they are applying, as well as to qualified employees to enable them to perform the essential functions of their roles. If you need more information about Rockstar’s reasonable accommodation policies or process, or need to request an accommodation, please notify your recruiter during the interview process.
 If you’ve got the right skills for the job, we want to hear from you. We encourage applications from all suitable candidates regardless of age, disability, gender identity, sexual orientation, religion, belief, race, or any other protected category.
 The pay range for this position in New York State (inclusive of New York City) at the start of employment is expected to be between the range below\* per year. However, base pay offered is based on market location, and may vary further depending on individualized factors for job candidates, such as job\-related knowledge, skills, experience, and other objective business considerations.
 Subject to those same considerations, the total compensation package for this position may also include other elements, including a bonus and/or equity awards, in addition to a full range of medical, financial, and/or other benefits. Details of participation in these benefit plans will be provided if an employee receives an offer of employment. If hired, employee will be in an "at\-will position" and the company reserves the right to modify base salary (as well as any other discretionary payment or compensation or benefit program) at any time, including for reasons related to individual performance, company or individual department/team performance, and market factors.
* NY Base Pay Range
 $121,400—$161,800 USD</t>
        </is>
      </c>
    </row>
    <row r="18">
      <c r="A18" t="inlineStr">
        <is>
          <t>li-4363723862</t>
        </is>
      </c>
      <c r="B18" t="inlineStr">
        <is>
          <t>Senior Data Scientist - Marketing</t>
        </is>
      </c>
      <c r="C18" t="inlineStr">
        <is>
          <t>Mercury</t>
        </is>
      </c>
      <c r="D18" t="inlineStr">
        <is>
          <t>linkedin</t>
        </is>
      </c>
      <c r="E18" t="inlineStr"/>
      <c r="F18" t="inlineStr"/>
      <c r="G18" t="inlineStr">
        <is>
          <t>New York, NY</t>
        </is>
      </c>
      <c r="H18" t="inlineStr"/>
      <c r="I18" t="inlineStr">
        <is>
          <t>In the 1840s, Charles Babbage and Ada Lovelace worked on an early version of the computer known as the “Analytics Engine”. In the words of computing historian Doron Swade, “What Lovelace saw...was that numbers could represent entities other than quantity” and together they laid the foundation for general\-purpose computing.
 While much has changed since then, the importance of numbers in building great technology remains. We’re looking for Data Scientists who can help us build our analytics engine by making meaning from data and identifying opportunities for improvement.
 As a Marketing Data Scientist at Mercury, you will partner with senior Marketing leaders and the Performance Marketing team, as well as Brand Marketing, Product Marketing and Lifecycle Marketing to acquire, engage, and convert Mercury customers around the globe. You will develop various skills as a full\-stack Data Scientist working on projects end\-to\-end and build deep domain expertise in the intersection of Data Science and Marketing. You will set the direction for our marketing measurement strategy and ensure it fits within Mercury’s broader growth, product and company goals.
 Here are some things you’ll do on the job:
* Collaborate with Marketing stakeholders and other cross\-functional partners to identify impactful business questions, conduct deep\-dive analysis, and communicate findings and actionable recommendations to audiences at all levels to inform data\-driven decisions.
* Collaborate with other Data Scientists and Data Engineers to build and improve different marketing measurement capabilities.
* Develop privacy\-resilient measurement strategies using techniques like synthetic control methods and incrementality testing to maintain attribution quality as the industry shifts away from third\-party cookies and device identifiers.
* Develop and apply marketing measurement capabilities such as A/B Testing, Causal Inference, Marketing Mix Modeling (MMM), and Multi\-touch Attribution (MTA) to evaluate the performance of our marketing effort.
* Build and deploy machine learning and statistical models such as Customer Lifetime Value, Lead Scoring, Segmentation, and time\-series forecasting end to end.
* Influence and partner with engineering, design, and business teams to implement data\-based recommendations that will improve entrepreneurs’ lives and generate revenue for Mercury.
 You should:
* Have 5\+ years of experience working with marketing teams across full funnel measurement from brand awareness and content marketing to product adoption and customer retention.
* Have expertise in marketing measurement strategies including brand lift studies, geo\-experiments, survey\-based measurement, cross\-channel attribution, causal impact analysis, and experimentation design to identify growth opportunities.
* Have fluency in SQL, and other statistical programming languages (e.g. Python, R, etc.).
* Have experience with marketing analytics tools such as Google Analytics, Amplitude, social listening platforms, email/CRM analytics (e.g., Salesforce, HubSpot), and customer data platforms.
* Have experience crafting data pipelines and dashboards, and understand different database structures.
* Be super organized and communicative. You will need to prioritize and manage projects to maximize impact, supporting multiple stakeholders with varying quantitative skill levels.
 The total rewards package at Mercury includes base salary, equity (stock options/RSUs), and benefits.
 Our salary and equity ranges are highly competitive within the SaaS and fintech industry and are updated regularly using the most reliable compensation survey data for our industry. New hire offers are made based on a candidate’s experience, expertise, geographic location, and internal pay equity relative to peers.
 Our target new hire base salary ranges for this role are the following:
* US employees (any location): $200,700 \- $250,900
* Canadian employees (any location): CAD 189,700 \- 237,100
*\*Mercury is a fintech company, not an FDIC\-insured bank. Banking services provided through Choice Financial Group and Column N.A., Members FDIC..*
 Mercury values diversity \&amp; belonging and is proud to be an Equal Employment Opportunity employer. All individuals seeking employment at Mercury are considered without regard to race, color, religion, national origin, age, sex, marital status, ancestry, physical or mental disability, veteran status, gender identity, sexual orientation, or any other legally protected characteristic. We are committed to providing reasonable accommodations throughout the recruitment process for applicants with disabilities or special needs. If you need assistance, or an accommodation, please let your recruiter know once you are contacted about a role.
 We use Covey as part of our hiring and / or promotional process for jobs in NYC and certain features may qualify it as an AEDT. As part of the evaluation process we provide Covey with job requirements and candidate submitted applications. We began using Covey Scout for Inbound on January 22, 2024\.
 \[Please see the independent bias audit report covering our use of Covey for more information.]</t>
        </is>
      </c>
    </row>
    <row r="19">
      <c r="A19" t="inlineStr">
        <is>
          <t>li-4370035579</t>
        </is>
      </c>
      <c r="B19" t="inlineStr">
        <is>
          <t>Senior Data Scientist, People</t>
        </is>
      </c>
      <c r="C19" t="inlineStr">
        <is>
          <t>RemoteHunter</t>
        </is>
      </c>
      <c r="D19" t="inlineStr">
        <is>
          <t>linkedin</t>
        </is>
      </c>
      <c r="E19" t="inlineStr"/>
      <c r="F19" t="inlineStr"/>
      <c r="G19" t="inlineStr"/>
      <c r="H19" t="inlineStr"/>
      <c r="I19" t="inlineStr">
        <is>
          <t>About the Opportunity:
 This organization provides a platform helping millions to manage and improve their homes through personalized guidance, AI tools, and a hiring experience connecting homeowners with local service businesses. The Senior Data Scientist, People role supports talent decisions by leveraging data, analytics, and AI to deliver insights and build scalable data products.
 Responsibilities:
 • Communicate clear, business\-relevant talent insights using data.
 • Apply AI to improve insight generation, decision support, and experimentation.
 • Design and maintain People data foundations, including pipelines and BigQuery models, collaborating with Data Engineering and HR Operations.
 • Develop scalable analytics products and tools such as Tableau dashboards and AI\-enabled solutions.
 • Collaborate with People Team and business leaders to identify and analyze high\-impact talent questions and provide actionable recommendations.
 • Manage end\-to\-end initiatives across People functions including Recruiting, Talent Management, and DEIB.
 • Promote a culture of data\-informed decision\-making across the People Team and organization.
 Requirements:
 • BA/BS degree in a quantitative field such as Economics, Statistics, or Psychology.
 • At least 4 years of experience, including 1 year in People Data Science or People Analytics.
 • Experience with managing data pipelines and data warehousing.
 • Strong written and verbal communication skills for diverse audiences including senior leadership.
 • Proficient in SQL for querying large datasets, Tableau, and familiar with statistical/programming languages such as R or Python.
 • Ability to work independently and collaborate effectively across teams.
 • Strong prioritization and project management skills.
 Compensation:
 • For candidates in San Francisco / Bay Area, San Jose, New York City, or Seattle metros, the expected salary range is $197,200 to $255,200\.
 • For candidates in Austin, TX; Washington DC metros; or in California, Massachusetts, New Jersey, or Washington states, the expected salary range is $140,400 to $177,700\.
 • For candidates in all other US locations, the expected salary range is $167,500 to $216,700\.
 Actual salaries vary based on job level, qualifications, skills, and proficiency.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20">
      <c r="A20" t="inlineStr">
        <is>
          <t>li-4363823896</t>
        </is>
      </c>
      <c r="B20" t="inlineStr">
        <is>
          <t>Senior Data Scientist - Marketing</t>
        </is>
      </c>
      <c r="C20" t="inlineStr">
        <is>
          <t>Mercury</t>
        </is>
      </c>
      <c r="D20" t="inlineStr">
        <is>
          <t>linkedin</t>
        </is>
      </c>
      <c r="E20" t="inlineStr"/>
      <c r="F20" t="inlineStr"/>
      <c r="G20" t="inlineStr">
        <is>
          <t>San Francisco, CA</t>
        </is>
      </c>
      <c r="H20" t="inlineStr"/>
      <c r="I20" t="inlineStr">
        <is>
          <t>In the 1840s, Charles Babbage and Ada Lovelace worked on an early version of the computer known as the “Analytics Engine”. In the words of computing historian Doron Swade, “What Lovelace saw...was that numbers could represent entities other than quantity” and together they laid the foundation for general\-purpose computing.
 While much has changed since then, the importance of numbers in building great technology remains. We’re looking for Data Scientists who can help us build our analytics engine by making meaning from data and identifying opportunities for improvement.
 As a Marketing Data Scientist at Mercury, you will partner with senior Marketing leaders and the Performance Marketing team, as well as Brand Marketing, Product Marketing and Lifecycle Marketing to acquire, engage, and convert Mercury customers around the globe. You will develop various skills as a full\-stack Data Scientist working on projects end\-to\-end and build deep domain expertise in the intersection of Data Science and Marketing. You will set the direction for our marketing measurement strategy and ensure it fits within Mercury’s broader growth, product and company goals.
 Here are some things you’ll do on the job:
* Collaborate with Marketing stakeholders and other cross\-functional partners to identify impactful business questions, conduct deep\-dive analysis, and communicate findings and actionable recommendations to audiences at all levels to inform data\-driven decisions.
* Collaborate with other Data Scientists and Data Engineers to build and improve different marketing measurement capabilities.
* Develop privacy\-resilient measurement strategies using techniques like synthetic control methods and incrementality testing to maintain attribution quality as the industry shifts away from third\-party cookies and device identifiers.
* Develop and apply marketing measurement capabilities such as A/B Testing, Causal Inference, Marketing Mix Modeling (MMM), and Multi\-touch Attribution (MTA) to evaluate the performance of our marketing effort.
* Build and deploy machine learning and statistical models such as Customer Lifetime Value, Lead Scoring, Segmentation, and time\-series forecasting end to end.
* Influence and partner with engineering, design, and business teams to implement data\-based recommendations that will improve entrepreneurs’ lives and generate revenue for Mercury.
 You should:
* Have 5\+ years of experience working with marketing teams across full funnel measurement from brand awareness and content marketing to product adoption and customer retention.
* Have expertise in marketing measurement strategies including brand lift studies, geo\-experiments, survey\-based measurement, cross\-channel attribution, causal impact analysis, and experimentation design to identify growth opportunities.
* Have fluency in SQL, and other statistical programming languages (e.g. Python, R, etc.).
* Have experience with marketing analytics tools such as Google Analytics, Amplitude, social listening platforms, email/CRM analytics (e.g., Salesforce, HubSpot), and customer data platforms.
* Have experience crafting data pipelines and dashboards, and understand different database structures.
* Be super organized and communicative. You will need to prioritize and manage projects to maximize impact, supporting multiple stakeholders with varying quantitative skill levels.
 The total rewards package at Mercury includes base salary, equity (stock options/RSUs), and benefits.
 Our salary and equity ranges are highly competitive within the SaaS and fintech industry and are updated regularly using the most reliable compensation survey data for our industry. New hire offers are made based on a candidate’s experience, expertise, geographic location, and internal pay equity relative to peers.
 Our target new hire base salary ranges for this role are the following:
* US employees (any location): $200,700 \- $250,900
* Canadian employees (any location): CAD 189,700 \- 237,100
*\*Mercury is a fintech company, not an FDIC\-insured bank. Banking services provided through Choice Financial Group and Column N.A., Members FDIC..*
 Mercury values diversity \&amp; belonging and is proud to be an Equal Employment Opportunity employer. All individuals seeking employment at Mercury are considered without regard to race, color, religion, national origin, age, sex, marital status, ancestry, physical or mental disability, veteran status, gender identity, sexual orientation, or any other legally protected characteristic. We are committed to providing reasonable accommodations throughout the recruitment process for applicants with disabilities or special needs. If you need assistance, or an accommodation, please let your recruiter know once you are contacted about a role.
 We use Covey as part of our hiring and / or promotional process for jobs in NYC and certain features may qualify it as an AEDT. As part of the evaluation process we provide Covey with job requirements and candidate submitted applications. We began using Covey Scout for Inbound on January 22, 2024\.
 \[Please see the independent bias audit report covering our use of Covey for more information.]</t>
        </is>
      </c>
    </row>
    <row r="21">
      <c r="A21" t="inlineStr">
        <is>
          <t>li-4348712375</t>
        </is>
      </c>
      <c r="B21" t="inlineStr">
        <is>
          <t>Analyste de données (parcours Data Scientist)</t>
        </is>
      </c>
      <c r="C21" t="inlineStr">
        <is>
          <t>IBM</t>
        </is>
      </c>
      <c r="D21" t="inlineStr">
        <is>
          <t>linkedin</t>
        </is>
      </c>
      <c r="E21" t="inlineStr"/>
      <c r="F21" t="inlineStr"/>
      <c r="G21" t="inlineStr">
        <is>
          <t>California, United States</t>
        </is>
      </c>
      <c r="H21" t="inlineStr"/>
      <c r="I21" t="inlineStr">
        <is>
          <t>**Introduction**
**L'usine d'IBM à Bromont** 
 est une entreprise de premier plan qui mise grandement sur les compétences de ses employés. Nous recherchons des candidats qui aiment relever les défis tout en favorisant leur propre épanouissement et par le fait même, celui
 **d'IBM** 
 .
 L'usine D'IBM à Bromont Est Une Entreprise De Fabrication De Haute Technologie. Au Cours Des Derniers Mois, Elle a Produit Les Processeurs Qui Entrent Dans La Fabrication De La Plus Haute Gamme Des Serveurs IBM, Soit Les Systèmes P Et Z, En Plus De Fabriquer Différents Modules Utilisés Dans Le Cadre Des Télécommunications à Travers Le Monde. Voici Une Vidéo Qui Montre Bien L’ambiance Et La Culture D’entreprise Qui Prévalent Chez Nous
 https://www.youtube.com/watch?v\=l3Yyh4VUehY\&amp;t\=30s
**Your Role And Responsibilities**
**IBM offre :**
* Environnement de travail sécuritaire, propre et climatisé.
* Rémunération globale compétitive.
* Gamme complète d'avantages sociaux.
* Horaire flexible
* Trois semaines de vacances dès la première année.
* Programme vous d'aide aux employés (PAE).
* Régime de retraite à cotisation déterminée proportionnelle.
* Accès à des services de professionnels en santé et à une salle d’entrainement directement sur le lieu de travail.
* Activités sociales organisées par l'entreprise.
* Accès sans frais à un Spa de la région.
* Centre récréatif privé accessible à tous les employés.
* Rabais corporatif.
* Un encadrement structuré et un milieu de travail stimulant où vous pourrez développer vos compétences.
 Dans le cadre de notre initiative de Smart Manufacturing, nous avons mis en place une fabrique de données basée sur IBM Cloud Pak for Data (CP4D). Nous recherchons un(e) Data Analyst pour transformer les données en insights exploitables, soutenir les décisions stratégiques et opérationnelles, et collaborer étroitement avec les Data Engineers, Data Stewards et Data Scientists.
 Ce poste offre également un cheminement structuré vers un futur rôle de Data Scientist, incluant l’exposition progressive à la modélisation avancée, à l’apprentissage automatique et à l’industrialisation de modèles.
* Analyser des données provenant de sources variées (structurées et non structurées) pour identifier des tendances, anomalies et opportunités.
* Créer des tableaux de bord, rapports et visualisations interactives à l’aide d’outils comme IBM Cognos ou Watson Studio.
* Collaborer avec les Data Engineers pour assurer la disponibilité et la qualité des données dans l’environnement Data Fabric.
* Travailler avec les Data Stewards pour comprendre les règles de gouvernance et appliquer les bonnes pratiques de gestion des données.
* Participer à la définition des indicateurs de performance (KPIs) et à leur suivi.
* Contribuer à des projets d’analyse avancée et de modélisation en collaboration avec les Data Scientists.
* Documenter les méthodologies d’analyse et assurer la traçabilité des données utilisées.
* Travailler en mode Agile/Kanban, en collaboration avec les équipes techniques et métiers.
* Important\*\*\* Ce poste implique l'examen, la possession ou le transfert de marchandises et de technologies contrôlées, telles que définies dans le cadre du programme canadien des marchandises contrôlées et des données/technologies ITAR. Pour pouvoir occuper ce poste, vous devez être citoyen canadien ou résident permanent du Canada.
**Les citoyens canadiens et les résidents permanents doivent faire l'objet d'une évaluation de sécurité dans le cadre du programme canadien des marchandises contrôlées.**
 Si vous possédez une double ou une troisième nationalité, vous devez non seulement être citoyen canadien ou résident permanent canadien, mais aussi ne pas appartenir à l'un des pays suivants pour pouvoir occuper ce poste : Afghanistan, Biélorussie, Cambodge, République centrafricaine, Chine (RPC) (y compris Hong Kong), Cuba, République démocratique du Congo, Érythrée, Éthiopie, Haïti, Iran, Iraq, Liban, Libye, Myanmar (Birmanie), Nicaragua, Corée du Nord, Russie (y compris la Crimée occupée, Donetsk et Louhansk), Somalie, Soudan, Soudan du Sud, Syrie, Venezuela, Zimbabwe. Tous les candidats devront également se soumettre à une évaluation de sécurité supplémentaire effectuée par un responsable du programme des marchandises contrôlées désigné par IBM, comme condition d'embauche.
**Preferred Education**
 Bachelor's Degree
**Required Technical And Professional Expertise**
* Formation en statistiques, informatique, intelligence d’affaires ou domaine connexe.
* Expérience en analyse de données, BI, ou statistiques appliquées.
* Maîtrise des outils d’analyse et de visualisation : Excel, Python (Pandas, Matplotlib), SQL.
* Bonne compréhension des environnements cloud et des architectures de données modernes (ex. Lakehouse, Data Fabric).
* Capacité à interpréter les données et à les traduire en recommandations claires.
**Preferred Technical And Professional Experience**
* Expérience dans un environnement IBM CP4D, Watsonx, ou Cognos Analytics.
* Connaissance des principes de Data Governance et de qualité des données.
* Familiarité avec les environnements cloud (IBM, Azure, AWS).
* Compétences en storytelling de données et communication avec les parties prenantes.
* Certifications en BI, analyse de données ou IBM sont un plus.
* Bonne connaissance de l'anglais à l'oral et à l'écrit.</t>
        </is>
      </c>
    </row>
    <row r="22">
      <c r="A22" t="inlineStr">
        <is>
          <t>li-4370185294</t>
        </is>
      </c>
      <c r="B22" t="inlineStr">
        <is>
          <t>Lead Data Scientist - Spectrum Reach</t>
        </is>
      </c>
      <c r="C22" t="inlineStr">
        <is>
          <t>Spectrum Reach</t>
        </is>
      </c>
      <c r="D22" t="inlineStr">
        <is>
          <t>linkedin</t>
        </is>
      </c>
      <c r="E22" t="inlineStr"/>
      <c r="F22" t="inlineStr"/>
      <c r="G22" t="inlineStr">
        <is>
          <t>New York, NY</t>
        </is>
      </c>
      <c r="H22" t="inlineStr"/>
      <c r="I22" t="inlineStr">
        <is>
          <t>**This role requires the ability to work lawfully in the U.S. without employment\-based immigration sponsorship, now or in the future.**
 At Spectrum Reach, we help advertising clients harness industry leading research and marketing data and to exceed their advertising needs across multiple media platforms. We do this better than anyone else in the industry by providing our clients with access to Spectrum Reach's unique marketing platforms of choice. From traditional commercial advertising to exciting new possibilities in interactive media and multi\-screen solutions, Spectrum Reach's consultative team brings more than 22,000 advertising clients world class creative and innovative advertising solutions.
 The
 **Lead Data Scientist** 
 is responsible for leading the development of data\-driven solutions for Spectrum Reach’s advertising sales business. Utilizes analytical, statistical, and programming skills to clean, aggregate, and analyze large data sets and interpret results. This position requires a strong command of statistical techniques machine learning algorithms, and big data technologies. The ideal candidate will possess a demonstrated practical ability to determine where to invest time, and depending on the assignment, to build sustainable predictive models and services or to synthesize actionable findings and present findings to audiences with diverse agendas and varying levels of technical expertise.
* Actively and consistently support all efforts to simplify and enhance the customer experience.
* Plan and lead the complete analytics life\-cycle for problem solving, including: requirements gathering, problem formulation, data grooming, data exploration, model prototyping, model validation, and algorithm productionalization.
* Leverage knowledge in analytical and statistical algorithms to help stakeholders explore methods to improve their business. Utilize experience and feedback to recommend options during the development/research/analysis phase.
* Lead large\-scale exploratory data analyses for new data sources or new uses for existing data sources. Establish links across existing data sources and find new, interesting data correlations.
* Plan effectively to ensure analytics products are flexible, modular, and both leverage and contribute to the team’s existing reusable code base.
* Exercise thought leadership and discretion in tailoring the tools, approaches, and data used to meet the needs of the particular problem.
* Responsible for interpretation of results – for both causal inferences and predictive effectiveness.
* Synthesize appropriate recommendations for action and changes.
* Present findings, suggested actions and changes to a broad audience, and manage follow\-ups and execution.
* Help teach and explain techniques and tools used to a broad set of business\-intelligence, data, and analytics professionals with varied backgrounds.
* Create project plans to help team achieve defined project goals within deadlines; proactively communicate status and escalate issues as needed.
* Mentor and train junior team members as well as assist leadership in setting strategic vision.
* Perform other duties as assigned.
**Education**
 Bachelor's degree in computer science, statistics, operations research or equivalent combination of education and experience
**Experience**
 7\+ years of experience in data manipulation and statistical modeling as a Scientist, Consultant, Architect, DBA or Engineer
 7\+ years of experience in SQL, R or Python programming
**Skills**
 Mastery of R and/or Python for advanced analytics and AI/ML applications
 Expertise with SQL and large datasets, including efficient data transformation and storage at scale
 Strong understanding of data architecture and data warehousing
 Proficiency with commercial cloud platforms such as AWS, Azure or GCP
 Solid theoretical foundation in major machine learning models including regression, classification, clustering, neural networks and large language models
 Experience with multi\-series time series forecasting at scale
 Command of advanced mathematics including calculus, PDEs, probability and statistics, with ability to independently learn new concepts
 Effective synthesis and presentation skills for sharing results and recommendations
 Ability to communicate complex findings to varied audiences
 Demonstrated commitment to expanding skill set and fostering learning within the team
**Preferred Skills/Abilities And Knowledge**
 Experience in the advertising sales, cable and/or telecommunications industry
 Advanced Python knowledge and deep experience in the AI/ML ecosystem surrounding Python
 Experience in Operations\-research/optimization, in particular mixed\-integer programming, multi\-objective optimization, CPLEX and Gurobi solver configuration and performance tuning
 Experience in AWS ecosystem (including EMR, Glue, Athena, SageMaker, Bedrock)
 Experience in Snowflake architecture, resource optimization, and performance tuning
 Experience in distributed computing paradigms and parallel processing, including Spark optimization techniques and performance tuning
 Experience in MLOps, including end\-to\-end ML pipelines with automated training, validation, and deployment, model registry systems for versioning and governance
 Experience with development of systems using generative AI, reasoning models and agentic AI methods.
**Preferred Education**
 Master’s Degree in related field
 BDA309 2026\-69457 2026
 Here, our employees don’t just have jobs, they're building careers. That’s why we offer a comprehensive pay and benefits package that rewards employees for their contributions to our success, supporting all aspects of their well\-being at every stage of life.
 A qualified applicant’s criminal history, if any, will be considered in a manner consistent with applicable laws, including local ordinances.
 The base pay for this position generally is between
 **$107,900\.00 and $149,500\.00** 
 . The actual compensation offered will carefully consider a wide range of factors, including your skills, qualifications, experience, and location. We comply with local wage minimums and also, certain positions are eligible for additional forms of other incentive\-based compensation such as bonuses.
**Get to Know Us** 
 Charter Communications provides superior communication and entertainment products for residential and business customers through the Spectrum brand. Our offerings include Spectrum Internet®, TV, Mobile and Voice. Beyond our connectivity solutions, we also provide local news, programming and regional sports via Spectrum Networks and multiscreen advertising solutions via Spectrum Reach. When you join our team, you’ll be keeping our customers connected to what matters most in 41 states across the U.S. Watch this video to learn more.
**Grow Your Career Here** 
 We’re committed to growing a workforce that reflects the customers and communities we serve – providing opportunities for employment and advancement to all team members. Spectrum is an Equal Opportunity Employer, including job seekers with disabilities and veterans. Learn about Life at Spectrum.</t>
        </is>
      </c>
    </row>
    <row r="23">
      <c r="A23" t="inlineStr">
        <is>
          <t>li-4369112269</t>
        </is>
      </c>
      <c r="B23" t="inlineStr">
        <is>
          <t>AI/ML Data Scientist</t>
        </is>
      </c>
      <c r="C23" t="inlineStr">
        <is>
          <t>Jobs via Dice</t>
        </is>
      </c>
      <c r="D23" t="inlineStr">
        <is>
          <t>linkedin</t>
        </is>
      </c>
      <c r="E23" t="inlineStr"/>
      <c r="F23" t="inlineStr"/>
      <c r="G23" t="inlineStr">
        <is>
          <t>McLean, VA</t>
        </is>
      </c>
      <c r="H23" t="inlineStr"/>
      <c r="I23" t="inlineStr">
        <is>
          <t>**Data Architect/Scientist**
**Are you looking for an opportunity to make an impact?**
 At Leidos, we deliver innovative solutions through the efforts of our diverse and talented people who are dedicated to our customers' success. We empower our teams, contribute to our communities, and operate sustainably. Everything we do is built on a commitment to do the right thing for our customers, our people, and our community. Our Mission, Vision, and Values guide the way we do business.
**If this sounds like the kind of environment where you can thrive, keep reading!**
 Leidos is seeking an AI/ML Data Scientist to support an enterprise IT program for an Intelligence Community client. Qualified candidates will possess strong skills in PL/SQL, Java, AWS, BASH, Linux, familiarity with Oracle, Linux user knowledge preferably with CENTOS or Rocky, and will be comfortable with JIRA, Git, \&amp; Nexus. The ideal candidate will have an analytical mind with a forward\-leaning attitude and experience as a database programmer.
 The work you'll be doing in this role has direct mission impact. As the sole data scientist on the team you'll leverage your strong communications skills and prior experience supporting this client to collaborate with both the development and the management teams, work independently, and come up with ad hoc solutions.
**Are you ready to make an impact? Begin your journey of a flourishing and meaningful career, share your resume with us today!**
**In this role you will** 
 support a client who has multiple application teams supporting a portfolio which is the central repository for all the client's created applications. This includes state of the art systems on cloud, physical systems and applications based on products such as AWS, Oracle, SharePoint, and other web\-based solutions. You will provide support specializing in data architecture to develop data solutions to ensure the client's information is stored effectively and securely, system requirements are analyzed, and implement migration methods for existing data.
 The selected Data Scientist will do the following:
* Provide complex data analysis, leveraging advanced analytics and AI techniques to drive insights and inform decision\-making.
* Design and implement research studies, acquire and analyze large datasets, and develop statistical models and ML algorithms to identify trends and patterns.
* Work collaboratively with internal and external partners to identify and close gaps in intelligence analysis
* Apply AI and ML techniques to improve analytical capabilities.
 Duties in this role shall include:
* Develop data and metadata policies and procedures for structural design and development to build, maintain and leverage the data model, ensuring integration with corporate data standards,
* Monitor industry trends and directions in database technology and tools,
* Develop and present substantive technical recommendations to the client,
* Oversee the design, evaluation, selection, implementation and support of major databases and metadata structures,
* Review and evaluate database performance and risk and financial analysis feasibility studies,
* Oversee the strategic structural design and development of databases and metadata,
* Provide technical direction to the maintenance of major existing databases supporting evolving applications and business processes,
* Provide comprehensive assessments of the technical characteristics of proposals and alternatives considered to optimize database performance,
* Provide extensive technical, strategic advice and guidance in the creation and implementation of new data standards and databases,
* Provide technical oversight and direction to designated boards for integrating new technology or major new mission capabilities into the metadata and data standards and structures,
* Review and assess technical proposals requesting changes or upgrades to the existing databases,
* Serve as the lead technical resource in the strategic oversight and planning of data models and database structural design and development,
* Strategically plan new designs for integration into a database structure, using knowledge of the characteristics of the systems being added to the structure and the specifications for database interfaces to ensure effective integration and optimal database performance,
* Develop methods of ensuring data incompatibilities among systems are systematically eliminated,
* Diagnose, isolate and expediently resolve complex problems pertaining to data infrastructure.
**Required Security Clearance:**
* Active TS/SCI with Polygraph is required.
**Required Experience, Skills, and Education:**
* Bachelor's degree and 12\+ years of experience or Master's degree with 10\+ years of experience. Additional experience may be substituted in lieu of a degree.
* Demonstrated experience with Github, Jenkins, and Nexus.
* Demonstrated experience with VSCode and Eclipse.
* Demonstrated experience and familiarity with data science frameworks like Tensorflow (1\.x and 2\.x), Keras, and Theano.
* Demonstrated experience and familiarity with Test Frameworks: JUnit, Swagger, Postman
* Demonstrated experience with Jenkins, Kubernetes, Ansible, Terraform.
* Demonstrated experience with on\-prem and cloud environments.
* Demonstrated experience and expertise AWS / C2S.
* Demonstrated familiarity with LLM Architectures.
* Demonstrated experience in data architecture.
* Demonstrated experience with and understanding of database structure principles
* Demonstrated experience in data modeling and design, including SQL development and database administration.
* Demonstrated experience in data visualization, data migration and data modeling.
* Demonstrated experience in relational database management systems (DBMS).
* Demonstrated experience in DBMS software, including SQL Server, Oracle, MySQL, PostGres.
* Demonstrated experience in database and cloud computing design, architectures and data lakes.
* Demonstrated experience in configuration and administration of enterprise level data stores, ETL and ELT methods, and batch and streaming data transport.
* Demonstrated experience gathering and analyzing system requirements.
* Demonstrated experience with Version control systems such as Git.
* Demonstrated experience with programming languages Java and Python.
* Demonstrated experience with Linux (OS \&amp; scripting)
* Demonstrated experience with Agile development methodologies and JIRA.
* Demonstrated experience working in a fast\-paced, technically challenging area; ability to anticipate and manage changes or problems; assess impacts and recommend sound solutions.
* Demonstrated experience in systems development, including system development life cycle, project management approaches and requirements, and design and testing techniques.
 If you're looking for comfort, keep scrolling. At Leidos, we outthink, outbuild, and outpace the status quo \- because the mission demands it. We're not hiring followers. We're recruiting the ones who disrupt, provoke, and refuse to fail. Step 10 is ancient history. We're already at step 30 \- and moving faster than anyone else dares.
****Original Posting:****
 February 2, 2026
 For U.S. Positions: While subject to change based on business needs, Leidos reasonably anticipates that this job requisition will remain open for at least 3 days with an anticipated close date of no earlier than 3 days after the original posting date as listed above.
****Pay Range:****
 Pay Range $131,300\.00 \- $237,350\.00
 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t>
        </is>
      </c>
    </row>
    <row r="24">
      <c r="A24" t="inlineStr">
        <is>
          <t>li-4346041149</t>
        </is>
      </c>
      <c r="B24" t="inlineStr">
        <is>
          <t>Staff Data Scientist</t>
        </is>
      </c>
      <c r="C24" t="inlineStr">
        <is>
          <t>Blue Yonder</t>
        </is>
      </c>
      <c r="D24" t="inlineStr">
        <is>
          <t>linkedin</t>
        </is>
      </c>
      <c r="E24" t="inlineStr"/>
      <c r="F24" t="inlineStr"/>
      <c r="G24" t="inlineStr">
        <is>
          <t>Coppell, TX</t>
        </is>
      </c>
      <c r="H24" t="inlineStr"/>
      <c r="I24" t="inlineStr">
        <is>
          <t>**Role: Staff Data Scientist ( This is a Senior role)
 Location : Dallas, TX ( Hybrid role , NO Remote option)**
**Overview**
 Join Blue Yonder Data Science and Machine Learning team as a Staff Data Scientist, steering our machine learning platform that processes real\-time data and powers deep learning models, generating billions of predictions daily. Collaborate closely with sales, product, and engineering teams to spearhead the design and implementation of cutting\-edge retail solutions. Helps the team get better technically, mentors junior associates, and keeps customer
**Success In Focus, In Particular**
* Is responsible for designing, developing, and testing new algorithms, models, or solving approaches based on machine learning, operation research, or
* other techniques to solve a Blue Yonder business problem with little or no supervision.
* Develops prototypes and proofs of principles for innovative features.
* Integrates new models and algorithms into a product solution.
* Mentors team with scientific libraries and development tools.
* Develops quality software (including test code) according to clean code principles and Blue Yonder standards.
* Considers operational aspects of machine learning services in early design stages and strives for more automation and self\-service to reduce operational efforts for themselves and the team.
* Empowers team members by sharing knowledge and providing hints so they come up with their own solutions.
* Leads by example.
**Technical Environment**
 Operate within a sophisticated technical landscape, utilizing Python 3\.\* and frameworks such as TensorFlow, PyTorch, BigQuery, Apache Beam,
 Apache Spark, Kubeflow, Dataflow, Kubernetes, Kafka, Pub/Sub, and Flask. Our application architecture follows a scalable, resilient, reactive, event\-driven
 and secure multi\-tenant Microservices design, hosted on Google and Azure Cloud.
**Responsibilities**
* As Staff Data scientist, you will be a guiding the team in the implementation of machine learning models and deep learning tools.
* Collaborate with cross\-functional teams to execute data enrichment, cleansing routines, and feature selection.
* Evaluate candidate models, select the final model, and report on test performance.
* Ensure proper runtime deployment of models and implement runtime monitoring for continued model stability.
* Drive collaboration with product, sales, and engineering teams to shape the final solution.
* Utilize data to understand patterns, formulate and test hypotheses, and iterate as needed.
* Play a key role in preparing sales materials and estimating hardware requirements.
* Lead client meetings, both online and onsite, to discuss new and current functionality.
**Qualifications**
* Bachelor’s Degree in Computer Science or any other related field is required
* Min 8 to 10 years of experience with strong foundation in data science and deep learning principles.
* Proficient in Python programming with a solid understanding of data structures.
* Experience with frameworks and libraries like Pandas, NumPy, Keras, TensorFlow, Jupyter, Matplotlib, etc.
* Expertise in a database query language, preferably SQL.
* Familiarity with deep learning, time series, NLP, reinforcement learning, and combinatorial optimization.
 Familiarity with Big Data technologies like Snowflake, Apache Beam/Spark/Flink, and Databricks.
* Solid experience with major cloud platforms, preferably Azure and/or GCP.
* Knowledge of modern software development tools and best practices, including Git, Github Actions, Jenkins, Docker, Jira, etc.
* Proven experience in team leadership, mentoring junior data scientists in an official or unofficial capacity.
* Desired knowledge of Kafka, Redis, Cassandra, etc.
 Synomym title : Staff Software Engineer
 SR1
 The annual salary range for this position is $130,023\.09 \- $163,976\.90
 The salary range information provided, reflects the anticipated base salary range for this position based on current national data. Minimums and maximums may vary based on location. Individual salary will be commensurate with skills, experience, certifications or licenses and other relevant factors. In addition, this role will be eligible to participate in either the annual performance bonus or commission program, determined by the nature of the position.
**Benefits**
 At Blue Yonder, we care about the wellbeing of our employees and those most important to them. This is reflected in our robust benefits package and options that includes:
* Comprehensive Medical, Dental and Vision
* 401K with Matching
* Flexible Time Off
* Corporate Fitness Program
* A variety of voluntary benefits such as; Legal Plans, Accident and Hospital Indemnity, Pet Insurance and much more
 At Blue Yonder, we are committed to a workplace that genuinely fosters inclusion and belonging in which everyone can share their unique voices and talents in a safe space. We continue to be guided by our core values and are proud of our diverse culture as an equal opportunity employer. We understand that your career search may look different than others, and embrace the professional, personal, educational, and volunteer opportunities through which people gain experience.
**Our Values**
 If you want to know the heart of a company, take a look at their values. Ours unite us. They are what drive our success – and the success of our customers. Does your heart beat like ours? Find out here: Core Values
 All qualified applicants will receive consideration for employment without regard to race, color, religion, sex, sexual orientation, gender identity, national origin, disability or protected veteran status.</t>
        </is>
      </c>
    </row>
    <row r="25">
      <c r="A25" t="inlineStr">
        <is>
          <t>li-4361341041</t>
        </is>
      </c>
      <c r="B25" t="inlineStr">
        <is>
          <t>Principal Applied Scientist</t>
        </is>
      </c>
      <c r="C25" t="inlineStr">
        <is>
          <t>Microsoft</t>
        </is>
      </c>
      <c r="D25" t="inlineStr">
        <is>
          <t>linkedin</t>
        </is>
      </c>
      <c r="E25" t="inlineStr"/>
      <c r="F25" t="inlineStr"/>
      <c r="G25" t="inlineStr">
        <is>
          <t>Redmond, WA</t>
        </is>
      </c>
      <c r="H25" t="inlineStr"/>
      <c r="I25" t="inlineStr">
        <is>
          <t>**Overview**
 Are you passionate about advancing AI and empowering organizations to scale agentic experiences with confidence? As a Principal Applied Scientist in the Power Platform Managed Transformation Team, you’ll play a pivotal role in delivering our mission: enabling organizations to adopt and scale AI agents with measurable business impact, unified governance, and actionable insights. You’ll collaborate with experts across governance, analytics, and platform services to drive innovation in Copilot and Copilot Studio scenarios, helping customers realize the full potential of AI\-powered agents.
 This role will combine AI knowledge with applied science expertise and demonstrate a growth mindset and customer empathy. Join us in shaping the future of AI agents.
**This Opportunity Will Allow You To**
* Accelerate your career growth in applied AI and agentic systems.
* Develop deep business expertise in enterprise\-scale AI adoption.
* Hone your skills in designing, evaluating, and scaling intelligent agent experiences.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You will master a broad area or research and understand any applicable research techniques. You’ll also serve as a team expert on changes in industry trends, products, and other advances, and apply this knowledge to influence product needs.
* You will review business and product requirement, incorporate research, and provide strategic direction for problem solving. You’ll also ensure scientific rigor, support the development of methods, and apply your expertise to support business impact.
* You will identify and inspire peers and new research talent to join Microsoft, build relationships, and advocate for research initiatives. You’ll share research findings through industry outreach, collaborate with the academic community, and help develop the recruiting pipeline.
* You will document work and experimentation results and share findings to promote innovation. You’ll provide guidance when capturing processes and contribute to ethics and privacy policies related to research processes and data collection.
**Qualifications**
**Required Qualifications:**
* Bachelor's Degree in Statistics, Econometrics, Computer Science, Electrical or Computer Engineering, or related field AND 6\+ years related experience (e.g., statistics, predictive analytics, research)
+ OR Master's Degree in Statistics, Econometrics, Computer Science, Electrical or Computer Engineering, or related field AND 4\+ years related experience (e.g., statistics, predictive analytics, research)
+ OR Doctorate in Statistics, Econometrics, Computer Science, Electrical or Computer Engineering, or related field AND 3\+ years related experience (e.g., statistics, predictive analytics, research)
+ OR equivalent experience.
* 5\+ years of experience designing and building industry\-standard distributed systems.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Master's Degree in Statistics, Econometrics, Computer Science, Electrical or Computer Engineering,or related field AND 9\+ years related experience (e.g., statistics, predictive analytics, research)
+ OR Doctorate in Statistics, Econometrics, Computer Science, Electrical or Computer Engineering,or related field AND 6\+ years related experience (e.g., statistics, predictive analytics, research)
+ OR equivalent experience.
* 5\+ years experience creating publications (e.g., patents, libraries, peer\-reviewed academic papers).
* 2\+ years experience presenting at conferences or other events in the outside research/industry community as an invited speaker.
* 5\+ years experience conducting research as part of a research program (in academic or industry settings).
* 3\+ years experience developing and deploying live production systems, as part of a product team.
* 3\+ years experience developing and deploying products or systems at multiple points in the product cycle from ideation to shipping.
* Experience architecting scalable, fault\-tolerant services that operate in cloud or hybrid environments, applying best practices for concurrency, data consistency, and resiliency, leveraging technologies such as microservices, container orchestration (e.g., Kubernetes), and distributed data stores, and ensuring performance, security, and reliability at enterprise scale.
 Applied Sciences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26">
      <c r="A26" t="inlineStr">
        <is>
          <t>li-4369102441</t>
        </is>
      </c>
      <c r="B26" t="inlineStr">
        <is>
          <t>Data Scientist, Ai Infrastructure and Agent (onsite)</t>
        </is>
      </c>
      <c r="C26" t="inlineStr">
        <is>
          <t>Jobs via Dice</t>
        </is>
      </c>
      <c r="D26" t="inlineStr">
        <is>
          <t>linkedin</t>
        </is>
      </c>
      <c r="E26" t="inlineStr"/>
      <c r="F26" t="inlineStr"/>
      <c r="G26" t="inlineStr">
        <is>
          <t>New York, United States</t>
        </is>
      </c>
      <c r="H26" t="inlineStr"/>
      <c r="I26" t="inlineStr">
        <is>
          <t>**Work Schedule**
 Standard (Mon\-Fri)
**Environmental Conditions**
 Office
**Job Description**
**Company Overview**
 Thermo Fisher Scientific Inc. is the world leader in serving science, with annual revenue exceeding $40 billion. Our mission is to enable our customers to make the world healthier, cleaner, and safer. Whether our customers are accelerating life sciences research, solving complex analytical challenges, improving patient diagnostics and therapies, or increasing productivity in their laboratories, we are here to support them.
**Location / Division**
 This is an onsite position that can be hired in Grand Island, NY, Carlsbad, CA or Hunt Valley, MD. Location near these 3 sites is required. Relocation assistance is not provided.
**How will you make an impact?**
 We are seeking a highly motivated Data Scientist with strong hands\-on expertise in AI/ML \&amp; LLM technologies. In this role, you will be part of the Data Science team within the Biologicals and Chemicals Division, one of the fastest\-growing businesses in the company supporting developers and manufacturers of biological\-based therapeutics and vaccines. With our portfolio of best\-in\-class digital and bioprocessing products, we empower innovation from early discovery through large\-scale commercial manufacturing.
**Core Responsibilities**
* Design, develop, and maintain backend services and AI\-enabled applications that support scientific and bioprocessing workflows.
* Develop and optimize retrieval components (e.g., embeddings, document indexing, vector search) used in RAG\-based applications.
* Support integration and access to scientific and operational databases through well\-defined APIs and backend services.
* Package internal tools, data pipelines, and workflows as reusable AI\-enabled components or agents that can be executed within orchestration or workflow frameworks.
* Collaborate closely with scientists, data engineers, and platform teams to gather requirements, define technical specifications, and deliver reliable, production\-ready solutions.
* Create clear technical documentation and usage guides to support internal adoption and long\-term maintainability.
**Extended Responsibilities (Optional / Career Growth)**
* Build and evolve scalable LLM inference, agent execution, or orchestration services (e.g., MCP\-style patterns) in production environments.
* Participate in experimentation, evaluation, and optimization of AI/ML or LLM\-based approaches.
* Implement tooling and automation for monitoring, testing, and operational support of backend services.
* Stay current with emerging AI/ML and LLM technologies and contribute ideas for future platform or capability enhancements.
**Education**
 Bachelor's Degree in Computer Science or a related field
 Master's or higher degree is a plus but not required
**Experience \&amp; Qualifications**
**Must Have**
* 2\+ years of professional software engineering experience building backend or data\-driven applications
* Proficiency in Python and experience developing APIs, services, or microservices
* Solid understanding of data fundamentals, including data preprocessing, structured data handling, and data quality considerations
* Strong analytical, problem\-solving, and debugging skills
* Ability to work independently and collaboratively in cross\-functional engineering and scientific teams
**Nice to Have**
* Exposure to AI/ML, Generative AI, LLMs, or RAG\-based systems
* Familiarity with common ML or AI libraries and frameworks (e.g., PyTorch, TensorFlow, Hugging Face, LangChain)
* Experience with data pipelines or distributed systems
**Preferred Experience / Good Learning Opportunities**
* Experience with vector databases or embedding\-based retrieval systems
* Exposure to cloud\-based development or deployment (preferably AWS)
* Familiarity with agent\-based systems, orchestration frameworks, or model deployment and monitoring concepts
* Curiosity and enthusiasm for learning and applying emerging AI/ML and LLM technologies
**Join Us**
 At Thermo Fisher Scientific, each one of our 70,000 extraordinary minds has a unique story to tell. Join us and contribute to our singular mission\-
 **enabling our customers to make the world healthier, cleaner, and safer.** 
 Apply today!
**Compensation And Benefits**
 The salary range estimated for this position based in New York is $88,000\.00\-$116,000\.00\.
 This position may also be eligible to receive a variable annual bonus based on company, team, and/or individual performance results in accordance with company policy. We offer a comprehensive Total Rewards package that our U.S. colleagues and their families can count on, which includes:
* A choice of national medical and dental plans, and a national vision plan, including health incentive programs
* Employee assistance and family support programs, including commuter benefits and tuition reimbursement
* At least 120 hours paid time off (PTO), 10 paid holidays annually, paid parental leave (3 weeks for bonding and 8 weeks for caregiver leave), accident and life insurance, and short\- and long\-term disability in accordance with company policy
* Retirement and savings programs, such as our competitive 401(k) U.S. retirement savings plan
* Employees' Stock Purchase Plan (ESPP) offers eligible colleagues the opportunity to purchase company stock at a discount
 For more information on our benefits, please visit:</t>
        </is>
      </c>
    </row>
    <row r="27">
      <c r="A27" t="inlineStr">
        <is>
          <t>li-4299776677</t>
        </is>
      </c>
      <c r="B27" t="inlineStr">
        <is>
          <t>Applied Scientist III, Amazon Connect</t>
        </is>
      </c>
      <c r="C27" t="inlineStr">
        <is>
          <t>Amazon Web Services (AWS)</t>
        </is>
      </c>
      <c r="D27" t="inlineStr">
        <is>
          <t>linkedin</t>
        </is>
      </c>
      <c r="E27" t="inlineStr"/>
      <c r="F27" t="inlineStr"/>
      <c r="G27" t="inlineStr">
        <is>
          <t>Seattle, WA</t>
        </is>
      </c>
      <c r="H27" t="inlineStr"/>
      <c r="I27" t="inlineStr">
        <is>
          <t>**Description**
 As part of the AWS Applied AI Solutions organization, we have a vision to provide business applications, leveraging Amazon's unique experience and expertise, that are used by millions of companies worldwide to manage day\-to\-day operations. We will accomplish this by accelerating our customers' businesses through delivery of intuitive and differentiated technology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
 The Applied Scientist will contribute to the development of AI systems for a new product area. In this role, you will partner with business and technical teams to design and document requirements, and develop technical strategies and applied science roadmaps for delivery of features. The role requires extending existing scientific techniques and inventing new ones to address specific customer needs at a product level. You should be comfortable working semi\-autonomously on difficult problems and complex problems with visible risks or roadblocks. You'll work closely with technical leaders within the team. We're looking for scientists who can maintain high standards while moving quickly, prioritizing both rapid experimentation and responsible AI development to deliver measurable customer impact.
 Key job responsibilities
* PhD, or Master's degree and 6\+ years of applied research experience
* 3\+ years of building machine learning models for business application experience
* Experience programming in Java, C\+\+, Python or related language
* Experience with neural deep learning methods and machine learning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WA, Seattle \- 167,100\.00 \- 226,100\.00 USD annually
**Company** 
 \- Amazon Development Center U.S., Inc.
 Job ID: A3081545</t>
        </is>
      </c>
    </row>
    <row r="28">
      <c r="A28" t="inlineStr">
        <is>
          <t>li-4369149427</t>
        </is>
      </c>
      <c r="B28" t="inlineStr">
        <is>
          <t>Senior Data Scientist</t>
        </is>
      </c>
      <c r="C28" t="inlineStr">
        <is>
          <t>Jobs via Dice</t>
        </is>
      </c>
      <c r="D28" t="inlineStr">
        <is>
          <t>linkedin</t>
        </is>
      </c>
      <c r="E28" t="inlineStr"/>
      <c r="F28" t="inlineStr"/>
      <c r="G28" t="inlineStr">
        <is>
          <t>Spring, TX</t>
        </is>
      </c>
      <c r="H28" t="inlineStr"/>
      <c r="I28" t="inlineStr">
        <is>
          <t>RESPONSIBILITIES:
 Kforce has a client in Spring, TX that is seeking a Senior Data Scientist. This is a hybrid role requiring 3 days onsite, 2 days remote.
 Summary:
 Our client is seeking a Senior Data Scientist to design, build, and deploy scalable AI and machine learning solutions using the Databricks Lakehouse Platform. In this role, you will partner with cross\-functional teams to transform complex data into production\-grade digital products that drive measurable business impact. You will work across the full analytics and ML lifecycle\-from data ingestion and modeling to deployment, monitoring, and governance\-while mentoring junior team members and advancing modern AI capabilities across the organization.
 REQUIREMENTS:
* 5\-7 years of experience as a Senior Data Scientist and 7\+ years of experience in Data Science, Information Systems, Computer Science, Engineering, or a related field
* Demonstrated experience collaborating with multidisciplinary teams to define business requirements and deliver Databricks\-based ML solutions
* Experience with modern data architectures, including Delta Lake, Azure Data Lake, SQL Warehouses, and Synapse Analytics
* Hands\-on experience with AutoML platforms (e.g., Dataiku) and familiarity with Azure AutoML and Mosaic AI AutoML (Databricks)
* Deep understanding of Azure cloud technologies, including Azure Machine Learning, Azure DevOps, Cognitive Search, and Azure OpenAI
* Familiarity with Generative AI and Large Language Models, including transformer architectures, Hugging Face frameworks, and Lakehouse\-native LLM serving
* Expertise in machine learning, applied AI, statistical modeling, and data mining using the Databricks Lakehouse Platform, Azure ML, and (optionally) Dataiku
* Advanced proficiency in Python, PySpark, SQL, and familiarity with tools such as Jupyter, VS Code, MLflow, and Databricks Repos
* Skilled in designing end\-to\-end ML pipelines and converting analytics into business impact on Databricks
* Proven track record leading AI/ML projects from ideation to production deployment
* Strong communication skills with the ability to translate analytical findings and ML outputs into actionable business insights
* Strong mentoring and leadership capabilities for developing early\-career team members
* Entrepreneurial problem\-solving mindset with a strong focus on experimenting, scaling, and delivering measurable value
* Demonstrated ability to solve complex data challenges with practical, scalable, and innovative solutions
* Ability to quickly learn and adapt to new domains, technologies, and Databricks platform features
 The pay range is the lowest to highest compensation we reasonably in good faith believe we would pay at posting for this role. We may ultimately pay more or less than this range. Employee pay is based on factors like relevant education, qualifications, certifications, experience, skills, seniority, location, performance, union contract and business needs. This range may be modified in the future.
 We offer comprehensive benefits including medical/dental/vision insurance, HSA, FSA, 401(k), and life, disability \&amp; ADD insurance to eligible employees. Salaried personnel receive paid time off. Hourly employees are not eligible for paid time off unless required by law. Hourly employees on a Service Contract Act project are eligible for paid sick leave.
 Note: Pay is not considered compensation until it is earned, vested and determinable. The amount and availability of any compensation remains in Kforce's sole discretion unless and until paid and may be modified in its discretion consistent with the law.
 This job is not eligible for bonuses, incentives or commissions.
 Kforce is an Equal Opportunity/Affirmative Action Employer. All qualified applicants will receive consideration for employment without regard to race, color, religion, sex, pregnancy, sexual orientation, gender identity, national origin, age, protected veteran status, or disability status.
 By clicking ?Apply Today? you agree to receive calls, AI\-generated calls, text messages or emails from Kforce and its affiliates, and service providers. Note that if you choose to communicate with Kforce via text messaging the frequency may vary, and message and data rates may apply. Carriers are not liable for delayed or undelivered messages. You will always have the right to cease communicating via text by using key words such as STOP.</t>
        </is>
      </c>
    </row>
    <row r="29">
      <c r="A29" t="inlineStr">
        <is>
          <t>li-4363797228</t>
        </is>
      </c>
      <c r="B29" t="inlineStr">
        <is>
          <t>Principal Associate, Data Scientist - Business Cards &amp; Payments Credit Infrastructure Team</t>
        </is>
      </c>
      <c r="C29" t="inlineStr">
        <is>
          <t>Capital One</t>
        </is>
      </c>
      <c r="D29" t="inlineStr">
        <is>
          <t>linkedin</t>
        </is>
      </c>
      <c r="E29" t="inlineStr"/>
      <c r="F29" t="inlineStr"/>
      <c r="G29" t="inlineStr">
        <is>
          <t>McLean, VA</t>
        </is>
      </c>
      <c r="H29" t="inlineStr"/>
      <c r="I29" t="inlineStr">
        <is>
          <t>Data is at the center of everything we do. As a startup, we disrupted the credit card industry by individually personalizing every credit card offer using statistical modeling and the relational database, cutting edge technology in 1988! Fast\-forward a few years, and this little innovation and our passion for data has skyrocketed us to a Fortune 200 company and a leader in the world of data\-driven decision\-making.
 As a Data Scientist at Capital One, you’ll be part of a team that’s leading the next wave of disruption at a whole new scale, using the latest in computing and machine learning technologies and operating across billions of customer records to unlock the big opportunities that help everyday people save money, time and agony in their financial lives.
****Team Description****
 The Business Cards and Payments (BC\&amp;P) Credit Infrastructure Team owns the end\-to\-end development of valuations models, monitoring, advanced analytics and systemized tooling for the Business Cards and Payments (BCP) organization. We are hiring a Data Scientist on the credit card acquisitions valuations model development team to empower credit programs in BCP through robust valuations models and tools that support use of those models.
****In this role, you will:****
* Partner with a cross\-functional team of data scientists, software engineers, and product managers to deliver a product customers love
* Leverage a broad stack of technologies \- Python, Conda, AWS, H2O, Spark, and more \- to reveal the insights hidden within huge volumes of numeric and textual data
* Build machine learning models through all phases of development, from design through training, evaluation, validation, and implementation
* Flex your interpersonal skills to translate the complexity of your work into tangible business goals
****The Ideal Candidate is:****
* Customer first. You love the process of analyzing and creating, but also share our passion to do the right thing. You know at the end of the day it’s about making the right decision for our customers.
* Creative. You thrive on bringing definition to big, undefined problems. You love asking questions and pushing hard to find answers. You’re not afraid to share a new idea.
* Technical. You’re comfortable with open\-source languages and are passionate about developing further. You have hands\-on experience developing data science solutions using open\-source tools and cloud computing platforms.
* Statistically\-minded. You’ve built models, validated them, and backtested them. You know how to interpret a confusion matrix or a ROC curve. You have experience with clustering, classification, sentiment analysis, time series, and deep learning.
****Basic Qualifications:****
* Currently has, or is in the process of obtaining one of the following with an expectation that the required degree will be obtained on or before the scheduled start date:
+ A Bachelor's Degree in a quantitative field (Statistics, Economics, Operations Research, Analytics, Mathematics, Computer Science, or a related quantitative field) plus 5 years of experience performing data analytics
+ A Master's Degree in a quantitative field (Statistics, Economics, Operations Research, Analytics, Mathematics, Computer Science, or a related quantitative field) or an MBA with a quantitative concentration plus 3 years of experience performing data analytics
+ A PhD in a quantitative field (Statistics, Economics, Operations Research, Analytics, Mathematics, Computer Science, or a related quantitative field)
****Preferred Qualifications:****
* Master’s Degree in “STEM” field (Science, Technology, Engineering, or Mathematics) plus 3 years of experience in data analytics, or PhD in “STEM” field (Science, Technology, Engineering, or Mathematics)
* At least 3 years of experience in Python, Scala, or R
* At least 3 years of experience with machine learning
* At least 3 years of experience with SQL
* At least 1 year of experience working with AWS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$161,800 \- $184,600 for Princ Associate, Data Science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30">
      <c r="A30" t="inlineStr">
        <is>
          <t>li-4363836365</t>
        </is>
      </c>
      <c r="B30" t="inlineStr">
        <is>
          <t>Applied Scientist II- Recruiting AI Agents, Recruiting Agents &amp; Candidate Voice</t>
        </is>
      </c>
      <c r="C30" t="inlineStr">
        <is>
          <t>Amazon</t>
        </is>
      </c>
      <c r="D30" t="inlineStr">
        <is>
          <t>linkedin</t>
        </is>
      </c>
      <c r="E30" t="inlineStr"/>
      <c r="F30" t="inlineStr"/>
      <c r="G30" t="inlineStr">
        <is>
          <t>Seattle, WA</t>
        </is>
      </c>
      <c r="H30" t="inlineStr"/>
      <c r="I30" t="inlineStr">
        <is>
          <t>**Description**
 Do you want a role with deep meaning and the ability to make a major impact? As part of Intelligent Talent Acquisition (ITA), you'll have the opportunity to reinvent the hiring process and deliver unprecedented scale, sophistication, and accuracy for Amazon Talent Acquisition operations. ITA is an industry\-leading people science and technology organization made up of scientists, engineers, analysts, product professionals and more, all with the shared goal of connecting the right people to the right jobs in a way that is fair and precise. Last year we delivered over 6 million online candidate assessments, and helped Amazon deliver billions of packages around the world by making it possible to hire hundreds of thousands of workers in the right quantity, at the right location and at exactly the right time. You’ll work on state\-of\-the\-art research, advanced software tools, new AI systems, and machine learning algorithms, leveraging Amazon's in\-house tech stack to bring innovative solutions to life. Join ITA in using technologies to transform the hiring landscape and make a meaningful difference in people's lives. Together, we can solve the world's toughest hiring problems.
 Recruiting Agents and Candidate Voice team is revolutionizing how Amazon finds and connects with talent worldwide! We're looking for an experienced Applied Scientist to design and implement agentic solutions that help millions of candidates find their dream jobs at Amazon.
 Key job responsibilities
* Design and architect AI\-powered agentic solutions that help candidates navigate Amazon's hiring process, including scoping requirements, identifying dependencies and constraints, and creating robust scientific and technical designs that balance candidate experience with system scalability.
* Implement and deploy conversational AI agents leveraging state\-of\-the\-art LLM and GenAI technologies to enable candidates to explore job opportunities, understand role requirements, and receive personalized guidance throughout their hiring journey.
* Develop rigorous evaluation frameworks to measure agent effectiveness, candidate satisfaction, and hiring outcomes—continuously iterating on models to improve accuracy, fairness, and user experience across millions of candidate interactions.
* Collaborate cross\-functionally with Research Scientists, Software Engineers, and Product teams to integrate agentic solutions into Amazon's candidate\-facing platforms, ensuring seamless deployment and alignment with broader Talent Acquisition goals.
* Drive innovation in agentic AI research by staying current with advances in NLP, LLMs, and autonomous agent architectures, while contributing to the scientific community through publications, internal tech talks, and knowledge sharing.
**About The Team**
 Our team focuses on understanding and improving the experience of both job seekers and the recruiters who support them. You'll be at the intersection of people, data, and technology—solving fascinating problems that directly impact how we hire the best talent globally.
**Basic Qualifications**
* 3\+ years of building models for business application experience
* PhD, or Master's degree and 4\+ years of CS, CE, ML or related field experience
* Experience programming in Java, C\+\+, Python or related language
* Experience in investigating, designing, prototyping, and delivering new and innovative system solutions
**Preferred Qualifications**
* Experience applying theoretical models in an applied environment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WA, Seattle \- 142,800\.00 \- 193,200\.00 USD annually
**Company** 
 \- Amazon.com Services LLC
 Job ID: A3157219</t>
        </is>
      </c>
    </row>
    <row r="31">
      <c r="A31" t="inlineStr">
        <is>
          <t>li-4362368957</t>
        </is>
      </c>
      <c r="B31" t="inlineStr">
        <is>
          <t>Principal Applied Scientist, AGI Foundations</t>
        </is>
      </c>
      <c r="C31" t="inlineStr">
        <is>
          <t>Amazon</t>
        </is>
      </c>
      <c r="D31" t="inlineStr">
        <is>
          <t>linkedin</t>
        </is>
      </c>
      <c r="E31" t="inlineStr"/>
      <c r="F31" t="inlineStr"/>
      <c r="G31" t="inlineStr">
        <is>
          <t>Seattle, WA</t>
        </is>
      </c>
      <c r="H31" t="inlineStr"/>
      <c r="I31" t="inlineStr">
        <is>
          <t>**Description**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adopting or inventing new machine learning techniques, conducting rigorous experiments, publishing results,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fearless and with a passion for building scalable science and engineering solutions. You will serve as a key scientific resource in full\-cycle development (conception, design, implementation, testing to documentation, delivery, and maintenance).
**About The Team**
 The AGI team has a mission to push the envelope with multimodal LLMs and Gen AI in Computer Vision, in order to provide the best\-possible experience for our customers.
**Basic Qualifications**
 PhD with specialization in artificial intelligence, natural language processing, machine learning, or computational cognitive science 10\+ years of combined academic and research experience. Strong publication record in top\-tier journals and conferences. Functional thought leader, sought after for key tech decisions. Can successfully sell ideas to an executive level decision maker. Mentors and trains the research scientist community on complex technical issues. Experience developing software in traditional programming languages (C\+\+, Java, etc..). Excellent written and spoken communication skills
**Preferred Qualifications**
 Strong software development skills Experience working effectively with science, data processing, and software engineering teams Proven track record of innovation in creating novel algorithms and advancing the state of the art Entrepreneurial spirit combined with strong architectural and problem solving skills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\- 228,700\.00 \- 309,400\.00 USD annually
 USA, MA, BOSTON \- 198,900\.00 \- 269,000\.00 USD annually
 USA, MA, Boston \- 198,900\.00 \- 269,000\.00 USD annually
 USA, MA, Hudson \- 198,900\.00 \- 269,000\.00 USD annually
 USA, MA, Raynham \- 198,900\.00 \- 269,000\.00 USD annually
 USA, OR, Corvallis \- 198,900\.00 \- 269,000\.00 USD annually
 USA, WA, SEATTLE \- 198,900\.00 \- 269,000\.00 USD annually
 USA, WA, Seattle \- 198,900\.00 \- 269,000\.00 USD annually
**Company** 
 \- Amazon.com Services LLC
 Job ID: A2762609</t>
        </is>
      </c>
    </row>
    <row r="32">
      <c r="A32" t="inlineStr">
        <is>
          <t>li-4362714555</t>
        </is>
      </c>
      <c r="B32" t="inlineStr">
        <is>
          <t>Principal Applied Scientist, AGI Foundations</t>
        </is>
      </c>
      <c r="C32" t="inlineStr">
        <is>
          <t>Amazon</t>
        </is>
      </c>
      <c r="D32" t="inlineStr">
        <is>
          <t>linkedin</t>
        </is>
      </c>
      <c r="E32" t="inlineStr"/>
      <c r="F32" t="inlineStr"/>
      <c r="G32" t="inlineStr">
        <is>
          <t>Sunnyvale, CA</t>
        </is>
      </c>
      <c r="H32" t="inlineStr"/>
      <c r="I32" t="inlineStr">
        <is>
          <t>**Description**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adopting or inventing new machine learning techniques, conducting rigorous experiments, publishing results,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fearless and with a passion for building scalable science and engineering solutions. You will serve as a key scientific resource in full\-cycle development (conception, design, implementation, testing to documentation, delivery, and maintenance).
**About The Team**
 The AGI team has a mission to push the envelope with multimodal LLMs and Gen AI in Computer Vision, in order to provide the best\-possible experience for our customers.
**Basic Qualifications**
 PhD with specialization in artificial intelligence, natural language processing, machine learning, or computational cognitive science 10\+ years of combined academic and research experience. Strong publication record in top\-tier journals and conferences. Functional thought leader, sought after for key tech decisions. Can successfully sell ideas to an executive level decision maker. Mentors and trains the research scientist community on complex technical issues. Experience developing software in traditional programming languages (C\+\+, Java, etc..). Excellent written and spoken communication skills
**Preferred Qualifications**
 Strong software development skills Experience working effectively with science, data processing, and software engineering teams Proven track record of innovation in creating novel algorithms and advancing the state of the art Entrepreneurial spirit combined with strong architectural and problem solving skills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\- 228,700\.00 \- 309,400\.00 USD annually
 USA, MA, BOSTON \- 198,900\.00 \- 269,000\.00 USD annually
 USA, MA, Boston \- 198,900\.00 \- 269,000\.00 USD annually
 USA, MA, Hudson \- 198,900\.00 \- 269,000\.00 USD annually
 USA, MA, Raynham \- 198,900\.00 \- 269,000\.00 USD annually
 USA, OR, Corvallis \- 198,900\.00 \- 269,000\.00 USD annually
 USA, WA, SEATTLE \- 198,900\.00 \- 269,000\.00 USD annually
 USA, WA, Seattle \- 198,900\.00 \- 269,000\.00 USD annually
**Company** 
 \- Amazon.com Services LLC
 Job ID: A2762609</t>
        </is>
      </c>
    </row>
    <row r="33">
      <c r="A33" t="inlineStr">
        <is>
          <t>li-4370183008</t>
        </is>
      </c>
      <c r="B33" t="inlineStr">
        <is>
          <t>Data Scientist</t>
        </is>
      </c>
      <c r="C33" t="inlineStr">
        <is>
          <t>Airbnb</t>
        </is>
      </c>
      <c r="D33" t="inlineStr">
        <is>
          <t>linkedin</t>
        </is>
      </c>
      <c r="E33" t="inlineStr"/>
      <c r="F33" t="inlineStr"/>
      <c r="G33" t="inlineStr"/>
      <c r="H33" t="inlineStr"/>
      <c r="I33" t="inlineStr">
        <is>
          <t>**About The Company**
 Airbnb was founded in 2007 when two hosts welcomed three guests to their San Francisco home. Since then, the company has experienced exponential growth and now boasts over 5 million hosts worldwide, facilitating more than 2 billion guest arrivals across nearly every country. Airbnb’s platform enables hosts to offer unique accommodations and experiences, fostering authentic connections between guests and local communities. The company's mission is to create a world where anyone can belong anywhere, providing travelers with personalized, memorable stays and experiences while empowering hosts to monetize their spaces and passions.
**About The Role**
 We are seeking a highly skilled and innovative Senior Data Scientist to join our Listing Understanding Data Science team. In this role, you will be instrumental in developing and deploying advanced computer vision and multimodal machine learning models aimed at enhancing listing comprehension. Your expertise will help improve how photos and listing attributes are understood and utilized within our platform, directly impacting guest search experiences, booking rates, and overall trip quality. You will work cross\-functionally with product managers, engineers, and designers to shape the future of listing understanding, leveraging data\-driven insights to guide strategic decisions. This is a hands\-on role that requires proficiency in prototyping, evaluating, and implementing machine learning models, as well as measuring their business impact through causal inference techniques.
**Qualifications**
* 9\+ years of industry experience in applied Machine Learning, with a focus on Computer Vision
* Proficiency with CV models such as CLIP, ViT, or similar architectures
* Expertise in causal inference and marketplace analytics
* Advanced degree in Computer Science, Statistics, Econometrics, or related field
* Strong programming skills in Python or R, with familiarity in SQL
* Experience in developing proof\-of\-concept prototypes and deploying ML models in production
* Deep understanding of ML best practices, including feature engineering, model selection, and evaluation
* Knowledge of gradient\-boosted trees, neural networks, and deep learning techniques
* Experience with A/B testing, skew minimization, and causal impact measurement
* Excellent cross\-functional communication skills with product, engineering, and design teams
* Passion for AI, continuous learning mindset, and active engagement with the technical community
**Responsibilities**
* Size business opportunities and develop strategic roadmaps for investments in computer vision and multimodal listing understanding
* Leverage visual and structured data to build, improve, and maintain listing understanding models
* Build causal models to analyze how photos influence guest search behavior, bookings, and trip quality
* Prototype, evaluate, and iterate on machine learning features in collaboration with engineering, product, and design teams
* Develop assessment frameworks to ensure the safety, effectiveness, and fairness of CV and multimodal models
* Measure the business impact of models through experimentation, causal analysis, and data\-driven insights
* Stay current with advancements in models like SoT, CLIP, ViT, and other state\-of\-the\-art techniques
* Communicate findings and technical recommendations clearly to cross\-functional partners
**Benefits**
* Competitive salary and performance\-based bonuses
* Equity options and stock grants
* Comprehensive health, dental, and vision insurance plans
* Flexible work arrangements, including remote work eligibility
* Generous paid time off and holidays
* Learning and development opportunities, including conferences and training
* Employee travel credits and discounts
* Inclusive and diverse workplace culture that values innovation and collaboration
 Equal Opportunity
 Airbnb is committed to fostering an inclusive environment where all individuals are treated with respect and dignity. We are an equal opportunity employer and do not discriminate based on race, ethnicity, gender, age, sexual orientation, disability, or any other protected characteristic. We encourage candidates from diverse backgrounds to apply and are dedicated to providing reasonable accommodations throughout the recruitment process to ensure equal access for all applicants.</t>
        </is>
      </c>
    </row>
    <row r="34">
      <c r="A34" t="inlineStr">
        <is>
          <t>li-4370034802</t>
        </is>
      </c>
      <c r="B34" t="inlineStr">
        <is>
          <t>Healthcare Data Scientist ML/AI</t>
        </is>
      </c>
      <c r="C34" t="inlineStr">
        <is>
          <t>HealMint AI</t>
        </is>
      </c>
      <c r="D34" t="inlineStr">
        <is>
          <t>linkedin</t>
        </is>
      </c>
      <c r="E34" t="inlineStr"/>
      <c r="F34" t="inlineStr"/>
      <c r="G34" t="inlineStr"/>
      <c r="H34" t="inlineStr"/>
      <c r="I34" t="inlineStr">
        <is>
          <t>**Company Description** 
 HealMint is revolutionizing wellness by creating a platform that integrates wearable data, AI\-driven health insights, and user\-controlled data infrastructure. Our mission is to convert raw biometric information into actionable guidance, empowering individuals to make informed decisions about their health. We prioritize transparency and aim to provide users with control and lasting value over their health data. At HealMint, innovation and user empowerment are at the forefront of our efforts to transform personal health management.
**Role Description** 
 This is a full\-time on\-site role for a Healthcare Data Scientist specializing in Machine Learning (ML) and Artificial Intelligence (AI). Located in the San Francisco Bay Area, the role involves:
* designing and implementing ML/AI models to analyze and process healthcare data,
* developing advanced data analytics and visualization solutions,
* creating predictive models, and
* collaborating with cross\-functional teams to derive meaningful insights.
 The position also requires constant exploration of cutting\-edge methodologies to enhance wellness recommendations provided by the platform.
**Qualifications** 
* Ability to write code in SQL, R, or Python for processing large datasets in distributed cloud environments, and experience in processing and analyzing healthcare data.
* Proficiency in Data Science techniques, including machine learning and predictive modeling
* Strong skills in Statistics and Data Analysis for interpreting complex health data
* Graduate level understanding of techniques in machine learning, knowledge representation, and artificial intelligence along with a strong understanding of statistics.Competence in Data Visualization tools and techniques to effectively communicate findings
* Experience working with clinicians and researchers across disciplines to develop approaches for use in clinical care.
* Strong problem\-solving abilities and attention to detail
* Bachelor's or Master's degree in Computer Science, Data Science, Biostatistics, or related field; a Ph.D. is a plus
 Compensation: $2000\-$3500 as a start</t>
        </is>
      </c>
    </row>
    <row r="35">
      <c r="A35" t="inlineStr">
        <is>
          <t>li-4370176239</t>
        </is>
      </c>
      <c r="B35" t="inlineStr">
        <is>
          <t>Data Scientist</t>
        </is>
      </c>
      <c r="C35" t="inlineStr">
        <is>
          <t>Target</t>
        </is>
      </c>
      <c r="D35" t="inlineStr">
        <is>
          <t>linkedin</t>
        </is>
      </c>
      <c r="E35" t="inlineStr"/>
      <c r="F35" t="inlineStr"/>
      <c r="G35" t="inlineStr"/>
      <c r="H35" t="inlineStr"/>
      <c r="I35" t="inlineStr">
        <is>
          <t>**About The Company**
 Working at Target means helping all families discover the joy of everyday life. We bring that vision to life through our core values and inclusive culture. Target is a leading retailer committed to providing exceptional shopping experiences and innovative solutions to our guests. Our mission is to make everyday moments more enjoyable and accessible for everyone. With a strong focus on community engagement, sustainability, and diversity, Target continuously strives to create a positive impact both internally and externally. Join us and be part of a dynamic organization that values teamwork, integrity, and innovation.
**About The Role**
 We are seeking a highly skilled Lead Data Scientist to join our Last Mile Operations Design team. In this role, you will be instrumental in accelerating omni\-channel experimentation and fostering a culture of continuous innovation within Target's supply chain and delivery services. Your primary focus will be on leveraging advanced data analytics, machine learning, and operations research to optimize supply chain decisions, enhance guest experiences, and improve carrier and courier operations. You will serve as a strategic partner across Product, Business Operations, and Engineering teams, advocating for data\-driven decision\-making and delivering actionable insights through scalable analytical solutions. This position offers an exciting opportunity to influence business strategies by designing and deploying predictive and prescriptive models that maximize the value of Target’s extensive data assets. The role requires a combination of technical expertise, business acumen, and excellent communication skills to translate complex data findings into compelling narratives and strategic recommendations.
**Qualifications**
* PhD or MS in Operations Research, Industrial Engineering, Computer Science, Mathematics, Statistics, Physics, or a related quantitative field
* 5\+ years of experience leading large\-scale implementations of supply chain optimization, simulation, and machine learning modeling
* Proficiency in programming languages such as Python, R, Kotlin, or Java
* Experience deploying high\-performance algorithms in production environments
* Strong knowledge of predictive and prescriptive modeling techniques and ML Ops practices
* Experience working with large, event\-driven distributed systems and multi\-threaded applications
* Proficiency in SQL, Hive, or similar data querying and management tools
* Ability to develop and maintain internal data tools for research and experimentation
* Expertise in advanced statistical techniques including regression, clustering, PCA, and time series forecasting
* Excellent written and verbal communication skills, with the ability to tell data\-driven stories through visualizations and narratives
* Self\-driven, results\-oriented, and capable of working effectively across teams and time zones
**Responsibilities**
* Serve as a champion of a data\-driven culture by promoting insights utilization across Product, Business Operations, and Engineering teams
* Develop and execute solutions to complex business problems using data analysis, mining, forecasting, optimization, and machine learning techniques
* Formulate clear problem statements, synthesize findings, and communicate insights compellingly to stakeholders
* Collaborate with product managers to design in\-product experiments, analyze results, and provide strategic recommendations
* Identify gaps in product offerings through comprehensive data analysis and support the advancement of predictive and prescriptive analytics capabilities
* Define key data metrics and KPIs for measuring success of new features and strategies, and coordinate with engineering teams for data tracking and instrumentation
* Optimize queries on large datasets to support operational research and business decision\-making
* Design and develop self\-service dashboards and visualization tools to enable stakeholders to derive actionable insights
* Democratize data and insights by delivering accessible tools and fostering a data\-informed decision\-making environment
* Stay updated with industry best practices and continuously improve analytical models and processes
**Benefits**
* Comprehensive health benefits including medical, vision, dental, and life insurance
* 401(k) retirement savings plan with company match
* Employee discounts and wellness programs
* Paid sick leave, national holidays, and vacation days
* Opportunities for professional development and growth
* Flexible work arrangements, including hybrid and remote options
* Supportive work environment promoting diversity and inclusion
 Pay range for this role is $132,000\.00 \- $286,000\.00, with compensation based on factors such as labor markets, education, work experience, and certifications. Target is committed to investing in its team members’ well\-being and offers comprehensive benefits to support their health and financial security.
 Equal Opportunity
 Target is an equal opportunity employer. We celebrate diversity and are committed to creating an inclusive environment for all employees. We do not discriminate based on race, color, religion, sex, national origin, age, disability, sexual orientation, gender identity, or any other protected status. We provide reasonable accommodations for qualified applicants with disabilities throughout the application and interview process, in accordance with applicable laws.</t>
        </is>
      </c>
    </row>
    <row r="36">
      <c r="A36" t="inlineStr">
        <is>
          <t>li-4361744126</t>
        </is>
      </c>
      <c r="B36" t="inlineStr">
        <is>
          <t>AI-First Data Scientist</t>
        </is>
      </c>
      <c r="C36" t="inlineStr">
        <is>
          <t>ChatGPT Jobs</t>
        </is>
      </c>
      <c r="D36" t="inlineStr">
        <is>
          <t>linkedin</t>
        </is>
      </c>
      <c r="E36" t="inlineStr"/>
      <c r="F36" t="inlineStr"/>
      <c r="G36" t="inlineStr"/>
      <c r="H36" t="inlineStr"/>
      <c r="I36" t="inlineStr">
        <is>
          <t>**Job Description**
 AI\-First Data Scientist
 CSC Generation
 Remote Nationwide
 Full\-Time
**Job Description**
 CSC Generation is building an AI\-driven retail operating system. Our brands—including Sur La Table, One Kings Lane, and Backcountry—rely on intelligent decision\-making rooted in data. We're hiring an AI\-First Data Analyst who combines statistical know\-how with AI tooling and automation instincts.
 This is a technical, hands\-on role. You’ll build causal models, apply advanced machine learning techniques (e.g., Double ML), and develop internal data tools.
**What You Get To Do Every Day:**
* Conduct causal analysis and treatment effect estimation to guide high\-stakes decisions.
* Build AI\-powered internal tools that automate analytical tasks and surface insights.
* Develop and own dashboards and data pipelines.
* Partner directly with business leaders to translate questions into testable hypotheses.
* Identify opportunities to automate recurring analyses via custom GPTs, scripts, or workflow platforms like n8n.
* Work closely with engineering and data platform teams to improve data cleanliness, accessibility, and documentation.
**What You Bring To The Role:**
* 1–3 years of experience in data science, quantitative analysis, or machine learning.
* Bachelor’s or Master’s degree in Statistics, Economics, Computer Science, Data Science, or a related quantitative field.
* Expertise in causal inference frameworks—especially Double ML, A/B testing, and other counterfactual methods.
* Strong coding skills in Python or R; experience with SQL, Jupyter, and version control (Git).
* Comfortable building data pipelines and working with large datasets.
* Proficiency with AI tools such as ChatGPT, Claude, or custom GPTs.
* Curious, fast\-learning, and deeply motivated to solve business problems through analysis and automation.
* Experience with workflow automation (e.g., n8n, Make, Zapier) is a plus.
 What’s in it for you?
* Executive Access: Work directly with brand CEOs and senior leadership.
* AI\-First Skill Building:Get hands\-on with the most advanced AI tools in the market.
* Accelerated Career Path:High performers are quickly entrusted with greater responsibility.
* Competitive benefits:Paid time off policies, 401(k)/RRSP match, medical/dental/vision, and employee discounts.
 For US\-based candidates, this posting is intended for candidates that reside in the following states: AZ, DE, FL, GA, IN, LA, MI, MS, MO, NV, NC, OK, OR, PA, TN, TX, UT, VA, WV, WI, and WY.</t>
        </is>
      </c>
    </row>
    <row r="37">
      <c r="A37" t="inlineStr">
        <is>
          <t>li-4361735052</t>
        </is>
      </c>
      <c r="B37" t="inlineStr">
        <is>
          <t>Senior Data Scientist / Machine Learning Engineer</t>
        </is>
      </c>
      <c r="C37" t="inlineStr">
        <is>
          <t>ChatGPT Jobs</t>
        </is>
      </c>
      <c r="D37" t="inlineStr">
        <is>
          <t>linkedin</t>
        </is>
      </c>
      <c r="E37" t="inlineStr"/>
      <c r="F37" t="inlineStr"/>
      <c r="G37" t="inlineStr">
        <is>
          <t>New York, NY</t>
        </is>
      </c>
      <c r="H37" t="inlineStr"/>
      <c r="I37" t="inlineStr">
        <is>
          <t>**Job Description**
 Senior Data Scientist
**Location:** 
 Manhattan, NY
* On\-site, Remote
**Pay:** 
 $50 \- $58/hr
**Type:** 
 Contractor
**Posted:** 
 15 hours ago
**Job Description**
**Job Title:** 
 Senior Data Scientist / Machine Learning Engineer
**Job Location:** 
 Hybrid; 3 days onsite in New York, NY, 2 days remote
**Job Type:** 
 Contract, 12 months\+
**Pay Rate Range:** 
 $50\-$58/hr W2 (depending on experience)
**Interview Mode:** 
 First Round remote, 2nd onsite
**Job Summary:** 
 Our Fortune 500 client is seeking a highly skilled Senior Data Scientist / Machine Learning Engineer to design, build, and maintain advanced analytics and machine learning solutions that drive diagnostic and predictive insights. This role blends hands\-on data science, ML engineering, and MLOps, with a strong focus on developing production\-ready models, ensuring data quality, and translating complex data into actionable insights for both technical and non\-technical stakeholders. The ideal candidate brings deep experience in Python, SQL, PySpark, Azure Databricks, machine learning, and modern AI techniques, along with the ability to collaborate cross\-functionally with Data Engineering, Analytics, and Architecture teams.
 Key Responsibilities
* Advanced Analytics \&amp; Machine Learning: Design, develop, and optimize machine learning models including forecasting, classification, and clustering solutions. Apply data mining and statistical techniques to uncover trends, patterns, and insights from large, complex datasets. Perform feature engineering, model training, validation, and performance tuning. Explore and deploy modern AI, GenAI, and NLP approaches to enhance automation and analytical capabilities. Support A/B testing and experimental design to evaluate model and business performance.
* Data Preparation \&amp; Quality: Prepare and analyze structured and unstructured data for advanced analytics and modeling. Develop scripts and tools for data cleansing, validation, enrichment, and transformation. Partner with Data Engineering to ensure efficient, reliable data pipelines and scalable data access. Identify data quality issues, perform root cause analysis, and recommend remediation strategies. Troubleshoot and resolve dashboard and reporting data issues to ensure accuracy and consistency.
* MLOps \&amp; Engineering: Design, deploy, and maintain production\-grade machine learning models. Apply MLOps best practices for model versioning, monitoring, retraining, and performance tracking. Write high\-quality, maintainable code following software engineering best practices. Leverage cloud\-based infrastructure to support scalable analytics and ML workloads.
* Analytics, Insights \&amp; Reporting: Conduct deep\-dive analyses to support diagnostic, predictive, and prescriptive use cases. Communicate complex analytical findings in clear, concise terms to both technical and business audiences. Support the development of dashboards, metrics, and analytical solutions using tools such as Power BI and DAX.
* Cross\-Functional Collaboration: Work closely with architects, engineers, analysts, and business stakeholders to define analytical requirements. Contribute to conceptual data model design, workflow optimization, and analytics standards. Promote best practices in data science, machine learning, analytics, and data governance.
**Required Qualifications**
* Bachelor's or Master's degree in Computer Science, Data Science, Machine Learning, Statistics, Mathematics, or a related field.
* 7\+ years of experience in data science and machine learning engineering.
* Strong experience with machine learning algorithms, predictive modeling, and data mining.
* Proficiency in Python (required) for data science and ML workloads.
* Strong SQL (required) skills with relational databases.
* Proficiency in PySpark (required) for large\-scale data processing.
* Experience with Azure Databricks, Oracle, and modern data science libraries such as scikit\-learn, pandas, and NumPy.
* Experience with GenAI and large language models.
* Hands\-on experience with MLOps and deploying ML models into production.
* Experience with Natural Language Processing (NLP).
* Minimum 3 years of experience with data visualization tools such as Power BI, including DAX queries and best practices.
* Strong ability to interpret complex datasets and produce actionable insights.
* Excellent communication, analytical, and problem\-solving skills.
**Preferred Qualifications**
* Knowledge of statistical methods and experimental design.
* Experience with A/B testing frameworks.
* Familiarity with cloud\-native analytics and ML infrastructure.</t>
        </is>
      </c>
    </row>
    <row r="38">
      <c r="A38" t="inlineStr">
        <is>
          <t>li-4370032685</t>
        </is>
      </c>
      <c r="B38" t="inlineStr">
        <is>
          <t>Staff Data Scientist</t>
        </is>
      </c>
      <c r="C38" t="inlineStr">
        <is>
          <t>CSC Generation</t>
        </is>
      </c>
      <c r="D38" t="inlineStr">
        <is>
          <t>linkedin</t>
        </is>
      </c>
      <c r="E38" t="inlineStr"/>
      <c r="F38" t="inlineStr"/>
      <c r="G38" t="inlineStr"/>
      <c r="H38" t="inlineStr"/>
      <c r="I38" t="inlineStr">
        <is>
          <t>CSC Generation is the AI\-native holding company re\-engineering omni\-channel retail. We acquire iconic brands and transform them with Genesis—our operating platform unifying a Data Fabric, Automation Engine, proprietary tools, and shared services—to modernize operations, elevate customer experience, and expand margins.
 With $1B\+ in revenue across 13 brands, our portfolio includes Sur La Table, Backcountry, One Kings Lane, and more—premier home and outdoor banners that double as real\-world innovation hubs. CSC Generation continues to grow through M\&amp;A, revitalizing companies with strong brand recognition and loyal customers.
 We are looking for a
 **Staff Data Scientist** 
 to lead the development of production\-grade machine learning solutions that drive measurable business impact.
 This is a
 **senior individual contributor role** 
 requiring deep technical expertise, independent judgment, and the ability to influence cross\-functional teams. You will own complex, ambiguous problems end\-to\-end, from problem framing through deployment and iteration.
**Key Responsibilities – Technical Leadership:**
* Lead the design and development of ML systems that solve complex, ambiguous business problems
* Make sound technical decisions on model architecture, evaluation methodology, and tradeoffs
* Set standards for model validation, testing, and monitoring across the team
* Identify when "good enough" is appropriate vs. when deeper investment is warranted
* Debug and troubleshoot models that fail in production \- understand why they fail, not just that they fail
**Key Responsibilities – End\-to\-End Model Development \&amp; Evaluation:**
* Frame business problems as well\-defined ML tasks with clear success criteria
* Build robust predictive models (classification, regression, time series, causal inference)
* Implement rigorous train/validation/test methodology to ensure real\-world generalization
* Identify and prevent data leakage, overfitting, and other failure modes before they reach production
* Define metrics that align model performance with actual business outcomes
* Conduct holdout testing on true out\-of\-sample data \- recognize when CV metrics are misleading
* Design and analyze experiments to measure causal impact
* Communicate model limitations, uncertainty, and risk to technical and non\-technical stakeholders
**Key Responsibilities – Influence \&amp; Collaboration:**
* Partner with product, engineering, and business teams to ensure ML solutions solve real problems
* Translate complex technical concepts into actionable recommendations for stakeholders
* Contribute to hiring and technical interviews
**Required Qualifications:**
* MS in a quantitative field (Statistics, Computer Science, Operations Research or related discipline)
* 7\+ years applied ML / data science experience
* Expert\-level proficiency in Python / R, and SQL
* Familiarity with cloud data \&amp; ML platforms (GCP/Vertex AI, AWS/SageMaker)
* Proven track record of building production ML systems that delivered measurable business impact
* Deep understanding of model evaluation methodology, experimental design, and causal inference
* Ability to work with messy, incomplete, real\-world data and make pragmatic tradeoffs
* Strong communication and influence skills
* Self\-directed and autonomous
**Preferred Qualifications:**
* Hands\-on experience in e\-commerce retail and pricing
* PhD in a quantitative field
* Track record of mentoring junior data scientists and leading technical projects
**What We're NOT Looking For**
* Someone who only knows how to call .fit() and .predict() without understanding the underlying mechanics
* Someone who builds black\-box models they can't explain, debug, or defend
* Someone who needs detailed instructions or hand\-holding for ambiguous problems
* Someone who over\-engineers solutions when a simple approach would suffice
 For US\-based candidates, this posting is intended for candidates that reside in the following states:
 AZ, DE, FL, GA, IN, LA, MI, MS, MO, NV, NC, OK, PA, TN, TX, UT, WV, WI, and WY.
 Our preference is for candidates who reside near our hubs in Northwest Indiana, Austin, Texas, and Toronto, Ontario.
 Washington state applicants only: If you believe that this job posting does not comply with applicable Washington state law, please notify us by sending an email to \[email protected] .
 The CSC family of brands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provincial, state or local laws.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Washington state applicants only: If you believe that this job posting does not comply with applicable Washington state law, please notify us by sending an email to \[email protected] .
 It is unlawful in Massachusetts to require or administer a lie\-detector test as a condition of employment or continued employment. An employer who violates this law shall be subject to criminal penalties and civil liability.
 The CSC family of brands is committed to providing reasonable accommodations for qualified individuals with disabilities in our job application procedures. If you need assistance or an accommodation due to a disability, please contact \[email protected] .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39">
      <c r="A39" t="inlineStr">
        <is>
          <t>li-4370175620</t>
        </is>
      </c>
      <c r="B39" t="inlineStr">
        <is>
          <t>Data Scientist Senior Associate - Regulatory Operations</t>
        </is>
      </c>
      <c r="C39" t="inlineStr">
        <is>
          <t>JPMorganChase</t>
        </is>
      </c>
      <c r="D39" t="inlineStr">
        <is>
          <t>linkedin</t>
        </is>
      </c>
      <c r="E39" t="inlineStr"/>
      <c r="F39" t="inlineStr"/>
      <c r="G39" t="inlineStr">
        <is>
          <t>Plano, TX</t>
        </is>
      </c>
      <c r="H39" t="inlineStr"/>
      <c r="I39" t="inlineStr">
        <is>
          <t>**Job Description**
 Join our Regulatory Services Reporting \&amp; Analytics team as a Data Scientist Associate Senior and help shape the future of data\-driven decision making at JPMorgan Chase.
 As a Data Scientist Senior Associate in Regulatory Services Reporting \&amp; Analytics team, you will spearhead data\-driven initiatives by designing and implementing advanced analytics solutions including AI, machine learning, and large language models to achieve operational efficiency. You will require a deep expertise in statistical analysis, data science, and automation, along with strong proficiency in Python, and data visualization tools. You will work collaboratively with stakeholders across multiple functions and lines of business, leveraging consulting skills and analytical expertise to deliver actionable insights and drive process improvements.
**Job Responsibilities**
* Apply strategic, data science and quantitative skills within Regulatory Operations.
* Engage stakeholders and consolidate partnerships to continuously understand business drivers, goals, priorities and opportunities.
* Develop knowledge of operational processes managed within the pillar and help uncover opportunities using advanced analytics (AI/ML/LLM), research, and automation.
* Partner with subject matter experts and management to deliver automation solutions from idea conception through implementation.
* Manage data science and analytics strategies including recommendations on analytical products, services, protocols, and standards across the firm.
* Invent creative and innovative ways to answer key business questions by leveraging advanced analytics (AI/ML/LLM) \&amp; automation ; to improve efficiency and productivity of business user through automation and self\-service.
* Decrease the analytics development lifecycle and increase the velocity at which analysts can disseminate insights.
* Socialize, promote and support the implementation of the analytic solutions, working with teams across all business units to identify and recommend ways to leverage it for specific deliverables, including automation solutions, dashboards, reports, Ad\-hoc requests, deep dives, Industry study research etc.
* Be a storyteller capable of delivering practical data insights in a compelling manner actionable by senior leadership using presentations, discussions, and visualizations.
**Required Qualifications, Capabilities, And Skills**
* Bachelor’s degree in relevant quantitative field (e.g., Statistics, Economics, Applied Math, Operations Research, Physics, Data Science fields).
* Strong understanding of math behind machine learning algos.
* Demonstrated experience in modern data mining, quantitative research, and data science techniques (e.g., machine learning, behavioral analytics).
* Able to work in large and medium sized project teams, as self\-directed contributor with a proven track record of being detail orientated, innovative, creative, and strategic.
* Be a team player who can help build around other people’s work and can be a strong collaborator.
* Experience working across multiple database platforms, both on premises, such as Teradata, Oracle, Hadoop, as well as on Cloud solutions such as AWS and Snowflake
* Demonstrated experience with process automation using tools such as Alteryx, Python, R, Tableau, SAS, SQL/PLSQL, VBA, SharePoint and other Business Intelligence tools.
* Demonstrated experience conducting data analysis with ability to tell compelling stories using data.
**Preferred Qualifications, Capabilities, And Skills**
* Financial services background
* M.S. equivalent
* Bachelor’s degree in a relevant quantitative field
* 4\+ years of data analytics experience or advanced degree in an analytical field
* Experience in recommendation systems
**This role is not eligible for visa sponsorship. This role is 5 days a week fully in\-office.**
**About Us**
 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Equal Opportunity Employer/Disability/Veterans
**About The Team**
 Our Consumer \&amp;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
 The CCB Data \&amp; Analytics team responsibly leverages data across Chase to build competitive advantages for the businesses while providing value and protection for customers. The team encompasses a variety of disciplines from data governance and strategy to reporting, data science and machine learning. We have a strong partnership with Technology, which provides cutting edge data and analytics infrastructure. The team powers Chase with insights to create the best customer and business outcomes.</t>
        </is>
      </c>
    </row>
    <row r="40">
      <c r="A40" t="inlineStr">
        <is>
          <t>li-4370042055</t>
        </is>
      </c>
      <c r="B40" t="inlineStr">
        <is>
          <t>Data Scientist</t>
        </is>
      </c>
      <c r="C40" t="inlineStr">
        <is>
          <t>Jobs via Dice</t>
        </is>
      </c>
      <c r="D40" t="inlineStr">
        <is>
          <t>linkedin</t>
        </is>
      </c>
      <c r="E40" t="inlineStr"/>
      <c r="F40" t="inlineStr"/>
      <c r="G40" t="inlineStr">
        <is>
          <t>Redmond, WA</t>
        </is>
      </c>
      <c r="H40" t="inlineStr"/>
      <c r="I40" t="inlineStr">
        <is>
          <t>**Description**
 PROJECT OVERVIEW:
 This project delivers new liquid\-cooling\-related detections to two major site types: retrofit HRU installations and new build CDU systems. Work centers on taking existing detection frameworks, onboarding telemetry, validating signal quality, and customizing logic for each environment\-then deploying through established engineering and solutions channels. The work is not greenfield development; instead, it is rapid execution through Experimentation Productization Operationalization using existing platforms and processes.
 THIS ROLE'S CONTRIBUTION:
 This role focuses on analyzing time\-series telemetry from liquid\-cooling subsystems (CDU/HRU) to confirm whether the signals meaningfully support new detection logic. The Data Scientist prototypes logic, performs backfill validation, transforms datasets, and helps define what "correct" looks like before deployment. They also create visuals and narratives that let engineering understand system behavior quickly. Strong practical statistics and data plumbing ability are more important than deep machine learning.
 The DS is the analytical engine of the team\-interpreting telemetry, identifying signal patterns, validating detection feasibility, and designing clean, actionable datasets. Their output enables developers to build robust detections and allows engineering to trust that the logic is grounded in real system behavior.
 TOP SKILLS:
* 3\-5 YOE Advanced KQL \- Time\-series analysis
* make\-series, decompose, anomaly operators
* python experience is necessary for analysis
* MUST HAVE demonstrated analysis experience with large (wide \&amp; long) data sets
* 8\+ YOE Data plumbing \&amp; transformation
* assembling, cleansing, reshaping, and validating complex datasets \- providing prototypes that developer partners can convert into logic.
* large\-scale, high\-volume telemetry formatting/transformation
* 5\+ YOE Applied Statistical Reasoning
* variance, distributions, IQR, pdfs, deviations; ability to reason about data quality and correctness.
* ability to rapidly falsify assumptions, choose correct statistical tools (not trial\-and\-error), and reason about distributions, variance, PDFs, covariance, and frequency patterns
 DAY TO DAY RESPONSIBILITIES:
 Analyze raw time\-series telemetry (temperature, flow, pressure, pump speed, etc.) for correctness and signal reliability.
 Perform practical statistics: variance, distributions, percentiles, anomaly patterns, IQR, deviations, etc.
 Build and transform datasets (wide long, long wide), perform data wrangling, cleansing, and aliasing.
 Write advanced KQL using make\-series, make\-list, decompose\-series, etc. for rapid signal exploration.
 Use Python (as needed) for deeper transformations, prototyping, or validation scripts.
 Prototype detection logic, validate with backfill tests, and document expected behavior.
 Produce clear visual narratives explaining trends, anomalies, and correctness for engineering teams.
 Partner with developers to ensure logic is ready for deployment, and with PM to align on acceptance criteria. \-\-\&gt; TELL THE STORY
* Work in ADO Boards to track work
* Review low\-code/no code detection pipelines
**Skills**
 kusto, KQL, Sql, data transformation, data plumbing, practical statistics, telemetry, python, data center, telecom, utilities, machine learning, CRAC, CRAH
**Job Type \&amp; Location**
 This is a Contract position based out of Redmond, WA.
**Pay And Benefits**
 The pay range for this position is $55\.00 \- $65\.00/hr.
 Eligibility requirements apply to some benefits and may depend on your job classification and length of employment. Benefits are subject to change and may be subject to specific elections, plan, or program terms. If eligible, the benefits available for this temporary role may include the following: Medical, dental \&amp; vision Critical Illness, Accident, and Hospital 401(k) Retirement Plan \- Pre\-tax and Roth post\-tax contributions available Life Insurance (Voluntary Life \&amp; AD\&amp;D for the employee and dependents) Short and long\-term disability Health Spending Account (HSA) Transportation benefits Employee Assistance Program Time Off/Leave (PTO, Vacation or Sick Leave)
**Workplace Type**
 This is a fully remote position.
**Application Deadline**
 This position is anticipated to close on Feb 14, 2026\.
 \&gt;About TEKsystems:
 We're partners in transformation. We help clients activate ideas and solutions to take advantage of a new world of opportunity. We are a team of 80,000 strong, working with over 6,000 clients, including 80% of the Fortune 500, across North America, Europe and Asia. As an industry leader in Full\-Stack Technology Services, Talent Services, and real\-world application, we work with progressive leaders to drive change. That's the power of true partnership. TEKsystems is an Allegis Group company.
 The company is an equal opportunity employer and will consider all applications without regards to race, sex, age, color, religion, national origin, veteran status, disability, sexual orientation, gender identity, genetic information or any characteristic protected by law.
**About TEKsystems And TEKsystems Global Services**
 We're a leading provider of business and technology services. We accelerate business transformation for our customers. Our expertise in strategy, design, execution and operations unlocks business value through a range of solutions. We're a team of 80,000 strong, working with over 6,000 customers, including 80% of the Fortune 500 across North America, Europe and Asia, who partner with us for our scale, full\-stack capabilities and speed. We're strategic thinkers, hands\-on collaborators, helping customers capitalize on change and master the momentum of technology. We're building tomorrow by delivering business outcomes and making positive impacts in our global communities. TEKsystems and TEKsystems Global Services are Allegis Group companies. Learn more at TEKsystems.com.
 The company is an equal opportunity employer and will consider all applications without regard to race, sex, age, color, religion, national origin, veteran status, disability, sexual orientation, gender identity, genetic information or any characteristic protected by law.</t>
        </is>
      </c>
    </row>
    <row r="41">
      <c r="A41" t="inlineStr">
        <is>
          <t>li-4368997503</t>
        </is>
      </c>
      <c r="B41" t="inlineStr">
        <is>
          <t>Data Scientist (Associate or Experienced)</t>
        </is>
      </c>
      <c r="C41" t="inlineStr">
        <is>
          <t>Jobs via Dice</t>
        </is>
      </c>
      <c r="D41" t="inlineStr">
        <is>
          <t>linkedin</t>
        </is>
      </c>
      <c r="E41" t="inlineStr"/>
      <c r="F41" t="inlineStr"/>
      <c r="G41" t="inlineStr">
        <is>
          <t>Everett, WA</t>
        </is>
      </c>
      <c r="H41" t="inlineStr"/>
      <c r="I41" t="inlineStr">
        <is>
          <t>**Company:**
 The Boeing Company
**Airplane Systems Integration is looking for a Data Scientist (Associate or Experienced) to join our team in Everett, WA.**
**Position Overview:**
 The Data Scientist will develop and build next generation Artificial Intelligence (AI) and Machine Learning (ML) products and services. This position will work effectively with cross\-functional teams and technical leads to determining, defining, and deploying analytics solutions to meet business goals.
**Primary Responsibilities:**
 You will be responsible for extracting valuable insights from complex datasets, identifying patterns, trends, and anomalies, and developing predictive models to support strategic decision\-making across the organization. You will collaborate closely with cross\-functional teams to design and implement data\-driven solutions that address business challenges and drive continuous improvement. Seeking someone with strong enthusiasm to learn new technologies and expand related skillsets.
* Analyze large\-scale time\-series and tabular datasets to extract meaningful insights and identify actionable opportunities.
* Develop and implement advanced statistical models, machine learning algorithms, and forecasting techniques to predict future trends and outcomes.
* Design and execute experiments to evaluate model performance, validate hypotheses, and optimize algorithms for accuracy and efficiency.
* Collaborate with stakeholders to define business requirements, prioritize analytical projects, and translate findings into actionable recommendations.
* Build and maintain robust data pipelines and automated workflows to streamline data collection, preprocessing, and analysis processes.
* Perform necessary data preparation and enhancements to models
* Evaluate technologies, assist in identifying capabilities gaps, develop and teach best practices and technology standards, and work alongside the rest of the global data scientists and technical leads in Analytics organization
* Communicate complex technical concepts and analytical findings to non\-technical stakeholders through clear and concise presentations, reports, and visualizations.
* Stay abreast of the latest developments in data science, machine learning, and statistical techniques, and evaluate their potential impact on business objectives.
* Contribute to technical documentation.
**Work Authorization:**
 This position is expected to be 100% onsite. The selected candidate will be required to work onsite at Everett, WA location.
**Basic Qualifications (Required Skills/ Experience):**
* Bachelor's or advanced degree in Computer Science, Statistics, Mathematics, Engineering, or a related field.
* 1\+ years of experience working with projects, teams, and/or leaders in the analytics and/or data science space
* 1\+ years of experience researching and applying large language and generative AI models
* 1\+ years of experience with various machine learning methods such as regression, clustering, classification, decision trees, natural language processing, ensemble methods, support vector machines (SVM), deep learning, reinforcement learning, etc.
* 1\+ years of experience in designing and implementing Natural Language Processing (NLP) models using machine learning techniques including neural networks, deep learning and transformer architectures
**Preferred Qualifications (Desired Skills/Experience):**
* Master's or Ph.D. degree in Engineering, Computer Science, or Math etc.
* Preferably experiences in Data processing and database programming skills, such as SQL or NoSQL
* Strong understanding of statistical concepts, hypothesis testing, regression analysis, time\-series modeling, and machine learning algorithms.
* Solid understanding of database systems, SQL, and data manipulation techniques for extracting, transforming, and loading (ETL) data.
* Experience supporting an AI or ML development team
* Proficiency in programming languages such as Python, and experience with libraries/frameworks such as pandas, NumPy, scikit\-learn, TensorFlow, or PyTorch.
* Level 3: 5 or more years' related work experience or an equivalent combination of education and experience
**Conflict of Interest**
 Successful candidates for this job must satisfy the Company's Conflict of Interest (COI) assessment process.
**Drug Free Workplace:**
 Boeing is a Drug Free Workplace where post offer applicants and employees are subject to testing for marijuana, cocaine, opioids, amphetamines, PCP, and alcohol when criteria is met as outlined in our policies.
**Union:**
 This is not a union\-represented position.
**Pay and Benefits:**
 At Boeing, we strive to deliver a Total Rewards package that will attract, engage and retain the top talent. Elements of the Total Rewards package include competitive base pay and variable compensation opportunities.
 The Boeing Company also provides eligible employees with an opportunity to enroll in a variety of benefit programs, generally including health insurance, flexible spending accounts, health savings accounts, retirement savings plans, life and disability insurance programs, and a number of programs that provide for both paid and unpaid time away from work.
 The specific programs and options available to any given employee may vary depending on eligibility factors such as geographic location, date of hire, and the applicability of collective bargaining agreements.
**Pay is based upon candidate experience and qualifications, as well as market and business considerations.**
**Summary Pay Range** 
 :
 Associate (Level 2\): $108,800 \- $147,200
 Experienced (Level 3\): $137,700 \- $186,300
**Language Requirements:**
 Not Applicable
**Education:**
 Bachelor's Degree or Equivalent
**Relocation:**
 This position offers relocation based on candidate eligibility.
**Export Control Requirement:**
 This is not an Export Control position.
**Safety Sensitive:**
 This is not a Safety Sensitive Position.
**Security Clearance:**
 This position does not require a Security Clearance.
**Visa Sponsorship:**
 Employer willing to sponsor applicants for employment visa status.
**Contingent Upon Award Program**
 This position is not contingent upon program award
**Shift:**
 Shift 1 (United States of America)
**Stay safe from recruitment fraud! The only way to apply for a position at Boeing is via our Careers website. Learn how to protect yourself from recruitment fraud** 
 \- Recruitment Fraud Warning
 Boeing is an Equal Opportunity Employer. Employment decisions are made without regard to race, color, religion, national origin, gender, sexual orientation, gender identity, age, physical or mental disability, genetic factors, military/veteran status or other characteristics protected by law.
 EEO is the law
 Boeing EEO Policy
 Request an Accommodation
 Applicant Privacy
**Boeing Participates in E \- Verify**
* E\-Verify (English)
* E\-Verify (Spanish)
**Right to Work Statement**
* Right to Work (English)
* Right to Work (Spanish)</t>
        </is>
      </c>
    </row>
    <row r="42">
      <c r="A42" t="inlineStr">
        <is>
          <t>li-4368729301</t>
        </is>
      </c>
      <c r="B42" t="inlineStr">
        <is>
          <t>Data Scientist - Mid Level</t>
        </is>
      </c>
      <c r="C42" t="inlineStr">
        <is>
          <t>Jobs via Dice</t>
        </is>
      </c>
      <c r="D42" t="inlineStr">
        <is>
          <t>linkedin</t>
        </is>
      </c>
      <c r="E42" t="inlineStr"/>
      <c r="F42" t="inlineStr"/>
      <c r="G42" t="inlineStr">
        <is>
          <t>Springfield, VA</t>
        </is>
      </c>
      <c r="H42" t="inlineStr"/>
      <c r="I42" t="inlineStr">
        <is>
          <t>Leidos is actively interviewing for a Mid Level Data Scientist to join our team in Springfield, VA.
 This new team member will work with staff to collect, process, and perform data analysis and deliver data driven solutions to quantitative improve the mission area of Maritime Features. Surface, Publications, Events, Dissemination, Source Assessment, and Metrics.
**Duties** 
 :
* Collect process data and perform data analysis.
* Integrate centralized protect and maintain data in DBMS.
* Clean massage and organized data.
* Perform ad hoc analysis and present results in a clear manner.
* Communicate complex quantitative analysis in a clear, precise and actionable manner using storytelling/visualization.
* Assist with creation/deployment/maintenance of cloud applications to support migration of data and production processes
* Assist with creation/maintenance of tools to extract features data and meta\-data from a variety of sources, including Raster to vector\-to\-vector text to vector and text database.
* Write/maintain Python scripts in Arc GIS to improve efficiency of the production process.
* Assist in providing support to Business Processing Re\-engineering.
* Perform Data Conversion/migration
* Assist with development and performance of automated Business Analytics.
**Skills And Experience**
**Required**
* Typically requires a BA degree and 4 \- 8 years of prior relevant experience or Master's with 2 \- 6 years of prior relevant experience.
* 1 \- 3 years of experience in data science, including the areas of data collection processing exploitation, transformation services, modeling, and analytics.
* 1 \- 3 years of experience, using Tableau or equivalent Business Intelligence software and software server functions.
* 3 \- 5 years of demonstrated programming skills with the ability to write/maintain scripts, including Python and Java, scripts and familiar familiarity of querying with SQL. Knowledge and experience using developing code using versions control tools like get advance, knowledge and data science, including the areas of data services, modeling, and analytics.
**Desired**
* 1 \- 3 years of demonstrated experience performing geospatial data management, including data type conversions coordinate systems in (latitude and longitude, UTM) and their conversions and knowledge of projections and their properties/conversions.
* Experience in combining digital cartography, computer, technology, GIS, cartographic and geospatial, production techniques, remote, sensing photography and digital data formats.
* Experience building dashboards/websites portraying data analytics.
* Experience cleansing, structuring, large sets of data.
* Experience performing data analysis to examine data from a variety of angles to determine hidden values, weaknesses, trends, and or opportunities next line knowledge of ESRI, ArcGIS/ArcPro and Arc Server
* Experience with ESRI Workflow Manager, WMX and TAM
* Knowledge of database systems and architecture
* Ability writing SQL.
* Understanding, cloud architecture, and Dev Ops.
* Knowledge of symbolization rules.
* Knowledge of generalization rules.
* Experience working with geospatial data in multiuser enterprise environment.
* Minimum 2 years of experience working with data quality control, tools, including ArcGIS data reviewer
* Knowledge of metrics dissemination.
* Familiarity with emerging Artificial Intelligence (AI) technologies, tools, and methodologies, with an understanding of their applications, implications, and integration into daily geospatial and intelligence workflows.
* Ability to convert structure data into structured Data
 If you're looking for comfort, keep scrolling. At Leidos, we outthink, outbuild, and outpace the status quo \- because the mission demands it. We're not hiring followers. We're recruiting the ones who disrupt, provoke, and refuse to fail. Step 10 is ancient history. We're already at step 30 \- and moving faster than anyone else dares.
****Original Posting:****
 January 28, 2026
 For U.S. Positions: While subject to change based on business needs, Leidos reasonably anticipates that this job requisition will remain open for at least 3 days with an anticipated close date of no earlier than 3 days after the original posting date as listed above.
****Pay Range:****
 Pay Range $73,450\.00 \- $132,775\.00
 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t>
        </is>
      </c>
    </row>
    <row r="43">
      <c r="A43" t="inlineStr">
        <is>
          <t>li-4370029775</t>
        </is>
      </c>
      <c r="B43" t="inlineStr">
        <is>
          <t>Senior Data Scientist - Applied AI</t>
        </is>
      </c>
      <c r="C43" t="inlineStr">
        <is>
          <t>Blackbaud</t>
        </is>
      </c>
      <c r="D43" t="inlineStr">
        <is>
          <t>linkedin</t>
        </is>
      </c>
      <c r="E43" t="inlineStr"/>
      <c r="F43" t="inlineStr"/>
      <c r="G43" t="inlineStr">
        <is>
          <t>Charleston, SC</t>
        </is>
      </c>
      <c r="H43" t="inlineStr"/>
      <c r="I43" t="inlineStr">
        <is>
          <t>**Senior Data Scientist – Applied AI**
 Blackbaud is seeking a high\-performing Senior Data Scientist to champion and accelerate AI innovation in product development. The senior data scientist will collaborate closely with the data science team, engineering teams, and product managers to design and evaluate next generation AI solutions that deliver measurable impact to customers while meeting high standards for trust, transparency, and responsibility.
 This role will solve complex problems, applying the right approach to each problem – ranging from machine learning to Retrieval\-Augmented\-Generation (RAG), selective fine\-tuning, or task\-specific small language models (SLMs), based on impact, risk, cost, and operational context.
**What You’ll Do**
* Frame business and customer problems into responsible data science and ML solutions.
* Design, train, and evaluate models across a range of techniques, selecting the appropriate fit (rules, classical ML, RAG, fine\-tuning, SLMs) based on problem fit.
* Design and curate high\-quality datasets for modeling and evaluation.
* Define success metrics and evaluation approaches, including human\-in\-the\-loop where appropriate.
* Clearly articulate tradeoffs between approaches (accuracy, explainability, cost, latency, risk).
* Perform error analysis to understand model behavior, bias, and failure modes.
* Partner with product management, AI platform engineering, engineering, and governance teams to operationalize solutions responsibly.
* Contribute to model documentation, transparency, artifacts, and ongoing risk management.
* Improve AI processes through iterative testing, monitoring, measurement, and automation.
* Present key findings and insights clearly to technical and non\-technical audiences at various levels of the organization.
* Mentor other team members in data science methodologies and participate in cross\-team trainings.
* Stay abreast of the latest advancements in data and AI technologies, suggesting new capabilities to incorporate into the AI platform.
* Actively contribute to thought leadership through research, articles, presentations, and collaboration with Blackbaud Institute partners.
**What You'll Bring**
* 5\+ years of experience in data science or applied machine learning, with experience in large\-language based systems (Microsoft and Databricks preferred).
* Strong grounding in statistics and ML foundations.
* Experience applying multiple modeling approaches to production problems.
* Ability to explain tradeoffs between accuracy, explainability, cost, risk.
* Clear communicator with technical and non\-technical partners.
* Experience with data analysis in Python, R or similar language.
* Proven experience influencing business decisions and driving business value.
* Ability to work independently and take initiative with little oversight.
* Demonstrated commitment to responsible AI.
* Strong bias to action demonstrated by proactively moving work forward, making timely decisions with incomplete information.
* Ability to deliver work that meets all minimum standards of quality, security, and operability.
 Stay up to date on everything Blackbaud, follow us on Linkedin, Twitter, Instagram, Facebook and YouTube
 Blackbaud is a remote\-first company which embraces a flexible remote work culture. Blackbaud supports hiring and career development for all roles from the location you are in today!
 Blackbaud is proud to be an equal opportunity employer and is committed to maintaining a diverse and inclusive work environment. All qualified applicants will receive consideration for employment without regard to race, color, religion, gender, gender identity or expression, sexual orientation, national origin, physical or mental disability, age, or veteran status or any other basis protected by federal, state, or local law.
***To all recruitment agencies:** 
 We do not accept unsolicited agency resumes and are not responsible for any fees related to unsolicited resumes.*
***A notice to candidates: Recruitment Fraudulent Alert:** 
 Your personal information and online safety as a candidate mean a lot to us! At Blackbaud and our portfolio of companies, recruiters only direct candidates to apply through our official careers page at https://careers.blackbaud.com/us/en or our official LinkedIn page. Recruiters will never request payments, ask for financial account information or sensitive information like social security numbers, or conduct interviews via Skype. Anyone suggesting otherwise is not a representative of Blackbaud. If you are unsure if a message is from Blackbaud, please email blackbaudrecruiting@blackbaud.com.*
 The starting base pay is $101,900\.00 to $132,800\.00\. Blackbaud may pay more or less based on employee qualifications, market value, Company finances, and other operational considerations.
**Benefits Include**
* Medical, dental, and vision insurance
* Remote\-first workforce
* 401(k) program with employer match
* Flexible paid time off
* Generous Parental Leave
* Volunteer for vacation
* Opportunities to connect to build community and belonging
* Pet insurance, legal and identity protection
* Tuition reimbursement program</t>
        </is>
      </c>
    </row>
    <row r="44">
      <c r="A44" t="inlineStr">
        <is>
          <t>li-4370183008</t>
        </is>
      </c>
      <c r="B44" t="inlineStr">
        <is>
          <t>Data Scientist</t>
        </is>
      </c>
      <c r="C44" t="inlineStr">
        <is>
          <t>Airbnb</t>
        </is>
      </c>
      <c r="D44" t="inlineStr">
        <is>
          <t>linkedin</t>
        </is>
      </c>
      <c r="E44">
        <f>HYPERLINK("https://www.linkedin.com/jobs/view/4370183008", "https://www.linkedin.com/jobs/view/4370183008")</f>
        <v/>
      </c>
      <c r="F44">
        <f>HYPERLINK("https://www.wiraa.com/job-description/usBDA750B1B021A03577271AA6575064F7?source=Linkedin&amp;urlHash=RvqL", "https://www.wiraa.com/job-description/usBDA750B1B021A03577271AA6575064F7?source=Linkedin&amp;urlHash=RvqL")</f>
        <v/>
      </c>
      <c r="G44" t="inlineStr"/>
      <c r="H44" t="inlineStr"/>
      <c r="I44" t="inlineStr">
        <is>
          <t>**About The Company**
 Airbnb was founded in 2007 when two hosts welcomed three guests to their San Francisco home. Since then, the company has experienced exponential growth and now boasts over 5 million hosts worldwide, facilitating more than 2 billion guest arrivals across nearly every country. Airbnb’s platform enables hosts to offer unique accommodations and experiences, fostering authentic connections between guests and local communities. The company's mission is to create a world where anyone can belong anywhere, providing travelers with personalized, memorable stays and experiences while empowering hosts to monetize their spaces and passions.
**About The Role**
 We are seeking a highly skilled and innovative Senior Data Scientist to join our Listing Understanding Data Science team. In this role, you will be instrumental in developing and deploying advanced computer vision and multimodal machine learning models aimed at enhancing listing comprehension. Your expertise will help improve how photos and listing attributes are understood and utilized within our platform, directly impacting guest search experiences, booking rates, and overall trip quality. You will work cross\-functionally with product managers, engineers, and designers to shape the future of listing understanding, leveraging data\-driven insights to guide strategic decisions. This is a hands\-on role that requires proficiency in prototyping, evaluating, and implementing machine learning models, as well as measuring their business impact through causal inference techniques.
**Qualifications**
* 9\+ years of industry experience in applied Machine Learning, with a focus on Computer Vision
* Proficiency with CV models such as CLIP, ViT, or similar architectures
* Expertise in causal inference and marketplace analytics
* Advanced degree in Computer Science, Statistics, Econometrics, or related field
* Strong programming skills in Python or R, with familiarity in SQL
* Experience in developing proof\-of\-concept prototypes and deploying ML models in production
* Deep understanding of ML best practices, including feature engineering, model selection, and evaluation
* Knowledge of gradient\-boosted trees, neural networks, and deep learning techniques
* Experience with A/B testing, skew minimization, and causal impact measurement
* Excellent cross\-functional communication skills with product, engineering, and design teams
* Passion for AI, continuous learning mindset, and active engagement with the technical community
**Responsibilities**
* Size business opportunities and develop strategic roadmaps for investments in computer vision and multimodal listing understanding
* Leverage visual and structured data to build, improve, and maintain listing understanding models
* Build causal models to analyze how photos influence guest search behavior, bookings, and trip quality
* Prototype, evaluate, and iterate on machine learning features in collaboration with engineering, product, and design teams
* Develop assessment frameworks to ensure the safety, effectiveness, and fairness of CV and multimodal models
* Measure the business impact of models through experimentation, causal analysis, and data\-driven insights
* Stay current with advancements in models like SoT, CLIP, ViT, and other state\-of\-the\-art techniques
* Communicate findings and technical recommendations clearly to cross\-functional partners
**Benefits**
* Competitive salary and performance\-based bonuses
* Equity options and stock grants
* Comprehensive health, dental, and vision insurance plans
* Flexible work arrangements, including remote work eligibility
* Generous paid time off and holidays
* Learning and development opportunities, including conferences and training
* Employee travel credits and discounts
* Inclusive and diverse workplace culture that values innovation and collaboration
 Equal Opportunity
 Airbnb is committed to fostering an inclusive environment where all individuals are treated with respect and dignity. We are an equal opportunity employer and do not discriminate based on race, ethnicity, gender, age, sexual orientation, disability, or any other protected characteristic. We encourage candidates from diverse backgrounds to apply and are dedicated to providing reasonable accommodations throughout the recruitment process to ensure equal access for all applicants.</t>
        </is>
      </c>
    </row>
    <row r="45">
      <c r="A45" t="inlineStr">
        <is>
          <t>li-4370034802</t>
        </is>
      </c>
      <c r="B45" t="inlineStr">
        <is>
          <t>Healthcare Data Scientist ML/AI</t>
        </is>
      </c>
      <c r="C45" t="inlineStr">
        <is>
          <t>HealMint AI</t>
        </is>
      </c>
      <c r="D45" t="inlineStr">
        <is>
          <t>linkedin</t>
        </is>
      </c>
      <c r="E45">
        <f>HYPERLINK("https://www.linkedin.com/jobs/view/4370034802", "https://www.linkedin.com/jobs/view/4370034802")</f>
        <v/>
      </c>
      <c r="F45" t="inlineStr"/>
      <c r="G45" t="inlineStr"/>
      <c r="H45" t="inlineStr"/>
      <c r="I45" t="inlineStr">
        <is>
          <t>**Company Description** 
 HealMint is revolutionizing wellness by creating a platform that integrates wearable data, AI\-driven health insights, and user\-controlled data infrastructure. Our mission is to convert raw biometric information into actionable guidance, empowering individuals to make informed decisions about their health. We prioritize transparency and aim to provide users with control and lasting value over their health data. At HealMint, innovation and user empowerment are at the forefront of our efforts to transform personal health management.
**Role Description** 
 This is a full\-time on\-site role for a Healthcare Data Scientist specializing in Machine Learning (ML) and Artificial Intelligence (AI). Located in the San Francisco Bay Area, the role involves:
* designing and implementing ML/AI models to analyze and process healthcare data,
* developing advanced data analytics and visualization solutions,
* creating predictive models, and
* collaborating with cross\-functional teams to derive meaningful insights.
 The position also requires constant exploration of cutting\-edge methodologies to enhance wellness recommendations provided by the platform.
**Qualifications** 
* Ability to write code in SQL, R, or Python for processing large datasets in distributed cloud environments, and experience in processing and analyzing healthcare data.
* Proficiency in Data Science techniques, including machine learning and predictive modeling
* Strong skills in Statistics and Data Analysis for interpreting complex health data
* Graduate level understanding of techniques in machine learning, knowledge representation, and artificial intelligence along with a strong understanding of statistics.Competence in Data Visualization tools and techniques to effectively communicate findings
* Experience working with clinicians and researchers across disciplines to develop approaches for use in clinical care.
* Strong problem\-solving abilities and attention to detail
* Bachelor's or Master's degree in Computer Science, Data Science, Biostatistics, or related field; a Ph.D. is a plus
 Compensation: $2000\-$3500 as a start</t>
        </is>
      </c>
    </row>
    <row r="46">
      <c r="A46" t="inlineStr">
        <is>
          <t>li-4370176239</t>
        </is>
      </c>
      <c r="B46" t="inlineStr">
        <is>
          <t>Data Scientist</t>
        </is>
      </c>
      <c r="C46" t="inlineStr">
        <is>
          <t>Target</t>
        </is>
      </c>
      <c r="D46" t="inlineStr">
        <is>
          <t>linkedin</t>
        </is>
      </c>
      <c r="E46">
        <f>HYPERLINK("https://www.linkedin.com/jobs/view/4370176239", "https://www.linkedin.com/jobs/view/4370176239")</f>
        <v/>
      </c>
      <c r="F46" t="inlineStr"/>
      <c r="G46" t="inlineStr"/>
      <c r="H46" t="inlineStr"/>
      <c r="I46" t="inlineStr">
        <is>
          <t>**About The Company**
 Working at Target means helping all families discover the joy of everyday life. We bring that vision to life through our core values and inclusive culture. Target is a leading retailer committed to providing exceptional shopping experiences and innovative solutions to our guests. Our mission is to make everyday moments more enjoyable and accessible for everyone. With a strong focus on community engagement, sustainability, and diversity, Target continuously strives to create a positive impact both internally and externally. Join us and be part of a dynamic organization that values teamwork, integrity, and innovation.
**About The Role**
 We are seeking a highly skilled Lead Data Scientist to join our Last Mile Operations Design team. In this role, you will be instrumental in accelerating omni\-channel experimentation and fostering a culture of continuous innovation within Target's supply chain and delivery services. Your primary focus will be on leveraging advanced data analytics, machine learning, and operations research to optimize supply chain decisions, enhance guest experiences, and improve carrier and courier operations. You will serve as a strategic partner across Product, Business Operations, and Engineering teams, advocating for data\-driven decision\-making and delivering actionable insights through scalable analytical solutions. This position offers an exciting opportunity to influence business strategies by designing and deploying predictive and prescriptive models that maximize the value of Target’s extensive data assets. The role requires a combination of technical expertise, business acumen, and excellent communication skills to translate complex data findings into compelling narratives and strategic recommendations.
**Qualifications**
* PhD or MS in Operations Research, Industrial Engineering, Computer Science, Mathematics, Statistics, Physics, or a related quantitative field
* 5\+ years of experience leading large\-scale implementations of supply chain optimization, simulation, and machine learning modeling
* Proficiency in programming languages such as Python, R, Kotlin, or Java
* Experience deploying high\-performance algorithms in production environments
* Strong knowledge of predictive and prescriptive modeling techniques and ML Ops practices
* Experience working with large, event\-driven distributed systems and multi\-threaded applications
* Proficiency in SQL, Hive, or similar data querying and management tools
* Ability to develop and maintain internal data tools for research and experimentation
* Expertise in advanced statistical techniques including regression, clustering, PCA, and time series forecasting
* Excellent written and verbal communication skills, with the ability to tell data\-driven stories through visualizations and narratives
* Self\-driven, results\-oriented, and capable of working effectively across teams and time zones
**Responsibilities**
* Serve as a champion of a data\-driven culture by promoting insights utilization across Product, Business Operations, and Engineering teams
* Develop and execute solutions to complex business problems using data analysis, mining, forecasting, optimization, and machine learning techniques
* Formulate clear problem statements, synthesize findings, and communicate insights compellingly to stakeholders
* Collaborate with product managers to design in\-product experiments, analyze results, and provide strategic recommendations
* Identify gaps in product offerings through comprehensive data analysis and support the advancement of predictive and prescriptive analytics capabilities
* Define key data metrics and KPIs for measuring success of new features and strategies, and coordinate with engineering teams for data tracking and instrumentation
* Optimize queries on large datasets to support operational research and business decision\-making
* Design and develop self\-service dashboards and visualization tools to enable stakeholders to derive actionable insights
* Democratize data and insights by delivering accessible tools and fostering a data\-informed decision\-making environment
* Stay updated with industry best practices and continuously improve analytical models and processes
**Benefits**
* Comprehensive health benefits including medical, vision, dental, and life insurance
* 401(k) retirement savings plan with company match
* Employee discounts and wellness programs
* Paid sick leave, national holidays, and vacation days
* Opportunities for professional development and growth
* Flexible work arrangements, including hybrid and remote options
* Supportive work environment promoting diversity and inclusion
 Pay range for this role is $132,000\.00 \- $286,000\.00, with compensation based on factors such as labor markets, education, work experience, and certifications. Target is committed to investing in its team members’ well\-being and offers comprehensive benefits to support their health and financial security.
 Equal Opportunity
 Target is an equal opportunity employer. We celebrate diversity and are committed to creating an inclusive environment for all employees. We do not discriminate based on race, color, religion, sex, national origin, age, disability, sexual orientation, gender identity, or any other protected status. We provide reasonable accommodations for qualified applicants with disabilities throughout the application and interview process, in accordance with applicable laws.</t>
        </is>
      </c>
    </row>
    <row r="47">
      <c r="A47" t="inlineStr">
        <is>
          <t>li-4370188874</t>
        </is>
      </c>
      <c r="B47" t="inlineStr">
        <is>
          <t>Data Scientist (REMOTE)</t>
        </is>
      </c>
      <c r="C47" t="inlineStr">
        <is>
          <t>Lensa</t>
        </is>
      </c>
      <c r="D47" t="inlineStr">
        <is>
          <t>linkedin</t>
        </is>
      </c>
      <c r="E47">
        <f>HYPERLINK("https://www.linkedin.com/jobs/view/4370188874", "https://www.linkedin.com/jobs/view/4370188874")</f>
        <v/>
      </c>
      <c r="F47" t="inlineStr"/>
      <c r="G47" t="inlineStr">
        <is>
          <t>Dallas, TX</t>
        </is>
      </c>
      <c r="H47" t="inlineStr"/>
      <c r="I47"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Sedgwick. Clicking "Apply Now" or "Read more" on Lensa redirects you to the job board/employer site. Any information collected there is subject to their terms and privacy notice.
 By joining Sedgwick, you'll be part of something truly meaningful. It’s what our 33,000 colleagues do every day for people around the world who are facing the unexpected. We invite you to grow your career with us, experience our caring culture, and enjoy work\-life balance. Here, there’s no limit to what you can achieve.
 Newsweek Recognizes Sedgwick as America’s Greatest Workplaces National Top Companies
 Certified as a Great Place to Work®
 Fortune Best Workplaces in Financial Services \&amp; Insurance
 Data Scientist (REMOTE)
 Data Scientist (Remote)
**PRIMARY PURPOSE OF THE ROLE:** 
 To develop and manage predictive modeling assignments through completion; to communicate results; to make recommendations to management; and to ensure model ownership, implementation, and monitoring; to spot trends and to gain maximum insight that can give the company a competitive advantage.
**ARE YOU AN IDEAL CANDIDATE?** 
 We are looking for enthusiastic candidates who thrive in a collaborative environment, who are driven to deliver great work, are customer\-oriented and are naturally empathetic.
**Essential Responsiblities May Include**
* Execute data science projects as identified by Sr Data Scientists, leadership, and stakeholders
* Help to build, prototype, and deploy machine learning models in sandbox and production environments
* Produce reports to communicate metrics and outcomes of stakeholder interest
* Assist with developing and maintaining end\-to\-end ETL data pipelines
* Work to explore new internal data sources and their utility within projects
* Communicate modeling challenges, findings, and outcomes to stakeholders
**Qualifications**
* Insurance claims knowledge preferred
* Minimum one year of predictive modeling, data science, and analysis experience with solid background in the using data visualization tools and libraries and data exploration, data wrangling, and feature engineering
* Experience writing Python or R code, and notebook environments
* Knowledge of common unsupervised/supervised ML techniques
**TAKING CARE OF YOU**
* Career development and promotional growth opportunities.
* A diverse and comprehensive benefits offering including medical, dental vision, 401k, PTO and more.
 \#DataEngineering
 \#HiringDataScientists
 \#DataScienceJobs
 \#Python
 \#DataScientist
 Work environment requirements for entry\-level opportunities include –
 Physical: Computer keyboarding
 Auditory/visual: Hearing, vision and talking
 Mental: Clear and conceptual thinking ability; excellent judgement and discretion; ability to meet deadlines
 The statements contained in this document are intended to describe the general nature and level of work being performed by a colleague assigned to this description. They are not intended to constitute a comprehensive list of functions, duties, or local variances. Sedgwick retains the discretion to add or to change the duties of the position at any time.
 Sedgwick is an Equal Opportunity Employer and a Drug\-Free Workplace.
 If you’re excited about this role but your experience doesn’t align perfectly with every qualification in the job description, consider applying for it anyway! Sedgwick is building a diverse, equitable, and inclusive workplace and recognizes that each person possesses a unique combination of skills, knowledge, and experience. You may be just the right candidate for this or other roles.
 Sedgwick is an Equal Opportunity Employer and a Drug\-Free Workplace.
 If you're excited about this role but your experience doesn't align perfectly with every qualification in the job description, consider applying for it anyway! Sedgwick is building a diverse, equitable, and inclusive workplace and recognizes that each person possesses a unique combination of skills, knowledge, and experience. You may be just the right candidate for this or other roles.
 Sedgwick is the world’s leading risk and claims administration partner, which helps clients thrive by navigating the unexpected. The company’s expertise, combined with the most advanced AI\-enabled technology available, sets the standard for solutions in claims administration, loss adjusting, benefits administration, and product recall. With over 33,000 colleagues and 10,000 clients across 80 countries, Sedgwick provides unmatched perspective, caring that counts, and solutions for the rapidly changing and complex risk landscape. For more, see
 **sedgwick.com**
 If you have questions about this posting, please contact support@lensa.com</t>
        </is>
      </c>
    </row>
    <row r="48">
      <c r="A48" t="inlineStr">
        <is>
          <t>li-4361744126</t>
        </is>
      </c>
      <c r="B48" t="inlineStr">
        <is>
          <t>AI-First Data Scientist</t>
        </is>
      </c>
      <c r="C48" t="inlineStr">
        <is>
          <t>ChatGPT Jobs</t>
        </is>
      </c>
      <c r="D48" t="inlineStr">
        <is>
          <t>linkedin</t>
        </is>
      </c>
      <c r="E48">
        <f>HYPERLINK("https://www.linkedin.com/jobs/view/4361744126", "https://www.linkedin.com/jobs/view/4361744126")</f>
        <v/>
      </c>
      <c r="F48" t="inlineStr"/>
      <c r="G48" t="inlineStr"/>
      <c r="H48" t="inlineStr"/>
      <c r="I48" t="inlineStr">
        <is>
          <t>**Job Description**
 AI\-First Data Scientist
 CSC Generation
 Remote Nationwide
 Full\-Time
**Job Description**
 CSC Generation is building an AI\-driven retail operating system. Our brands—including Sur La Table, One Kings Lane, and Backcountry—rely on intelligent decision\-making rooted in data. We're hiring an AI\-First Data Analyst who combines statistical know\-how with AI tooling and automation instincts.
 This is a technical, hands\-on role. You’ll build causal models, apply advanced machine learning techniques (e.g., Double ML), and develop internal data tools.
**What You Get To Do Every Day:**
* Conduct causal analysis and treatment effect estimation to guide high\-stakes decisions.
* Build AI\-powered internal tools that automate analytical tasks and surface insights.
* Develop and own dashboards and data pipelines.
* Partner directly with business leaders to translate questions into testable hypotheses.
* Identify opportunities to automate recurring analyses via custom GPTs, scripts, or workflow platforms like n8n.
* Work closely with engineering and data platform teams to improve data cleanliness, accessibility, and documentation.
**What You Bring To The Role:**
* 1–3 years of experience in data science, quantitative analysis, or machine learning.
* Bachelor’s or Master’s degree in Statistics, Economics, Computer Science, Data Science, or a related quantitative field.
* Expertise in causal inference frameworks—especially Double ML, A/B testing, and other counterfactual methods.
* Strong coding skills in Python or R; experience with SQL, Jupyter, and version control (Git).
* Comfortable building data pipelines and working with large datasets.
* Proficiency with AI tools such as ChatGPT, Claude, or custom GPTs.
* Curious, fast\-learning, and deeply motivated to solve business problems through analysis and automation.
* Experience with workflow automation (e.g., n8n, Make, Zapier) is a plus.
 What’s in it for you?
* Executive Access: Work directly with brand CEOs and senior leadership.
* AI\-First Skill Building:Get hands\-on with the most advanced AI tools in the market.
* Accelerated Career Path:High performers are quickly entrusted with greater responsibility.
* Competitive benefits:Paid time off policies, 401(k)/RRSP match, medical/dental/vision, and employee discounts.
 For US\-based candidates, this posting is intended for candidates that reside in the following states: AZ, DE, FL, GA, IN, LA, MI, MS, MO, NV, NC, OK, OR, PA, TN, TX, UT, VA, WV, WI, and WY.</t>
        </is>
      </c>
    </row>
    <row r="49">
      <c r="A49" t="inlineStr">
        <is>
          <t>li-4370162663</t>
        </is>
      </c>
      <c r="B49" t="inlineStr">
        <is>
          <t>Data Scientist II</t>
        </is>
      </c>
      <c r="C49" t="inlineStr">
        <is>
          <t>Tempus AI</t>
        </is>
      </c>
      <c r="D49" t="inlineStr">
        <is>
          <t>linkedin</t>
        </is>
      </c>
      <c r="E49">
        <f>HYPERLINK("https://www.linkedin.com/jobs/view/4370162663", "https://www.linkedin.com/jobs/view/4370162663")</f>
        <v/>
      </c>
      <c r="F49" t="inlineStr"/>
      <c r="G49" t="inlineStr"/>
      <c r="H49" t="inlineStr"/>
      <c r="I49" t="inlineStr">
        <is>
          <t>**About The Company**
 Tempus AI is a pioneering leader in the field of precision medicine, dedicated to transforming healthcare through innovative data\-driven solutions. Our proprietary platform integrates a comprehensive ecosystem of real\-world evidence, including genomic, clinical, and imaging data, to deliver real\-time, actionable insights to healthcare providers and researchers. By leveraging advanced analytics and cutting\-edge technology, Tempus aims to enable personalized treatment strategies, improve patient outcomes, and accelerate medical research. Our commitment to scientific excellence and technological innovation positions us at the forefront of healthcare transformation, making a meaningful impact on the way diseases are diagnosed, studied, and treated.
**About The Role**
 The Data Scientist II, Real World Data Science at Tempus AI is a vital role within our Scientific and Technological Solutions team. This position is designed for a highly motivated and technically skilled individual passionate about applying data science to real\-world healthcare challenges. As a key scientific and technical resource, you will lead client onboarding processes, understand complex research questions, and translate scientific hypotheses into actionable insights using our platform. Your expertise will facilitate seamless integration of client research needs with our analytical tools, ensuring that researchers and clinicians can derive meaningful, scientifically valid answers from large\-scale biomedical datasets. This role offers a unique opportunity to work at the intersection of data science, healthcare, and biotechnology, contributing directly to advancements in personalized medicine and clinical research.
**Qualifications**
* Master’s or Ph.D. in Computational Biology, Bioinformatics, Genomics, Data Science, or a related life sciences discipline
* Proven experience analyzing large biomedical datasets such as NGS, clinical trial, or real\-world data
* Hands\-on proficiency with analytical tools and programming languages, especially R; knowledge of Python, SQL, and cloud environments (AWS/GCP) is a plus
* Strong collaboration skills and ability to thrive in fast\-paced, dynamic environments
* Excellent written and verbal communication skills, capable of explaining complex concepts to diverse audiences
* Problem\-solving mindset with a track record of developing pragmatic solutions to scientific or technical challenges
**Responsibilities**
* Lead the technical and scientific onboarding process for new clients, ensuring smooth integration into the Tempus Data Ecosystem
* Engage with clients to understand their specific scientific hypotheses, such as biomarker discovery, target identification, or clinical trial design
* Translate client scientific needs into platform workflows, designing queries, and guiding complex data analysis processes involving genomics, clinical, and imaging datasets
* Identify opportunities to optimize platform workflows and implement technological solutions that enhance user experience and efficiency
* Act as the primary technical and scientific liaison, collaborating with product, engineering, and data science teams to prioritize features and resolve technical challenges
* Create comprehensive documentation, tutorials, and training materials to support client education and best practices in scientific analysis
**Benefits**
* Competitive salary ranging from $80,000 to $135,000 USD depending on location and experience
* Full benefits package, including health insurance, incentive compensation, restricted stock units, and other perks
* Opportunities for professional growth and development within a leading healthcare technology company
* Flexible work arrangements, including remote work options in certain locations
* Collaborative and innovative work environment focused on impactful healthcare solutions
 Equal Opportunity
 Tempus AI is an equal opportunity employer. We celebrate diversity and are committed to creating an inclusive environment for all employees. We do not discriminate based on race, religion, gender, sexual orientation, age, marital status, veteran status, disability, or any other protected characteristic. We encourage qualified individuals from all backgrounds to apply and join our mission to improve healthcare through data\-driven insights.</t>
        </is>
      </c>
    </row>
    <row r="50">
      <c r="A50" t="inlineStr">
        <is>
          <t>li-4370160907</t>
        </is>
      </c>
      <c r="B50" t="inlineStr">
        <is>
          <t>Software Engineer / Data Scientist</t>
        </is>
      </c>
      <c r="C50" t="inlineStr">
        <is>
          <t>Waymo</t>
        </is>
      </c>
      <c r="D50" t="inlineStr">
        <is>
          <t>linkedin</t>
        </is>
      </c>
      <c r="E50">
        <f>HYPERLINK("https://www.linkedin.com/jobs/view/4370160907", "https://www.linkedin.com/jobs/view/4370160907")</f>
        <v/>
      </c>
      <c r="F50">
        <f>HYPERLINK("https://www.wiraa.com/job-description/us7A0465E4D05F58F0E60E805037AA69CD?source=Linkedin&amp;urlHash=gA3l", "https://www.wiraa.com/job-description/us7A0465E4D05F58F0E60E805037AA69CD?source=Linkedin&amp;urlHash=gA3l")</f>
        <v/>
      </c>
      <c r="G50" t="inlineStr"/>
      <c r="H50" t="inlineStr"/>
      <c r="I50" t="inlineStr">
        <is>
          <t>**About The Company**
 Waymo is a pioneering autonomous driving technology company dedicated to transforming mobility and enhancing safety on the roads. Originating from the Google Self\-Driving Car Project in 2009, Waymo has established itself as a leader in developing advanced driver\-assistance systems and fully autonomous vehicles. The company's core mission is to be the world's most trusted driver by continuously innovating and deploying the Waymo Driver, which powers its fully autonomous ride\-hail service and other vehicle platforms. With over ten million rider\-only trips completed and autonomous driving experience exceeding 100 million miles on public roads across more than 15 states, Waymo is at the forefront of making transportation safer, more accessible, and more efficient.
**About The Role**
 Waymo is seeking a highly skilled and quantitatively driven engineer to join the Large Model Evaluation team. This team is central to Waymo's AI ambitions, focusing on developing and deploying state\-of\-the\-art AI systems capable of handling the complexities of real\-world driving environments. The role involves designing innovative metrics and sampling techniques to evaluate the performance of large language and vision\-language models used in autonomous driving applications. You will leverage simulation strategies, data pipelines, and analytical tools to assess model robustness, identify potential edge cases, and provide performance insights that directly influence model development and deployment. Collaborating with world\-class research and engineering teams, you will play a vital role in ensuring the safety and reliability of Waymo's autonomous systems.
**Qualifications**
* 7\+ years of relevant industry experience in a quantitative software engineering environment
* Proficiency in programming languages such as Python or C\+\+
* Strong understanding of software design principles, testing methodologies, and version control systems
* Experience developing data processing pipelines, system evaluation tools, or metric computation frameworks at scale
* Knowledge of AI fundamentals, including transformer architectures and distillation techniques
* Experience evaluating machine learning model quality and translating quantitative insights into production tools
* Familiarity with simulation systems, robotics, or autonomous vehicle platforms is preferred
* Experience with modern deep learning frameworks such as JAX or TensorFlow is a plus
* Leadership experience in managing engineering teams is advantageous
**Responsibilities**
* Develop innovative metrics and sampling techniques to evaluate driving trajectories generated by ML models
* Design and implement simulation strategies to measure the driving performance of generative AI models
* Identify potential edge cases and provide reliable performance insights to inform model development and deployment
* Build and maintain data pipelines for signal discovery, data labeling, feature extraction, and metric computation based on large\-scale simulations
* Conduct thorough data analysis to diagnose regressions and performance issues in ML models
* Collaborate with cross\-functional teams of engineers and researchers to improve model evaluation processes
* Contribute to the development of scalable evaluation frameworks that support safety\-critical autonomous driving systems
**Benefits**
* Competitive salary range of $238,000 to $302,000 USD, commensurate with experience and location
* Participation in Waymo’s discretionary annual bonus program
* Equity incentive plans to share in the company's success
* Comprehensive benefits package, including health, dental, and vision coverage
* Generous paid time off and flexible work arrangements
* Opportunities for professional growth and development within a leading autonomous driving company
 Equal Opportunity
 Waymo is an equal opportunity employer committed to fostering an inclusive environment. We welcome applications from all qualified individuals regardless of race, color, religion, gender, gender identity or expression, sexual orientation, national origin, genetics, disability, age, or veteran status. We believe diversity enhances our innovation and success, and we are dedicated to providing equal employment opportunities to all employees and applicants.</t>
        </is>
      </c>
    </row>
    <row r="51">
      <c r="A51" t="inlineStr">
        <is>
          <t>li-4369941961</t>
        </is>
      </c>
      <c r="B51" t="inlineStr">
        <is>
          <t>Data Scientist</t>
        </is>
      </c>
      <c r="C51" t="inlineStr">
        <is>
          <t>Haystack</t>
        </is>
      </c>
      <c r="D51" t="inlineStr">
        <is>
          <t>linkedin</t>
        </is>
      </c>
      <c r="E51">
        <f>HYPERLINK("https://www.linkedin.com/jobs/view/4369941961", "https://www.linkedin.com/jobs/view/4369941961")</f>
        <v/>
      </c>
      <c r="F51" t="inlineStr"/>
      <c r="G51" t="inlineStr"/>
      <c r="H51" t="inlineStr"/>
      <c r="I51" t="inlineStr">
        <is>
          <t>**Data Scientist, Senior \| Alexandria, VA \| Remote\-Friendly \| $99,000 \- $225,000**
 We're working with Booz Allen Hamilton on this exciting opportunity.
 Unleash the power of data to solve critical challenges for the DoD! As a Senior Data Scientist, you'll leverage your expertise in machine learning, statistical analysis, Python, and R to provide strategic insights and drive informed decision\-making.
**The Role**
* Lead the design and execution of complex statistical analyses on diverse datasets.
* Develop production\-quality data visualizations and dashboards for senior leadership.
* Spearhead data science projects from inception to delivery, ensuring rigor and mission alignment.
* Mentor junior data scientists and champion best practices for reproducible research.
* Translate strategic questions into actionable analytical approaches, driving impact for national security.
**What You'll Need**
* 7\+ years in data science, statistical analysis, or quantitative research.
* Expertise in Python (pandas, NumPy, scikit\-learn) or R (tidyverse) for data analysis.
* Proven experience with SQL for large\-scale data management and analysis.
* Familiarity with distributed computing frameworks like Spark or DASK.
* TS/SCI clearance is a must.
**What's On Offer**
* Competitive salary ranging from $99,000 to $225,000\.
* Comprehensive health, life, disability, and retirement benefits.
* Opportunities for professional development and tuition assistance.
* A flexible, people\-first culture with remote\-friendly work options.
**Apply via Haystack today!**</t>
        </is>
      </c>
    </row>
    <row r="52">
      <c r="A52" t="inlineStr">
        <is>
          <t>li-4361735052</t>
        </is>
      </c>
      <c r="B52" t="inlineStr">
        <is>
          <t>Senior Data Scientist / Machine Learning Engineer</t>
        </is>
      </c>
      <c r="C52" t="inlineStr">
        <is>
          <t>ChatGPT Jobs</t>
        </is>
      </c>
      <c r="D52" t="inlineStr">
        <is>
          <t>linkedin</t>
        </is>
      </c>
      <c r="E52">
        <f>HYPERLINK("https://www.linkedin.com/jobs/view/4361735052", "https://www.linkedin.com/jobs/view/4361735052")</f>
        <v/>
      </c>
      <c r="F52" t="inlineStr"/>
      <c r="G52" t="inlineStr">
        <is>
          <t>New York, NY</t>
        </is>
      </c>
      <c r="H52" t="inlineStr"/>
      <c r="I52" t="inlineStr">
        <is>
          <t>**Job Description**
 Senior Data Scientist
**Location:** 
 Manhattan, NY
* On\-site, Remote
**Pay:** 
 $50 \- $58/hr
**Type:** 
 Contractor
**Posted:** 
 15 hours ago
**Job Description**
**Job Title:** 
 Senior Data Scientist / Machine Learning Engineer
**Job Location:** 
 Hybrid; 3 days onsite in New York, NY, 2 days remote
**Job Type:** 
 Contract, 12 months\+
**Pay Rate Range:** 
 $50\-$58/hr W2 (depending on experience)
**Interview Mode:** 
 First Round remote, 2nd onsite
**Job Summary:** 
 Our Fortune 500 client is seeking a highly skilled Senior Data Scientist / Machine Learning Engineer to design, build, and maintain advanced analytics and machine learning solutions that drive diagnostic and predictive insights. This role blends hands\-on data science, ML engineering, and MLOps, with a strong focus on developing production\-ready models, ensuring data quality, and translating complex data into actionable insights for both technical and non\-technical stakeholders. The ideal candidate brings deep experience in Python, SQL, PySpark, Azure Databricks, machine learning, and modern AI techniques, along with the ability to collaborate cross\-functionally with Data Engineering, Analytics, and Architecture teams.
 Key Responsibilities
* Advanced Analytics \&amp; Machine Learning: Design, develop, and optimize machine learning models including forecasting, classification, and clustering solutions. Apply data mining and statistical techniques to uncover trends, patterns, and insights from large, complex datasets. Perform feature engineering, model training, validation, and performance tuning. Explore and deploy modern AI, GenAI, and NLP approaches to enhance automation and analytical capabilities. Support A/B testing and experimental design to evaluate model and business performance.
* Data Preparation \&amp; Quality: Prepare and analyze structured and unstructured data for advanced analytics and modeling. Develop scripts and tools for data cleansing, validation, enrichment, and transformation. Partner with Data Engineering to ensure efficient, reliable data pipelines and scalable data access. Identify data quality issues, perform root cause analysis, and recommend remediation strategies. Troubleshoot and resolve dashboard and reporting data issues to ensure accuracy and consistency.
* MLOps \&amp; Engineering: Design, deploy, and maintain production\-grade machine learning models. Apply MLOps best practices for model versioning, monitoring, retraining, and performance tracking. Write high\-quality, maintainable code following software engineering best practices. Leverage cloud\-based infrastructure to support scalable analytics and ML workloads.
* Analytics, Insights \&amp; Reporting: Conduct deep\-dive analyses to support diagnostic, predictive, and prescriptive use cases. Communicate complex analytical findings in clear, concise terms to both technical and business audiences. Support the development of dashboards, metrics, and analytical solutions using tools such as Power BI and DAX.
* Cross\-Functional Collaboration: Work closely with architects, engineers, analysts, and business stakeholders to define analytical requirements. Contribute to conceptual data model design, workflow optimization, and analytics standards. Promote best practices in data science, machine learning, analytics, and data governance.
**Required Qualifications**
* Bachelor's or Master's degree in Computer Science, Data Science, Machine Learning, Statistics, Mathematics, or a related field.
* 7\+ years of experience in data science and machine learning engineering.
* Strong experience with machine learning algorithms, predictive modeling, and data mining.
* Proficiency in Python (required) for data science and ML workloads.
* Strong SQL (required) skills with relational databases.
* Proficiency in PySpark (required) for large\-scale data processing.
* Experience with Azure Databricks, Oracle, and modern data science libraries such as scikit\-learn, pandas, and NumPy.
* Experience with GenAI and large language models.
* Hands\-on experience with MLOps and deploying ML models into production.
* Experience with Natural Language Processing (NLP).
* Minimum 3 years of experience with data visualization tools such as Power BI, including DAX queries and best practices.
* Strong ability to interpret complex datasets and produce actionable insights.
* Excellent communication, analytical, and problem\-solving skills.
**Preferred Qualifications**
* Knowledge of statistical methods and experimental design.
* Experience with A/B testing frameworks.
* Familiarity with cloud\-native analytics and ML infrastructure.</t>
        </is>
      </c>
    </row>
    <row r="53">
      <c r="A53" t="inlineStr">
        <is>
          <t>li-4370058278</t>
        </is>
      </c>
      <c r="B53" t="inlineStr">
        <is>
          <t>AI Data Scientist</t>
        </is>
      </c>
      <c r="C53" t="inlineStr">
        <is>
          <t>Jobs via Dice</t>
        </is>
      </c>
      <c r="D53" t="inlineStr">
        <is>
          <t>linkedin</t>
        </is>
      </c>
      <c r="E53">
        <f>HYPERLINK("https://www.linkedin.com/jobs/view/4370058278", "https://www.linkedin.com/jobs/view/4370058278")</f>
        <v/>
      </c>
      <c r="F53">
        <f>HYPERLINK("https://click.appcast.io/t/l-0wThrYhe47aw12hPmCv8alB33QT3fRRtMMyTru52Y=&amp;urlHash=ed93", "https://click.appcast.io/t/l-0wThrYhe47aw12hPmCv8alB33QT3fRRtMMyTru52Y=&amp;urlHash=ed93")</f>
        <v/>
      </c>
      <c r="G53" t="inlineStr">
        <is>
          <t>Bellevue, WA</t>
        </is>
      </c>
      <c r="H53" t="inlineStr"/>
      <c r="I53" t="inlineStr">
        <is>
          <t>**Overview**
 We are seeking a pioneering and technically fluent
 **AI Data Scientist** 
 to join our AI \&amp; Data Science Tools team. This role will be instrumental in shaping the future of AI\-powered product development within Microsoft Marketing's Research \+ Insights organization. You will be integral to the design, build, testing, and scaling management of our newest inferencing AI tools powered by customer voice.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Insight Extraction from Inferencing Applications: Using python and gremlin to extract insightful information from the knowledge graph.
* AI Graph Building: Contribute to the design, development, and ongoing management of our knowledge graph architecture to support scalable AI solutions.
* Ownership of AI Tool Roadmap Portions: Own and evolve the product roadmap and ROB processes, ensuring alignment with strategic goals and technical feasibility.
* Cross\-Functional Collaboration: Interface with developer teams, Research \+ Insights research managers, Marketing leadership, and partner data science teams to translate business needs into technical requirements.
* Technical Communication: Articulate complex technical concepts clearly to both engineering teams and executive stakeholders.
* Innovation \&amp; Execution: Build customer voice AI tools in a fast\-paced, ambiguous environment with a focus on delivering high\-impact AI tools.
* Embody our culture and values.
**Qualifications**
**Required/minimum qualifications**
* Doctorate in Data Science, Mathematics, Statistics, Econometrics, Economics, Operations Research, Computer Science, or related field
+ OR Master's Degree in Data Science, Mathematics, Statistics, Econometrics, Economics, Operations Research, Computer Science, or related field AND 1\+ year(s) data\-science experience (e.g., managing structured and unstructured data, applying statistical techniques and reporting results) or consulting experience
+ OR Bachelor's Degree in Data Science, Mathematics, Statistics, Econometrics, Economics, Operations Research, Computer Science, or related field AND 2\+ years data\-science experience (e.g., managing structured and unstructured data, applying statistical techniques and reporting results)
+ OR equivalent experience.
**Additional Or Preferred Qualifications**
* Doctorate in Data Science, Mathematics, Statistics, Econometrics, Economics, Operations Research, Computer Science, or related field AND 1\+ year(s) data\-science experience (e.g., managing structured and unstructured data, applying statistical techniques and reporting results)
* OR Master's Degree in Data Science, Mathematics, Statistics, Econometrics, Economics, Operations Research, Computer Science, or related field AND 3\+ years data\-science experience (e.g., managing structured and unstructured data, applying statistical techniques and reporting results)
* OR Bachelor's Degree in Data Science, Mathematics, Statistics, Econometrics, Economics, Operations Research, Computer Science, or related field AND 5\+ years data\-science experience (e.g., managing structured and unstructured data, applying statistical techniques and reporting results)
* OR equivalent experience.
* Extensive experience with knowledge graph architecture and insight extraction.
* Proficiency in Python for building production services, including modular design, code readability, unit testing, and debugging.
* Demonstrated prowess in systems thinking to drive scale, sequencing work, surfacing risk, and driving hard prioritization decisions under uncertainty, including clear trade\-offs across scope, timing, and resourcing.
* Ability to synthesize complex, technical, and qualitative inputs into clear, repeatable, decision ready artifacts for senior leadership, translating insight into action.
 Data Science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;br\&gt;
 Data Science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;br\&gt;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54">
      <c r="A54" t="inlineStr">
        <is>
          <t>li-4370059238</t>
        </is>
      </c>
      <c r="B54" t="inlineStr">
        <is>
          <t>Data Scientist (Applied AI / ML Engineering)</t>
        </is>
      </c>
      <c r="C54" t="inlineStr">
        <is>
          <t>Jobs via Dice</t>
        </is>
      </c>
      <c r="D54" t="inlineStr">
        <is>
          <t>linkedin</t>
        </is>
      </c>
      <c r="E54">
        <f>HYPERLINK("https://www.linkedin.com/jobs/view/4370059238", "https://www.linkedin.com/jobs/view/4370059238")</f>
        <v/>
      </c>
      <c r="F54" t="inlineStr"/>
      <c r="G54" t="inlineStr">
        <is>
          <t>Bellevue, WA</t>
        </is>
      </c>
      <c r="H54" t="inlineStr"/>
      <c r="I54" t="inlineStr">
        <is>
          <t>**Overview**
 We are reimagining the marketing research discipline by building AI\-powered tools that help researchers and data scientists move from question to insight faster. We've already delivered millions in cost savings for Microsoft and are scaling the next generation of intelligent, production\-ready capabilities. In this role as a
 **Data Scientist** 
 , you will design, build, and operate AI\-enabled applications on top of our marketing research data ecosystem. You'll partner closely with product, engineering, and research stakeholders to translate real user needs into secure, reliable experiences\-bringing strong software engineering fundamentals (architecture, coding, testing, and deployment) plus applied AI expertise (LLMs, retrieval, evaluation, and monitoring). You'll join a collaborative team that values clear problem statements, thoughtful trade\-offs, and continuous learning. Our work spans the spectrum from rapid MVPs and prototypes to hardened, scaled production services\-always with clear criteria for quality, security, and user impact. You will have room to focus deeply, iterate with users, and ship improvements end\-to\-end\-from prototype to production\-while measuring impact with well\-defined quality and adoption metrics.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Translate user and business needs into technical designs for AI\-enabled features; write clear specs, define success metrics, and align on trade\-offs with stakeholders.
* Design and build production services and application capabilities that integrate LLMs (prompting, tool use/agents, RAG, embeddings) with enterprise data.
* Implement end\-to\-end evaluation for features and iterate based on data, user feedback, and telemetry.
* Use proficient engineering judgment to choose the right approach for the moment (prototype/MVP vs. production), and define the "graduation" path: requirements, testing, evaluation, monitoring, and operational readiness.
* Own reliability in production: monitoring, alerting, incident response, performance optimization, and proactive risk mitigation.
* Build and maintain CI/CD, automated testing, and safe deployment practices for AI systems (including prompt/model configuration management where applicable).
* Partner with Responsible AI, security, and privacy stakeholders to ensure solutions are compliant, trustworthy, and designed for real\-world use.
* Embody our culture and values.
**Qualifications**
**Required/minimum qualifications**
* Doctorate in Data Science, Mathematics, Statistics, Econometrics, Economics, Operations Research, Computer Science, or related field
+ OR Master's Degree in Data Science, Mathematics, Statistics, Econometrics, Economics, Operations Research, Computer Science, or related field AND 1\+ year(s) data\-science experience (e.g., hands\-on Python development, design and build production services and application capabilities that integrate LLMs, translate user and business needs into technical designs for AI\-enabled features) or consulting experience
+ OR Bachelor's Degree in Data Science, Mathematics, Statistics, Econometrics, Economics, Operations Research, Computer Science, or related field AND 2\+ years data\-science experience (e.g., hands\-on Python development, design and build production services and application capabilities that integrate LLMs, translate user and business needs into technical designs for AI\-enabled features)
+ OR equivalent experience.
**Additional Or Preferred Qualifications**
* Doctorate in Data Science, Mathematics, Statistics, Econometrics, Economics, Operations Research, Computer Science, or related field AND 1\+ year(s) data\-science experience (e.g., hands\-on Python development, design and build production services and application capabilities that integrate LLMs, translate user and business needs into technical designs for AI\-enabled features)
+ OR Master's Degree in Data Science, Mathematics, Statistics, Econometrics, Economics, Operations Research, Computer Science, or related field AND 3\+ years data\-science experience (e.g., hands\-on Python development, design and build production services and application capabilities that integrate LLMs, translate user and business needs into technical designs for AI\-enabled features)
+ OR Bachelor's Degree in Data Science, Mathematics, Statistics, Econometrics, Economics, Operations Research, Computer Science, or related field AND 5\+ years data\-science experience (e.g., hands\-on Python development, design and build production services and application capabilities that integrate LLMs, translate user and business needs into technical designs for AI\-enabled features)
+ OR equivalent experience.
* Hands\-on experience building LLM\-enabled applications (prompting, tool use/agents, RAG, embeddings) and integrating them with real data sources.
* Proficient software engineering fundamentals: data structures, APIs/services, code quality, testing, and debugging in distributed systems.
* Proficiency in Python and at least one of: C\#, Java, Go, or TypeScript/JavaScript; working knowledge of SQL.
* Ability to communicate clearly with cross\-functional partners and make pragmatic trade\-offs based on constraints, risk, and impact.
* Experience with Azure and applied AI tooling (e.g., Azure ML, Azure OpenAI / OpenAI, PromptFlow, Databricks, Microsoft Fabric) and production CI/CD pipelines.
* Experience designing LLM evaluation approaches (golden sets, human\-in\-the\-loop review, A/B tests), and building telemetry/quality dashboards.
 Data Science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;br\&gt;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55">
      <c r="A55" t="inlineStr">
        <is>
          <t>li-4370058272</t>
        </is>
      </c>
      <c r="B55" t="inlineStr">
        <is>
          <t>Data Scientist</t>
        </is>
      </c>
      <c r="C55" t="inlineStr">
        <is>
          <t>Jobs via Dice</t>
        </is>
      </c>
      <c r="D55" t="inlineStr">
        <is>
          <t>linkedin</t>
        </is>
      </c>
      <c r="E55">
        <f>HYPERLINK("https://www.linkedin.com/jobs/view/4370058272", "https://www.linkedin.com/jobs/view/4370058272")</f>
        <v/>
      </c>
      <c r="F55">
        <f>HYPERLINK("https://click.appcast.io/t/Ndkps6RnMiQZDVm7XzO9pCrVRMAZnTghBpTerGgsWUA=&amp;urlHash=LY2A", "https://click.appcast.io/t/Ndkps6RnMiQZDVm7XzO9pCrVRMAZnTghBpTerGgsWUA=&amp;urlHash=LY2A")</f>
        <v/>
      </c>
      <c r="G55" t="inlineStr">
        <is>
          <t>Bethesda, MD</t>
        </is>
      </c>
      <c r="H55" t="inlineStr"/>
      <c r="I55" t="inlineStr">
        <is>
          <t>Are you ready to join Leidos all\-star team? Through training, teamwork, and exposure to challenging technical work, let Leidos show how to accelerate your career path.
 Are you a TS/SCI cleared
 **Data Scientist** 
 that likes to perform research\-level data science/analytics?
 Come support a major program advancing the state of the art in mission\-focused big data and predictive analytics. You will be delivering cutting edge data science capabilities to advance national security objectives, swiftly produce and analyze results, disseminate findings, and contribute to publications and presentations with actionable intelligence insights. Our work is conducted primarily on\-site at our client location in Bethesda, MD.
**Fun stuff you will do:**
* Work closely with a tight\-knit team of data scientists, as well as a larger team of software developers, network engineers, senior investigators, program managers, researchers, and data analysts to design, build, and optimize a Data Science platform to produce and analyze results, disseminate findings, and contribute to publications and presentations.
* Work on small projects analyzing a variety of big data covering national security, cyber security, business intelligence, online social media, human behavior and more.
* Support multiple simultaneous projects and take open\-ended or high\-level guidance, independently and collaboratively make discoveries that are mission\-relevant, and package and deliver the findings to a non\-technical audience.
* Bring your mix of intellectual curiosity, quantitative acumen, and customer\-focus to identify novel sources of data across a range of fields, to improve the performance of predictive algorithms, and to encourage user adoption of high\-end data analytics platforms in partnership with a highly qualified, highly motivated team.
* Leverage your strong background in research design, exploratory analysis, quantitative methods, user interface application design, and experience with customer outreach and engagement
**To be successful in this role you need the following (required):**
* B.S. Degree in a quantitative or analytical field such as Computer Science, Mathematics, Economics, Statistics, Engineering, Physics, or Computational Social Science; or Master's degree or equivalent graduate degree including certificate\-based advanced training courses
* 8\+ years of experience in data science, analytics, or quantitative intelligence analysis, and demonstrating progressive technical development and outcomes. 6\+ years of experience required with a Master's or Doctorate Degree with 2 years of experience.
* Must have an active TS/SCI clearance and must be able to obtain and maintain a Polygraph
* Proficiency in one or more scripting languages such as Python
* Deployment of data science applications (e.g. Streamlit) using Docker, Kubernetes, and/or OpenShift.
* Experience with information retrieval and search, e.g. Elastic Stack (Elasticsearch and Kibana) and/or Structured Query Language (SQL)
* Experience working with a hybrid team of analyst, engineers, and developers to conduct research, and build and deploy complex, but easy\-to\-use algorithms and analytical platforms
* Previous experience performing Data Science or Research in data analytics or big data, i.e. data that won't fit in memory.
* Track record of active learning and creative problem solving
* Ability to analyze and assess software development or data acquisition requirements and determine optimum, cost\-effective solutions.
* Familiarity using git or other version control technologies
* Our Data Scientists have opportunities to own their work and complete tasks on time with little/no supervision
**You will wow us even more if you have some of these skills:**
* A significant share of your data analytics experience in direct support of military or intelligence community customers, demonstrating progressive technical development and mission\-focused outcomes.
* Significant experience dealing with at least two of the following data classes: forensic media (i.e. DOMEX); open source, publicly available information (PAI); measurement and signatures intelligence (MASINT); or cybersecurity and cyber forensics
* Experience with Knowledge Graphs and KG tech such as neo4j or graph ML.
* Experience developing predictive algorithms, image classifiers, object detectors, and others.
* Familiarity with social network analysis, supply chain analysis, forensic accounting, pattern of life, natural language processing, social media analysis, classification algorithms, and/or image processing.
* Experience blending analytical methodologies and leveraging existing COTS/GOTS/OS tools in an unconventional manner.
* Experience with an on\-prem, air gapped environment and/or Amazon Web Services (AWS/C2S)
* Familiarity with hardware platforms, e.g., CPUs, GPUs, FPGAs, etc.
 \#NMECDTP\-Leidos
 If you're looking for comfort, keep scrolling. At Leidos, we outthink, outbuild, and outpace the status quo \- because the mission demands it. We're not hiring followers. We're recruiting the ones who disrupt, provoke, and refuse to fail. Step 10 is ancient history. We're already at step 30 \- and moving faster than anyone else dares.
****Original Posting:****
 February 4, 2026
 For U.S. Positions: While subject to change based on business needs, Leidos reasonably anticipates that this job requisition will remain open for at least 3 days with an anticipated close date of no earlier than 3 days after the original posting date as listed above.
****Pay Range:****
 Pay Range $107,900\.00 \- $195,050\.00
 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t>
        </is>
      </c>
    </row>
    <row r="56">
      <c r="A56" t="inlineStr">
        <is>
          <t>li-4370054384</t>
        </is>
      </c>
      <c r="B56" t="inlineStr">
        <is>
          <t>Sr Data Scientist</t>
        </is>
      </c>
      <c r="C56" t="inlineStr">
        <is>
          <t>Jobs via Dice</t>
        </is>
      </c>
      <c r="D56" t="inlineStr">
        <is>
          <t>linkedin</t>
        </is>
      </c>
      <c r="E56">
        <f>HYPERLINK("https://www.linkedin.com/jobs/view/4370054384", "https://www.linkedin.com/jobs/view/4370054384")</f>
        <v/>
      </c>
      <c r="F56" t="inlineStr"/>
      <c r="G56" t="inlineStr">
        <is>
          <t>California, United States</t>
        </is>
      </c>
      <c r="H56" t="inlineStr"/>
      <c r="I56" t="inlineStr">
        <is>
          <t>**Our Mission**
 At Palo Alto Networks , we're united by a shared mission\-to protect our digital way of life. We thrive at the intersection of innovation and impact, solving real\-world problems with cutting\-edge technology and bold thinking. Here, everyone has a voice, and every idea counts. If you're ready to do the most meaningful work of your career alongside people who are just as passionate as you are, you're in the right place.
**Who We Are**
 In order to be the cybersecurity partner of choice, we must trailblaze the path and shape the future of our industry. This is something our employees work at each day and is defined by our values: Disruption, Collaboration, Execution, Integrity, and Inclusion. We weave AI into the fabric of everything we do and use it to augment the impact every individual can have. If you are passionate about solving real\-world problems and ideating beside the best and the brightest, we invite you to join us!
 We believe collaboration thrives in person. That's why most of our teams work from the office full time, with flexibility when it's needed. This model supports real\-time problem\-solving, stronger relationships, and the kind of precision that drives great outcomes.
**Job Summary**
 Your Career
 We are seeking a versatile Data Scientist to join our team and help shape the future of our business operations. This role is a unique hybrid of classical machine learning and applied AI. You will tackle diverse and impactful projects, from building predictive models that drive key business decisions to characterizing and optimizing the performance of our emerging AI agentic systems.
 You are an entrepreneurial problem\-solver who thrives in ambiguous environments and enjoys bridging the gap between technical execution and business strategy. In this role, you will act as both a builder, developing and deploying ML models, and a strategic partner, consulting with business teams to unlock new opportunities with data and AI. If you are passionate about wearing multiple hats, working in a fast\-paced setting, and delivering high\-quality, impactful work, we want to hear from you.
 This is an in\-office role 3 days/week in our HQ, Santa Clara, CA.
 Your Impact
 Develop \&amp; Deploy Classical ML Models: Own the end\-to\-end lifecycle of machine learning projects. You'll build and productionize sophisticated models for critical business areas such as marketing attribution, customer churn prediction, and finance forecasting.
 Optimize AI Agentic Systems: Play a key role in our generative AI initiatives. You will be responsible for characterizing, evaluating, and fine\-tuning AI agents\-such as conversational systems that allow users to query massive datasets using natural language\-to improve their accuracy, efficiency, and reliability.
 Partner with Business Stakeholders: Act as an internal consultant to our marketing, product, finance and go\-to\-market teams. You'll translate business challenges into data science problems, identify opportunities for AI\-driven solutions, and present your findings in a clear, actionable manner.
 Own the Full Data Science Lifecycle: Your responsibilities will cover the entire project workflow, working with the business to understand the problem, chart a path to solve the problem, feature engineering, model selection and training, robust evaluation, deployment, and in partnership with the data platform team , ongoing monitoring for performance degradation.
 Data Storytelling: Don't just build the model; sell the solution. You will visualize your findings (using Tableau, Looker, or custom coding) to make complex data intuitive for business stakeholders.
 Collaboration: Partner closely with Marketing and Product teams to translate their business goals into technical data requirements.
**Qualifications**
 Your Experience
 Education \&amp; Experience:
 Bachelor's degree with 2\+ years of related experience; OR
 Advanced degree in a quantitative field (Computer Science, AI, Statistics, Physics, etc.) with 1\+ years of experience (academic research applies).
 Strong foundation in statistics and probability theory and commonly used data science algorithms.
 Proven hands\-on experience building and deploying machine learning models in a production environment.
 A solid command of SQL for complex querying and data manipulation.
 Proven ability to work autonomously, navigate ambiguity, and drive projects from concept to completion.
 Prior experience developing dashboards in Tableau/Looker or similar data viz platform.
**Preferred**
 Direct experience with generative AI, including hands\-on work with LLMs and frameworks like LangChain, LlamaIndex, or the Hugging Face ecosystem.
 Experience in evaluating and optimizing the performance of AI systems or agents.
 Demonstrated expertise in specialized modeling domains such as causal inference, time\-series analysis, or marketing mix modeling.
**Compensation Disclosure**
 The compensation offered for this position will depend on qualifications, experience, and work location. For candidates who receive an offer at the posted level, the starting base salary (for non\-sales roles) or base salary \+ commission target (for sales/com\-missioned roles) is expected to be the annual range listed below. The offered compensation may also include restricted stock units and a bonus. A description of our employee benefits may be found here.
 $129,100\.00 \- $208,825\.00/yr
**Our Commitment**
 We're trailblazers that dream big, take risks, and challenge cybersecurity's status quo. It's simple: we can't accomplish our mission without diverse teams innovating, together.
 We are committed to providing reasonable accommodations for all qualified individuals with a disability. If you require assistance or accommodation due to a disability or special need, please contact us at
 Palo Alto Networks is an equal opportunity employer. We celebrate diversity in our workplace, and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other legally protected characteristics.
 All your information will be kept confidential according to EEO guidelines.
 Is role eligible for Immigration Sponsorship? No. Please note that we will not sponsor applicants for work visas for this position.</t>
        </is>
      </c>
    </row>
    <row r="57">
      <c r="A57" t="inlineStr">
        <is>
          <t>li-4370059246</t>
        </is>
      </c>
      <c r="B57" t="inlineStr">
        <is>
          <t>GenAI Data Scientist/W2 ONLY/NYC LOCAL ONLY /Financial Services/ Capital Markets / NYC /W2</t>
        </is>
      </c>
      <c r="C57" t="inlineStr">
        <is>
          <t>Jobs via Dice</t>
        </is>
      </c>
      <c r="D57" t="inlineStr">
        <is>
          <t>linkedin</t>
        </is>
      </c>
      <c r="E57">
        <f>HYPERLINK("https://www.linkedin.com/jobs/view/4370059246", "https://www.linkedin.com/jobs/view/4370059246")</f>
        <v/>
      </c>
      <c r="F57" t="inlineStr"/>
      <c r="G57" t="inlineStr">
        <is>
          <t>New York, NY</t>
        </is>
      </c>
      <c r="H57" t="inlineStr"/>
      <c r="I57" t="inlineStr">
        <is>
          <t>Dice is the leading career destination for tech experts at every stage of their careers. Our client, Crox Consulting Inc, is seeking the following. Apply via Dice today!
 W2 ONLY/ NYC LOCAL ONLY
 W2 ONLY/ NYC LOCAL ONLY
 W2 ONLY/ NYC LOCAL ONLY
**Job Summary**
**Local/W2 Only**
 We are looking for a
 **GenAI\-focused Data Scientist** 
 with
 **strong financial services / capital markets experience** 
 to work on next\-generation data and AI products. The ideal candidate will have an
 **advanced degree in Financial Engineering or Data Science** 
 and hands\-on experience building
 **machine learning and Generative AI solutions** 
 in a production environment.
 This role requires someone who already understands the
 **financial business context** 
 \-we are not looking to train from scratch on capital markets.
**Key Responsibilities**
* Collaborate closely with product development and technology teams to advance S3 data products
* Design, improve, and innovate statistical, machine learning, and predictive models across asset classes such as Equities and Fixed Income
* Develop and deploy AI/ML predictive analytics models
* Work with Generative AI models, including LLMs, embeddings, and prompt\-based workflows
* Evaluate and select appropriate GenAI models (open\-source or commercial) for business use cases
* Perform daily data quality checks and ensure production stability
* Support model performance monitoring and continuous improvement
**Required Qualifications (Critical)**
* Advanced degree in Financial Engineering or Data Science (MANDATORY)
* 4\+ years of experience in data analysis, data science, or a similar role
* Strong experience applying machine learning techniques in real\-world scenarios
* Hands\-on experience with LLMs / GenAI technologies
* Experience using Azure AI / OpenAI APIs
* Familiarity with LangChain or similar orchestration frameworks
* Strong programming skills in Python and SQL
* Experience with Azure ML, Excel
* Financial Services / Capital Markets experience is REQUIRED
**Nice to Have (Desirable)**
* Experience with fine\-tuning models, RAG (Retrieval\-Augmented Generation), and model optimization
* Understanding of model governance, Responsible AI, and risk controls in financial environments
* Experience in Prime Brokerage, Securities Lending, or Counterparty Risk
**Why Join**
* Work on cutting\-edge GenAI and ML initiatives
* Exposure to capital markets data and complex financial use cases
* Competitive compensation and long\-term growth opportunity</t>
        </is>
      </c>
    </row>
    <row r="58">
      <c r="A58" t="inlineStr">
        <is>
          <t>li-4370064105</t>
        </is>
      </c>
      <c r="B58" t="inlineStr">
        <is>
          <t>Data Scientist [Full Scope Polygraph]</t>
        </is>
      </c>
      <c r="C58" t="inlineStr">
        <is>
          <t>Jobs via Dice</t>
        </is>
      </c>
      <c r="D58" t="inlineStr">
        <is>
          <t>linkedin</t>
        </is>
      </c>
      <c r="E58">
        <f>HYPERLINK("https://www.linkedin.com/jobs/view/4370064105", "https://www.linkedin.com/jobs/view/4370064105")</f>
        <v/>
      </c>
      <c r="F58" t="inlineStr"/>
      <c r="G58" t="inlineStr">
        <is>
          <t>Annapolis, MD</t>
        </is>
      </c>
      <c r="H58" t="inlineStr"/>
      <c r="I58" t="inlineStr">
        <is>
          <t>**Modern Technology Solutions, Inc. (MTSI)** 
 is hiring a Data Scientist at Annapolis Junction, Maryland. Qualified candidates must have a TS/SCI and Polygraph clearance.
**Responsibilities:**
 Provide expert technical assistance to government customers by developing machine learning, data mining, and statistical algorithms
 Analyze datasets, prototyping algorithms and models for experiments and execution
 Generate reports that summarize datasets and provide decision\-quality insights
 Partner with Subject Matter Experts (SMEs) and Software Engineers to construct automated analytics and enhance workflows
 Collaborate with customers, SMEs, and Software Engineers to define requirements and guide analytics formulation
 Produce summaries and visualizations that provide insight into dataset structure and meaning
 Develop experiments and models to simulate unavailable data
 Oversee analytics development
 Manage the transition of prototype analytics into production
 Evaluate the performance of analytics
 Guide analytics development toward solutions that scale to large datasets
 Develop and train machine learning systems to support mission automation
 Understand and guide the integration of emerging machine learning and pattern recognition algorithms into executable solutions
**Required Qualifications:**
 Exceptional integrity, professionalism, and a commitment to abide by MTSI's core values
 Strong leadership and communication skills
 Experience as a data scientist or operations research analyst
 Experience conducting modeling and simulation or decision analysis
 Experience analyzing datasets and developing analytics
 Experience programming with data analysis software.
**Education Requirements:**
 Master's or Bachelor's degree in mathematics, operations research, engineering, computer science or a related technical discipline.
**Clearance Requirement:**
 TS/SCI clearance with Full Scope Polygraph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2026-02-08T02:44:43Z</dcterms:created>
  <dcterms:modified xsi:type="dcterms:W3CDTF">2026-02-08T02:44:43Z</dcterms:modified>
</cp:coreProperties>
</file>