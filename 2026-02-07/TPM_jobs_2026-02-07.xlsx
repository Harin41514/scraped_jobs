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in-dc4dc2da8e9cd27b</t>
        </is>
      </c>
      <c r="B2" t="inlineStr">
        <is>
          <t>Senior Technical Program Manager</t>
        </is>
      </c>
      <c r="C2" t="inlineStr">
        <is>
          <t>General Dynamics Information Technology</t>
        </is>
      </c>
      <c r="D2" t="inlineStr">
        <is>
          <t>indeed</t>
        </is>
      </c>
      <c r="E2" t="inlineStr"/>
      <c r="F2" t="inlineStr"/>
      <c r="G2" t="inlineStr">
        <is>
          <t>Fort Bragg, NC, US</t>
        </is>
      </c>
      <c r="H2" s="2" t="n">
        <v>46059</v>
      </c>
      <c r="I2" t="inlineStr">
        <is>
          <t>Your Impact
Own your opportunity to work with the largest government agency in the nation. Make an impact by advancing the Department of Defense’s mission to keep our country safe and secure.
Job Description
Iron EagleX (IEX), a wholly owned subsidiary of General Dynamics Information Technology, delivers agile IT and Intelligence solutions. Combining small\-team flexibility with global scale, IEX leverages emerging technologies to provide innovative, user\-focused solutions that empower organizations and end users to operate smarter, faster, and more securely in dynamic environments.
PROGRAM SR MANAGER  
Oversee complex programs that drive impactful mission outcomes for our customers as a Senior Technical Program Manager. Here, you’ll see the bigger picture on mission initiatives and where your program management career can go at GDIT.  
MEANINGFUL WORK AND PERSONAL IMPACT  
As a Senior Technical Program Manager, the work you’ll do at GDIT will be impactful to the mission of USASOC's Office of ARSOF Autonomy. You will play a crucial role in translating customer requirements for training and technical delivery into sprint plans and customer deliverables focused on software engineering, UI/UX, data science, DevOps Engineering and Data Engineering.
Job Duties Include (but not limited to):
* Participate in development and management of project plans related to application development initiatives. (project planning and design, testing, implementation, and maintenance)
* Manage and prioritize tasking between the Solutions \&amp; Data Science, Skills, and Platform \&amp; DevOps teams.
* Gather and document requirements from government customers.
* Understand business requirements, goals, and risks to formulate and define technical scope and objectives of projects.
* Provide client support and consultation for project issues with a focus on improving business operations.
* Identify risks and issues throughout the project, monitor program deliverables, and initiate strategies and plans to ensure delivery of high\-quality support.
* Create, maintain, and actively manage project schedules.
* Ensure that project documentation is created and is maintained.
* Escalate unresolved issues to Senior management.
* Prepare and submit Monthly Status Report to include financial tracking artifacts
* Plan and execute quarterly Program Increment
* Identify organic growth opportunities and draft cost estimates and technical plans for new work
* Lead procurement efforts for the government program team to include working with GDIT procurement specialists
Required Skills \&amp; Experience:
* Ability to learn on the job, be self\-motivated. Must be able to anticipate problems, spot new business opportunities, and take a proactive approach to responsibilities.
* Experience with project management tools such as Jira, Confluence, and Microsoft Project.
* Experience with technical projects such as software deployment, enterprise systems, and infrastructure.
* A solid understanding and experience with DoD program financial management.
* A solid understanding of overall business functions and the impact of technical decisions on business results.
* Experience serving as a liaison to senior staff/leadership to facilitate timely information transfer and execution decisions.
* Experience with USSOCOM HQ and SOF elements.
* Strong background in procurement and SAFe/Agile planning
* Have strong interpersonal skills to facilitate working within a team and build relationships with customers
* Due to U.S. Government contract requirements, only U.S. citizens are eligible for this role.
WHAT YOU’LL NEED TO SUCCEED  
Bring your program management expertise along with a drive for innovation to GDIT. The Program Sr Manager must have:
* Education: Bachelor of Arts/Bachelor of Science
* Experience: 5\+ years of related experience
* Security clearance level: Secret required; TS/SCI desired
* US citizenship required
* Role requirements: Hybrid work environment with 3 days on site at Fort Bragg and two days Work From Home (WFH)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program management at GDIT and you’ll find endless opportunities to grow alongside colleagues who share your passion for the mission and delivering results. \#IEXPriority
\#iexjobs
Work Requirements
Years of Experience
5 \+ years of related experience* may vary based on technical training, certification(s), *or* degree
Certification
Travel Required
None
Citizenship
U.S. Citizenship Required
Salary and Benefit Information
The likely salary range for this position is $146,200 \- $197,800\.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3">
      <c r="A3" t="inlineStr">
        <is>
          <t>in-41af3bb2d0644ef3</t>
        </is>
      </c>
      <c r="B3" t="inlineStr">
        <is>
          <t>Principal Product Manager - Hasbro Direct</t>
        </is>
      </c>
      <c r="C3" t="inlineStr">
        <is>
          <t>Hasbro, Inc.</t>
        </is>
      </c>
      <c r="D3" t="inlineStr">
        <is>
          <t>indeed</t>
        </is>
      </c>
      <c r="E3" t="inlineStr"/>
      <c r="F3" t="inlineStr"/>
      <c r="G3" t="inlineStr">
        <is>
          <t>Renton, WA, US</t>
        </is>
      </c>
      <c r="H3" s="2" t="n">
        <v>46059</v>
      </c>
      <c r="I3" t="inlineStr">
        <is>
          <t>At Hasbro, our mission is to entertain and connect generations of fans through the wonder of storytelling and exhilaration of play. We’re looking for adventurous and curious people who want to explore, experiment, and innovate to come up with the best ideas. Our culture has inspired our diverse team of highly skilled, highly creative, and highly committed individuals for 100 years and we believe the best is yet to come.
Hasbro’s Direct\-to\-Consumer (DTC) organization is building a unified commerce platform that powers fan experiences across Hasbro Pulse, Dungeons \&amp; Dragons Beyond, and Secret Lair. As Principal Product Manager, Order Management and Post\-Purchase Experience, you will define and execute the product strategy for how Hasbro manages and fulfills every order. You’ll own the roadmap for Salesforce Order Management (OMS), fulfillment and logistics integrations (GXO, WMS, SAP), and post\-purchase automation capabilities that improve delivery accuracy, speed, and customer satisfaction. This is a senior product leadership role accountable for delivering measurable improvements to order reliability, operational efficiency, and customer experience. You will partner with Engineering, Operations, and Customer Care to scale Hasbro’s global DTC capabilities and ensure the platform performs consistently across all brands and regions.
What You’ll Do
1\. Define and Execute the Product Strategy
* Own the product vision and roadmap for order management, fulfillment, and post\-purchase experiences within Hasbro’s unified Salesforce ecosystem.
* Partner with Engineering and Architecture to extend Salesforce OMS integrations with payment, tax, and logistics systems.
* Translate customer feedback and business goals into product requirements that improve fulfillment accuracy, reduce processing time, and support new fulfillment models.
* Establish clear success metrics and OKRs focused on order completion rates, SLA adherence, automation adoption, and customer satisfaction.
2\. Drive Operational Efficiency and Automation
* Lead initiatives that simplify and automate high\-volume order workflows, such as refunds, address changes, and split shipments.
* Collaborate with Customer Care and Digital Genius teams to create self\-service capabilities and automated case resolution flows that reduce contact volume.
* Partner with Analytics to identify bottlenecks, measure process performance, and prioritize optimizations that deliver the highest business value.
* Ensure all automation efforts align with Hasbro’s compliance, tax, and financial reconciliation requirements.
3\. Lead and Develop Product Teams
* Provide product direction, coaching, and mentoring to Product Managers and cross\-functional partners.
* Guide delivery teams to focus on measurable outcomes, not output—balancing near\-term improvements with long\-term platform scalability.
* Represent the OMS and post\-purchase domain in roadmap planning, quarterly reviews, and leadership forums, ensuring alignment with Hasbro’s DTC priorities.
4\. Collaborate Across Hasbro’s Unified Platform
* Work with Front\-End, Data, and Platform teams to ensure a cohesive fan journey from checkout through delivery.
* Partner with Operations and Finance to align OMS capabilities with fulfillment processes, regional compliance, and accounting automation.
* Contribute to the Unified eCommerce Platform roadmap, ensuring OMS and fulfillment enhancements integrate seamlessly with front\-end commerce and global expansion efforts.
 Minimum Qualifications
* 7\+ years of product management experience in eCommerce, order management, or fulfillment systems.
* Strong knowledge of Salesforce OMS, warehouse management systems (WMS), or ERP integrations.
* Proven ability to lead cross\-functional delivery with Engineering, Operations, and Customer Experience teams.
* Demonstrated success defining measurable outcomes and driving improvements through data\-driven prioritization.
* Excellent written, verbal, and stakeholder communication skills.
 Preferred Qualifications
* Experience with multi\-region fulfillment, 3PL integrations, and SAP financial reconciliation.
* Background in workflow automation, customer care tools, or service experience platforms.
* Track record of leading complex, multi\-brand product strategies on a global scale.
* Experience mentoring PMs or leading large cross\-functional initiatives.
**We are an Equal Opportunity / Affirmative Action Employer**
Hasbro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$122,300\.00 to $183,500\.00\.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t>
        </is>
      </c>
    </row>
    <row r="4">
      <c r="A4" t="inlineStr">
        <is>
          <t>in-236de3d9976d1e61</t>
        </is>
      </c>
      <c r="B4" t="inlineStr">
        <is>
          <t>Program Manager, Clinical Data Science</t>
        </is>
      </c>
      <c r="C4" t="inlineStr">
        <is>
          <t>ICON plc</t>
        </is>
      </c>
      <c r="D4" t="inlineStr">
        <is>
          <t>indeed</t>
        </is>
      </c>
      <c r="E4" t="inlineStr"/>
      <c r="F4" t="inlineStr"/>
      <c r="G4" t="inlineStr">
        <is>
          <t>Blue Bell, PA, US</t>
        </is>
      </c>
      <c r="H4" s="2" t="n">
        <v>46059</v>
      </c>
      <c r="I4" t="inlineStr">
        <is>
          <t>Program Manager, Clinical Data Science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Program Manager, Clinical Data Science to join our diverse and dynamic team. As a Program Manager in Clinical Data Science at ICON, you will play a crucial role in overseeing and coordinating data science initiatives within clinical programs. You will lead cross\-functional teams to ensure the successful execution of data\-driven projects, from data collection and analysis to the implementation of insights that drive clinical outcomes and operational efficiencies.
What You Will Be Doing:* Managing the end\-to\-end execution of clinical data science programs, including planning, resource allocation, and delivery of data science projects within scope, time, and budget constraints.
* Coordinating with data scientists, statisticians, clinical researchers, and other stakeholders to ensure alignment on project objectives, data requirements, and analytical approaches.
* Developing and maintaining program plans, timelines, and budgets, and monitoring progress to ensure timely and successful completion of data science initiatives.
* Providing strategic oversight and guidance on data science methodologies, ensuring that analyses are rigorous, valid, and aligned with clinical and regulatory standards.
* Communicating program status, insights, and outcomes to stakeholders, including executive leadership, and addressing any issues or risks that may impact program success.
Your Profile:* Bachelor’s degree in data science, statistics, clinical research, or a related field. Advanced degree and/or relevant certifications are preferred. Extensive experience in program management within the clinical data science or related domain.
* Strong background in data science methodologies, statistical analysis, and clinical research, with a track record of successfully managing complex data\-driven projects.
* Exceptional leadership skills with experience managing cross\-functional teams and collaborating with various departments to achieve program objectives.
* Proficiency in project management tools and techniques, with experience in risk management, budgeting, and resource planning.
* Excellent communication and interpersonal skills, with the ability to convey complex data insights clearly and build effective relationships with stakeholders at all levels.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row>
    <row r="5">
      <c r="A5" t="inlineStr">
        <is>
          <t>in-8ee80444814d00c9</t>
        </is>
      </c>
      <c r="B5" t="inlineStr">
        <is>
          <t>Engineering Product Manager</t>
        </is>
      </c>
      <c r="C5" t="inlineStr">
        <is>
          <t>Cisco</t>
        </is>
      </c>
      <c r="D5" t="inlineStr">
        <is>
          <t>indeed</t>
        </is>
      </c>
      <c r="E5" t="inlineStr"/>
      <c r="F5" t="inlineStr"/>
      <c r="G5" t="inlineStr">
        <is>
          <t>Research Triangle Park, NC, US</t>
        </is>
      </c>
      <c r="H5" s="2" t="n">
        <v>46059</v>
      </c>
      <c r="I5" t="inlineStr">
        <is>
          <t>**The application window is expected to close on:** Job posting may be removed earlier if the position is filled or if a sufficient number of applications are received.
Designs, develops, and manages activities for a specific product or group of products or services from product definition and planning through production, release, and end of life. Serves as the central resource with design, process, manufacturing, test, quality, and marketing as the product(s) move to production and distribution. Involvement lasts throughout all stages of a product’s lifecycle including modifications, upgrades, and maintenance of the product or product line. Coordinates departmental or cross\-functional teams, focused on delivering new or upgrading existing products.What You’ll Do: • Delivers on product strategy and plans for multiple product capabilities; may undertake some or all activities on a product roadmap• Contributes to, and executes, on feature/capability level strategy spanning 6\-12 months with guidance• Reviews multiple data sources (e.g., customer feedback, product dependencies, product performance) to develop prioritization plan• Ensures prioritization plan informs development of short to medium term capability roadmap• Understands clear themes and alignment between product capability roadmap and broader product strategy and goals• Undertands indicators for making technical trade\-offs using success metrics/data measures• Collects and summarizes product pain points, business challenges, and feature requirements from both interna and external customers• Understands customer needs and evaluates product feedback • Generates ideas to translate to positive product outcomes• Works closely with all relevant cross\-functional teams to prepare a case for product changes by analyzing associated costs and benefits of changes in scope• Participates and plays active learning role in community engagement events and forums (e.g., councils, coaching forums)Minimum Qualifications: Typically: Bachelors \+ 5 years of related experience, or Masters \+ 3 years of related experience, or PhD \+ 0 years of related experiencePreferred Qualifications: Varies based on the team and business needs \| Preferred Qualifications are desired education, experience, and skills that are in addition to Minimum Qualifications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$113,900\.00 to $161,000\.00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$135,800\.00 \- $222,400\.00
**Non\-Metro New York state\&amp; Washington state:**  
$122,000\.00 \- $197,900\.00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
      <c r="A6" t="inlineStr">
        <is>
          <t>in-354a636e9367df64</t>
        </is>
      </c>
      <c r="B6" t="inlineStr">
        <is>
          <t>Technical Product Owner</t>
        </is>
      </c>
      <c r="C6" t="inlineStr">
        <is>
          <t>Cisco</t>
        </is>
      </c>
      <c r="D6" t="inlineStr">
        <is>
          <t>indeed</t>
        </is>
      </c>
      <c r="E6" t="inlineStr"/>
      <c r="F6" t="inlineStr"/>
      <c r="G6" t="inlineStr">
        <is>
          <t>Research Triangle Park, NC, US</t>
        </is>
      </c>
      <c r="H6" s="2" t="n">
        <v>46059</v>
      </c>
      <c r="I6" t="inlineStr">
        <is>
          <t>**The application window is expected to close on:** Job posting may be removed earlier if the position is filled or if a sufficient number of applications are received.
Cisco Enterprise DevOps as a Service (EDaaS) team is seeking a Technical Product Owner and Program Manager to lead the strategy, roadmap, and execution of the internal developer portal. This role focuses on reducing developer friction and delivering a unified developer experience that improves how engineers build, deploy, and operate software. You will define the product vision and drive coordinated execution across engineering, platform, and vendor teams to accelerate adoption and improve workflow efficiency.
Key Responsibilities
Product Ownership
* Define and communicate the portal vision and roadmap.
* Prioritize the backlog to streamline workflows and increase developer efficiency.
* Convert engineering needs into clear technical requirements.
* Lead integrations with CI/CD, code management, security, and platform services.
* Evaluate portal performance and adoption and drive continuous improvements.
* Provide clear leadership updates on progress and outcomes.
Program Management
* Manage program execution across multiple internal and external teams
* Align priorities across engineering, operations, security, business units, and executives.
* Manage vendor relationships for tools and platforms that connect into the portal.
* Track key metrics and deliver concise executive level reports.
* Identify risks and blockers and drive mitigation strategies.
* Lead rollout and change management for global engineering teams.
Required Qualifications
* Bachelor’s degree in a related field or equivalent experience.
* 10\+ years of experience with atleast three years as a product owner.
* Strong knowledge of Agile and Scrum practices and backlog management.
* Proven success delivering large cross functional initiatives and platform rollouts.
* Experience with developer tooling, internal platforms, and workflow optimization.
* Familiarity with SDLC, CI and CD pipelines, APIs, and major cloud platforms.
* Excellent communication, partnership, and stakeholder management skills.
* Ability to manage multiple priorities in a fast paced environment.
Desired Qualifications
* Certified Scrum Product Owner, SAFe Product Owner Manager, PMP, or equivalent.
* Strong foundation in software engineering from prior developer roles
* Experience with GitHub, VS Code, JetBrains, and related developer tools.
* Knowledge of compliance and governance for enterprise platforms.
* Experience leading distributed teams and managing large vendor engagements.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$130,600\.00 to $182,200\.00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$152,400\.00 \- $255,100\.00
**Non\-Metro New York state\&amp; Washington state:**  
$134,300\.00 \- $224,800\.00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7">
      <c r="A7" t="inlineStr">
        <is>
          <t>in-fdf479686b6f0515</t>
        </is>
      </c>
      <c r="B7" t="inlineStr">
        <is>
          <t>Product Manager, Apple Intelligence and Siri</t>
        </is>
      </c>
      <c r="C7" t="inlineStr">
        <is>
          <t>Apple</t>
        </is>
      </c>
      <c r="D7" t="inlineStr">
        <is>
          <t>indeed</t>
        </is>
      </c>
      <c r="E7" t="inlineStr"/>
      <c r="F7" t="inlineStr"/>
      <c r="G7" t="inlineStr">
        <is>
          <t>Cupertino, CA, US</t>
        </is>
      </c>
      <c r="H7" s="2" t="n">
        <v>46059</v>
      </c>
      <c r="I7" t="inlineStr">
        <is>
          <t>Imagine what you could do here. At Apple, great ideas have a way of becoming outstanding products, services and customer experiences very quickly. We believe that if you bring passion and dedication to your job, there's no telling what you could accomplish!  
As a member of our Worldwide Product Marketing group, you’ll represent customers throughout product and feature journeys from concept through development and launch. You’ll develop and apply insights to help infuse innovative features into our product development process. Together with our team, you’ll work to craft groundbreaking ideas into tangible products and features that excite the world. And you’ll help lead the way on how we bring them out to our users and developers.  
At Apple, we combine product management and product marketing responsibilities into a single, cross functional Product Management role that collaborates with design, engineering, finance, legal, marketing communications, public relations, market research, sales and support for maximum impact across the organization.  
**Description**  
We are looking for a highly motived Product Manager to focus on areas across Apple Intelligence and Siri.  
This role requires a deep understanding of AI, including consumer experiences and industry trends. You are comfortable with complex and ambiguous problems and situations, adept at identifying a project’s risks, and hold a commitment to excellence in your work. You love using your creative and critical thinking to craft solutions for resolving them quickly. Working with multiple internal and external partners, you are adept at quickly gaining their respect and support, and consistently demonstrate extraordinary marketing expertise, attention to detail, objectivity, and accountability.","responsibilities":"You will help drive the definition and launch of meaningful AI experiences and features across Apple’s operating systems. These features will extend the capabilities of Apple Intelligence and Siri, across our products and create new opportunities for developers.  
You will play an instrumental role on the AIML product marketing team by collaborating with engineering and design to investigate new concepts and ideas and being the voice of the market to Apple during the development phase.  
You will understand and help shape features from the models all the way through user experiences.  
Leading into launch you will craft product messaging briefs, guide marketing communications on the creation of launch materials and act as a spokesperson in press briefings and public events.  
Together with your partner teams, you will enrich our users’ lives with products that leverage the latest innovations in AI.  
**Preferred Qualifications**  
Proven record working collaboratively with engineering, design, and marketing peers  
Deep understanding of the AI landscape, products, and experiences  
Technical track record working closely with engineering/technical teams  
Strong ability to lead through influence, debate, and focusing on what’s best for users  
High aptitude for uncovering insights through data exploration and analysis  
Experience and ability to synthesize technologies into product communication for broad audience including customers, media, analysts, and leading industry specialists  
Best\-in\-class story\-telling, presentation, and written communication skills  
Press and media experience with success as a product spokesperson on a national or global level  
Strong attention to detail  
Willingness to travel  
A dedicated self\-starter who demonstrates creative and critical thinking abilities  
Bachelor’s degree; MS/MBA preferred  
**Minimum Qualifications**  
4\+ years experience in product marketing and/or product management roles, including at least one entire product development cycle from concept to launch with consumer software products and technologies for software platforms.  
Hands\-on experience formulating product messaging and creating outbound marketing for both technical and consumer audiences, and/or partnering with engineering and design during early research and development to define product strategy and roadmap, and with marketing and public relations to craft positioning, and define marketing activities.  
Recent experience within the last 3 years in one or more of the following software segments: operating systems, AI, consumer apps, or adjacent.  
Ability to drive communication with key stakeholders, the media, and public, as demonstrated by exceptional presentation skills: developing keynote addresses in an area of subject matter expertise, synthesizing information, applying critical thinking and maintaining composure under pressure.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8">
      <c r="A8" t="inlineStr">
        <is>
          <t>in-a0e2d1758c9a0dae</t>
        </is>
      </c>
      <c r="B8" t="inlineStr">
        <is>
          <t>Senior Product Manager, Apple Intelligence and Siri</t>
        </is>
      </c>
      <c r="C8" t="inlineStr">
        <is>
          <t>Apple</t>
        </is>
      </c>
      <c r="D8" t="inlineStr">
        <is>
          <t>indeed</t>
        </is>
      </c>
      <c r="E8" t="inlineStr"/>
      <c r="F8" t="inlineStr"/>
      <c r="G8" t="inlineStr">
        <is>
          <t>Cupertino, CA, US</t>
        </is>
      </c>
      <c r="H8" s="2" t="n">
        <v>46059</v>
      </c>
      <c r="I8" t="inlineStr">
        <is>
          <t>Imagine what you could do here. At Apple, great ideas have a way of becoming outstanding products, services and customer experiences very quickly. We believe that if you bring passion and dedication to your job, there's no telling what you could accomplish!  
As a member of our Worldwide Product Marketing group, you’ll represent customers throughout product and feature journeys from concept through development and launch. You’ll develop and apply insights to help infuse innovative features into our product development process. Together with our team, you’ll work to craft groundbreaking ideas into tangible products and features that excite the world. And you’ll help lead the way on how we bring them out to our users and developers.  
At Apple, we combine product management and product marketing responsibilities into a single, cross functional Product Management role that collaborates with design, engineering, finance, legal, marketing communications, public relations, market research, sales and support for maximum impact across the organization.  
**Description**  
We are looking for a highly motived Senior Product Manager to focus on areas across Apple Intelligence and Siri.  
This role requires a deep understanding of AI, including consumer experiences and industry trends. You are comfortable with complex and ambiguous problems and situations, adept at identifying a project’s risks, and hold a commitment to excellence in your work. You love using your creative and critical thinking to craft solutions for resolving them quickly. Working with multiple internal and external partners, you are adept at quickly gaining their respect and support, and consistently demonstrate extraordinary marketing expertise, attention to detail, objectivity, and accountability.","responsibilities":"You will help drive the definition and launch of meaningful AI experiences and features across Apple’s operating systems. These features will extend the capabilities of Apple Intelligence and Siri, across our products and create new opportunities for developers.  
You will play an instrumental role on the AIML product marketing team by collaborating with engineering and design to investigate new concepts and ideas and being the voice of the market to Apple during the development phase.  
You will understand and help shape features from the models all the way through user experiences.  
Leading into launch you will craft product messaging briefs, guide marketing communications on the creation of launch materials and act as a spokesperson in press briefings and public events.  
Together with your partner teams, you will enrich our users’ lives with products that leverage the latest innovations in AI.  
**Preferred Qualifications**  
Proven record working collaboratively with engineering, design, and marketing peers  
Deep understanding of the AI landscape, products, and experiences  
Technical track record working closely with engineering/technical teams  
Strong ability to lead through influence, debate, and focusing on what’s best for users  
High aptitude for uncovering insights through data exploration and analysis  
Experience and ability to synthesize technologies into product communication for broad audience including customers, media, analysts, and leading industry specialists  
Best\-in\-class story\-telling, presentation, and written communication skills  
Press and media experience with success as a product spokesperson on a national or global level  
Strong attention to detail  
Willingness to travel  
A dedicated self\-starter who demonstrates creative and critical thinking abilities  
Bachelor’s degree; MS/MBA preferred  
**Minimum Qualifications**  
8\+ years experience in product marketing and/or product management roles, including at least one entire product development cycle from concept to launch with consumer software products and technologies for software platforms.  
Hands\-on experience formulating product messaging and creating outbound marketing for both technical and consumer audiences, and/or partnering with engineering and design during early research and development to define product strategy and roadmap, and with marketing and public relations to craft positioning, and define marketing activities.  
Recent experience within the last 3 years in one or more of the following software segments: operating systems, AI, consumer apps, or adjacent.  
Ability to drive communication with key stakeholders, the media, and public, as demonstrated by exceptional presentation skills: developing keynote addresses in an area of subject matter expertise, synthesizing information, applying critical thinking and maintaining composure under pressure.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$203,300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9">
      <c r="A9" t="inlineStr">
        <is>
          <t>in-31598bee2e70a3ba</t>
        </is>
      </c>
      <c r="B9" t="inlineStr">
        <is>
          <t>Drug Diversion Prevention and Compliance Program Manager</t>
        </is>
      </c>
      <c r="C9" t="inlineStr">
        <is>
          <t>Beth Israel Lahey Health</t>
        </is>
      </c>
      <c r="D9" t="inlineStr">
        <is>
          <t>indeed</t>
        </is>
      </c>
      <c r="E9" t="inlineStr"/>
      <c r="F9" t="inlineStr"/>
      <c r="G9" t="inlineStr">
        <is>
          <t>Westwood, MA, US</t>
        </is>
      </c>
      <c r="H9" s="2" t="n">
        <v>46059</v>
      </c>
      <c r="I9" t="inlineStr">
        <is>
          <t>Westwood, MA • BILH Pharmacy • Full\-time • Day
**When you join the growing BILH team, you're not just taking a job, you’re making a difference in people’s lives.**
Under the direction of the BILH Pharmacy Assistant Vice President, Regulatory and Compliance, the Drug Diversion Prevention and Regulatory Compliance Program Manager leads system\-wide implementation and optimization of diversion analytics software and regulatory compliance initiatives across the Beth Israel Lahey Health (BILH) System. This role works collaboratively with the BILH Controlled Substance Oversight Committee and hospital compliance teams to identify ways to standardize best practices and reduce risk by leveraging reporting tools and technology to prevent, detect, investigate and mitigate drug diversion and compliance risk. Responsibilities include designing and executing audits, educating site\-level coordinators on regulatory updates and partnering with compliance and risk management teams to improve medication safety and maintain high compliance standards throughout the BILH System.
**Job Description:**
**Primary Responsibilities:**
1\. Leads system\-wide implementation, optimization and ongoing enhancement of drug diversion analytics software while optimizing use of diversion analytics technology to improve diversion detection and response
2\. System\-wide regulatory oversight of pharmacy compliance programs, ensuring adherence to federal, state and local laws and regulations
3\. Establishes and maintains a quality assurance program that supports continuous improvement and ensures effectiveness of controlled substance surveillance programs and pharmacy regulatory compliance programs.
4\. Monitors compliance with use of drug diversion analytics platform and reports out to BILH Controlled Substance Oversight Committee
5\. Supports local oversight committees as a liaison to drive clear communication and operational alignment
6\. Collaborates with entity leaders in responding to suspected diversion incidents and serves as point of contact to help with data analytics reports generation for diversion investigations
7\. Develops and oversees an audit program and monitoring activities to ensure compliance and identify areas of risk. Communicates, monitors and analyzes data and reports pharmacy non\-compliance
8\. Provides ongoing education to diversion coordinators at the sites and supports the development and delivery of compliance training and diversion prevention programs including onboarding and annual education
9\. Conducts quarterly regulatory compliance visits to pharmacy sites to assess compliance and identify areas of potential non\-compliance and areas for implementation of best practice
10\. Leads and performs diversion risk rounds at BILH sites to proactively identify high risk activities and support staff education, and promote best practices in controlled substance management
11\. Identifies compliance gaps and areas of risk and supports changes to enhance effectiveness of controlled substance surveillance and regulatory adherence
12\. Ensures that required internal and external regulatory reporting occurs as required following each diversion event in a timely and accurate manner
13\. Participates and leads multidisciplinary committees and workgroups as appropriate. Participates in meetings, serves and leads committees related to improvement and standardization of diversion prevention and surveillance and pharmacy regulatory compliance
14\. Supports system adherence and compliance to USP \&lt;797\&gt; (Pharmaceutical Compounding – Sterile Preparations) and USP \&lt;800\&gt; (Hazardous Drugs – Handling in Healthcare Settings)
15\. Updates guidelines, policies, standard operating procedures, and training materials to reflect current practice and regulatory requirements
16\. Maintains current knowledge of DEA, FDA, MA Department of Public Health, MA Board of Pharmacy, Joint Commission and EPA regulations related to controlled substances and compliance with internal policies and procedures
17\. Manages assigned compliance related and diversion prevention related projects with site leaders and key stakeholders to meet system goals
18\. Performs other duties as assigned
**Required Qualifications:**
1\. High School diploma or GED required.  
2\. Bachelor’s Degree preferred.  
3\. Massachusetts registered pharmacy technician license required  
4\. Certified Pharmacy Technician (CPHT) required  
5\. At least 3 years of work experience in hospital pharmacy is required.  
6\. 1\-3 years related work experience required in controlled substances handling processes and/or controlled substance analytics.  
7\. Knowledge of controlled substances surveillance and management systems and techniques; federal and state regulatory compliance requirements; and auditing techniques.  
8\. Advanced skills with Microsoft applications which may include Outlook, Word, Excel, PowerPoint or Access and other web\-based applications. May produce complex documents, perform analysis, and maintain  
9\. Ability to develop strong relationships with diverse groups of professionals (physicians, nurses, administration, etc.)
**Preferred Qualifications:**
1\. Advanced Certification in Controlled Substances Diversion Prevention  
2\. Advanced Certification in Regulatory Compliance  
3\. Certification in Investigative Techniques
**Competencies:**
1\. Decision Making: Ability to make decisions that are guided by general instructions and practices requiring some interpretation. May make recommendations for solving problems of moderate complexity and importance.  
2\. Problem Solving: Ability to address problems that are varied requiring analysis or interpretation of the situation using direct observation, knowledge and skills based on general precedents.  
3\. Independence of Action: Ability to set goals and determines how to accomplish defined results with some guidelines. Manager/Director provides broad guidance and overall direction.  
4\. Written Communications: Ability to communicate clearly and effectively in written English with internal and external customers.  
5\. Oral Communications: Ability to comprehend and converse in English to communicate effectively with medical center staff, patients, families and external customers.  
6\. Knowledge: Ability to demonstrate full working knowledge of standard concepts, practices, procedures and policies with the ability to use them in varied situations.  
7\. Team Work: Ability to act as a team leader for small projects or work groups, creating a collaborative and respectful team environment and improving workflows. Results may impact the operations of one or more departments.  
8\. Customer Service: Ability to provide a high level of customer service to patients, visitors, staff and external customers in a professional, service\-oriented, respectful manner using skills in active listening and problem solving. Ability to remain calm in stressful situations.
**Social/Environmental Requirements:**
* Work requires close attention to task for work to be accurately completed. Intermittent breaks during the work day do not compromise the work.
* Work is varied every day and the employee needs to be adaptable to respond to these changes and use independent judgment and manage priorities.
* Potential exposure to adverse environmental conditions
o Daily: No substantial exposure to adverse environmental conditions  
* Health Care Status: NHCW: No patient contact. Health Care Worker Status may vary by department.
**Sensory Requirements:**
* Close work (paperwork, visual examination), Color vision/perception, Visual clarity \&lt;3 feet, Conversation, Monitoring Equipment, Telephone.
Physical Requirements:  
* Sedentary work: Exerting up to 10 pounds of force occasionally in carrying, lifting, pushing, pulling objects. Sitting most of the time, with walking and standing required only occasionally.
* The job requires frequent sitting. Keyboard use. There may be occasional walking, standing.
**Pay Range:**
$88,000\.00 USD – $117,000\.00 USD
The pay range listed for this position is the annual base salary range the organization reasonably and in good faith expects to pay for this position at this time. Actual compensation is determined based on several factors, that may include seniority, education, training, relevant experience, relevant certifications, geography of work location, job responsibilities, or other applicable factors permissible by law.
**As a health care organization, we have a responsibility to do everything in our power to care for and protect our patients, our colleagues and our communities. Beth Israel Lahey Health requires that all staff be vaccinated against influenza (flu) as a condition of employment.**
----------------------------------------------------------------------------------------------------------------------------------------------------------------------------------------------------------------------------------------------------------------------------------------
**More than 35,000 people working together. Nurses, doctors, technicians, therapists, researchers, teachers and more, making a difference in patients' lives. Your skill and compassion can make us even stronger.**
--------------------------------------------------------------------------------------------------------------------------------------------------------------------------------------------------------------------
**Equal Opportunity Employer/Veterans/Disabled**
------------------------------------------------
### **Job details**
* **Employment:** Full\-time
* **Hours/Week:** 40
* **Shift:** Day
* **Category:** Pharmacy
* **Pay Range:** $88,000\.00 USD \- $117,000\.00 USD
* **FLSA:** Exempt
* **Req ID:** JR90819</t>
        </is>
      </c>
    </row>
    <row r="10">
      <c r="A10" t="inlineStr">
        <is>
          <t>in-d3c7ef1f98681370</t>
        </is>
      </c>
      <c r="B10" t="inlineStr">
        <is>
          <t>Copy of Product Manager</t>
        </is>
      </c>
      <c r="C10" t="inlineStr">
        <is>
          <t>DualEntry</t>
        </is>
      </c>
      <c r="D10" t="inlineStr">
        <is>
          <t>indeed</t>
        </is>
      </c>
      <c r="E10" t="inlineStr"/>
      <c r="F10" t="inlineStr"/>
      <c r="G10" t="inlineStr">
        <is>
          <t>New York, NY, US</t>
        </is>
      </c>
      <c r="H10" s="2" t="n">
        <v>46059</v>
      </c>
      <c r="I10" t="inlineStr">
        <is>
          <t>**About DualEntry**
-------------------
Founded in 2024, DualEntry is one of the world’s fastest\-growing AI startups.
At DualEntry, the future of finance is being written today. ERP is one of the largest fintech markets in the world ($220,000,000,000\+). Yet, tens of thousands of companies are still using on\-premise systems, and the industry has not seen new entrants in more than 30 years.
Our AI\-native ERP lets accounting teams achieve more in less time. $5M\-ARR businesses to NYSE\-listed companies trust DualEntry to automate away manual data entry work with AI. We’re finally making the one\-person finance team a reality and putting the pain of legacy ERPs from the 1990’s in the past.
We operate with urgency and ownership. We move fast.
**Why This Role Matters Now**
-----------------------------
Since starting 18 months ago, we’ve raised $100,000,0000\+ from world\-class investors such as Lightspeed Venture Partners, Khosla Ventures, Contrary Ventures and Google Ventures, as well as more than 20 angel investors who’ve built, scaled, and exited some of the most impactful companies of the last decade.
We got there by moving incredibly fast and hiring an exceptionally sharp, hard\-working and deeply committed team from leading tech and accounting companies — Ramp, Meta, Microsoft, Lyft, PwC, Deloitte, J.P. Morgan, Bloomberg, Sage, Xero and Intuit. And some of us don't have a fancy logo on our resume and are here for a shot to prove ourselves.
We’re a small team, growing fast with huge momentum \- **join early.**
This is an intense, hands\-on role with full ownership. We expect you to push for excellence and raise the bar.
**Where you'll create impact**
------------------------------
As our Product Manager, you’ll lead features end\-to\-end across engineering and design, translating complex accounting workflows into simple, powerful product experiences. This is an intense, hands\-on role with full ownership. Your work will directly shape how AI shows up inside the ERP of the future.
* You’ll own end\-to\-end execution for 5\+ product features in parallel
* You’ll translate complex accounting workflows into simple requirements that engineering can execute on
* You’ll collaborate with founders, engineering, design, and GTM to drive clarity and alignment
* You’ll define roadmap, strategy, and prioritization frameworks that accelerate product velocity
* You’ll ensure reliability, accuracy, and usability across all shipped features
* You’ll contribute to internal processes and tools that help us ship faster and at higher quality
**What sets you up for success**
--------------------------------
* Hardcore work ethic and high agency
* 2\+ years experience in product management (ideally B2B SaaS)
* 3\+ years experience in accounting, ERP, audit, or similar
* CPA is a strong bonus
* Familiarity with accounting systems, finance tools, and ERP software
* Clear, direct communication style
* Highly organized and comfortable running multiple workstreams at once
* Excited to work **on\-site** with a fast\-moving NYC team
* Technical background (CS/engineering) is a bonus
**Why you’ll thrive here**
--------------------------
* Significant **equity ownership** in one of the top AI companies in the world
* You’re **joining early** and will grow with DualEntry
* Your feedback shapes the product directly
* **High\-speed** culture
* High\-trust environment with **high expectations**
* **Ambitious** mission \- ERP is one of the largest B2B software markets in the world ($220bn per year), this is a once in a lifetime opportunity to build the next generation ERP in an industry that has not seen new entrants in 30\+ years
**Compensation \&amp; Benefits**
----------------------------
* **Base Salary:** $140K–$200K
* **Equity:** \~$80K
* 15 PTO days \+ 12 public holidays
* Full medical, dental \&amp; vision insurance
* Commuter benefits
* 401k benefits
* On\-site team culture \- high collaboration, no bureaucracy
* We'll cover relocation packages and make the move exciting, not painful!
We hire the best, expect the best, and give you the masterclass of your career \- an archaic and huge industry like ERP only goes through a seismic shift like this once in a lifetime. **It’s hard, it’s intense, and it’s the most rewarding work you’ll do this decade.**
If you’re hungry, driven, and ready to build something massive, climb aboard!
*At DualEntry, we believe great products come from diverse teams. We’re an equal opportunity employer, and we’re committed to a culture where everyone feels included, supported, and able to do their best work.*
Compensation Range: $140K \- $200K</t>
        </is>
      </c>
    </row>
    <row r="11">
      <c r="A11" t="inlineStr">
        <is>
          <t>in-7d3e7cc572ba8888</t>
        </is>
      </c>
      <c r="B11" t="inlineStr">
        <is>
          <t>Program Manager</t>
        </is>
      </c>
      <c r="C11" t="inlineStr">
        <is>
          <t>ResCare Community Living</t>
        </is>
      </c>
      <c r="D11" t="inlineStr">
        <is>
          <t>indeed</t>
        </is>
      </c>
      <c r="E11" t="inlineStr"/>
      <c r="F11" t="inlineStr"/>
      <c r="G11" t="inlineStr">
        <is>
          <t>Kansas City, KS, US</t>
        </is>
      </c>
      <c r="H11" s="2" t="n">
        <v>46059</v>
      </c>
      <c r="I11" t="inlineStr">
        <is>
          <t>Our Company:
ResCare Community Living
Overview:
Operations Management focuses on efficiently meeting the needs of our clients across various lines of business. If your passion is managing and developing staff to ensure quality care to help our clients live their best life, we encourage you to apply today!
Responsibilities:
* Direct, manage and administer the coordination and service delivery components of programs that service individuals/consumers in a group home setting
* Supervise the delivery of service and ensure individuals and consumers are receiving the highest quality care.
* Routinely observe service delivery on\-site and monitor for demonstration of knowledge of individual/consumer health needs, behavior management techniques, and emergency procedures
* Serve as a liaison between the community and agencies in the service delivery system, family/guardians and the agency
* Ensure all homes under supervision are environmentally maintained, in strict compliance with all state/federal guidelines and licensure requirements and company policy at all times
* Coordinate investigations of serious incidents and alleged abuse allegations, including appropriate reports to required agencies
* Serve as on\-call support for group homes
* Ensure payroll and billing is completed accurately and timely
* Oversee the Accounts Payable for group homes
* Monitor and assure compliance with monthly, quarterly, and yearly financial goals to ensure services are provided as indicated in each person’s Individual Program Plan
* Coordinate Incident/Accident Review process, monitor for patterns, and provide feedback for action necessary to prevent incidents in future
* Serve as member of agency management team
* Hire, train, evaluate, and monitorany other assigned personnel complete timely Performance Reviews to ensure employees are productive, accountable, and successful in their positions
* Conduct and/or monitor training for all staff in least restrictive techniques, behavior management, active treatment, client rights, prevention of abuse/neglect, documentation/data collection, emergency procedures, and other areas as needed
* Other duties as assigned
Qualifications:
* Degree in Human Services field or related field and minimum of two years working directly with Elderly and Developmentally Disabled required, or equivalent combination of education and experience
* Two years supervisory experience preferred
About our Line of Business: ResCare Community Living, an affiliate of BrightSpring Health Services, has five decades of experience in the disability services field, providing support to individuals who need assistance with daily living due to an intellectual, developmental, or cognitive disability. We provide a comprehensive range of high\-quality services, including: community living, adult host homes for adults regardless of disability, behavioral/mental health support, in\-home pharmacy solutions, telecare and remote support, supported employment and training programs, and day programs. For more information, please visit www.rescarecommunityliving.com. Follow us on Facebook and LinkedIn. Salary Range: USD $50,000\.00 \- $55,000\.00 / Year</t>
        </is>
      </c>
    </row>
    <row r="12">
      <c r="A12" t="inlineStr">
        <is>
          <t>in-f292db359de7f06f</t>
        </is>
      </c>
      <c r="B12" t="inlineStr">
        <is>
          <t>Program Manager</t>
        </is>
      </c>
      <c r="C12" t="inlineStr">
        <is>
          <t>Cayuse Holdings</t>
        </is>
      </c>
      <c r="D12" t="inlineStr">
        <is>
          <t>indeed</t>
        </is>
      </c>
      <c r="E12" t="inlineStr"/>
      <c r="F12" t="inlineStr"/>
      <c r="G12" t="inlineStr">
        <is>
          <t>Stennis Space Center, MS, US</t>
        </is>
      </c>
      <c r="H12" s="2" t="n">
        <v>46058</v>
      </c>
      <c r="I12" t="inlineStr">
        <is>
          <t>The Program Manager acts as the point of contact for all activities associated with the successful execution of projects between Cayuse and the client. This role ensures that programs are delivered on time, within budget, in compliance with government regulations, and aligned with organizational goals. The Program Manager works closely with clients, subcontractors, stakeholders, and cross\-functional teams to achieve program objectives and mitigate risks.
This position aligns with Cayuse’s core values of Innovation, Excellence, Collaboration, Adaptability, and Integrity by fostering technical solutions that meet customer needs, promoting teamwork, and prioritizing quality in deliverables.
* Oversee, review and monitor a diverse senior management team and ensure effectiveness of their roles and responsibilities. Provide leadership, motivation and inspiration to the senior management team to ensure overall success of the contract.
* Interface with the Contracting Officer’s Representative (COR), Contracting Officer (CO), Government personnel, and agency representatives to facilitate open lines of communication and overall effectiveness of the program.
* Ensure Contract deliverables are complete, accurate and submitted in accordance with contractual requirements.
* Manage and mitigate program risks and opportunities. Oversee the implementation and execution of effective safety and quality objectives and ensure quality of services meet contract requirements.
* Develop/execute corrective action plans to mitigate internal or customer identified issues.
* Deliver effective control systems and reporting for accurate processing change and controlling in\-scope performance of program functional task elements such as laboratory operations, Dev Ops, engineering, test, procurement, quality control, logistics, safety, security, and administrative functions.
* Build strong morale within the Cayuse team and ensure communication on all levels throughout the organization.
* Provide oversight of the financial system and implement an accurate and effective estimate process to ensure overall customer satisfaction
* Other duties as assigned.
* Bachelors of Arts or Bachelors of Science or equivalent experience and 15\+ years of prior relevant experience.
* 10\+ years of experience supervising or leading teams or projects.
* Experience with program management of a Laboratory Service program.
* Proven experience and interaction with senior level customers (SES and above).
* Extensive knowledge of client communities (Operations / Acquisition / Development) including Centers and Labs.
* Demonstrated experience managing small to medium programs.
* Prior proposal/acquisition experience for small to medium programs and understanding of the client’s procurement process.
* Understanding of Risk and Opportunity management processes.
* Understanding of all programs financial and business processes and metrics.
* Demonstrated experience in strategic planning.
* Demonstrated success building relationships with customers and teammates.
* Demonstrated experience in Team building.
* Experience executing development programs in an agile environment.
* Developing Cost Estimates.
* Briefing external and internal senior leadership teams on program performance (Monthly Reviews).
* Must be able to pass a background check. May require additional background checks as required by projects and/or clients at any time during employment.
**Minimum Skills:**
* Exceptional interpersonal skills with the ability to communicate in a clear, professional, and articulate manner.
* Exceptional verbal and written communication skills.
* Excellent organizational, analytical, and problem\-solving skills with high\-level attention to detail.
* Proven ability to multitask and prioritize in a fast past environment with changing priorities; adaptable to change and a quick learner.
* Must be self\-motivated and able to work well independently as well as on a multi\-functional team.
* Ability to handle sensitive and confidential information appropriately
* Proficient in MS Office, Word, Outlook, PowerPoint, and Excel.
**Other Duties:** *Please note this job description is not designed to cover or contain a comprehensive list of activities, duties or responsibilities that are required of the employee for this job. Duties, responsibilities, and activities may change at any time with or without notice.*
 ***Cayuse is an Equal Opportunity Employer. All employment decisions are based on merit, qualifications, skills, and abilities. All qualified applicants will receive consideration for employment in accordance with any applicable federal, state, or local law.***</t>
        </is>
      </c>
    </row>
    <row r="13">
      <c r="A13" t="inlineStr">
        <is>
          <t>in-499ab8bdf2f0edcd</t>
        </is>
      </c>
      <c r="B13" t="inlineStr">
        <is>
          <t>Product Manager II</t>
        </is>
      </c>
      <c r="C13" t="inlineStr">
        <is>
          <t>Xerox</t>
        </is>
      </c>
      <c r="D13" t="inlineStr">
        <is>
          <t>indeed</t>
        </is>
      </c>
      <c r="E13" t="inlineStr"/>
      <c r="F13" t="inlineStr"/>
      <c r="G13" t="inlineStr">
        <is>
          <t>Oak Brook, IL, US</t>
        </is>
      </c>
      <c r="H13" s="2" t="n">
        <v>46058</v>
      </c>
      <c r="I13" t="inlineStr">
        <is>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Description
The Product Manager is responsible for setting the strategy, vision, roadmap, and execution for the XITS Managed Services platform. This role works closely with internal teams, partners, and clients to ensure the platform meets the needs of both internal users and external customers. By coordinating across stakeholders, the Product Manager helps drive the overall success and scalability of Managed Services.
Primary Responsibilities  
1\. Product Strategy and Vision  
* Develop and maintain a deep understanding of client needs, both internal and external.
* Analyze competitive market dynamics and position the platform effectively against competitors.
* Define the Managed Services platform strategy and vision to align with the organization’s objectives and key results (OKRs).
* Ensure the product strategy addresses evolving client and market requirements.
2\. Product Prioritization and Problem Solving  
* Create and maintain the product roadmap, ensuring alignment with organizational goals.
* Write and manage product requirement documents (PRDs), incorporating feedback from stakeholders.
* Organize and lead product road mapping sessions to gather input and establish priorities.
* Collaborate with multiple Managed Services functions to balance trade\-offs between features, impact, and resource allocation.
* Address competitive and pricing concerns as part of the product planning process.
* Prioritize features and manage the product backlog effectively to maximize value delivery.
3\. Execution  
* Work closely with the platform team to set and achieve product goals within defined timelines.
* Manage requests from sales teams, clients, and other stakeholders, ensuring clear prioritization and an executable roadmap.
* Ensure tactical execution of the roadmap by working with the development team, primarily managing the product backlog and prioritizing features within Agile sprints.
* Oversee product maintenance, feature iterations, and sunsetting of features.
* Ensure the product complies with all relevant regulations and standards.
* Identify and mitigate potential risks associated with the product.
* Define and track key performance indicators (KPIs) to measure product success.
* Collaborate with Knowledge Management to create comprehensive product documentation.
* Work with Knowledge Management to provide training and support to internal teams and clients for new products and features.
4\. Communication and Coordination  
* Communicate the product vision, strategy, and progress to internal and external stakeholders.
* Work with Knowledge Management to create internal and external communications about product changes and the user impact, including Development Notes and Release Notes.
* Actively gather and incorporate feedback from stakeholders to refine the platform.
5\. Information Security  
* Ensure the confidentiality, integrity, and availability (CIA) of XITS’s internal and client information assets.
* Uphold XITS’s Information Security Management System (ISMS) to maintain a robust information security posture.
Some travel may be required for client meetings, conferences, and trade shows.
Qualifications  
* Proven experience in product management, preferably within SaaS, managed services, or IT operations platforms.
* Proven experience working in an Agile environment, with a focus on translating business needs into development epics and stories.
* Strong analytical and strategic thinking skills with the ability to define product vision and execute on priorities.
* Excellent communication skills, with the ability to convey complex ideas to diverse stakeholders.
* Demonstrated ability to work collaboratively across teams, managing competing priorities effectively.
* Familiarity with information security principles and regulatory compliance.
* Understanding of the use and impact of AIOps, GenAI, and Agentic AI in support operations.
* Good understanding of ITIL.
* Bachelor’s degree minimum required.
\#LI\-Hybrid
\#LI\-ZD1</t>
        </is>
      </c>
    </row>
    <row r="14">
      <c r="A14" t="inlineStr">
        <is>
          <t>in-576e67636a99b667</t>
        </is>
      </c>
      <c r="B14" t="inlineStr">
        <is>
          <t>Deputy Program Manager of Manufacturing &amp; Production</t>
        </is>
      </c>
      <c r="C14" t="inlineStr">
        <is>
          <t>Invariant Corporation</t>
        </is>
      </c>
      <c r="D14" t="inlineStr">
        <is>
          <t>indeed</t>
        </is>
      </c>
      <c r="E14" t="inlineStr"/>
      <c r="F14" t="inlineStr"/>
      <c r="G14" t="inlineStr">
        <is>
          <t>Huntsville, AL, US</t>
        </is>
      </c>
      <c r="H14" s="2" t="n">
        <v>46058</v>
      </c>
      <c r="I14" t="inlineStr">
        <is>
          <t>**Invariant Corporation** is a small company with a highly qualified technical staff that takes pride in providing quality services to our customers. We offer a comprehensive benefits package including 401k, profit sharing, and health/dental insurance. We have the following position available in our Huntsville office:
**Deputy Program Manager \- Manufacturing \&amp; Production**
**26\-013**
Invariant Corporation is seeking a talented and motivated Deputy Program Manager \- Manufacturing \&amp; Production to support Department of Defense programs by coordinating and integrating manufacturing, production, supply chain, and program execution activities. This role serves as the manufacturing\-focused counterpart to the Deputy Program Manager and is responsible for ensuring a disciplined, executable path from prototype development to production. The position does not perform hands\-on manufacturing but interfaces closely with engineering, production, supply chain, and program teams to ensure readiness, alignment, and successful execution.
**Essential Duties and Responsibilities**
* Support the Program Manager in overall program execution including cost, schedule, risk, and deliverable management with emphasis on manufacturing and production readiness.
* Serve as the primary coordination point between engineering, manufacturing/production, supply chain, quality, logistics, training and program management.
* Lead and track production planning activities to ensure prototypes transition successfully into low\-rate and full\-rate production.
* Coordinate production schedules, resource loading, and material availability in collaboration with internal teams and external vendors.
* Support tracking of procurement activities and key vendor relationships to ensure timely delivery of hardware, tooling, and materials.
* Participate in and support design reviews, manufacturing readiness assessments (MRA), production readiness reviews (PRR), and technical interchange meetings.
* Identify risks related to manufacturability, producibility, and supply chain and support development of mitigation plans.
* Serve as delegate for the Program Manager, as needed, for internal and customer meetings.
* Communicate program objectives, priorities, and status to cross\-functional stakeholders.
### **Required Qualifications**
* Bachelor's degree from an accredited university (engineering, manufacturing, industrial, or technical discipline preferred).
* Minimum 3 years of experience supporting or managing projects/programs for DoD, NASA, or other Government customers.
* Experience working with hardware development, manufacturing, production, or integration programs.
* Strong organizational, planning, and tracking skills.
* Strong written and verbal communication skills.
* U.S. Citizenship and ability to obtain/maintain a security clearance.
### **Preferred Qualifications**
* Engineering or similar technical degree.
* Experience supporting prototype development and transition to production.
* Familiarity with manufacturing processes, production planning, and supply chain operations.
* Experience with ERP systems (e.g., JAMIS Prime or similar).
* Experience with earned value management or cost/schedule performance tracking.
* Experience supporting proposal development.
**Requires ability to:**
* Some travel may be required depending on project requirements
* Work well in a small, fast\-paced, and mission\-driven environment with co\-workers, management, and customers
* Demonstrate innovation, quick learning, excellent communication skills and adaptive thinking
* Work independently with minimal supervision, make rational decisions, and exercise good judgment
**Work Environment:**
* Office, lab, and field environment.
* Must possess ability to safely lift and carry up to 35 lbs. with occasional bending, stooping, pushing, pulling, and reaching above shoulder level, minimal walking, climbing, crouching
* Vision to read printed materials and a computer screen; hearing and speech to communicate is required
This position is expected to be performed only in the state of Alabama.
Subject to the provisions of Code of Alabama§ 40\-18\-370, the Company shall give good faith consideration to Alabama residents for employment at the Project.
Invariant Corporation is an Equal Opportunity Employer. All qualified applicants will be considered without regard to race, color, religion, sex, national origin, disability, or veteran status.
Invariant is a drug\-free workplace.</t>
        </is>
      </c>
    </row>
    <row r="15">
      <c r="A15" t="inlineStr">
        <is>
          <t>in-53995c52f7a0bec1</t>
        </is>
      </c>
      <c r="B15" t="inlineStr">
        <is>
          <t>Sr. Principal Enterprise Services IT Program Manager</t>
        </is>
      </c>
      <c r="C15" t="inlineStr">
        <is>
          <t>Northrop Grumman</t>
        </is>
      </c>
      <c r="D15" t="inlineStr">
        <is>
          <t>indeed</t>
        </is>
      </c>
      <c r="E15" t="inlineStr"/>
      <c r="F15" t="inlineStr"/>
      <c r="G15" t="inlineStr">
        <is>
          <t>Baltimore, MD, US</t>
        </is>
      </c>
      <c r="H15" s="2" t="n">
        <v>46057</v>
      </c>
      <c r="I15" t="inlineStr">
        <is>
          <t>RELOCATION ASSISTANCE: No relocation assistance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the heart of Defining Possible is our commitment to missions. In rapidly changing global security environments, Northrop Grumman brings informed insights and secure technological solutions to enable strategic objectives. We’re looking for innovators who can help us keep building on our wide portfolio of secure, affordable, integrated, and multi\-domain systems and technologies that fuel those missions. By joining in our shared mission, we will support yours of expanding your personal network and developing skills, whether you are new to the field or an industry thought leader. At Northrop Grumman, you will have the resources, support, and team to do some of the best work of your career.
Northrop Grumman's Chief Information and Digital Office (CIDO) is seeking an innovative and dynamic **Enterprise Services** **IT Program Manager**.This leader will support the Emerging Capabilities Development (ECD) business unit in the Mission Systems Mission Next Division and is based in our Linthicum, MD location. Reporting to the MS CIDO Lead for ECD, you will lead cross\-functional support teams in a matrixed organizational structure. The candidate selected for this position must work on\-site at our Linthicum, MD campus, with the option of one remote workday per week.
The ideal candidate will bring a diverse perspective to the team, enhancing the overall organizational experience with proven cross\-functional leadership and team\-building skills. In this role, you will be an essential member of the CIDO team, acting as a crucial liaison between CIDO and NGMS ECD.
**Responsibilities will include but not be limited to the following:**
* Ensure the timely and cost\-effective delivery of IT and cybersecurity services, with an emphasis on alignment with enterprise strategy and technology roadmaps.
* Ensure operations adhere to sound technical processes in IT/Cybersecurity and are in line with company policies, procedures, and quality standards
* Manage daily activities and priorities, while leading the design, development, integration, and testing of digital solutions.
* Oversee the technical quality, performance, budget, and schedule for IT/Cybersecurity aspects related to ECD programs.
* Drive the implementation and adoption of standardized, digital solutions; actively seeking to identify and retire technical debt.
 **Basic Qualifications:**
* Associate’s degree with 10 years of relevant experience, or a Bachelor’s degree with 8 years of relevant experience, or a Master’s degree with 6 years of relevant experience, or a PhD with 4 years of relevant experience; a High School diploma or equivalent with 12 years of relevant experience may be considered in lieu of a completed degree.
* Applicants must have an active DoD Secret level security clearance (at a minimum), to include a closed investigation date completed within the last 6 years, or must be enrolled in the DoD Continuous Evaluation Program (CEP) in order to be considered; the required security clearance must be maintained as a condition of continued employment.
* The selected candidate will be required to obtain and maintain a Special Access Program (SAP/SAR) clearance; maintaining the required clearance will be a condition of continued employment.
* Demonstrated ability to effectively communicate and interact with a wide range of stakeholders ranging from very technical to non\-technical, individual contributors, and executive management.
* Customer satisfaction and continuous improvement (concepts, processes, and tools) experience (e.g. implementation of Service Now for project and service request tracking).
* Proven IT project management experience and demonstrated leadership skills, including planning, scheduling, and workload forecasting.
* The ability to handle a rapidly changing set of projects and priorities while maintaining a strong, professional presence.
* Customer\-focused with proven leadership and excellent communication skills, with an ability to drive cross functional teams to action when working in a matrix organization.
* Familiarity with Artificial Intelligence (AI).
 **Preferred Qualifications:**
* Bachelor’s or Master's degree in Computer Science, Engineering, or similar STEM related discipline.
* Project Management Professional (PMP) certification.
* Experience with Agile based practices or Lean Six Sigma methodologies.
* Understanding of data analytics/data science principles and practices.
* Self\-starter who works efficiently and effectively, can get up to speed with program processes quickly, and enjoys a fast paced, dynamic environment.
* Entrepreneurial spirit and an ability to effectively challenge the status quo while providing innovative solutions to complex IT requirements.
We offer flexible work arrangements, phenomenal learning opportunities, exposure to a wide variety of projects and customers, and a very friendly team environment. Our Employee Resource Groups (ERGs) offer opportunities to be a friend, be active, be a volunteer, be a leader, be recognized, and to be yourself. At Northrop Grumman, we are on the cutting edge of innovation. Our diverse portfolio of programs means there are endless paths to cultivate your career. We also offer exceptional benefits/healthcare, a 9/80 work schedule, and a great 401k matching program. Come join us!
Primary Level Salary Range: $135,800\.00 \- $203,600\.00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6">
      <c r="A16" t="inlineStr">
        <is>
          <t>in-7201b942a08e7dae</t>
        </is>
      </c>
      <c r="B16" t="inlineStr">
        <is>
          <t>VP, Global Program Manager</t>
        </is>
      </c>
      <c r="C16" t="inlineStr">
        <is>
          <t>HSBC</t>
        </is>
      </c>
      <c r="D16" t="inlineStr">
        <is>
          <t>indeed</t>
        </is>
      </c>
      <c r="E16" t="inlineStr"/>
      <c r="F16" t="inlineStr"/>
      <c r="G16" t="inlineStr">
        <is>
          <t>San Francisco, CA, US</t>
        </is>
      </c>
      <c r="H16" s="2" t="n">
        <v>46057</v>
      </c>
      <c r="I16" t="inlineStr">
        <is>
          <t>In compliance with applicable laws, HSBC is committed to employing only those who are authorized to work in the US. Applicants must be legally authorized to work in the U.S. as HSBC will not engage in immigration sponsorship for this position.
Our purpose – Opening up a world of opportunity – explains why we exist. Here at HSBC we use our unique expertise, capabilities, breadth and perspectives to open up new kinds of opportunity for our more than 40 million customers. We’re bringing together the people, ideas and capital that nurture progress and growth, helping to create a better world – for our customers, our people, our investors, our communities and the planet we all share.  
HSBC is the world’s leading trade finance bank, offering a comprehensive range of traditional trade products as well as a variety of innovative structured supply chain solutions. Global Trade Solutions (“GTS”) has been recognized by the industry’s most prominent publications and associations for its strength in combining innovation and service excellence with its end\-to\-end customer solutions (voted the Best Trade Bank by our clients globally for eight consecutive years).  
The purpose of this role is to proactively manage Structured Trade Finance programs with our Tech, Media and Telecoms clients and to identify opportunities that will deepen our relationship and intensify our support.  
As the VP, Global Program Manager for TMT, you will:  
* Lead our day\-to\-day transactional engagement with structured trade clients in the TMT sector. This will involve proactive management of receivables finance programs and structured finance programs across the portfolio.
* Collaborate with TMT Sales Managers to identify opportunities for expansion of existing programs and delivery of cross\-sell opportunities that meet client needs.
* Operate as the primary point of contact for existing TMT clients on all transactional and programmatic queries, taking ownership of client identified issues and mobilizing internal stakeholders to deliver a resolution.
* Drive engagement with internal GTS and functional stakeholders to ensure efficient execution of structured trade transactions.
* Proactive engagement with Finance and other stakeholders to ensure balances, revenues and margins are correctly captured in financial reporting systems and collaborate to troubleshoot any issues identified.
* Collaborate with Sales, Implementation and Operations to ensure program structure and operational parameters are understood through the design, implementation and execution process.
* Act as primary contact point for GTS Operations for any transactional processing, revenue recognition or client behavioral issues and mobilize GTS and non GTS stakeholders as required.
* Proactively collaborate with CIB Coverage community regarding established programs, addressing Coverage questions and act as a primary contact point for relationships with structured trade facilities.
* Proactively collaborate with Supplier Engagement Managers to drive the timely expansion of existing supply chain finance programs.
* Effectively coordinate and collaborate with the HSBC team across geographies and functions to develop appropriate solutions, construct product proposals and sales pitches
* Provide feedback to Product, Implementation, Sales and Operations based on client sentiment and input on the GTS proposition, the competitive landscape and specific requirements which help drive product enhancements/developments as appropriate.
* Formulate, support and drive sector engagement strategies, including participation in events, case studies, client testimonials, client planning and wallet sizing activities.
 **Requirements**  
To be successful in this role, you should meet the following requirements:  
* Client facing experience, preferably with experience of clients in Tech, Media or Telecoms sectors.
* Experience of managing a client portfolio and/or responsibility for a driving client cross\-sell and satisfaction metrics, plus a proven sales record with strong data analytical skills
* Deep understanding of trade finance and working capital solutions, market and competitive trends and sector based regulatory environment
* Strong knowledge of the day\-to\-day Treasury and Procurement environment, particularly as it relates to working capital.
* Proven ability to collaborate with local, regional and global colleagues within and outside of GTS to deliver innovative solutions that address complex client challenges
* Proven experience in managing large complex relationships in client facing roles, demonstrating an understanding of risk management, structures, credit, products, processes, in an individual contributor capacity
* Proven ability to identify and meet customer needs by matching a broad range of products and services, and delivering creative and flexible customer solutions within a deadline
As an HSBC employee, you will have access to tailored professional development opportunities to ensure you have the right skills for today and tomorrow. We offer a competitive pay and benefits package including a robust Wellness Hub, all in a welcoming and inclusive work environment. You will be empowered to drive HSBC’s engagement with the communities we serve through an industry\-leading volunteerism policy, a generous matching gift program, and a comprehensive program of immersive Sustainability and Climate Change Initiatives. You’ll want to join our Employee Resource Groups as they play a central part in life at HSBC, including the development of our employees and networking inside and outside of HSBC. We value difference. We succeed together. We take responsibility. We get it done. And we want you to help us build the bank of the future!
All qualified applicants will receive consideration for employment without regard to age, ancestry, color, race, national origin, ethnicity, disability or medical condition, genetic information, military or veteran service, religion, creed, sex, gender, pregnancy, childbirth, caregiver status, marital status, citizenship or immigration status, sexual orientation, gender identity or expression or any other trait protected by applicable law.</t>
        </is>
      </c>
    </row>
    <row r="17">
      <c r="A17" t="inlineStr">
        <is>
          <t>in-ad4a703ff5cbdcf0</t>
        </is>
      </c>
      <c r="B17" t="inlineStr">
        <is>
          <t>Program Manager, Maryland Office of Overdose Response</t>
        </is>
      </c>
      <c r="C17" t="inlineStr">
        <is>
          <t>Prince George's County</t>
        </is>
      </c>
      <c r="D17" t="inlineStr">
        <is>
          <t>indeed</t>
        </is>
      </c>
      <c r="E17" t="inlineStr"/>
      <c r="F17" t="inlineStr"/>
      <c r="G17" t="inlineStr">
        <is>
          <t>Largo, MD, US</t>
        </is>
      </c>
      <c r="H17" s="2" t="n">
        <v>46056</v>
      </c>
      <c r="I17" t="inlineStr">
        <is>
          <t>**Nature and Variety of Work**
------------------------------
**Come join our team!**  
Prince George’s County Government provides a dynamic and inclusive workplace where employees can thrive, learn, and grow across its 30 diverse agencies, all dedicated to serving the County's residents with essential resources and services. Nestled just minutes away from Washington, DC, Prince George's County combines urban vibrancy with serene surroundings, offering an ideal setting to live, work, and enjoy life.  
Applicant Limit Notice: Please be advised that applications for this position will be capped at a maximum of 100 submissions. Once this threshold has been reached, the posting will close, and no further applications will be accepted. We encourage interested candidates to apply promptly to ensure consideration  
The Prince George’s County **Health Department** is currently seeking qualified applicants to fill a **Program Manager, Maryland Office of Overdose Response, (Community Developer IV)** grade **A27** position, in the **Behavioral Health Services Division.**  
**About the Position**  
This is a supervisory, professional principal work whereby incumbents perform a variety of assignments in the areas of (1\) community liaison/ development/advocacy, or (2\) social services among client populations (e.g., youth, aged, community action, housing development, health, etc.). Incumbents may supervise but must lead subordinate positions. The complexity of major community development work assignments requires the use of independent judgment, action, and initiative. Subject to extensive public contact, incumbents conduct a wide range of activities to ensure compliance with local, state, and federal codes. Work is performed under the general supervision of a higher\-level position. Work performance is evaluated through conferences, completed reports, and overall contribution to the assigned program.  
**About the Agency**  
The Prince George's County Health Department's (PGCHD) vision is that all Prince Georgians are their healthiest at every age and every stage. Their mission is to lead, engage, and empower our community to work collaboratively towards disease prevention, health equity, and total well\-being. The PGCHD works to protect and support the public’s health through numerous services that range from restaurant inspections and disease tracking to care coordination and health promotion. The department is composed of four divisions: Behavioral Health Services, Environmental Health and Disease Control, Family Health Services, and Health and Wellness, supported by the Office of Administration, Office of Human Resources and the Office of the Health Officer. The mandate of the department has been, and will remain, broad. This plan emphasizes improving core functions and operations, including protecting the public from health threats, implementing strategies to support healthy living, and maintaining a focus on vulnerable populations, while developing efficient internal processes to support these activities.
**Examples of Work**
--------------------
* Manages and carries out grant funded public health programs related to behavioral health.
* Manages federal and state grants, including writing grant reports, collecting data on grant metrics, and tracking grant budgets.
* Forms community partnerships to support substance use prevention programs.
* Conducts overdose prevention (Naloxone) trainings throughout the county.
* Conducts strategic planning to inform substance use prevention programs.
* Interprets data from the county health department or State of Maryland to inform public health programs.
**Qualifications**
------------------
**Minimum Qualifications:**
* Master's degree from an accredited college or university in Business or Public Administration, Social Service, Sociology, Psychology, or a closely related field.
* Three (3\) years of responsible professional technical, analytical, and developmental work experience with at least one (1\) year in a lead/supervisory role.
* Must possess and maintain a valid Class C driver's license.
An equivalent combination of education, experience and training which provides the required knowledge, skills and abilities **may** be considered. **Please note: There is no equivalency for supervisory experience.****Preferred Qualifications:*** (5\) years of experience working as a project manager for public health programs.
* (2\) years of experience in a supervisory role.
* (2\) years of experience in public health program design and implementation.
* Fluent in Spanish
* Trained on Naloxone Administration
**EACH APPLICATION MUST INCLUDE INFORMATION THAT CLEARLY DEMONSTRATES THE ABOVE QUALIFICATIONS FOR THIS POSITION.**  
**Additional Information**
--------------------------
**Job Location:** 9201 Basil Court Largo, MD 20774  
**Conditions of Employment:** **Upon selection, the candidate must:**
* Meet all training and performance standards and demonstrate proficiency as required by the agency.
* Wear and use agency protective apparel and equipment in the performance of their assigned duties, if applicable.
* Successfully pass preemployment checks which may include reference checks, background investigations, and drug screenings, where applicable.
* Be willing and able to serve as an essential employee. Essential employees are expected to report during standard or non\-standard hours as operations necessitate, or during emergencies. Essential employees are expected to report or remain at work when other County employees are granted Administrative Leave.
* Must pass Health Department background check.
**ONLY ONLINE APPLICATIONS WILL BE ACCEPTED**
**Eligibility to Work**:Under the Immigration Reform and Control Act of 1986, an employer is required to hire only U.S. citizens and lawfully authorized alien workers. Applicants who are selected for employment will be required to provide and verify authorization to work in the United States without sponsorship.  
This employer participates in E\-Verify and will provide the federal government with your Form I\-9 information to confirm that you are authorized to work in the U.S., only after an offer has been accepted and the Form I\-9 is completed. For information on E\-Verify, or if you believe the County has violated its E\-Verify responsibilities, please contact the Department of Homeland Security (DHS) at 888\-897\-7781 or visit their website at dhs.gov/E\-Verify.
**INTERNAL APPLICANTS:** If you are a current Prince George's County Government employee and seeking a promotion, in accordance with Section 16\-200 of the Personnel Law, you have the right to appeal a rejection rating within five (5\) working days of receiving a rejection notice. Union employees should refer to their respective collective bargaining agreement and/or union representative for their grievance procedure.
***Prince George's County Government is an Equal Opportunity/Affirmative Action Employer******Committed to Diversity and Inclusion in the Workplace***
**General Plan Information:**
 The Prince George’s County benefits plan year is from January 1 to December 31\. A spouse (to include a same sex spouse) can be added to the health benefit plans. A marriage certificate and social security number is required to add a spouse. Children under the age of 26 are eligible for coverage under the health benefit plans. This includes stepchildren and children of the same\-sex spouse. A birth certificate(s) and social security number(s) is required to add a child(ren). If you are only adding the stepchildren or child(ren) of a same\-sex spouse, you will need to submit a marriage certificate. You will also need to submit the birth certificate of the child(ren) and your spouse must be listed as a parent.The premiums for health benefits are deducted on a pre\-tax basis with the exception of Long\-Term Disability, Extra Life Insurance and Voluntary Benefits (Short\-Term Disability, Whole Life Insurance, Critical Illness, Accident Insurance, Cancer Indemnity, Hospital Indemnity Protection, Accident Indemnity Plan, Supplemental Dental and Group Legal Services).   
***New employees must enroll in the County’s health benefit plans within thirty (30\) days of the hire date.*** The effective date of the health benefits coverage is the ***beginning of the month following a waiting period of forty\-five (45\) days from the date of hire.*** After enrolling in the County’s benefit plans, employees may only make changes to the plans either during the open enrollment period, which occurs annually (usually each October), and/or during the year, due to a family status change (i.e., marriage, births, divorce and adoption). Employee Benefits  
Prince George’s County is proud to offer employees an attractive and comprehensive benefits program, including the following:  
* Medical/Prescription/Dental/Vision Insurance Coverage (part time employees are eligible for medical insurance if they work 15 \+ hours, per week)
* Group Term Life Insurance
* Long \&amp; Short\-Term Disability
* Flexible Spending Accounts
	+ Dependent Care Assistance Program
	+ Health Care Flexible Spending Account
* Paid Leave (Annual, Personal, \&amp; Sick)
* 13 Paid Holidays
* Retirement Benefits
	+ Defined Benefit Pension Plan
		- Employer Contribution Rate\-11\.71%
	+ Supplemental Pension Plan
		- Employee Contribution Rate (Pre\-Tax)\-3\.48%
	+ 457(b)
	+ 403(b)
* Employee Discounts
* Employee Assistance Program
* Voluntary Benefits
	+ Critical Illness
	+ Whole Life Insurance
	+ Accident Insurance
	+ Legal Services
For additional details, please visit: https://www.princegeorgescountymd.gov/departments\-offices/human\-resources\-management/employees/benefits</t>
        </is>
      </c>
    </row>
    <row r="18">
      <c r="A18" t="inlineStr">
        <is>
          <t>in-a3cc25642215ae64</t>
        </is>
      </c>
      <c r="B18" t="inlineStr">
        <is>
          <t>Global Signage &amp; Wayfinding Designer Program Manager, Workplace Design &amp; Construction (WD&amp;C)</t>
        </is>
      </c>
      <c r="C18" t="inlineStr">
        <is>
          <t>Amazon.com</t>
        </is>
      </c>
      <c r="D18" t="inlineStr">
        <is>
          <t>indeed</t>
        </is>
      </c>
      <c r="E18" t="inlineStr"/>
      <c r="F18" t="inlineStr"/>
      <c r="G18" t="inlineStr">
        <is>
          <t>Arlington, VA, US</t>
        </is>
      </c>
      <c r="H18" s="2" t="n">
        <v>45998</v>
      </c>
      <c r="I18"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in-55018397fd040cef</t>
        </is>
      </c>
      <c r="B19" t="inlineStr">
        <is>
          <t>Global Signage &amp; Wayfinding Designer Program Manager, Workplace Design &amp; Construction (WD&amp;C)</t>
        </is>
      </c>
      <c r="C19" t="inlineStr">
        <is>
          <t>Amazon.com</t>
        </is>
      </c>
      <c r="D19" t="inlineStr">
        <is>
          <t>indeed</t>
        </is>
      </c>
      <c r="E19" t="inlineStr"/>
      <c r="F19" t="inlineStr"/>
      <c r="G19" t="inlineStr">
        <is>
          <t>Seattle, WA, US</t>
        </is>
      </c>
      <c r="H19" s="2" t="n">
        <v>45998</v>
      </c>
      <c r="I19"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in-eca76b2667ca9917</t>
        </is>
      </c>
      <c r="B20" t="inlineStr">
        <is>
          <t>Senior Product Manager, Ads</t>
        </is>
      </c>
      <c r="C20" t="inlineStr">
        <is>
          <t>Amazon.com</t>
        </is>
      </c>
      <c r="D20" t="inlineStr">
        <is>
          <t>indeed</t>
        </is>
      </c>
      <c r="E20" t="inlineStr"/>
      <c r="F20" t="inlineStr"/>
      <c r="G20" t="inlineStr">
        <is>
          <t>Los Angeles, CA, US</t>
        </is>
      </c>
      <c r="H20" s="2" t="n">
        <v>45994</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in-5cff70ba54c792c8</t>
        </is>
      </c>
      <c r="B21" t="inlineStr">
        <is>
          <t>Senior Product Manager, Ads</t>
        </is>
      </c>
      <c r="C21" t="inlineStr">
        <is>
          <t>Amazon.com</t>
        </is>
      </c>
      <c r="D21" t="inlineStr">
        <is>
          <t>indeed</t>
        </is>
      </c>
      <c r="E21" t="inlineStr"/>
      <c r="F21" t="inlineStr"/>
      <c r="G21" t="inlineStr">
        <is>
          <t>Los Angeles, CA, US</t>
        </is>
      </c>
      <c r="H21" s="2" t="n">
        <v>45994</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in-f8f74b3144a09e0f</t>
        </is>
      </c>
      <c r="B22" t="inlineStr">
        <is>
          <t>Senior Product Manager, Ads</t>
        </is>
      </c>
      <c r="C22" t="inlineStr">
        <is>
          <t>Amazon.com</t>
        </is>
      </c>
      <c r="D22" t="inlineStr">
        <is>
          <t>indeed</t>
        </is>
      </c>
      <c r="E22" t="inlineStr"/>
      <c r="F22" t="inlineStr"/>
      <c r="G22" t="inlineStr">
        <is>
          <t>New York, NY, US</t>
        </is>
      </c>
      <c r="H22" s="2" t="n">
        <v>45994</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in-b7ce67ae99351a91</t>
        </is>
      </c>
      <c r="B23" t="inlineStr">
        <is>
          <t>Senior Product Manager, Ads</t>
        </is>
      </c>
      <c r="C23" t="inlineStr">
        <is>
          <t>Amazon.com</t>
        </is>
      </c>
      <c r="D23" t="inlineStr">
        <is>
          <t>indeed</t>
        </is>
      </c>
      <c r="E23" t="inlineStr"/>
      <c r="F23" t="inlineStr"/>
      <c r="G23" t="inlineStr">
        <is>
          <t>San Francisco, CA, US</t>
        </is>
      </c>
      <c r="H23" s="2" t="n">
        <v>45994</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in-4bd0824cb06bb5f7</t>
        </is>
      </c>
      <c r="B24" t="inlineStr">
        <is>
          <t>Senior Product Manager, Ads</t>
        </is>
      </c>
      <c r="C24" t="inlineStr">
        <is>
          <t>Amazon.com</t>
        </is>
      </c>
      <c r="D24" t="inlineStr">
        <is>
          <t>indeed</t>
        </is>
      </c>
      <c r="E24" t="inlineStr"/>
      <c r="F24" t="inlineStr"/>
      <c r="G24" t="inlineStr">
        <is>
          <t>New York, NY, US</t>
        </is>
      </c>
      <c r="H24" s="2" t="n">
        <v>45994</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in-056ddfd6e0eff234</t>
        </is>
      </c>
      <c r="B25" t="inlineStr">
        <is>
          <t>Senior Product Manager, Ads</t>
        </is>
      </c>
      <c r="C25" t="inlineStr">
        <is>
          <t>Amazon.com</t>
        </is>
      </c>
      <c r="D25" t="inlineStr">
        <is>
          <t>indeed</t>
        </is>
      </c>
      <c r="E25" t="inlineStr"/>
      <c r="F25" t="inlineStr"/>
      <c r="G25" t="inlineStr">
        <is>
          <t>Irvine, CA, US</t>
        </is>
      </c>
      <c r="H25" s="2" t="n">
        <v>45994</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in-9c35fb3490004b9d</t>
        </is>
      </c>
      <c r="B26" t="inlineStr">
        <is>
          <t>Senior Product Manager, Ads</t>
        </is>
      </c>
      <c r="C26" t="inlineStr">
        <is>
          <t>Amazon.com</t>
        </is>
      </c>
      <c r="D26" t="inlineStr">
        <is>
          <t>indeed</t>
        </is>
      </c>
      <c r="E26" t="inlineStr"/>
      <c r="F26" t="inlineStr"/>
      <c r="G26" t="inlineStr">
        <is>
          <t>Irvine, CA, US</t>
        </is>
      </c>
      <c r="H26" s="2" t="n">
        <v>45994</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in-24f07656a183b3c5</t>
        </is>
      </c>
      <c r="B27" t="inlineStr">
        <is>
          <t>Senior Product Manager, Ads</t>
        </is>
      </c>
      <c r="C27" t="inlineStr">
        <is>
          <t>Amazon.com</t>
        </is>
      </c>
      <c r="D27" t="inlineStr">
        <is>
          <t>indeed</t>
        </is>
      </c>
      <c r="E27" t="inlineStr"/>
      <c r="F27" t="inlineStr"/>
      <c r="G27" t="inlineStr">
        <is>
          <t>Seattle, WA, US</t>
        </is>
      </c>
      <c r="H27" s="2" t="n">
        <v>45994</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in-7d337ddeb4740550</t>
        </is>
      </c>
      <c r="B28" t="inlineStr">
        <is>
          <t>Senior Product Manager, Ads</t>
        </is>
      </c>
      <c r="C28" t="inlineStr">
        <is>
          <t>Amazon.com</t>
        </is>
      </c>
      <c r="D28" t="inlineStr">
        <is>
          <t>indeed</t>
        </is>
      </c>
      <c r="E28" t="inlineStr"/>
      <c r="F28" t="inlineStr"/>
      <c r="G28" t="inlineStr">
        <is>
          <t>Seattle, WA, US</t>
        </is>
      </c>
      <c r="H28" s="2" t="n">
        <v>45994</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in-f2e3f1a9d95c969f</t>
        </is>
      </c>
      <c r="B29" t="inlineStr">
        <is>
          <t>Senior Product Manager, Ads</t>
        </is>
      </c>
      <c r="C29" t="inlineStr">
        <is>
          <t>Amazon.com</t>
        </is>
      </c>
      <c r="D29" t="inlineStr">
        <is>
          <t>indeed</t>
        </is>
      </c>
      <c r="E29" t="inlineStr"/>
      <c r="F29" t="inlineStr"/>
      <c r="G29" t="inlineStr">
        <is>
          <t>San Francisco, CA, US</t>
        </is>
      </c>
      <c r="H29" s="2" t="n">
        <v>45994</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in-fe46ccbe301dfb00</t>
        </is>
      </c>
      <c r="B30" t="inlineStr">
        <is>
          <t>Sr. Product Manager</t>
        </is>
      </c>
      <c r="C30" t="inlineStr">
        <is>
          <t>Amazon.com</t>
        </is>
      </c>
      <c r="D30" t="inlineStr">
        <is>
          <t>indeed</t>
        </is>
      </c>
      <c r="E30" t="inlineStr"/>
      <c r="F30" t="inlineStr"/>
      <c r="G30" t="inlineStr">
        <is>
          <t>New York, NY, US</t>
        </is>
      </c>
      <c r="H30" s="2" t="n">
        <v>45979</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in-6e866a0dab70049a</t>
        </is>
      </c>
      <c r="B31" t="inlineStr">
        <is>
          <t>Sr. Product Manager</t>
        </is>
      </c>
      <c r="C31" t="inlineStr">
        <is>
          <t>Amazon.com</t>
        </is>
      </c>
      <c r="D31" t="inlineStr">
        <is>
          <t>indeed</t>
        </is>
      </c>
      <c r="E31" t="inlineStr"/>
      <c r="F31" t="inlineStr"/>
      <c r="G31" t="inlineStr">
        <is>
          <t>Los Angeles, CA, US</t>
        </is>
      </c>
      <c r="H31" s="2" t="n">
        <v>45979</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in-e84f76058f6510a2</t>
        </is>
      </c>
      <c r="B32" t="inlineStr">
        <is>
          <t>Sr. Product Manager</t>
        </is>
      </c>
      <c r="C32" t="inlineStr">
        <is>
          <t>Amazon.com</t>
        </is>
      </c>
      <c r="D32" t="inlineStr">
        <is>
          <t>indeed</t>
        </is>
      </c>
      <c r="E32" t="inlineStr"/>
      <c r="F32" t="inlineStr"/>
      <c r="G32" t="inlineStr">
        <is>
          <t>Irvine, CA, US</t>
        </is>
      </c>
      <c r="H32" s="2" t="n">
        <v>45979</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in-6578e47bf674ff78</t>
        </is>
      </c>
      <c r="B33" t="inlineStr">
        <is>
          <t>Sr. Product Manager</t>
        </is>
      </c>
      <c r="C33" t="inlineStr">
        <is>
          <t>Amazon.com</t>
        </is>
      </c>
      <c r="D33" t="inlineStr">
        <is>
          <t>indeed</t>
        </is>
      </c>
      <c r="E33" t="inlineStr"/>
      <c r="F33" t="inlineStr"/>
      <c r="G33" t="inlineStr">
        <is>
          <t>San Francisco, CA, US</t>
        </is>
      </c>
      <c r="H33" s="2" t="n">
        <v>45979</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in-7d2c60e04e1ec01f</t>
        </is>
      </c>
      <c r="B34" t="inlineStr">
        <is>
          <t>Sr. Product Manager</t>
        </is>
      </c>
      <c r="C34" t="inlineStr">
        <is>
          <t>Amazon.com</t>
        </is>
      </c>
      <c r="D34" t="inlineStr">
        <is>
          <t>indeed</t>
        </is>
      </c>
      <c r="E34" t="inlineStr"/>
      <c r="F34" t="inlineStr"/>
      <c r="G34" t="inlineStr">
        <is>
          <t>Seattle, WA, US</t>
        </is>
      </c>
      <c r="H34" s="2" t="n">
        <v>45979</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in-56f35bd902a529ae</t>
        </is>
      </c>
      <c r="B35" t="inlineStr">
        <is>
          <t>Program Manager, Executive Content and Programs, Global Executive Marketing</t>
        </is>
      </c>
      <c r="C35" t="inlineStr">
        <is>
          <t>Amazon Web Services</t>
        </is>
      </c>
      <c r="D35" t="inlineStr">
        <is>
          <t>indeed</t>
        </is>
      </c>
      <c r="E35" t="inlineStr"/>
      <c r="F35" t="inlineStr"/>
      <c r="G35" t="inlineStr">
        <is>
          <t>Seattle, WA, US</t>
        </is>
      </c>
      <c r="H35" s="2" t="n">
        <v>45970</v>
      </c>
      <c r="I35"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in-0316be49042d11c7</t>
        </is>
      </c>
      <c r="B36" t="inlineStr">
        <is>
          <t>Program Manager, Executive Content and Programs, Global Executive Marketing</t>
        </is>
      </c>
      <c r="C36" t="inlineStr">
        <is>
          <t>Amazon Web Services</t>
        </is>
      </c>
      <c r="D36" t="inlineStr">
        <is>
          <t>indeed</t>
        </is>
      </c>
      <c r="E36" t="inlineStr"/>
      <c r="F36" t="inlineStr"/>
      <c r="G36" t="inlineStr">
        <is>
          <t>Arlington, VA, US</t>
        </is>
      </c>
      <c r="H36" s="2" t="n">
        <v>45970</v>
      </c>
      <c r="I36"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in-9a2c2fc99ec3e61f</t>
        </is>
      </c>
      <c r="B37" t="inlineStr">
        <is>
          <t>Senior Product Manager, Sub Same Day</t>
        </is>
      </c>
      <c r="C37" t="inlineStr">
        <is>
          <t>Amazon.com</t>
        </is>
      </c>
      <c r="D37" t="inlineStr">
        <is>
          <t>indeed</t>
        </is>
      </c>
      <c r="E37" t="inlineStr"/>
      <c r="F37" t="inlineStr"/>
      <c r="G37" t="inlineStr">
        <is>
          <t>New York, NY, US</t>
        </is>
      </c>
      <c r="H37" s="2" t="n">
        <v>45957</v>
      </c>
      <c r="I37"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in-cbae0de18c121e02</t>
        </is>
      </c>
      <c r="B38" t="inlineStr">
        <is>
          <t>Senior Product Manager, Sub Same Day</t>
        </is>
      </c>
      <c r="C38" t="inlineStr">
        <is>
          <t>Amazon.com</t>
        </is>
      </c>
      <c r="D38" t="inlineStr">
        <is>
          <t>indeed</t>
        </is>
      </c>
      <c r="E38" t="inlineStr"/>
      <c r="F38" t="inlineStr"/>
      <c r="G38" t="inlineStr">
        <is>
          <t>Bellevue, WA, US</t>
        </is>
      </c>
      <c r="H38" s="2" t="n">
        <v>45957</v>
      </c>
      <c r="I38"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in-e0417adef1c3ab72</t>
        </is>
      </c>
      <c r="B39" t="inlineStr">
        <is>
          <t>Senior Product Manager, Sub Same Day</t>
        </is>
      </c>
      <c r="C39" t="inlineStr">
        <is>
          <t>Amazon.com</t>
        </is>
      </c>
      <c r="D39" t="inlineStr">
        <is>
          <t>indeed</t>
        </is>
      </c>
      <c r="E39" t="inlineStr"/>
      <c r="F39" t="inlineStr"/>
      <c r="G39" t="inlineStr">
        <is>
          <t>Nashville, TN, US</t>
        </is>
      </c>
      <c r="H39" s="2" t="n">
        <v>45957</v>
      </c>
      <c r="I39"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in-01d08b7d2bf214d1</t>
        </is>
      </c>
      <c r="B40" t="inlineStr">
        <is>
          <t>Sr. Program Manager, Planning &amp; Automation, Global Fleet and Products Electrification and Infrastructure</t>
        </is>
      </c>
      <c r="C40" t="inlineStr">
        <is>
          <t>Amazon.com</t>
        </is>
      </c>
      <c r="D40" t="inlineStr">
        <is>
          <t>indeed</t>
        </is>
      </c>
      <c r="E40" t="inlineStr"/>
      <c r="F40" t="inlineStr"/>
      <c r="G40" t="inlineStr">
        <is>
          <t>Bellevue, WA, US</t>
        </is>
      </c>
      <c r="H40" s="2" t="n">
        <v>45949</v>
      </c>
      <c r="I40"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in-979b7e9463a42f32</t>
        </is>
      </c>
      <c r="B41" t="inlineStr">
        <is>
          <t>Sr. Program Manager, Planning &amp; Automation, Global Fleet and Products Electrification and Infrastructure</t>
        </is>
      </c>
      <c r="C41" t="inlineStr">
        <is>
          <t>Amazon.com</t>
        </is>
      </c>
      <c r="D41" t="inlineStr">
        <is>
          <t>indeed</t>
        </is>
      </c>
      <c r="E41" t="inlineStr"/>
      <c r="F41" t="inlineStr"/>
      <c r="G41" t="inlineStr">
        <is>
          <t>San Francisco, CA, US</t>
        </is>
      </c>
      <c r="H41" s="2" t="n">
        <v>45949</v>
      </c>
      <c r="I41"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in-b4eb8a18226f368a</t>
        </is>
      </c>
      <c r="B42" t="inlineStr">
        <is>
          <t>Sr. Program Manager, Planning &amp; Automation, Global Fleet and Products Electrification and Infrastructure</t>
        </is>
      </c>
      <c r="C42" t="inlineStr">
        <is>
          <t>Amazon.com</t>
        </is>
      </c>
      <c r="D42" t="inlineStr">
        <is>
          <t>indeed</t>
        </is>
      </c>
      <c r="E42" t="inlineStr"/>
      <c r="F42" t="inlineStr"/>
      <c r="G42" t="inlineStr">
        <is>
          <t>Nashville, TN, US</t>
        </is>
      </c>
      <c r="H42" s="2" t="n">
        <v>45949</v>
      </c>
      <c r="I42"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in-7ade1c3b5b350b84</t>
        </is>
      </c>
      <c r="B43" t="inlineStr">
        <is>
          <t>Sr Program Manager, Procurement Operations, SSD OI</t>
        </is>
      </c>
      <c r="C43" t="inlineStr">
        <is>
          <t>Amazon.com</t>
        </is>
      </c>
      <c r="D43" t="inlineStr">
        <is>
          <t>indeed</t>
        </is>
      </c>
      <c r="E43" t="inlineStr"/>
      <c r="F43" t="inlineStr"/>
      <c r="G43" t="inlineStr">
        <is>
          <t>New York, NY, US</t>
        </is>
      </c>
      <c r="H43" s="2" t="n">
        <v>45938</v>
      </c>
      <c r="I43"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in-fdb2dac8b891adba</t>
        </is>
      </c>
      <c r="B44" t="inlineStr">
        <is>
          <t>Sr Program Manager, Procurement Operations, SSD OI</t>
        </is>
      </c>
      <c r="C44" t="inlineStr">
        <is>
          <t>Amazon.com</t>
        </is>
      </c>
      <c r="D44" t="inlineStr">
        <is>
          <t>indeed</t>
        </is>
      </c>
      <c r="E44" t="inlineStr"/>
      <c r="F44" t="inlineStr"/>
      <c r="G44" t="inlineStr">
        <is>
          <t>Bellevue, WA, US</t>
        </is>
      </c>
      <c r="H44" s="2" t="n">
        <v>45938</v>
      </c>
      <c r="I44"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in-0d3f90cc39de6d67</t>
        </is>
      </c>
      <c r="B45" t="inlineStr">
        <is>
          <t>Sr Program Manager, Procurement Operations, SSD OI</t>
        </is>
      </c>
      <c r="C45" t="inlineStr">
        <is>
          <t>Amazon.com</t>
        </is>
      </c>
      <c r="D45" t="inlineStr">
        <is>
          <t>indeed</t>
        </is>
      </c>
      <c r="E45" t="inlineStr"/>
      <c r="F45" t="inlineStr"/>
      <c r="G45" t="inlineStr">
        <is>
          <t>Nashville, TN, US</t>
        </is>
      </c>
      <c r="H45" s="2" t="n">
        <v>45938</v>
      </c>
      <c r="I45"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in-61b1f04fec645ff7</t>
        </is>
      </c>
      <c r="B46" t="inlineStr">
        <is>
          <t>Sr. Supply Chain Product Manager, Amazon Custom Modules</t>
        </is>
      </c>
      <c r="C46" t="inlineStr">
        <is>
          <t>Amazon.com</t>
        </is>
      </c>
      <c r="D46" t="inlineStr">
        <is>
          <t>indeed</t>
        </is>
      </c>
      <c r="E46" t="inlineStr"/>
      <c r="F46" t="inlineStr"/>
      <c r="G46" t="inlineStr">
        <is>
          <t>Cupertino, CA, US</t>
        </is>
      </c>
      <c r="H46" s="2" t="n">
        <v>45935</v>
      </c>
      <c r="I4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in-2da17ed25f8e2456</t>
        </is>
      </c>
      <c r="B47" t="inlineStr">
        <is>
          <t>Sr. Supply Chain Product Manager, Amazon Custom Modules</t>
        </is>
      </c>
      <c r="C47" t="inlineStr">
        <is>
          <t>Amazon.com</t>
        </is>
      </c>
      <c r="D47" t="inlineStr">
        <is>
          <t>indeed</t>
        </is>
      </c>
      <c r="E47" t="inlineStr"/>
      <c r="F47" t="inlineStr"/>
      <c r="G47" t="inlineStr">
        <is>
          <t>Seattle, WA, US</t>
        </is>
      </c>
      <c r="H47" s="2" t="n">
        <v>45935</v>
      </c>
      <c r="I4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in-056d550e88af1ea3</t>
        </is>
      </c>
      <c r="B48" t="inlineStr">
        <is>
          <t>Sr. Supply Chain Product Manager, Amazon Custom Modules</t>
        </is>
      </c>
      <c r="C48" t="inlineStr">
        <is>
          <t>Amazon.com</t>
        </is>
      </c>
      <c r="D48" t="inlineStr">
        <is>
          <t>indeed</t>
        </is>
      </c>
      <c r="E48" t="inlineStr"/>
      <c r="F48" t="inlineStr"/>
      <c r="G48" t="inlineStr">
        <is>
          <t>Austin, TX, US</t>
        </is>
      </c>
      <c r="H48" s="2" t="n">
        <v>45935</v>
      </c>
      <c r="I4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in-ee3df966e771bd3f</t>
        </is>
      </c>
      <c r="B49" t="inlineStr">
        <is>
          <t>Sr. Program Manager, Same Day Programs,</t>
        </is>
      </c>
      <c r="C49" t="inlineStr">
        <is>
          <t>Amazon.com</t>
        </is>
      </c>
      <c r="D49" t="inlineStr">
        <is>
          <t>indeed</t>
        </is>
      </c>
      <c r="E49" t="inlineStr"/>
      <c r="F49" t="inlineStr"/>
      <c r="G49" t="inlineStr">
        <is>
          <t>Bellevue, WA, US</t>
        </is>
      </c>
      <c r="H49" s="2" t="n">
        <v>45931</v>
      </c>
      <c r="I4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in-7b5ac122f95c5fff</t>
        </is>
      </c>
      <c r="B50" t="inlineStr">
        <is>
          <t>Sr. Program Manager, Same Day Programs,</t>
        </is>
      </c>
      <c r="C50" t="inlineStr">
        <is>
          <t>Amazon.com</t>
        </is>
      </c>
      <c r="D50" t="inlineStr">
        <is>
          <t>indeed</t>
        </is>
      </c>
      <c r="E50" t="inlineStr"/>
      <c r="F50" t="inlineStr"/>
      <c r="G50" t="inlineStr">
        <is>
          <t>Nashville, TN, US</t>
        </is>
      </c>
      <c r="H50" s="2" t="n">
        <v>45931</v>
      </c>
      <c r="I50"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in-2be04e8be455e099</t>
        </is>
      </c>
      <c r="B51" t="inlineStr">
        <is>
          <t>Tech Infrastructure Program Manager - AV , IT Services - CIS</t>
        </is>
      </c>
      <c r="C51" t="inlineStr">
        <is>
          <t>Amazon.com</t>
        </is>
      </c>
      <c r="D51" t="inlineStr">
        <is>
          <t>indeed</t>
        </is>
      </c>
      <c r="E51" t="inlineStr"/>
      <c r="F51" t="inlineStr"/>
      <c r="G51" t="inlineStr">
        <is>
          <t>Arlington, VA, US</t>
        </is>
      </c>
      <c r="H51" s="2" t="n">
        <v>45923</v>
      </c>
      <c r="I51"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in-c41ccbe54d17c392</t>
        </is>
      </c>
      <c r="B52" t="inlineStr">
        <is>
          <t>Tech Infrastructure Program Manager - AV , IT Services - CIS</t>
        </is>
      </c>
      <c r="C52" t="inlineStr">
        <is>
          <t>Amazon.com</t>
        </is>
      </c>
      <c r="D52" t="inlineStr">
        <is>
          <t>indeed</t>
        </is>
      </c>
      <c r="E52" t="inlineStr"/>
      <c r="F52" t="inlineStr"/>
      <c r="G52" t="inlineStr">
        <is>
          <t>Seattle, WA, US</t>
        </is>
      </c>
      <c r="H52" s="2" t="n">
        <v>45923</v>
      </c>
      <c r="I52"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in-fec6d06f0531ef72</t>
        </is>
      </c>
      <c r="B53" t="inlineStr">
        <is>
          <t>Tech Infrastructure Program Manager - AV , IT Services - CIS</t>
        </is>
      </c>
      <c r="C53" t="inlineStr">
        <is>
          <t>Amazon.com</t>
        </is>
      </c>
      <c r="D53" t="inlineStr">
        <is>
          <t>indeed</t>
        </is>
      </c>
      <c r="E53" t="inlineStr"/>
      <c r="F53" t="inlineStr"/>
      <c r="G53" t="inlineStr">
        <is>
          <t>Austin, TX, US</t>
        </is>
      </c>
      <c r="H53" s="2" t="n">
        <v>45923</v>
      </c>
      <c r="I53"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in-761ddaa9c6a0f1d6</t>
        </is>
      </c>
      <c r="B54" t="inlineStr">
        <is>
          <t>Tech Infrastructure Program Manager - AV , IT Services - CIS</t>
        </is>
      </c>
      <c r="C54" t="inlineStr">
        <is>
          <t>Amazon.com</t>
        </is>
      </c>
      <c r="D54" t="inlineStr">
        <is>
          <t>indeed</t>
        </is>
      </c>
      <c r="E54" t="inlineStr"/>
      <c r="F54" t="inlineStr"/>
      <c r="G54" t="inlineStr">
        <is>
          <t>Sunnyvale, CA, US</t>
        </is>
      </c>
      <c r="H54" s="2" t="n">
        <v>45923</v>
      </c>
      <c r="I54"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in-32dd4027642bcdaf</t>
        </is>
      </c>
      <c r="B55" t="inlineStr">
        <is>
          <t>Amazon Last Mile Fleet Program Manager, In Life Services-Recalls, Retrofits, and Tires</t>
        </is>
      </c>
      <c r="C55" t="inlineStr">
        <is>
          <t>Amazon.com</t>
        </is>
      </c>
      <c r="D55" t="inlineStr">
        <is>
          <t>indeed</t>
        </is>
      </c>
      <c r="E55" t="inlineStr"/>
      <c r="F55" t="inlineStr"/>
      <c r="G55" t="inlineStr">
        <is>
          <t>Nashville, TN, US</t>
        </is>
      </c>
      <c r="H55" s="2" t="n">
        <v>45911</v>
      </c>
      <c r="I55"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in-fb49b676ed407297</t>
        </is>
      </c>
      <c r="B56" t="inlineStr">
        <is>
          <t>Amazon Last Mile Fleet Program Manager, In Life Services-Recalls, Retrofits, and Tires</t>
        </is>
      </c>
      <c r="C56" t="inlineStr">
        <is>
          <t>Amazon.com</t>
        </is>
      </c>
      <c r="D56" t="inlineStr">
        <is>
          <t>indeed</t>
        </is>
      </c>
      <c r="E56" t="inlineStr"/>
      <c r="F56" t="inlineStr"/>
      <c r="G56" t="inlineStr">
        <is>
          <t>Bellevue, WA, US</t>
        </is>
      </c>
      <c r="H56" s="2" t="n">
        <v>45911</v>
      </c>
      <c r="I56"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in-75552342460a027f</t>
        </is>
      </c>
      <c r="B57" t="inlineStr">
        <is>
          <t>Amazon Last Mile Fleet Program Manager, In Life Services-Recalls, Retrofits, and Tires</t>
        </is>
      </c>
      <c r="C57" t="inlineStr">
        <is>
          <t>Amazon.com</t>
        </is>
      </c>
      <c r="D57" t="inlineStr">
        <is>
          <t>indeed</t>
        </is>
      </c>
      <c r="E57" t="inlineStr"/>
      <c r="F57" t="inlineStr"/>
      <c r="G57" t="inlineStr">
        <is>
          <t>Arlington, VA, US</t>
        </is>
      </c>
      <c r="H57" s="2" t="n">
        <v>45911</v>
      </c>
      <c r="I57"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in-32b124c9192b89ae</t>
        </is>
      </c>
      <c r="B58" t="inlineStr">
        <is>
          <t>Sr. EHS Program Manager, Safety Learning and Development</t>
        </is>
      </c>
      <c r="C58" t="inlineStr">
        <is>
          <t>Amazon.com</t>
        </is>
      </c>
      <c r="D58" t="inlineStr">
        <is>
          <t>indeed</t>
        </is>
      </c>
      <c r="E58" t="inlineStr"/>
      <c r="F58" t="inlineStr"/>
      <c r="G58" t="inlineStr">
        <is>
          <t>Nashville, TN, US</t>
        </is>
      </c>
      <c r="H58" s="2" t="n">
        <v>45910</v>
      </c>
      <c r="I58"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in-928e3eea72bf5ee9</t>
        </is>
      </c>
      <c r="B59" t="inlineStr">
        <is>
          <t>Sr. EHS Program Manager, Safety Learning and Development</t>
        </is>
      </c>
      <c r="C59" t="inlineStr">
        <is>
          <t>Amazon.com</t>
        </is>
      </c>
      <c r="D59" t="inlineStr">
        <is>
          <t>indeed</t>
        </is>
      </c>
      <c r="E59" t="inlineStr"/>
      <c r="F59" t="inlineStr"/>
      <c r="G59" t="inlineStr">
        <is>
          <t>Bellevue, WA, US</t>
        </is>
      </c>
      <c r="H59" s="2" t="n">
        <v>45910</v>
      </c>
      <c r="I59"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in-a109aaff50ac023a</t>
        </is>
      </c>
      <c r="B60" t="inlineStr">
        <is>
          <t>Sr. Product Manager, Sub-Same Day (SSD) - DOT, SSD Delivery Ops Tech</t>
        </is>
      </c>
      <c r="C60" t="inlineStr">
        <is>
          <t>Amazon.com</t>
        </is>
      </c>
      <c r="D60" t="inlineStr">
        <is>
          <t>indeed</t>
        </is>
      </c>
      <c r="E60" t="inlineStr"/>
      <c r="F60" t="inlineStr"/>
      <c r="G60" t="inlineStr">
        <is>
          <t>New York, NY, US</t>
        </is>
      </c>
      <c r="H60" s="2" t="n">
        <v>45876</v>
      </c>
      <c r="I60"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in-9c87af49787b560d</t>
        </is>
      </c>
      <c r="B61" t="inlineStr">
        <is>
          <t>Sr. Product Manager, Sub-Same Day (SSD) - DOT, SSD Delivery Ops Tech</t>
        </is>
      </c>
      <c r="C61" t="inlineStr">
        <is>
          <t>Amazon.com</t>
        </is>
      </c>
      <c r="D61" t="inlineStr">
        <is>
          <t>indeed</t>
        </is>
      </c>
      <c r="E61" t="inlineStr"/>
      <c r="F61" t="inlineStr"/>
      <c r="G61" t="inlineStr">
        <is>
          <t>Bellevue, WA, US</t>
        </is>
      </c>
      <c r="H61" s="2" t="n">
        <v>45876</v>
      </c>
      <c r="I61"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in-fdfe3b788e89784d</t>
        </is>
      </c>
      <c r="B62" t="inlineStr">
        <is>
          <t>Sr. Product Manager, Sub-Same Day (SSD) - DOT, SSD Delivery Ops Tech</t>
        </is>
      </c>
      <c r="C62" t="inlineStr">
        <is>
          <t>Amazon.com</t>
        </is>
      </c>
      <c r="D62" t="inlineStr">
        <is>
          <t>indeed</t>
        </is>
      </c>
      <c r="E62" t="inlineStr"/>
      <c r="F62" t="inlineStr"/>
      <c r="G62" t="inlineStr">
        <is>
          <t>Nashville, TN, US</t>
        </is>
      </c>
      <c r="H62" s="2" t="n">
        <v>45876</v>
      </c>
      <c r="I62"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in-0c065665feff655d</t>
        </is>
      </c>
      <c r="B63" t="inlineStr">
        <is>
          <t>Technical Program Manager</t>
        </is>
      </c>
      <c r="C63" t="inlineStr">
        <is>
          <t>Qualcomm</t>
        </is>
      </c>
      <c r="D63" t="inlineStr">
        <is>
          <t>indeed</t>
        </is>
      </c>
      <c r="E63" t="inlineStr"/>
      <c r="F63" t="inlineStr"/>
      <c r="G63" t="inlineStr">
        <is>
          <t>San Diego, CA, US</t>
        </is>
      </c>
      <c r="H63" s="2" t="n">
        <v>45838</v>
      </c>
      <c r="I63" t="inlineStr">
        <is>
          <t>**Company:**
------------
Qualcomm Technologies, Inc.**Job Area:**
-------------
Engineering Services Group, Engineering Services Group \&gt; Program Management**General Summary:**
Develops, defines, and executes plans of record, including: schedules, budgets, resources, deliverables, and risks. Monitors and drives the program from initiation through delivery, interfacing with internal and external stakeholders across functions on technical matters, as needed. Monitors budget/spending, on\-time delivery, and achievement of program milestones. Represents the program and drives alignment across stakeholders.
**Minimum Qualifications:**
* Bachelor's degree in Engineering, Computer Science, or related field.
* 5\+ years of Program Management or related work experience.
**Preferred Qualifications:**
* Master's degree in Engineering, Computer Science, or related field.
* PMP Certification.
* 10\+ years of Program Management or related work experience.
* 5\+ years of work experience in a role requiring interaction with senior leadership (e.g., Director level and above).
* 3\+ years of experience working in a large matrixed organization.
* 2\+ years of experience with program management tools such as dashboards, Gantt charts, etc.
**Principal Duties and Responsibilities:**  
* Collaborates with key stakeholders and program sponsors to develop program goals, set the prioritization of deliverables, discuss involvement of business processes (e.g., program change management, communication) and drives decisions necessary for on time delivery.
* Manages and takes responsibility for multiple medium sized programs/technology with moderate complexity by applying up\-to\-date program management knowledge to meet deadlines.
* Develops and manages the execution of the program Plan of Record (e.g., on time, on budget, within scope) for multiple medium sized programs which include schedule and resource forecasting, stakeholders identification, method and frequency of communication, scope, and prioritization.
* Establishes key program metrics and manages team to take action outside their comfort zone to ensure program success when metrics deviate from Plan of Record.
* Identifies and secures resources to ensure alignment of team with program/technology demand for multiple medium sized programs with moderate complexity.
* Drives teams to identify program issues/risks, and create a risk mitigation plan for multiple medium sized or a single complex program(s). Maintains and updates the risk tracker.
* Promotes program vision and objectives within the team, ensures program objectives are met or exceeded, presents program vision to management, and gains buy\-in from stakeholders.
* Promotes adoption of processes by applying best practices and identifying and executing process improvement initiatives across the Program Management team.
**Level of Responsibility:**
* Working independently with little supervision.
* Making decisions that are significant in impact; errors are not readily apparent due to the complexity of work process/product or time between decisions and results; errors typically result in significant expenditure of time, resources, and funds to correct.
* Using verbal and written communication skills to convey complex and/or detailed information to multiple individuals/audiences with differing knowledge levels. May require strong negotiation and influence, communication to large groups or high\-level constituents.
* Having a moderate amount of influence over key organizational decisions (e.g., is consulted by senior leadership to provide input on key decisions).
* Completing tasks that require multiple steps that can be performed in various orders; tasks require simultaneously executing multiple cognitive abilities and maintaining information in short\- or long\-term memory.
* Exercising exceptional creativity to innovate new ideas and develop innovative products/processes without established objectives or known parameters.
* Using deductive and inductive problem solving; multiple approaches may be taken/necessary to solve the problem; often information is missing or conflicting; advanced data analysis and interpretation skills are required.
* Occasionally participates in strategic planning within own area affecting immediate operations.
The responsibilities of this role do not include:  
* Financial accountability (e.g., does not involve budgeting responsibility).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$171,200\.00 \- $256,800\.00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64">
      <c r="A64" t="inlineStr">
        <is>
          <t>in-88f7ef36caa446ab</t>
        </is>
      </c>
      <c r="B64" t="inlineStr">
        <is>
          <t>Sr. Product Manager Technical, Deal Tooling &amp; Insights, Strategic Customer Engagements</t>
        </is>
      </c>
      <c r="C64" t="inlineStr">
        <is>
          <t>Amazon Web Services</t>
        </is>
      </c>
      <c r="D64" t="inlineStr">
        <is>
          <t>indeed</t>
        </is>
      </c>
      <c r="E64" t="inlineStr"/>
      <c r="F64" t="inlineStr"/>
      <c r="G64" t="inlineStr">
        <is>
          <t>New York, NY, US</t>
        </is>
      </c>
      <c r="H64" s="2" t="n">
        <v>45994</v>
      </c>
      <c r="I6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5">
      <c r="A65" t="inlineStr">
        <is>
          <t>in-bf6d4bd137529bd0</t>
        </is>
      </c>
      <c r="B65" t="inlineStr">
        <is>
          <t>Sr. Product Manager Technical, Deal Tooling &amp; Insights, Strategic Customer Engagements</t>
        </is>
      </c>
      <c r="C65" t="inlineStr">
        <is>
          <t>Amazon Web Services</t>
        </is>
      </c>
      <c r="D65" t="inlineStr">
        <is>
          <t>indeed</t>
        </is>
      </c>
      <c r="E65" t="inlineStr"/>
      <c r="F65" t="inlineStr"/>
      <c r="G65" t="inlineStr">
        <is>
          <t>Seattle, WA, US</t>
        </is>
      </c>
      <c r="H65" s="2" t="n">
        <v>45994</v>
      </c>
      <c r="I6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6">
      <c r="A66" t="inlineStr">
        <is>
          <t>in-644e578139bc4f7e</t>
        </is>
      </c>
      <c r="B66" t="inlineStr">
        <is>
          <t>Sr. Product Manager Technical, Deal Tooling &amp; Insights, Strategic Customer Engagements</t>
        </is>
      </c>
      <c r="C66" t="inlineStr">
        <is>
          <t>Amazon Web Services</t>
        </is>
      </c>
      <c r="D66" t="inlineStr">
        <is>
          <t>indeed</t>
        </is>
      </c>
      <c r="E66" t="inlineStr"/>
      <c r="F66" t="inlineStr"/>
      <c r="G66" t="inlineStr">
        <is>
          <t>Arlington, VA, US</t>
        </is>
      </c>
      <c r="H66" s="2" t="n">
        <v>45994</v>
      </c>
      <c r="I6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7">
      <c r="A67" t="inlineStr">
        <is>
          <t>in-72f9cb61a6ee2b02</t>
        </is>
      </c>
      <c r="B67" t="inlineStr">
        <is>
          <t>Sr. Product Manager Technical, Deal Tooling &amp; Insights, Strategic Customer Engagements</t>
        </is>
      </c>
      <c r="C67" t="inlineStr">
        <is>
          <t>Amazon Web Services</t>
        </is>
      </c>
      <c r="D67" t="inlineStr">
        <is>
          <t>indeed</t>
        </is>
      </c>
      <c r="E67" t="inlineStr"/>
      <c r="F67" t="inlineStr"/>
      <c r="G67" t="inlineStr">
        <is>
          <t>Herndon, VA, US</t>
        </is>
      </c>
      <c r="H67" s="2" t="n">
        <v>45994</v>
      </c>
      <c r="I6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8">
      <c r="A68" t="inlineStr">
        <is>
          <t>in-41b4de0be673e39a</t>
        </is>
      </c>
      <c r="B68" t="inlineStr">
        <is>
          <t>Sr. Product Manager Technical, Deal Tooling &amp; Insights, Strategic Customer Engagements</t>
        </is>
      </c>
      <c r="C68" t="inlineStr">
        <is>
          <t>Amazon Web Services</t>
        </is>
      </c>
      <c r="D68" t="inlineStr">
        <is>
          <t>indeed</t>
        </is>
      </c>
      <c r="E68" t="inlineStr"/>
      <c r="F68" t="inlineStr"/>
      <c r="G68" t="inlineStr">
        <is>
          <t>Dallas, TX, US</t>
        </is>
      </c>
      <c r="H68" s="2" t="n">
        <v>45994</v>
      </c>
      <c r="I6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9">
      <c r="A69" t="inlineStr">
        <is>
          <t>in-22daa1b59cc45fc4</t>
        </is>
      </c>
      <c r="B69" t="inlineStr">
        <is>
          <t>Sr. Product Manager Technical, Deal Tooling &amp; Insights, Strategic Customer Engagements</t>
        </is>
      </c>
      <c r="C69" t="inlineStr">
        <is>
          <t>Amazon Web Services</t>
        </is>
      </c>
      <c r="D69" t="inlineStr">
        <is>
          <t>indeed</t>
        </is>
      </c>
      <c r="E69" t="inlineStr"/>
      <c r="F69" t="inlineStr"/>
      <c r="G69" t="inlineStr">
        <is>
          <t>Austin, TX, US</t>
        </is>
      </c>
      <c r="H69" s="2" t="n">
        <v>45994</v>
      </c>
      <c r="I6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0">
      <c r="A70" t="inlineStr">
        <is>
          <t>in-a8fe12f8d0bf3a73</t>
        </is>
      </c>
      <c r="B70" t="inlineStr">
        <is>
          <t>Sr. Product Manager - Tech, Workforce Solutions - Talent Mobility</t>
        </is>
      </c>
      <c r="C70" t="inlineStr">
        <is>
          <t>Amazon.com</t>
        </is>
      </c>
      <c r="D70" t="inlineStr">
        <is>
          <t>indeed</t>
        </is>
      </c>
      <c r="E70" t="inlineStr"/>
      <c r="F70" t="inlineStr"/>
      <c r="G70" t="inlineStr">
        <is>
          <t>New York, NY, US</t>
        </is>
      </c>
      <c r="H70" s="2" t="n">
        <v>45867</v>
      </c>
      <c r="I70"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71">
      <c r="A71" t="inlineStr">
        <is>
          <t>in-682ddd8b617ea592</t>
        </is>
      </c>
      <c r="B71" t="inlineStr">
        <is>
          <t>Sr. Product Manager - Tech, Workforce Solutions - Talent Mobility</t>
        </is>
      </c>
      <c r="C71" t="inlineStr">
        <is>
          <t>Amazon.com</t>
        </is>
      </c>
      <c r="D71" t="inlineStr">
        <is>
          <t>indeed</t>
        </is>
      </c>
      <c r="E71" t="inlineStr"/>
      <c r="F71" t="inlineStr"/>
      <c r="G71" t="inlineStr">
        <is>
          <t>Nashville, TN, US</t>
        </is>
      </c>
      <c r="H71" s="2" t="n">
        <v>45867</v>
      </c>
      <c r="I71"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72">
      <c r="A72" t="inlineStr">
        <is>
          <t>in-f77469d8ccf3cc24</t>
        </is>
      </c>
      <c r="B72" t="inlineStr">
        <is>
          <t>Sr. Product Manager - Tech, Workforce Solutions - Talent Mobility</t>
        </is>
      </c>
      <c r="C72" t="inlineStr">
        <is>
          <t>Amazon.com</t>
        </is>
      </c>
      <c r="D72" t="inlineStr">
        <is>
          <t>indeed</t>
        </is>
      </c>
      <c r="E72" t="inlineStr"/>
      <c r="F72" t="inlineStr"/>
      <c r="G72" t="inlineStr">
        <is>
          <t>Tempe, AZ, US</t>
        </is>
      </c>
      <c r="H72" s="2" t="n">
        <v>45867</v>
      </c>
      <c r="I72"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73">
      <c r="A73" t="inlineStr">
        <is>
          <t>in-d3cd1faaeb491ef8</t>
        </is>
      </c>
      <c r="B73" t="inlineStr">
        <is>
          <t>Sr. Product Manager - Tech, Workforce Solutions - Talent Mobility</t>
        </is>
      </c>
      <c r="C73" t="inlineStr">
        <is>
          <t>Amazon.com</t>
        </is>
      </c>
      <c r="D73" t="inlineStr">
        <is>
          <t>indeed</t>
        </is>
      </c>
      <c r="E73" t="inlineStr"/>
      <c r="F73" t="inlineStr"/>
      <c r="G73" t="inlineStr">
        <is>
          <t>Arlington, VA, US</t>
        </is>
      </c>
      <c r="H73" s="2" t="n">
        <v>45867</v>
      </c>
      <c r="I73"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74">
      <c r="A74" t="inlineStr">
        <is>
          <t>in-776c2a41e8eaf064</t>
        </is>
      </c>
      <c r="B74" t="inlineStr">
        <is>
          <t>Sr. Product Manager - Tech, Workforce Solutions - Talent Mobility</t>
        </is>
      </c>
      <c r="C74" t="inlineStr">
        <is>
          <t>Amazon.com</t>
        </is>
      </c>
      <c r="D74" t="inlineStr">
        <is>
          <t>indeed</t>
        </is>
      </c>
      <c r="E74" t="inlineStr"/>
      <c r="F74" t="inlineStr"/>
      <c r="G74" t="inlineStr">
        <is>
          <t>Seattle, WA, US</t>
        </is>
      </c>
      <c r="H74" s="2" t="n">
        <v>45867</v>
      </c>
      <c r="I74"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75">
      <c r="A75" t="inlineStr">
        <is>
          <t>in-f7b3404ffe9e480c</t>
        </is>
      </c>
      <c r="B75" t="inlineStr">
        <is>
          <t>Sr. Product Manager - Tech, WHS Data-Tech</t>
        </is>
      </c>
      <c r="C75" t="inlineStr">
        <is>
          <t>Amazon.com</t>
        </is>
      </c>
      <c r="D75" t="inlineStr">
        <is>
          <t>indeed</t>
        </is>
      </c>
      <c r="E75" t="inlineStr"/>
      <c r="F75" t="inlineStr"/>
      <c r="G75" t="inlineStr">
        <is>
          <t>Arlington, VA, US</t>
        </is>
      </c>
      <c r="H75" s="2" t="n">
        <v>45836</v>
      </c>
      <c r="I75"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76">
      <c r="A76" t="inlineStr">
        <is>
          <t>in-745f4ec6096fc6f1</t>
        </is>
      </c>
      <c r="B76" t="inlineStr">
        <is>
          <t>Sr. Product Manager - Tech, WHS Data-Tech</t>
        </is>
      </c>
      <c r="C76" t="inlineStr">
        <is>
          <t>Amazon.com</t>
        </is>
      </c>
      <c r="D76" t="inlineStr">
        <is>
          <t>indeed</t>
        </is>
      </c>
      <c r="E76" t="inlineStr"/>
      <c r="F76" t="inlineStr"/>
      <c r="G76" t="inlineStr">
        <is>
          <t>Nashville, TN, US</t>
        </is>
      </c>
      <c r="H76" s="2" t="n">
        <v>45836</v>
      </c>
      <c r="I76"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77">
      <c r="A77" t="inlineStr">
        <is>
          <t>in-1f09021aa34b64f8</t>
        </is>
      </c>
      <c r="B77" t="inlineStr">
        <is>
          <t>Sr. Product Manager - Tech, WHS Data-Tech</t>
        </is>
      </c>
      <c r="C77" t="inlineStr">
        <is>
          <t>Amazon.com</t>
        </is>
      </c>
      <c r="D77" t="inlineStr">
        <is>
          <t>indeed</t>
        </is>
      </c>
      <c r="E77" t="inlineStr"/>
      <c r="F77" t="inlineStr"/>
      <c r="G77" t="inlineStr">
        <is>
          <t>Bellevue, WA, US</t>
        </is>
      </c>
      <c r="H77" s="2" t="n">
        <v>45836</v>
      </c>
      <c r="I77"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78">
      <c r="A78" t="inlineStr">
        <is>
          <t>in-f499e10ead6112f4</t>
        </is>
      </c>
      <c r="B78" t="inlineStr">
        <is>
          <t>Sr. Product Manager-Technical, World Wide Operations Security Tech (WWOS Tech)</t>
        </is>
      </c>
      <c r="C78" t="inlineStr">
        <is>
          <t>Amazon.com</t>
        </is>
      </c>
      <c r="D78" t="inlineStr">
        <is>
          <t>indeed</t>
        </is>
      </c>
      <c r="E78" t="inlineStr"/>
      <c r="F78" t="inlineStr"/>
      <c r="G78" t="inlineStr">
        <is>
          <t>Austin, TX, US</t>
        </is>
      </c>
      <c r="H78" s="2" t="n">
        <v>46008</v>
      </c>
      <c r="I78"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79">
      <c r="A79" t="inlineStr">
        <is>
          <t>in-519037518e7cfb9a</t>
        </is>
      </c>
      <c r="B79" t="inlineStr">
        <is>
          <t>Sr. Product Manager-Technical, World Wide Operations Security Tech (WWOS Tech)</t>
        </is>
      </c>
      <c r="C79" t="inlineStr">
        <is>
          <t>Amazon.com</t>
        </is>
      </c>
      <c r="D79" t="inlineStr">
        <is>
          <t>indeed</t>
        </is>
      </c>
      <c r="E79" t="inlineStr"/>
      <c r="F79" t="inlineStr"/>
      <c r="G79" t="inlineStr">
        <is>
          <t>Seattle, WA, US</t>
        </is>
      </c>
      <c r="H79" s="2" t="n">
        <v>46008</v>
      </c>
      <c r="I79"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80">
      <c r="A80" t="inlineStr">
        <is>
          <t>in-bb444f9ab1aa4b3a</t>
        </is>
      </c>
      <c r="B80" t="inlineStr">
        <is>
          <t>Principal Product Manager - Tech, Recommender Systems, Prime Video Personalization &amp; Discovery</t>
        </is>
      </c>
      <c r="C80" t="inlineStr">
        <is>
          <t>Amazon.com</t>
        </is>
      </c>
      <c r="D80" t="inlineStr">
        <is>
          <t>indeed</t>
        </is>
      </c>
      <c r="E80" t="inlineStr"/>
      <c r="F80" t="inlineStr"/>
      <c r="G80" t="inlineStr">
        <is>
          <t>Seattle, WA, US</t>
        </is>
      </c>
      <c r="H80" s="2" t="n">
        <v>45753</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in-18743c88e31be0df</t>
        </is>
      </c>
      <c r="B81" t="inlineStr">
        <is>
          <t>Principal Product Manager - Tech, Recommender Systems, Prime Video Personalization &amp; Discovery</t>
        </is>
      </c>
      <c r="C81" t="inlineStr">
        <is>
          <t>Amazon.com</t>
        </is>
      </c>
      <c r="D81" t="inlineStr">
        <is>
          <t>indeed</t>
        </is>
      </c>
      <c r="E81" t="inlineStr"/>
      <c r="F81" t="inlineStr"/>
      <c r="G81" t="inlineStr">
        <is>
          <t>Washington, DC, US</t>
        </is>
      </c>
      <c r="H81" s="2" t="n">
        <v>45753</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in-c332bd9e98e1c0b6</t>
        </is>
      </c>
      <c r="B82" t="inlineStr">
        <is>
          <t>Principal Product Manager Technical, Creative X - RAPID</t>
        </is>
      </c>
      <c r="C82" t="inlineStr">
        <is>
          <t>Amazon.com</t>
        </is>
      </c>
      <c r="D82" t="inlineStr">
        <is>
          <t>indeed</t>
        </is>
      </c>
      <c r="E82" t="inlineStr"/>
      <c r="F82" t="inlineStr"/>
      <c r="G82" t="inlineStr">
        <is>
          <t>Seattle, WA, US</t>
        </is>
      </c>
      <c r="H82" s="2" t="n">
        <v>45939</v>
      </c>
      <c r="I8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83">
      <c r="A83" t="inlineStr">
        <is>
          <t>in-47a497562af84d85</t>
        </is>
      </c>
      <c r="B83" t="inlineStr">
        <is>
          <t>Principal Product Manager Technical, Creative X - RAPID</t>
        </is>
      </c>
      <c r="C83" t="inlineStr">
        <is>
          <t>Amazon.com</t>
        </is>
      </c>
      <c r="D83" t="inlineStr">
        <is>
          <t>indeed</t>
        </is>
      </c>
      <c r="E83" t="inlineStr"/>
      <c r="F83" t="inlineStr"/>
      <c r="G83" t="inlineStr">
        <is>
          <t>New York, NY, US</t>
        </is>
      </c>
      <c r="H83" s="2" t="n">
        <v>45939</v>
      </c>
      <c r="I83"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84">
      <c r="A84" t="inlineStr">
        <is>
          <t>in-cf3f884d476d4381</t>
        </is>
      </c>
      <c r="B84" t="inlineStr">
        <is>
          <t>Volunteer Program Manager</t>
        </is>
      </c>
      <c r="C84" t="inlineStr">
        <is>
          <t>Ronald McDonald House Charities of Greater Chattanooga</t>
        </is>
      </c>
      <c r="D84" t="inlineStr">
        <is>
          <t>indeed</t>
        </is>
      </c>
      <c r="E84" t="inlineStr"/>
      <c r="F84" t="inlineStr"/>
      <c r="G84" t="inlineStr">
        <is>
          <t>Chattanooga, TN, US</t>
        </is>
      </c>
      <c r="H84" s="2" t="n">
        <v>46060</v>
      </c>
      <c r="I84" t="inlineStr">
        <is>
          <t>**Job Summary**  
We are seeking a Volunteer Program Manager who is a builder, connector, and relationship\-driven leader. This is not a maintenance role—it is a growth role. You’ll help expand our active volunteer base from approximately 300 volunteers while strengthening retention, recognition, and volunteer experience across all programs.
You will be the primary face of RMHC for volunteers and volunteer groups, working closely with the Chief Engagement \&amp; Volunteer Officer to shape strategy, launch new initiatives (including a volunteer rewards and recognition program), and continuously improve how volunteers experience our mission.
**Responsibilities**
* Responsibilities:
Volunteer Recruitment \&amp; Growth
* Lead and execute a strategic volunteer recruitment plan to grow and diversify our volunteer base.
* Serve as the primary point of contact and ambassador for current volunteers, volunteer groups and community partners.
Volunteer Experience \&amp; Retention
* Design and deliver a volunteer experience where individuals feel welcomed, supported, and connected to our staff and mission.
* Partner with the Chief Engagement \&amp; Volunteer Officer to develop and implement volunteer retention strategies.
Training, Systems \&amp; Operations
* Coordinate onboarding, training, and continuing education for volunteers, ensuring preparedness and confidence.
* Maintain accurate volunteer records, compliance documentation, and a robust volunteer database.
Collaboration \&amp; Leadership
* Work collaboratively with program and Erlanger staff to identify volunteer needs and design meaningful volunteer roles.
* Provide operational support in the Family Room (inside Erlanger) when volunteer coverage gaps arise, ensuring continuity of service and a welcoming environment for families.
* Participate in a rotating on\-call holiday schedule to support program operations as needed.
**Requirements:**
Knowledge, Skills and Abilities
* Minimum Associate's degree with a Bachelor's strongly preferred
* Proven experience in volunteer coordination, volunteer management, community engagement, or a related field.
* A self\-starter mindset with the ability to work independently and take initiative.
* A passion for community service, hospitality, and social impact.
NOTE: This is not necessarily an exhaustive list of all responsibilities, skills, duties, requirements, efforts or working conditions associated with the position. While this is intended to be an accurate reflection of the current position, the Board of Directors reserves the right to revise the position as needed. ruiting skills with a track record of building successful volunteer programs through strategic outreach efforts. Join us as a Volunteer Program Manager to make a meaningful difference while advancing your leadership capabilities!
Pay: $44,229\.84 \- $53,266\.05 per year
Benefits:
* 401(k)
* Dental insurance
* Health insurance
* Paid time off
* Vision insurance
Work Location: In person</t>
        </is>
      </c>
    </row>
    <row r="85">
      <c r="A85" t="inlineStr">
        <is>
          <t>in-7242a6443f7672ce</t>
        </is>
      </c>
      <c r="B85" t="inlineStr">
        <is>
          <t>Pulmonary Program Manager (CRT or RRT)</t>
        </is>
      </c>
      <c r="C85" t="inlineStr">
        <is>
          <t>Horizon Post Acute and Rehabilitation Center</t>
        </is>
      </c>
      <c r="D85" t="inlineStr">
        <is>
          <t>indeed</t>
        </is>
      </c>
      <c r="E85" t="inlineStr"/>
      <c r="F85" t="inlineStr"/>
      <c r="G85" t="inlineStr">
        <is>
          <t>Wichita, KS, US</t>
        </is>
      </c>
      <c r="H85" s="2" t="n">
        <v>46060</v>
      </c>
      <c r="I85" t="inlineStr">
        <is>
          <t>**Respiratory Therapist, We need You**!
**Our Pulmonary Program Coordinatory is a Managment Level position that leads a team of Respiratory Therapist to extend are to our long term and short term residents!**
Our recently aquired skilled nursing facility, is launching a pulmonary program that caters to our residents and future residents’ pulmonary and cardiac needs. Our pulmonary program has had a highly effective impact on preventing re\-hospitilazation, maintaining or improving ADLs, and reducing risk of pulmonary infection. Policies and processes have been created so we can have a proactive focus on bettering the lives we serve. The ideal candidate will be a Certified or Registered Respiratory Therapist, licensed in the State of Kansas, with a love of servant leadership. Alongside the Director of Nursing and Infection Preventionist, the RT will execute treatments and interventions necessary to create an atmosphere of health and wellbeing establishing tangible goals and tracking the progress of those we steward! Apply today!
Hours are Monday through Friday, 8 hour days with on call availability. Pay ranges from $45 to $50 per hour based on experience
**This position is for our Pulmonary Program Manager, which leads a team of Respiratory Therapist and is responsible for providing respiratory care services in accordance with specific physician’s orders, department policies and procedures, and state and federal guidelines.**
**Main Responsibilities:**
Maintains knowledge of the varying aspects of all things pulmonary as allowed within the therapist scope and licensure of the long\-term care facility.
Administers respiratory therapy treatments and interventions, understands the purpose of each and the possible side effects associated with each.
Able to assess patient pain interfering with optimal level of function or participation in rehabilitation. Makes appropriate nursing contact for intervention.
Follows departmental equipment sterilization procedures and maintains effective infection control.
Documents all pertinent data on the patient’s medical record following completion of any extension of the Pulmonary Program
Demonstrates knowledge and understanding of the differences in techniques and treatment modalities as performed on residents of varying acuity,age, and life station.
Manages and operates equipment safely and correctly. Inspects and tests respiratory therapy equipment to ensure that it is functioning safely and efficiently.
Maintains thorough knowledge of hazards of oxygen therapy.
Formulates care plan based on identified learning needs of a patient and evaluates effectiveness of learning, Patient’s family is included in teaching as appropriate.
Treats patients and their families with respect and dignity. Coordinates and directs patient care to ensure patients’ needs are met and that physician orders and facility policy is followed.
Demonstrates ability to assess patient, his/her need, and ability to tolerate treatment and reassessment for response to treatment.
 Demonstrates the ability to navigate pressure to meet deadlines, to be accurate, and to handle constantly changing situations.
 Attends and conducts education in\-service programs to maintain professional competency. Obtains appropriate program\-specific education and training.
 Performs all additional duties assigned by the department manager.
 In charge therapist role, is responsible for the daily operation of the shift, including work assignments, troubleshooting, responding to emergencies, and liaison with nurses, Director of Nursing, the Administrator and Physicians
Other duties, responsibilities and activities may change or be assigned to you at any time with or without notice, from DON or NHA.
**Professional Requirements**
Represents the organization in a positive and professional manner.
 Actively participates in performance improvement and continuous quality improvement (CQI) activities.
 Communicates and complies with the Sweetwater Mission, Vision, and Values as well as the focus statement of the department.
 Complies with State and Federal Guidelines, along with Organizational Policies and Procedures.
 Complies with Health and Safety Standards and Guidelines.
**Qualifications**
**Education/Experience Requirements:**
Current State Respiratory Therapist Licensure.
Graduate of an AMA\-approved School of Respiratory Therapy.
Possesses and maintains an active CRT/ RRT credentialing applicable to the Kansas
Current ACLS and BLS Certification
**Affirmative Action Statement**  
*Sweetwater is an Equal Opportunity Employer committed to fostering a diverse and inclusive workplace. We actively seek to recruit, hire, and promote individuals from all backgrounds, including but not limited to women, minorities, individuals with disabilities, protected veterans, and members of the LGBTQ\+ community. We are proud to be an affirmative action employer and encourage all qualified candidates to apply.*
**Reasonable Accommodation Statement**
*Consistent with the Americans with Disabilities Act (ADA) and Kansas Anti\-Discrimination Act, it is the policy of the facility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If reasonable accommodation is needed, please contact the Administrator.*</t>
        </is>
      </c>
    </row>
    <row r="86">
      <c r="A86" t="inlineStr">
        <is>
          <t>in-58699ea946158406</t>
        </is>
      </c>
      <c r="B86" t="inlineStr">
        <is>
          <t>Program Manager (Device)</t>
        </is>
      </c>
      <c r="C86" t="inlineStr">
        <is>
          <t>Pradco Outdoor Brands</t>
        </is>
      </c>
      <c r="D86" t="inlineStr">
        <is>
          <t>indeed</t>
        </is>
      </c>
      <c r="E86" t="inlineStr"/>
      <c r="F86" t="inlineStr"/>
      <c r="G86" t="inlineStr">
        <is>
          <t>Birmingham, AL, US</t>
        </is>
      </c>
      <c r="H86" s="2" t="n">
        <v>46059</v>
      </c>
      <c r="I86" t="inlineStr">
        <is>
          <t>Headquartered in Birmingham, Alabama, Moultrie (www.moultrie.com) is the leader in game feeders and cellular camera innovation, building products used by hunters, property owners, and others for real\-time remote monitoring. We take pride in developing deep user understanding, obsessing about the details, and going the extra mile to show our users we love them. Moultrie is customer\-driven – hardware, software, marketing, and customer success teams collaborate to deliver a quality user experience. We are guided by the following principles: Customer Obsession.; Excellence is the Standard.; Bias for Action.; Act Boldly.; Deliver Results.; Hire and Develop the Best.; Be Curious and Learn.; Win as a Team.
**Job Summary**
---------------
Moultrie is a leader in innovative products that inspire and excite hunters across the globe. We're seeking a dynamic and results\-driven Device Program Manager to take charge of engineering and program timelines for our cutting\-edge consumer electronics. This pivotal role will drive breakthroughs, collaborate with cross\-functional teams, and ensure the successful delivery of high\-quality products that thrill our customers.  
We are seeking a results\-driven **Device Program Manager** to oversee the end\-to\-end development of Moultrie’s cutting\-edge consumer electronics. This pivotal role will lead cross\-functional teams, manage engineering and program timelines, and ensure the delivery of high\-quality products on time and within budget. The ideal candidate combines technical expertise, project management excellence, and leadership to drive innovation and impactful results.
**Job Responsibilities**
------------------------
* **Strategic Planning:** Partner with product management to define product roadmaps, development goals, and key performance indicators (KPIs) for new device programs.
* **Project Management:** Lead cross\-functional teams through all product development phases, including discovery, concept, prototype, EVT, DVT, PVT, ramp\-up, and launch.
* **Budget \&amp; Schedule Management:** Develop, monitor, and manage project budgets and timelines. Proactively identify and address potential delays or risks to ensure projects are completed on schedule and within budget.
* **Risk Management:** Identify and mitigate risks across technical, supply chain, and regulatory areas throughout the development lifecycle.
* **Cross\-Functional Collaboration:** Facilitate communication and alignment between engineering, design, marketing, manufacturing, and quality assurance teams to ensure cohesive product development.
* **Technical Expertise:** Apply in\-depth knowledge of consumer electronics hardware, software, and manufacturing processes to guide informed decisions.
* **Quality Assurance:** Oversee quality control measures to ensure products meet rigorous standards and exceed customer expectations.
* **Vendor \&amp; Supplier Management:** Manage relationships with external vendors and suppliers, ensuring timely delivery, compliance with contracts, and alignment with project goals.
* **Post\-Launch Support:** Monitor product performance after launch and implement improvements as needed.
**Job Requirements**
--------------------
* Bachelor’s degree in engineering, operations management, or a related field (Master’s or MBA preferred).
* Proven experience managing complex programs from concept to completion using Agile, Waterfall, or hybrid project management methodologies.
* Strong technical understanding of consumer electronics development, including hardware, software, and manufacturing processes.
* Demonstrated ability to lead and motivate cross\-functional teams while managing multiple stakeholders.
* Excellent communication skills, able to translate technical details to diverse audiences.
* Strong analytical skills with the ability to make data\-driven decisions.
* Experience delivering consumer electronics projects on time, on budget, and to high\-quality standards.
* Knowledge of regulatory compliance and industry standards for consumer electronics.
**Essential Job Function**
--------------------------
**Preferred Qualifications:**
* Passion for hunting or the outdoors.
* Experience as a Program Manager, Project Lead, or similar leadership role.
* Experience with budgetary planning, cost tracking, and financial accountability for projects.
**Working Conditions:**
* Collaborative, fast\-paced environment with a start\-up feel within a larger organization.
* Opportunity to contribute to high\-impact, innovative projects in the outdoor and consumer electronics industry.
We are an equal opportunity employer and comply with all applicable federal, state, and local fair employment practices laws. We strictly prohibit and do not tolerate discrimination against employees, applicants, or any other covered persons because of race, color, sex, pregnancy status, age, national origin or ancestry, ethnicity, religion, creed, sexual orientation, gender identity, status as a veteran, and basis of disability or any other federal, state or local protected class. This policy applies to all terms and conditions of employment, including, but not limited to, hiring, training, promotion, discipline, compensation, benefits, and termination of employment.
We comply with the Americans with Disabilities Act (ADA), as amended by the ADA Amendments Act, and all applicable state or local law.</t>
        </is>
      </c>
    </row>
    <row r="87">
      <c r="A87" t="inlineStr">
        <is>
          <t>in-e66ee7b229b9e5bd</t>
        </is>
      </c>
      <c r="B87" t="inlineStr">
        <is>
          <t>GME Senior Program Manager</t>
        </is>
      </c>
      <c r="C87" t="inlineStr">
        <is>
          <t>Boston Medical Center</t>
        </is>
      </c>
      <c r="D87" t="inlineStr">
        <is>
          <t>indeed</t>
        </is>
      </c>
      <c r="E87" t="inlineStr"/>
      <c r="F87" t="inlineStr"/>
      <c r="G87" t="inlineStr">
        <is>
          <t>Boston, MA, US</t>
        </is>
      </c>
      <c r="H87" s="2" t="n">
        <v>46059</v>
      </c>
      <c r="I87" t="inlineStr">
        <is>
          <t>**POSITION SUMMARY****:**
The Senior GME Program Manager is responsible for assuring that programs for the education of Internal Medicine residents/fellows are properly organized, well\-coordinated, effective, monitored, and in compliance with requirements set by Boston Medical Center (BMC) and by all organizations and agencies (such as the ACGME and the governing RRC). Operating independently, the Senior Program Manager serves as a liaison between trainees, the Program Director, the GME office, the hospital, and accrediting bodies. The Senior Program Manager oversees program accreditation and compliance for the entire Internal Medicine Residency Program. Through their team, this roles ensures all inquiries related to the training program are responded to and compliance requirements are met with medical schools, licensing bodies, and affiliated institutions. Makes recommendations and advises on changes to the program based on anticipated needs, new or changing program and institutional requirements, or other market forces, and oversees implementation of agreed upon changes.
Program Scope:  
The Senior Program Manager oversees and supports large and/or complex programs, multiple programs, and is able to step in for other Program Administrators in times of leaves, vacations, or temporary vacancies.
**Position: GME Senior Program Manager**
**Department: Residency**
**Schedule: Full Time**
**ESSENTIAL RESPONSIBILITIES / DUTIES:**
* Maintains excellent and up\-to\-date knowledge of ACGME common and specialty\-specific program requirements and outstanding skills related to the administrative management of training program(s).
* Provides support and guidance to Program Director, Administrative Director, GME office, and other Program Administrators as needed.
* Actively participates in and contributes expertise to Program Administrator monthly meetings, and other trainings/events through the GME office.
* Senior Program Manager serves as an educator and mentor to other Administrators, supporting their training and onboarding, and ensuring consistent application of best practices on the management of training programs across BMC.
* Works in collaboration with GME, Program Leadership and Program Managers to ensure compliance with ACGME and AAIM requirements.
* Provides strategic and operational support to the Vice Chair of Education, Program Director, and Administrative Director as needed.
* Communicates updates to Program Director and Administrative Director on changes to program requirements from GME and ACGME.
Senior Program Manager responsibilities:
* Maintains and updates training program website in partnership with Department and Communications stakeholders.
* Oversees the administrative activities and operations in the Internal Medicine Residency Office to ensure program accreditation and compliance.
* Works with Administrative Director to build community around Department of Medicine education administrators, which includes clerkship, residency, and fellowship.
* Oversees initiatives identified by (diversity, mentorship training, program development, etc.) Vice Chair of Education, Program Director, and Administrative Director of Education.
* Provides reporting and data analysis for recruitment, evaluations, and program performance.
* Oversees preparing, coordinating, and organizing materials and logistics for program recruitment days as well as orientation for new trainees.
* Partners with GME Office around hospital\-wide orientation.
* Supports Administrative Director on managing components of the program budget.
* Identifies and implements administrative process improvement initiatives.
* Manages and collaborates with Program Managers to complete all administrative responsibilities related to hiring, licensing, onboarding, and advancement of trainees and communicates with trainees about related requirements, trainings, and processes.
* Works with the Program Directors to ensure compliance with ACGME (and or other governing/credentialing body) guidelines and their programs specialty board guidelines.
* Leads preparations for site visits, self\-study, and other internal and external review processes. In partnership with the GME Office, provides at the elbow support for other Program Administrators who are preparing for a site visit or other internal or external reviews.
* Partners with GME on standardization and creation of best practices related to management of training programs at BMC.
* Oversees tasks related to the Residency Management Suite application (New Innovations) such as scheduling, procedure logging, and evaluations.
* Actively maintains accurate conference attendance, duty hours, and other issues related to training program and compiles program documentation and appropriate statistical data.
* Ensures that all evaluations are up\-to\-date in residency management software.
* Compiles data for Annual Program Evaluations (APE) and assists Program Director with tasks related to the APE and Program Evaluation Committee.
* Maintains up\-to\-date trainee rotation schedule for the year, including outside rotations, and electives (including rotators from other institutions).
* Manages affiliation agreements and serves as a liaison between BMC and other training sites and enlists GME Office help when appropriate.
* Maintains and reviews resident’s block and assignment schedules, “on\- call” schedules; tracks vacation and sick hours; calculates individual resident work hours to ensure compliance with ACGME/RRC guidelines and alerts Program Director of any potential conflicts.
* Coordinates record of training on all residents for annual report to the American Board of Internal Medicine.
* Assists residents and Program Director with preparation and submission of abstracts, manuscripts, posters, and presentations as needed.
* Sets up conferences and meetings as directed.
* Develops and presents materials for program leadership meetings.
* May initiate responses (such as letters of recommendations, employment verification for loan deferments, etc.) for Program Director’s review or may complete and send out responses on their behalf.
* Administrative support to the Program Director and other members of the residency/fellowship leadership team, and department members as needed.
Other duties
* Conform to hospital standards of performance and conduct, including those pertaining to patient rights, so that the best possible customer service and patient care may be provided.
* Utilize hospital’s behavioral standards as the basis for decision\-making and to facilitate the hospital and the department’s mission.
* Follow established hospital infection control and safety procedures.
* Perform other duties as assigned or as necessary.
Must adhere to all of BMC’s Values \&amp; behavioral standards.
**(The above statements in this job description are intended to depict the general nature and level of work assigned to the employee(s) in this job. The above is not intended to represent an exhaustive list of accountable duties and responsibilities required).**
**JOB REQUIREMENTS**
**EDUCATION:**
Bachelor’s Degree or equivalent combination of formal education and experience.
**CERTIFICATES, LICENSES, REGISTRATIONS REQUIRED**:
TAGME certification (or another advanced degree or certification) required
**EXPERIENCE:**
7\+ years of relevant experience required. Experience with graduate medical education programs required. Previous experience with New Innovations required.
**Compensation Range:**
$83,000\.00\- $120,500\.00
This range offers an estimate based on the minimum job qualifications. However, our approach to determining base pay is comprehensive, and a broad range of factors is considered when making an offer. This includes education, experience, skills, and certifications/licensures as they directly relate to position requirements; as well as business/organizational needs, internal equity, and market\-competitiveness. In addition, BMCHS offers generous total compensation that includes, but is not limited to, benefits (medical, dental, vision, pharmacy), discretionary annual bonuses and merit increases, Flexible Spending Accounts, 403(b) savings matches, paid time off, career advancement opportunities, and resources to support employee and family well\-being.
**NOTE**: This range is based on Boston\-area data, and is subject to modification based on geographic location.
Equal Opportunity Employer/Disabled/Veterans
According to the FTC, there has been a rise in employment offer scams. Our current job openings are listed on our website and applications are received only through our website. We do not ask or require downloads of any applications, or “apps” job offers are not extended over text messages or social media platforms. We do not ask individuals to purchase equipment for or prior to employment.</t>
        </is>
      </c>
    </row>
    <row r="88">
      <c r="A88" t="inlineStr">
        <is>
          <t>in-9326a3e6c9ddb86e</t>
        </is>
      </c>
      <c r="B88" t="inlineStr">
        <is>
          <t>Program Manager II - Biopharmaceuticals</t>
        </is>
      </c>
      <c r="C88" t="inlineStr">
        <is>
          <t>Thermo Fisher Scientific</t>
        </is>
      </c>
      <c r="D88" t="inlineStr">
        <is>
          <t>indeed</t>
        </is>
      </c>
      <c r="E88" t="inlineStr"/>
      <c r="F88" t="inlineStr"/>
      <c r="G88" t="inlineStr">
        <is>
          <t>WI, US</t>
        </is>
      </c>
      <c r="H88" s="2" t="n">
        <v>46059</v>
      </c>
      <c r="I88" t="inlineStr">
        <is>
          <t>**Work Schedule**
First Shift (Days)**Environmental Conditions**
Office**Job Description**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**Location/Division Specific Information**
------------------------------------------
Our PPD® Laboratory Services team has a direct impact on improving patient health through the expertise of scientists, industry thought\-leaders and therapeutic experts. As the world leader in serving science, our laboratory professionals bring their commitment to accuracy and quality to deliver groundbreaking innovations
**Discover Impactful Work:**
----------------------------
Provides tactical support for client\-facing projects. Manages and supports project performance with specific emphasis on financial management of the program and progressive responsibility for client communications. Provides internal consulting on project management issues and identifies opportunities for process and efficiency improvement. Identifies and escalates risks identified to project timelines and meeting financial objectives for both internal goals and client expectations.
**A day in the Life:**
----------------------
* Provides oversight and coordination of study initiation.
* Understands protocol language and translates to internal systems and processes.
* Prepares for and facilitates internal meetings; attends external meetings
* Coordinates stability launches
* Maintains project set\-up and sample test scheduling
* Evaluates and manages project timelines and deliverables
* Understands and adheres to contract language, support contract management process
* Manages project setup and financials
* Responsible for projections, forecast and revenue recognition for fee for service, hourly or FTE programs, adhering to client budgets and utilization targets, adjusting forecasts or project priority weekly as necessary; communicate routine FTE utilization and spend.
* Progressive responsibility for internal and external communications, beginning with project financial coordination.
* Assists client relationship manager with meeting minutes and action items to support client projects
* Manages study documents and testing directives, shares data/reports
* Supports fee for service and hourly contract review processes
* Provides/Supports training of Program Manager I
* Involvement in cross\-functional initiatives/process improvements
**Keys to Success:**
--------------------
**Education**
-------------
* Bachelor's degree or equivalent and relevant formal academic / vocational qualification
**Experience**
--------------
* Previous experience that provides the knowledge, skills, and abilities to perform the job (comparable to 3\+ years) or equivalent combination of education, training, \&amp; experience.
Years of experience refers to typical years of related experience needed to gain the required knowledge, skills, and abilities necessary to perform the essential functions of the job. Years of experience are not to be used as the only determining factor in establishing the job class or making employment selection decisions.
**Knowledge, Skills, Abilities**
--------------------------------
* Strong verbal, written and presentation skills
* Superior time management, planning, and organizational skills
* Competent with specific computers and enterprise applications, including office productivity
* Proven analytical skills
* Demonstrated compliance with procedures and policies
* Ability to perform multiple tasks effectively in a stressful environment
* Ability to work effectively with multi\-level teams
**Work Environment**
--------------------
Thermo Fisher Scientific values the health and wellbeing of our employees. We support and encourage individuals to create a healthy and balanced environment where they can thrive. Below is listed the working environment/requirements for this role:
* Able to communicate, receive, and understand information and ideas with diverse groups of people in a comprehensible and reasonable manner.
* Able to work upright and stationary for typical working hours.
* Ability to use and learn standard office equipment and technology with proficiency.
* Able to perform successfully under pressure while prioritizing and handling multiple projects or activities.
* May require travel. (Recruiter will provide more details.)
**Benefits**
------------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t>
        </is>
      </c>
    </row>
    <row r="89">
      <c r="A89" t="inlineStr">
        <is>
          <t>in-c8e872cba99ed91e</t>
        </is>
      </c>
      <c r="B89" t="inlineStr">
        <is>
          <t>Program Manager I - Small Molecule (GMP)</t>
        </is>
      </c>
      <c r="C89" t="inlineStr">
        <is>
          <t>Thermo Fisher Scientific</t>
        </is>
      </c>
      <c r="D89" t="inlineStr">
        <is>
          <t>indeed</t>
        </is>
      </c>
      <c r="E89" t="inlineStr"/>
      <c r="F89" t="inlineStr"/>
      <c r="G89" t="inlineStr">
        <is>
          <t>WI, US</t>
        </is>
      </c>
      <c r="H89" s="2" t="n">
        <v>46059</v>
      </c>
      <c r="I89" t="inlineStr">
        <is>
          <t>**Work Schedule**
Standard (Mon\-Fri)**Environmental Conditions**
Office**Job Description**
This is a fully remote role supporting our GMP Laboratory in Middleton, WI. We welcome applicants from all locations within the U.S.
Must be legally authorized to work in the United States without sponsorship.
Must be able to pass a comprehensive background check, which includes a drug screening.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Our PPD® Laboratory Services team has a direct impact on improving patient health through the expertise of scientists, industry thought leaders and therapeutic experts. As the world leader in serving science, our laboratory professionals bring their commitment to accuracy and quality to deliver groundbreaking innovations.
Discover Impactful Work:
Provides tactical support for client\-facing projects. Oversees and coordinates the receipt, log\-in, and workflow management of samples and standards to support laboratory analysis. Monitors project progress for both client\-facing and internal projects, ensuring timely project progress through effective communication and status updates. Manages client interactions related to sample and standard processes. Supports the client relationship manager (Program Manager III or above) by providing day\-to\-day progress updates, managing timelines, and identifying and escalating potential risks to ensure the successful completion of projects.
A day in the Life:
* Acts as the primary coordinator for the receipt and log\-in of samples and standards
* Manages shipment requests
* Manages sample and standard workflows, including check\-outs, shipping, relog and disposal activities to support laboratory analysis
* Tracts project progress, within assigned client team and associated support teams, provides status updates
* Initiates project set up process
* Manages reagent documents for client and team, including Certificates of Analysis (CofAs) and Safety Data Sheets (SDSs)
* Coordinates and tracks the completion of internal lab\-based projects, including facility audits and incident reports
* Manages client communication related to sample and standard processes
* Supports the client relationship manager with daily progress updates to ensure project completion
* Manages timelines; identifies and escalates risks as necessary
* Attends internal meetings
Keys to Success:
**Education**
* Bachelor’s degree or equivalent and relevant forma academic / vocational qualification
**Experience**
* Previous experience that provides the knowledge, skills, and abilities to perform the job (comparable to 0\+ years) or equivalent combination of education, training, \&amp; experience
*Years of experience refers to typical years of related experience needed to gain the required knowledge, skills, and abilities necessary to perform the essential functions of the job. Years of experience are not to be used as the only determining factor in establishing the job class or making employment selection decisions.*
**Knowledge, Skills, Abilities**
* Excellent organizational skills with the ability to adapt and adjust to changing priorities while maintaining focus, composure and productivity
* Ability to manage multiple assignments with challenging/conflicting deadlines
* Proficient in Microsoft suite applications (e.g.: Word, Excel, PowerBI, PowerPoint, Teams, SharePoint)
* Strong attention to detail and problem\-solving skills
* Effective written and verbal communication skills
* Demonstrated experience in identification and resolution of conflicts in a professional environment
* Ability to maintain a high degree of confidentiality with client information and data
* Ability to attain, maintain and apply a working knowledge of applicable procedural documents
* Demonstrated positive attitude, enthusiasm toward work, and the ability to work well with others
* Demonstrated ability to receive and apply constructive feedback
**Work Environment**
Thermo Fisher Scientific values the health and wellbeing of our employees. We support and encourage individuals to create a healthy and balanced environment where they can thrive. Below is listed the working environment/requirements for this role:
* Able to communicate, receive, and understand information and ideas with diverse groups of people in a comprehensible and reasonable manner.
* Able to work upright and stationary and/or stand for typical working hours.
* Able to lift and move objects up to 25 pounds.
* Able to work in non\-traditional work environments.
* Able to use and learn standard office equipment and technology with proficiency.
* May have exposure to potentially hazardous elements, including infectious agents, typically found in healthcare or laboratory environments.
* Able to perform successfully under pressure while prioritizing and handling multiple projects or activities.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with PPD, part of Thermo Fisher Scientific, where diverse experiences, backgrounds and perspectives are valued.
Apply today! http://jobs.thermofisher.com
Thermo Fisher Scientific is an EEO/Affirmative Action Employer and does not discriminate on the basis of race, color, religion, sex, sexual orientation, gender identity, national origin, protected veteran status, disability or any other legally protected status.
Accessibility/Disability Access
Job Seekers with a Disability: Thermo Fisher Scientific offers accessibility service for job seekers requiring accommodations in the job application process. For example, this may include individuals requiring assistance because of hearing, vision, mobility, or cognitive impairments. If you are a job seeker with a disability, or assisting a person with a disability, and require accessibility assistance or an accommodation to apply for one of our jobs, please submit a request by telephone at 1\-855\-471\-2255\*. Please include your contact information and specific details about your required accommodation to support you during the job application process.
* This telephone line is reserved solely for job seekers with disabilities requiring accessibility assistance or an accommodation in the job application process. Messages left for other purposes, such as not being able to get into the career website, following up on an application, or other non\-disability related technical issues will not receive a response.</t>
        </is>
      </c>
    </row>
    <row r="90">
      <c r="A90" t="inlineStr">
        <is>
          <t>in-deebcdaced1ed9d9</t>
        </is>
      </c>
      <c r="B90" t="inlineStr">
        <is>
          <t>Program Manager II - Mass Spec (GMP Lab)</t>
        </is>
      </c>
      <c r="C90" t="inlineStr">
        <is>
          <t>Thermo Fisher Scientific</t>
        </is>
      </c>
      <c r="D90" t="inlineStr">
        <is>
          <t>indeed</t>
        </is>
      </c>
      <c r="E90" t="inlineStr"/>
      <c r="F90" t="inlineStr"/>
      <c r="G90" t="inlineStr">
        <is>
          <t>WI, US</t>
        </is>
      </c>
      <c r="H90" s="2" t="n">
        <v>46059</v>
      </c>
      <c r="I90" t="inlineStr">
        <is>
          <t>**Work Schedule**
Standard (Mon\-Fri)**Environmental Conditions**
Adherence to all Good Manufacturing Practices (GMP) Safety Standards**Job Description**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**Location/Division Specific Information**
------------------------------------------
Our PPD® Laboratory Services team has a direct impact on improving patient health through the expertise of scientists, industry thought\-leaders and therapeutic experts. As the world leader in serving science, our laboratory professionals bring their commitment to accuracy and quality to deliver groundbreaking innovations
**Discover Impactful Work:**
----------------------------
Provides tactical support for client\-facing projects. Manages and supports project performance with specific emphasis on financial management of the program and progressive responsibility for client communications. Provides internal consulting on project management issues and identifies opportunities for process and efficiency improvement. Identifies and escalates risks identified to project timelines and meeting financial objectives for both internal goals and client expectations.
**A day in the Life:**
----------------------
* Provides oversight and coordination of study initiation.
* Understands protocol language and translates to internal systems and processes.
* Prepares for and facilitates internal meetings; attends external meetings
* Coordinates stability launches
* Maintains project set\-up and sample test scheduling
* Evaluates and manages project timelines and deliverables
* Understands and adheres to contract language, support contract management process
* Manages project setup and financials
* Responsible for projections, forecast and revenue recognition for fee for service, hourly or FTE programs, adhering to client budgets and utilization targets, adjusting forecasts or project priority weekly as necessary; communicate routine FTE utilization and spend.
* Progressive responsibility for internal and external communications, beginning with project financial coordination.
* Assists client relationship manager with meeting minutes and action items to support client projects
* Manages study documents and testing directives, shares data/reports
* Supports fee for service and hourly contract review processes
* Provides/Supports training of Program Manager I
* Involvement in cross\-functional initiatives/process improvements
**Keys to Success:**
--------------------
**Education**
-------------
* Bachelor's degree or equivalent and relevant formal academic / vocational qualification
**Experience**
--------------
* Previous experience that provides the knowledge, skills, and abilities to perform the job (comparable to 3\+ years) or equivalent combination of education, training, \&amp; experience.
Years of experience refers to typical years of related experience needed to gain the required knowledge, skills, and abilities necessary to perform the essential functions of the job. Years of experience are not to be used as the only determining factor in establishing the job class or making employment selection decisions.
**Knowledge, Skills, Abilities**
--------------------------------
* Strong verbal, written and presentation skills
* Superior time management, planning, and organizational skills
* Competent with specific computers and enterprise applications, including office productivity
* Proven analytical skills
* Demonstrated compliance with procedures and policies
* Ability to perform multiple tasks effectively in a stressful environment
* Ability to work effectively with multi\-level teams
**Work Environment**
--------------------
Thermo Fisher Scientific values the health and wellbeing of our employees. We support and encourage individuals to create a healthy and balanced environment where they can thrive. Below is listed the working environment/requirements for this role:
* Able to communicate, receive, and understand information and ideas with diverse groups of people in a comprehensible and reasonable manner.
* Able to work upright and stationary for typical working hours.
* Ability to use and learn standard office equipment and technology with proficiency.
* Able to perform successfully under pressure while prioritizing and handling multiple projects or activities.
* May require travel. (Recruiter will provide more details.)
**Benefits**
------------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t>
        </is>
      </c>
    </row>
    <row r="91">
      <c r="A91" t="inlineStr">
        <is>
          <t>in-2f97632607213023</t>
        </is>
      </c>
      <c r="B91" t="inlineStr">
        <is>
          <t>Research Data Program Manager</t>
        </is>
      </c>
      <c r="C91" t="inlineStr">
        <is>
          <t>Meta</t>
        </is>
      </c>
      <c r="D91" t="inlineStr">
        <is>
          <t>indeed</t>
        </is>
      </c>
      <c r="E91" t="inlineStr"/>
      <c r="F91" t="inlineStr"/>
      <c r="G91" t="inlineStr">
        <is>
          <t>Menlo Park, CA, US</t>
        </is>
      </c>
      <c r="H91" s="2" t="n">
        <v>46057</v>
      </c>
      <c r="I91" t="inlineStr">
        <is>
          <t>The Meta SuperIntelligence Lab is dedicated to developing AI\-powered experiences for consumers, leveraging Meta's cutting\-edge models. We are looking for a Research Data Program Manager to lead end\-to\-end human data annotation programs that support ML research and model development. This role partners closely with Researchers, Product, Engineering, Data operations, and external data vendors to translate research needs into high\-quality datasets. Successful candidates will be technically fluent, highly organized, and experienced in building scalable processes to build high quality datasets. You will be the connective tissue across research pods driving consistent standards across annotation efforts.  
### **Research Data Program Manager Responsibilities:**
* Manage and execute end\-to\-end annotation lifecycle
* Partner with researcher and product teams to define data needs, create detailed instructions and define quality metrics
* Collaborate with our partner teams on vendor selection
* Work with partner teams to implement and monitor data quality
* Build processes, structured programs and make recommendations on tooling
* Build dashboards, analyze data and share insights
### **Minimum Qualifications:**
* 5\+ years of program management or relevant experience in data operations, ML/data labeling or research operations
* Demonstrated experience working directly with technical stakeholders (ML Researchers/Engineers/Product) and translating needs into execution\-ready requirements
* Experience managing external partners/vendors, including agreed timelines and deliverables throughput planning, and performance management
* Effective communication skills, including producing clear data specifications, quality assurance guidelines, and stakeholder updates
* Experience managing and prioritizing multiple initiatives while operating under ambiguity and driving outcomes
### **Preferred Qualifications:**
* Familiarity with data types and workflows such as SFT, Reinforcement Learning, Evals, Multimodal, Coding, Reasoning, and Safety
* Experience building or running quality programs
* Experience with annotation tooling and workflow systems
* Exposure to ML, Natural Language Processing (NLP), or RL
* Proficient in SQL and Python for data analysis
* 8\+ years of program management experience at a technology company
* Bachelor's degree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$160,000/year to $223,000/year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2">
      <c r="A92" t="inlineStr">
        <is>
          <t>in-251949cd8a0b3884</t>
        </is>
      </c>
      <c r="B92" t="inlineStr">
        <is>
          <t>Budget Program Manager</t>
        </is>
      </c>
      <c r="C92" t="inlineStr">
        <is>
          <t>Valley Metro</t>
        </is>
      </c>
      <c r="D92" t="inlineStr">
        <is>
          <t>indeed</t>
        </is>
      </c>
      <c r="E92" t="inlineStr"/>
      <c r="F92" t="inlineStr"/>
      <c r="G92" t="inlineStr">
        <is>
          <t>Phoenix, AZ, US</t>
        </is>
      </c>
      <c r="H92" s="2" t="n">
        <v>46056</v>
      </c>
      <c r="I92" t="inlineStr">
        <is>
          <t>**Summary**
-----------
The full salary range for the position is ($86,365\.70\-$129,548\.54\) with an anticipated starting salary between entry ($86,365\.70\) and midpoint ($107,957\.12\) of the range. It’s essential to note that the actual salary offered will be determined based on several factors, including skills, qualifications, experience, education, certifications, training and internal equity considerations.  
Provides program\-level leadership and supervision of the Agency’s budgeting processes to ensure accurate financial planning, reporting, and compliance with regulatory and intergovernmental requirements.
**Minimum Qualifications \&amp; Requirements**
------------------------------------------
* Three (3\) years of supervisory experience in budgeting, accounting, or related financial area.
* Bachelor's degree in finance, accounting or a related field and six (6\) years of experience in:
	+ Public budgeting and finance.
	+ Financial oversight and coordination.
	+ Intergovernmental agreement management.
	+ Or an equivalent combination of education and experience sufficient to successfully perform the essential duties of the job as listed.
	+ Additional education cannot be substituted for experience.
* A valid Arizona Driver's License with an acceptable driving record upon hire.
**Examples of Duties / Knowledge \&amp; Skills**
--------------------------------------------
The following functions are intended to provide a representative summary of the primary duties and responsibilities of this position and are not an exhaustive list of all duties that may be performed.
* Supervise assigned staff performing budget development, financial analysis, and reporting functions, including assigning work, setting priorities, reviewing work products, and ensuring accuracy and timeliness.
* Lead and oversee the operating and capital budget development process, directing staff activities, reviewing and validating budget requests, and ensuring compliance with agency policies and funding requirements.
* Monitor and oversee budget execution through forecasting, budget\-to\-actual analysis, and expenditure review, resolving issues and recommending adjustments as needed.
* Provide technical guidance, training, and coaching to staff on budget procedures, financial systems, and reporting standards to ensure consistent, high\-quality outcomes.
* Coordinate and prepare budget\-related reports, schedules, and analyses for management, executive leadership, governing bodies, and external stakeholders.
* Identify process weaknesses and opportunities for improvement, and direct the development and implementation of budget tools, controls, and procedures to enhance efficiency and accountability.
* Performs other duties of a similar nature and level as assigned.
**Required Knowledge \&amp; Skills:**  
**Knowledge of:**  
* Extensive understanding of supervisory practices and performance evaluation.
* Advanced knowledge of operating and capital budget development practices.
* Comprehensive understanding of funding schedule reconciliation methodologies.
* Expanded familiarity with internal controls in financial reporting.
* Extensive practice of public\-sector supervisory procedures.
* Thorough understanding of capital project funding coordination.
* Advanced knowledge of federal budget reporting practices.
* Using a computer and related software.
**Skill in:**  
* Supervising budget staff, providing training and performance evaluation.
* Facilitating comprehensive budget development processes.
* Coordinating capital and operating budget schedules.
* Validating divisional budget request accuracy.
* Facilitating budget policy changes.
* Training staff on Agency\-wide financial procedures.
* Monitoring budget\-to\-actual financial reporting.
* Communication and interpersonal skills to exchange information and receive work direction.
**Physical Demands / Work Environment**
---------------------------------------
Work is performed primarily in an office setting with routine use of standard office equipment. This sedentary position involves prolonged sitting and occasional lifting or moving of up to 10 pounds. The role requires hand dexterity, visual acuity, hearing, and speaking for communication, as well as occasional walking, standing, reaching, and twisting. Employees must be able to manage time\-sensitive tasks, multitask, adapt to changing priorities, and work collaboratively with others, including periods of irregular schedules or overtime.  
**Valley Metro is a Drug\-Free Workplace and an Equal Opportunity Employer.**</t>
        </is>
      </c>
    </row>
    <row r="93">
      <c r="A93" t="inlineStr">
        <is>
          <t>in-38ebf1412ada51b9</t>
        </is>
      </c>
      <c r="B93" t="inlineStr">
        <is>
          <t>Global Signage &amp; Wayfinding Designer Program Manager, Workplace Design &amp; Construction (WD&amp;C)</t>
        </is>
      </c>
      <c r="C93" t="inlineStr">
        <is>
          <t>Amazon.com</t>
        </is>
      </c>
      <c r="D93" t="inlineStr">
        <is>
          <t>indeed</t>
        </is>
      </c>
      <c r="E93" t="inlineStr"/>
      <c r="F93" t="inlineStr"/>
      <c r="G93" t="inlineStr">
        <is>
          <t>Seattle, WA, US</t>
        </is>
      </c>
      <c r="H93" s="2" t="n">
        <v>45998</v>
      </c>
      <c r="I93"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in-e09393c131e10595</t>
        </is>
      </c>
      <c r="B94" t="inlineStr">
        <is>
          <t>Global Signage &amp; Wayfinding Designer Program Manager, Workplace Design &amp; Construction (WD&amp;C)</t>
        </is>
      </c>
      <c r="C94" t="inlineStr">
        <is>
          <t>Amazon.com</t>
        </is>
      </c>
      <c r="D94" t="inlineStr">
        <is>
          <t>indeed</t>
        </is>
      </c>
      <c r="E94" t="inlineStr"/>
      <c r="F94" t="inlineStr"/>
      <c r="G94" t="inlineStr">
        <is>
          <t>Arlington, VA, US</t>
        </is>
      </c>
      <c r="H94" s="2" t="n">
        <v>45998</v>
      </c>
      <c r="I94"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in-c5a3ccf3a38fde2c</t>
        </is>
      </c>
      <c r="B95" t="inlineStr">
        <is>
          <t>Senior Product Manager, Ads</t>
        </is>
      </c>
      <c r="C95" t="inlineStr">
        <is>
          <t>Amazon.com</t>
        </is>
      </c>
      <c r="D95" t="inlineStr">
        <is>
          <t>indeed</t>
        </is>
      </c>
      <c r="E95" t="inlineStr"/>
      <c r="F95" t="inlineStr"/>
      <c r="G95" t="inlineStr">
        <is>
          <t>Seattle, WA, US</t>
        </is>
      </c>
      <c r="H95" s="2" t="n">
        <v>45994</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in-3799f9851d39b9ef</t>
        </is>
      </c>
      <c r="B96" t="inlineStr">
        <is>
          <t>Senior Product Manager, Ads</t>
        </is>
      </c>
      <c r="C96" t="inlineStr">
        <is>
          <t>Amazon.com</t>
        </is>
      </c>
      <c r="D96" t="inlineStr">
        <is>
          <t>indeed</t>
        </is>
      </c>
      <c r="E96" t="inlineStr"/>
      <c r="F96" t="inlineStr"/>
      <c r="G96" t="inlineStr">
        <is>
          <t>New York, NY, US</t>
        </is>
      </c>
      <c r="H96" s="2" t="n">
        <v>45994</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in-6780075e766a0ea8</t>
        </is>
      </c>
      <c r="B97" t="inlineStr">
        <is>
          <t>Senior Product Manager, Ads</t>
        </is>
      </c>
      <c r="C97" t="inlineStr">
        <is>
          <t>Amazon.com</t>
        </is>
      </c>
      <c r="D97" t="inlineStr">
        <is>
          <t>indeed</t>
        </is>
      </c>
      <c r="E97" t="inlineStr"/>
      <c r="F97" t="inlineStr"/>
      <c r="G97" t="inlineStr">
        <is>
          <t>San Francisco, CA, US</t>
        </is>
      </c>
      <c r="H97" s="2" t="n">
        <v>45994</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in-037037246792b0ae</t>
        </is>
      </c>
      <c r="B98" t="inlineStr">
        <is>
          <t>Senior Product Manager, Ads</t>
        </is>
      </c>
      <c r="C98" t="inlineStr">
        <is>
          <t>Amazon.com</t>
        </is>
      </c>
      <c r="D98" t="inlineStr">
        <is>
          <t>indeed</t>
        </is>
      </c>
      <c r="E98" t="inlineStr"/>
      <c r="F98" t="inlineStr"/>
      <c r="G98" t="inlineStr">
        <is>
          <t>Los Angeles, CA, US</t>
        </is>
      </c>
      <c r="H98" s="2" t="n">
        <v>45994</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in-c4891d28e9b67f13</t>
        </is>
      </c>
      <c r="B99" t="inlineStr">
        <is>
          <t>Senior Product Manager, Ads</t>
        </is>
      </c>
      <c r="C99" t="inlineStr">
        <is>
          <t>Amazon.com</t>
        </is>
      </c>
      <c r="D99" t="inlineStr">
        <is>
          <t>indeed</t>
        </is>
      </c>
      <c r="E99" t="inlineStr"/>
      <c r="F99" t="inlineStr"/>
      <c r="G99" t="inlineStr">
        <is>
          <t>New York, NY, US</t>
        </is>
      </c>
      <c r="H99" s="2" t="n">
        <v>45994</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in-0c787ba483f71951</t>
        </is>
      </c>
      <c r="B100" t="inlineStr">
        <is>
          <t>Senior Product Manager, Ads</t>
        </is>
      </c>
      <c r="C100" t="inlineStr">
        <is>
          <t>Amazon.com</t>
        </is>
      </c>
      <c r="D100" t="inlineStr">
        <is>
          <t>indeed</t>
        </is>
      </c>
      <c r="E100" t="inlineStr"/>
      <c r="F100" t="inlineStr"/>
      <c r="G100" t="inlineStr">
        <is>
          <t>Irvine, CA, US</t>
        </is>
      </c>
      <c r="H100" s="2" t="n">
        <v>45994</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in-fa447760b526c1d4</t>
        </is>
      </c>
      <c r="B101" t="inlineStr">
        <is>
          <t>Senior Product Manager, Ads</t>
        </is>
      </c>
      <c r="C101" t="inlineStr">
        <is>
          <t>Amazon.com</t>
        </is>
      </c>
      <c r="D101" t="inlineStr">
        <is>
          <t>indeed</t>
        </is>
      </c>
      <c r="E101" t="inlineStr"/>
      <c r="F101" t="inlineStr"/>
      <c r="G101" t="inlineStr">
        <is>
          <t>San Francisco, CA, US</t>
        </is>
      </c>
      <c r="H101" s="2" t="n">
        <v>45994</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in-f91145e754f732b4</t>
        </is>
      </c>
      <c r="B102" t="inlineStr">
        <is>
          <t>Senior Product Manager, Ads</t>
        </is>
      </c>
      <c r="C102" t="inlineStr">
        <is>
          <t>Amazon.com</t>
        </is>
      </c>
      <c r="D102" t="inlineStr">
        <is>
          <t>indeed</t>
        </is>
      </c>
      <c r="E102" t="inlineStr"/>
      <c r="F102" t="inlineStr"/>
      <c r="G102" t="inlineStr">
        <is>
          <t>Los Angeles, CA, US</t>
        </is>
      </c>
      <c r="H102" s="2" t="n">
        <v>45994</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in-264455c50c396ee5</t>
        </is>
      </c>
      <c r="B103" t="inlineStr">
        <is>
          <t>Senior Product Manager, Ads</t>
        </is>
      </c>
      <c r="C103" t="inlineStr">
        <is>
          <t>Amazon.com</t>
        </is>
      </c>
      <c r="D103" t="inlineStr">
        <is>
          <t>indeed</t>
        </is>
      </c>
      <c r="E103" t="inlineStr"/>
      <c r="F103" t="inlineStr"/>
      <c r="G103" t="inlineStr">
        <is>
          <t>Irvine, CA, US</t>
        </is>
      </c>
      <c r="H103" s="2" t="n">
        <v>45994</v>
      </c>
      <c r="I1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in-e2e55cb02eff0346</t>
        </is>
      </c>
      <c r="B104" t="inlineStr">
        <is>
          <t>Senior Product Manager, Ads</t>
        </is>
      </c>
      <c r="C104" t="inlineStr">
        <is>
          <t>Amazon.com</t>
        </is>
      </c>
      <c r="D104" t="inlineStr">
        <is>
          <t>indeed</t>
        </is>
      </c>
      <c r="E104" t="inlineStr"/>
      <c r="F104" t="inlineStr"/>
      <c r="G104" t="inlineStr">
        <is>
          <t>Seattle, WA, US</t>
        </is>
      </c>
      <c r="H104" s="2" t="n">
        <v>45994</v>
      </c>
      <c r="I1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in-0d9f7407c4463c06</t>
        </is>
      </c>
      <c r="B105" t="inlineStr">
        <is>
          <t>Sr. Product Manager</t>
        </is>
      </c>
      <c r="C105" t="inlineStr">
        <is>
          <t>Amazon.com</t>
        </is>
      </c>
      <c r="D105" t="inlineStr">
        <is>
          <t>indeed</t>
        </is>
      </c>
      <c r="E105" t="inlineStr"/>
      <c r="F105" t="inlineStr"/>
      <c r="G105" t="inlineStr">
        <is>
          <t>San Francisco, CA, US</t>
        </is>
      </c>
      <c r="H105" s="2" t="n">
        <v>45979</v>
      </c>
      <c r="I10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in-0bbca23bd82608f1</t>
        </is>
      </c>
      <c r="B106" t="inlineStr">
        <is>
          <t>Sr. Product Manager</t>
        </is>
      </c>
      <c r="C106" t="inlineStr">
        <is>
          <t>Amazon.com</t>
        </is>
      </c>
      <c r="D106" t="inlineStr">
        <is>
          <t>indeed</t>
        </is>
      </c>
      <c r="E106" t="inlineStr"/>
      <c r="F106" t="inlineStr"/>
      <c r="G106" t="inlineStr">
        <is>
          <t>New York, NY, US</t>
        </is>
      </c>
      <c r="H106" s="2" t="n">
        <v>45979</v>
      </c>
      <c r="I10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in-e52c8dcb0f0becd6</t>
        </is>
      </c>
      <c r="B107" t="inlineStr">
        <is>
          <t>Sr. Product Manager</t>
        </is>
      </c>
      <c r="C107" t="inlineStr">
        <is>
          <t>Amazon.com</t>
        </is>
      </c>
      <c r="D107" t="inlineStr">
        <is>
          <t>indeed</t>
        </is>
      </c>
      <c r="E107" t="inlineStr"/>
      <c r="F107" t="inlineStr"/>
      <c r="G107" t="inlineStr">
        <is>
          <t>Los Angeles, CA, US</t>
        </is>
      </c>
      <c r="H107" s="2" t="n">
        <v>45979</v>
      </c>
      <c r="I10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in-0c1203876585d52e</t>
        </is>
      </c>
      <c r="B108" t="inlineStr">
        <is>
          <t>Sr. Product Manager</t>
        </is>
      </c>
      <c r="C108" t="inlineStr">
        <is>
          <t>Amazon.com</t>
        </is>
      </c>
      <c r="D108" t="inlineStr">
        <is>
          <t>indeed</t>
        </is>
      </c>
      <c r="E108" t="inlineStr"/>
      <c r="F108" t="inlineStr"/>
      <c r="G108" t="inlineStr">
        <is>
          <t>Seattle, WA, US</t>
        </is>
      </c>
      <c r="H108" s="2" t="n">
        <v>45979</v>
      </c>
      <c r="I1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in-42d12e8657216825</t>
        </is>
      </c>
      <c r="B109" t="inlineStr">
        <is>
          <t>Sr. Product Manager</t>
        </is>
      </c>
      <c r="C109" t="inlineStr">
        <is>
          <t>Amazon.com</t>
        </is>
      </c>
      <c r="D109" t="inlineStr">
        <is>
          <t>indeed</t>
        </is>
      </c>
      <c r="E109" t="inlineStr"/>
      <c r="F109" t="inlineStr"/>
      <c r="G109" t="inlineStr">
        <is>
          <t>Irvine, CA, US</t>
        </is>
      </c>
      <c r="H109" s="2" t="n">
        <v>45979</v>
      </c>
      <c r="I10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in-acd5d3ad7767b81c</t>
        </is>
      </c>
      <c r="B110" t="inlineStr">
        <is>
          <t>Program Manager, Executive Content and Programs, Global Executive Marketing</t>
        </is>
      </c>
      <c r="C110" t="inlineStr">
        <is>
          <t>Amazon Web Services</t>
        </is>
      </c>
      <c r="D110" t="inlineStr">
        <is>
          <t>indeed</t>
        </is>
      </c>
      <c r="E110" t="inlineStr"/>
      <c r="F110" t="inlineStr"/>
      <c r="G110" t="inlineStr">
        <is>
          <t>Arlington, VA, US</t>
        </is>
      </c>
      <c r="H110" s="2" t="n">
        <v>45970</v>
      </c>
      <c r="I110"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in-a42da6a9bbf0ffeb</t>
        </is>
      </c>
      <c r="B111" t="inlineStr">
        <is>
          <t>Program Manager, Executive Content and Programs, Global Executive Marketing</t>
        </is>
      </c>
      <c r="C111" t="inlineStr">
        <is>
          <t>Amazon Web Services</t>
        </is>
      </c>
      <c r="D111" t="inlineStr">
        <is>
          <t>indeed</t>
        </is>
      </c>
      <c r="E111" t="inlineStr"/>
      <c r="F111" t="inlineStr"/>
      <c r="G111" t="inlineStr">
        <is>
          <t>Seattle, WA, US</t>
        </is>
      </c>
      <c r="H111" s="2" t="n">
        <v>45970</v>
      </c>
      <c r="I111"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in-3d829c27bc6dba93</t>
        </is>
      </c>
      <c r="B112" t="inlineStr">
        <is>
          <t>Senior Product Manager, Sub Same Day</t>
        </is>
      </c>
      <c r="C112" t="inlineStr">
        <is>
          <t>Amazon.com</t>
        </is>
      </c>
      <c r="D112" t="inlineStr">
        <is>
          <t>indeed</t>
        </is>
      </c>
      <c r="E112" t="inlineStr"/>
      <c r="F112" t="inlineStr"/>
      <c r="G112" t="inlineStr">
        <is>
          <t>Nashville, TN, US</t>
        </is>
      </c>
      <c r="H112" s="2" t="n">
        <v>45957</v>
      </c>
      <c r="I112"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in-f43d2abbedae9afc</t>
        </is>
      </c>
      <c r="B113" t="inlineStr">
        <is>
          <t>Senior Product Manager, Sub Same Day</t>
        </is>
      </c>
      <c r="C113" t="inlineStr">
        <is>
          <t>Amazon.com</t>
        </is>
      </c>
      <c r="D113" t="inlineStr">
        <is>
          <t>indeed</t>
        </is>
      </c>
      <c r="E113" t="inlineStr"/>
      <c r="F113" t="inlineStr"/>
      <c r="G113" t="inlineStr">
        <is>
          <t>Bellevue, WA, US</t>
        </is>
      </c>
      <c r="H113" s="2" t="n">
        <v>45957</v>
      </c>
      <c r="I113"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in-dc5343d4cc921ef0</t>
        </is>
      </c>
      <c r="B114" t="inlineStr">
        <is>
          <t>Senior Product Manager, Sub Same Day</t>
        </is>
      </c>
      <c r="C114" t="inlineStr">
        <is>
          <t>Amazon.com</t>
        </is>
      </c>
      <c r="D114" t="inlineStr">
        <is>
          <t>indeed</t>
        </is>
      </c>
      <c r="E114" t="inlineStr"/>
      <c r="F114" t="inlineStr"/>
      <c r="G114" t="inlineStr">
        <is>
          <t>New York, NY, US</t>
        </is>
      </c>
      <c r="H114" s="2" t="n">
        <v>45957</v>
      </c>
      <c r="I114"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in-e4f32219960aab5d</t>
        </is>
      </c>
      <c r="B115" t="inlineStr">
        <is>
          <t>Sr. Program Manager, Planning &amp; Automation, Global Fleet and Products Electrification and Infrastructure</t>
        </is>
      </c>
      <c r="C115" t="inlineStr">
        <is>
          <t>Amazon.com</t>
        </is>
      </c>
      <c r="D115" t="inlineStr">
        <is>
          <t>indeed</t>
        </is>
      </c>
      <c r="E115" t="inlineStr"/>
      <c r="F115" t="inlineStr"/>
      <c r="G115" t="inlineStr">
        <is>
          <t>San Francisco, CA, US</t>
        </is>
      </c>
      <c r="H115" s="2" t="n">
        <v>45949</v>
      </c>
      <c r="I115"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in-8fcf265307d7a498</t>
        </is>
      </c>
      <c r="B116" t="inlineStr">
        <is>
          <t>Sr. Program Manager, Planning &amp; Automation, Global Fleet and Products Electrification and Infrastructure</t>
        </is>
      </c>
      <c r="C116" t="inlineStr">
        <is>
          <t>Amazon.com</t>
        </is>
      </c>
      <c r="D116" t="inlineStr">
        <is>
          <t>indeed</t>
        </is>
      </c>
      <c r="E116" t="inlineStr"/>
      <c r="F116" t="inlineStr"/>
      <c r="G116" t="inlineStr">
        <is>
          <t>Nashville, TN, US</t>
        </is>
      </c>
      <c r="H116" s="2" t="n">
        <v>45949</v>
      </c>
      <c r="I116"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in-35b7b2d14a8ca38f</t>
        </is>
      </c>
      <c r="B117" t="inlineStr">
        <is>
          <t>Sr. Program Manager, Planning &amp; Automation, Global Fleet and Products Electrification and Infrastructure</t>
        </is>
      </c>
      <c r="C117" t="inlineStr">
        <is>
          <t>Amazon.com</t>
        </is>
      </c>
      <c r="D117" t="inlineStr">
        <is>
          <t>indeed</t>
        </is>
      </c>
      <c r="E117" t="inlineStr"/>
      <c r="F117" t="inlineStr"/>
      <c r="G117" t="inlineStr">
        <is>
          <t>Bellevue, WA, US</t>
        </is>
      </c>
      <c r="H117" s="2" t="n">
        <v>45949</v>
      </c>
      <c r="I117"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in-ffeb56e34e61b5b9</t>
        </is>
      </c>
      <c r="B118" t="inlineStr">
        <is>
          <t>Sr Program Manager, Procurement Operations, SSD OI</t>
        </is>
      </c>
      <c r="C118" t="inlineStr">
        <is>
          <t>Amazon.com</t>
        </is>
      </c>
      <c r="D118" t="inlineStr">
        <is>
          <t>indeed</t>
        </is>
      </c>
      <c r="E118" t="inlineStr"/>
      <c r="F118" t="inlineStr"/>
      <c r="G118" t="inlineStr">
        <is>
          <t>Nashville, TN, US</t>
        </is>
      </c>
      <c r="H118" s="2" t="n">
        <v>45938</v>
      </c>
      <c r="I118"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in-dd81abca01682cc9</t>
        </is>
      </c>
      <c r="B119" t="inlineStr">
        <is>
          <t>Sr Program Manager, Procurement Operations, SSD OI</t>
        </is>
      </c>
      <c r="C119" t="inlineStr">
        <is>
          <t>Amazon.com</t>
        </is>
      </c>
      <c r="D119" t="inlineStr">
        <is>
          <t>indeed</t>
        </is>
      </c>
      <c r="E119" t="inlineStr"/>
      <c r="F119" t="inlineStr"/>
      <c r="G119" t="inlineStr">
        <is>
          <t>Bellevue, WA, US</t>
        </is>
      </c>
      <c r="H119" s="2" t="n">
        <v>45938</v>
      </c>
      <c r="I119"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in-81930dd6bee799bb</t>
        </is>
      </c>
      <c r="B120" t="inlineStr">
        <is>
          <t>Sr Program Manager, Procurement Operations, SSD OI</t>
        </is>
      </c>
      <c r="C120" t="inlineStr">
        <is>
          <t>Amazon.com</t>
        </is>
      </c>
      <c r="D120" t="inlineStr">
        <is>
          <t>indeed</t>
        </is>
      </c>
      <c r="E120" t="inlineStr"/>
      <c r="F120" t="inlineStr"/>
      <c r="G120" t="inlineStr">
        <is>
          <t>New York, NY, US</t>
        </is>
      </c>
      <c r="H120" s="2" t="n">
        <v>45938</v>
      </c>
      <c r="I120"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in-05b4fb12e3ccc775</t>
        </is>
      </c>
      <c r="B121" t="inlineStr">
        <is>
          <t>Sr. Supply Chain Product Manager, Amazon Custom Modules</t>
        </is>
      </c>
      <c r="C121" t="inlineStr">
        <is>
          <t>Amazon.com</t>
        </is>
      </c>
      <c r="D121" t="inlineStr">
        <is>
          <t>indeed</t>
        </is>
      </c>
      <c r="E121" t="inlineStr"/>
      <c r="F121" t="inlineStr"/>
      <c r="G121" t="inlineStr">
        <is>
          <t>Austin, TX, US</t>
        </is>
      </c>
      <c r="H121" s="2" t="n">
        <v>45935</v>
      </c>
      <c r="I12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in-05dbb3d95a086d0f</t>
        </is>
      </c>
      <c r="B122" t="inlineStr">
        <is>
          <t>Sr. Supply Chain Product Manager, Amazon Custom Modules</t>
        </is>
      </c>
      <c r="C122" t="inlineStr">
        <is>
          <t>Amazon.com</t>
        </is>
      </c>
      <c r="D122" t="inlineStr">
        <is>
          <t>indeed</t>
        </is>
      </c>
      <c r="E122" t="inlineStr"/>
      <c r="F122" t="inlineStr"/>
      <c r="G122" t="inlineStr">
        <is>
          <t>Seattle, WA, US</t>
        </is>
      </c>
      <c r="H122" s="2" t="n">
        <v>45935</v>
      </c>
      <c r="I12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in-dcc708ed3f60685f</t>
        </is>
      </c>
      <c r="B123" t="inlineStr">
        <is>
          <t>Sr. Supply Chain Product Manager, Amazon Custom Modules</t>
        </is>
      </c>
      <c r="C123" t="inlineStr">
        <is>
          <t>Amazon.com</t>
        </is>
      </c>
      <c r="D123" t="inlineStr">
        <is>
          <t>indeed</t>
        </is>
      </c>
      <c r="E123" t="inlineStr"/>
      <c r="F123" t="inlineStr"/>
      <c r="G123" t="inlineStr">
        <is>
          <t>Cupertino, CA, US</t>
        </is>
      </c>
      <c r="H123" s="2" t="n">
        <v>45935</v>
      </c>
      <c r="I12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in-6c7f2d68891a73c8</t>
        </is>
      </c>
      <c r="B124" t="inlineStr">
        <is>
          <t>Sr. Program Manager, Same Day Programs,</t>
        </is>
      </c>
      <c r="C124" t="inlineStr">
        <is>
          <t>Amazon.com</t>
        </is>
      </c>
      <c r="D124" t="inlineStr">
        <is>
          <t>indeed</t>
        </is>
      </c>
      <c r="E124" t="inlineStr"/>
      <c r="F124" t="inlineStr"/>
      <c r="G124" t="inlineStr">
        <is>
          <t>Nashville, TN, US</t>
        </is>
      </c>
      <c r="H124" s="2" t="n">
        <v>45931</v>
      </c>
      <c r="I124"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in-acce803ca1ee690e</t>
        </is>
      </c>
      <c r="B125" t="inlineStr">
        <is>
          <t>Sr. Program Manager, Same Day Programs,</t>
        </is>
      </c>
      <c r="C125" t="inlineStr">
        <is>
          <t>Amazon.com</t>
        </is>
      </c>
      <c r="D125" t="inlineStr">
        <is>
          <t>indeed</t>
        </is>
      </c>
      <c r="E125" t="inlineStr"/>
      <c r="F125" t="inlineStr"/>
      <c r="G125" t="inlineStr">
        <is>
          <t>Bellevue, WA, US</t>
        </is>
      </c>
      <c r="H125" s="2" t="n">
        <v>45931</v>
      </c>
      <c r="I125"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in-0974ace6c5b55aa4</t>
        </is>
      </c>
      <c r="B126" t="inlineStr">
        <is>
          <t>Tech Infrastructure Program Manager - AV , IT Services - CIS</t>
        </is>
      </c>
      <c r="C126" t="inlineStr">
        <is>
          <t>Amazon.com</t>
        </is>
      </c>
      <c r="D126" t="inlineStr">
        <is>
          <t>indeed</t>
        </is>
      </c>
      <c r="E126" t="inlineStr"/>
      <c r="F126" t="inlineStr"/>
      <c r="G126" t="inlineStr">
        <is>
          <t>Austin, TX, US</t>
        </is>
      </c>
      <c r="H126" s="2" t="n">
        <v>45923</v>
      </c>
      <c r="I126"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in-3800eeae930f0f68</t>
        </is>
      </c>
      <c r="B127" t="inlineStr">
        <is>
          <t>Tech Infrastructure Program Manager - AV , IT Services - CIS</t>
        </is>
      </c>
      <c r="C127" t="inlineStr">
        <is>
          <t>Amazon.com</t>
        </is>
      </c>
      <c r="D127" t="inlineStr">
        <is>
          <t>indeed</t>
        </is>
      </c>
      <c r="E127" t="inlineStr"/>
      <c r="F127" t="inlineStr"/>
      <c r="G127" t="inlineStr">
        <is>
          <t>Sunnyvale, CA, US</t>
        </is>
      </c>
      <c r="H127" s="2" t="n">
        <v>45923</v>
      </c>
      <c r="I127"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in-0bf4d85c639d28b5</t>
        </is>
      </c>
      <c r="B128" t="inlineStr">
        <is>
          <t>Tech Infrastructure Program Manager - AV , IT Services - CIS</t>
        </is>
      </c>
      <c r="C128" t="inlineStr">
        <is>
          <t>Amazon.com</t>
        </is>
      </c>
      <c r="D128" t="inlineStr">
        <is>
          <t>indeed</t>
        </is>
      </c>
      <c r="E128" t="inlineStr"/>
      <c r="F128" t="inlineStr"/>
      <c r="G128" t="inlineStr">
        <is>
          <t>Arlington, VA, US</t>
        </is>
      </c>
      <c r="H128" s="2" t="n">
        <v>45923</v>
      </c>
      <c r="I128"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in-6606e9c67fd3c80b</t>
        </is>
      </c>
      <c r="B129" t="inlineStr">
        <is>
          <t>Tech Infrastructure Program Manager - AV , IT Services - CIS</t>
        </is>
      </c>
      <c r="C129" t="inlineStr">
        <is>
          <t>Amazon.com</t>
        </is>
      </c>
      <c r="D129" t="inlineStr">
        <is>
          <t>indeed</t>
        </is>
      </c>
      <c r="E129" t="inlineStr"/>
      <c r="F129" t="inlineStr"/>
      <c r="G129" t="inlineStr">
        <is>
          <t>Seattle, WA, US</t>
        </is>
      </c>
      <c r="H129" s="2" t="n">
        <v>45923</v>
      </c>
      <c r="I129"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in-cc505166c1853321</t>
        </is>
      </c>
      <c r="B130" t="inlineStr">
        <is>
          <t>Amazon Last Mile Fleet Program Manager, In Life Services-Recalls, Retrofits, and Tires</t>
        </is>
      </c>
      <c r="C130" t="inlineStr">
        <is>
          <t>Amazon.com</t>
        </is>
      </c>
      <c r="D130" t="inlineStr">
        <is>
          <t>indeed</t>
        </is>
      </c>
      <c r="E130" t="inlineStr"/>
      <c r="F130" t="inlineStr"/>
      <c r="G130" t="inlineStr">
        <is>
          <t>Bellevue, WA, US</t>
        </is>
      </c>
      <c r="H130" s="2" t="n">
        <v>45911</v>
      </c>
      <c r="I130"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in-420c6b18e9827812</t>
        </is>
      </c>
      <c r="B131" t="inlineStr">
        <is>
          <t>Amazon Last Mile Fleet Program Manager, In Life Services-Recalls, Retrofits, and Tires</t>
        </is>
      </c>
      <c r="C131" t="inlineStr">
        <is>
          <t>Amazon.com</t>
        </is>
      </c>
      <c r="D131" t="inlineStr">
        <is>
          <t>indeed</t>
        </is>
      </c>
      <c r="E131" t="inlineStr"/>
      <c r="F131" t="inlineStr"/>
      <c r="G131" t="inlineStr">
        <is>
          <t>Nashville, TN, US</t>
        </is>
      </c>
      <c r="H131" s="2" t="n">
        <v>45911</v>
      </c>
      <c r="I13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in-732f07044ad00736</t>
        </is>
      </c>
      <c r="B132" t="inlineStr">
        <is>
          <t>Amazon Last Mile Fleet Program Manager, In Life Services-Recalls, Retrofits, and Tires</t>
        </is>
      </c>
      <c r="C132" t="inlineStr">
        <is>
          <t>Amazon.com</t>
        </is>
      </c>
      <c r="D132" t="inlineStr">
        <is>
          <t>indeed</t>
        </is>
      </c>
      <c r="E132" t="inlineStr"/>
      <c r="F132" t="inlineStr"/>
      <c r="G132" t="inlineStr">
        <is>
          <t>Arlington, VA, US</t>
        </is>
      </c>
      <c r="H132" s="2" t="n">
        <v>45911</v>
      </c>
      <c r="I13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in-2d04d0bcab2694fb</t>
        </is>
      </c>
      <c r="B133" t="inlineStr">
        <is>
          <t>Sr. EHS Program Manager, Safety Learning and Development</t>
        </is>
      </c>
      <c r="C133" t="inlineStr">
        <is>
          <t>Amazon.com</t>
        </is>
      </c>
      <c r="D133" t="inlineStr">
        <is>
          <t>indeed</t>
        </is>
      </c>
      <c r="E133" t="inlineStr"/>
      <c r="F133" t="inlineStr"/>
      <c r="G133" t="inlineStr">
        <is>
          <t>Bellevue, WA, US</t>
        </is>
      </c>
      <c r="H133" s="2" t="n">
        <v>45910</v>
      </c>
      <c r="I133"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in-e4660fb31a256462</t>
        </is>
      </c>
      <c r="B134" t="inlineStr">
        <is>
          <t>Sr. EHS Program Manager, Safety Learning and Development</t>
        </is>
      </c>
      <c r="C134" t="inlineStr">
        <is>
          <t>Amazon.com</t>
        </is>
      </c>
      <c r="D134" t="inlineStr">
        <is>
          <t>indeed</t>
        </is>
      </c>
      <c r="E134" t="inlineStr"/>
      <c r="F134" t="inlineStr"/>
      <c r="G134" t="inlineStr">
        <is>
          <t>Nashville, TN, US</t>
        </is>
      </c>
      <c r="H134" s="2" t="n">
        <v>45910</v>
      </c>
      <c r="I134"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in-471cbc8c1528a7a8</t>
        </is>
      </c>
      <c r="B135" t="inlineStr">
        <is>
          <t>Sr. Product Manager, Sub-Same Day (SSD) - DOT, SSD Delivery Ops Tech</t>
        </is>
      </c>
      <c r="C135" t="inlineStr">
        <is>
          <t>Amazon.com</t>
        </is>
      </c>
      <c r="D135" t="inlineStr">
        <is>
          <t>indeed</t>
        </is>
      </c>
      <c r="E135" t="inlineStr"/>
      <c r="F135" t="inlineStr"/>
      <c r="G135" t="inlineStr">
        <is>
          <t>New York, NY, US</t>
        </is>
      </c>
      <c r="H135" s="2" t="n">
        <v>45876</v>
      </c>
      <c r="I135"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in-565da3076938028c</t>
        </is>
      </c>
      <c r="B136" t="inlineStr">
        <is>
          <t>Sr. Product Manager, Sub-Same Day (SSD) - DOT, SSD Delivery Ops Tech</t>
        </is>
      </c>
      <c r="C136" t="inlineStr">
        <is>
          <t>Amazon.com</t>
        </is>
      </c>
      <c r="D136" t="inlineStr">
        <is>
          <t>indeed</t>
        </is>
      </c>
      <c r="E136" t="inlineStr"/>
      <c r="F136" t="inlineStr"/>
      <c r="G136" t="inlineStr">
        <is>
          <t>Bellevue, WA, US</t>
        </is>
      </c>
      <c r="H136" s="2" t="n">
        <v>45876</v>
      </c>
      <c r="I136"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in-58a1620aaf31e356</t>
        </is>
      </c>
      <c r="B137" t="inlineStr">
        <is>
          <t>Sr. Product Manager, Sub-Same Day (SSD) - DOT, SSD Delivery Ops Tech</t>
        </is>
      </c>
      <c r="C137" t="inlineStr">
        <is>
          <t>Amazon.com</t>
        </is>
      </c>
      <c r="D137" t="inlineStr">
        <is>
          <t>indeed</t>
        </is>
      </c>
      <c r="E137" t="inlineStr"/>
      <c r="F137" t="inlineStr"/>
      <c r="G137" t="inlineStr">
        <is>
          <t>Nashville, TN, US</t>
        </is>
      </c>
      <c r="H137" s="2" t="n">
        <v>45876</v>
      </c>
      <c r="I137"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in-b68f0b3865861541</t>
        </is>
      </c>
      <c r="B138" t="inlineStr">
        <is>
          <t>Principal Product Manager - External Services, End User Computing</t>
        </is>
      </c>
      <c r="C138" t="inlineStr">
        <is>
          <t>Amazon Web Services</t>
        </is>
      </c>
      <c r="D138" t="inlineStr">
        <is>
          <t>indeed</t>
        </is>
      </c>
      <c r="E138" t="inlineStr"/>
      <c r="F138" t="inlineStr"/>
      <c r="G138" t="inlineStr">
        <is>
          <t>Seattle, WA, US</t>
        </is>
      </c>
      <c r="H138" s="2" t="n">
        <v>45876</v>
      </c>
      <c r="I138" t="inlineStr">
        <is>
          <t>**DESCRIPTION**
---------------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way the world works has changed with the workforce highly distributed and moving between home and office. It is important that corporate data remains secure no matter where it is accessed, which is a key reason we built Amazon Web Services End User Computing (EUC) so employees and contractors can securely access desktops, data, and application from anywhere on any device. Our business is growing immensely, and we are looking for product leaders to help us achieve the next level of scale. More information about Amazon End\- User Computing can be found here: https://aws.amazon.com/products/end\-user\-computing/.  
We are looking for a Principal Product Manager with the ability to think big and look around corners to build the functionality customers need to secure their websites and web\-based applications. the next generation of end\-user productivity products capitalizing on our desktop and application virtualization products. . You have a strong mix of product management, technology, and customer experience expertise, coupled with strategic vision, clarity of communication and proven execution of products from early concept through scaled growth. As the principal product manager, you will define will define product strategy, drive industry and customer research to deeply understand your customers to define differentiated functionality, and drive execution to meet those customer needs. You will work with an interdisciplinary team to drive key aspects of product definition, design, execution and delivery. We are looking for strong business owners who are comfortable sharing their vision with AWS senior leadership, but also working closely with engineering teams to dive deep into details to make ideas into reality. You should have demonstrated success in building strong business cases, managing high\-growth enterprise products, and driving customer success.  
This team is a good fit for you if:  
* You are sensitive to customer needs and interested in having a firsthand impact on Amazon’s global customer base
* You truly care about the business results of what you build, not just the elegance of the technology
* You care about data security and how you can reduce the chance of exfiltration
* You like to solve interesting technology problems
* You enjoy collaborating in a diverse team environment
* You are a passionate learner and motivated to take on new challenges.
* You want to have fun; surround yourself with a highly talented pool of engineers that like to solve complex problems, but also enjoy work life balance.
Key job responsibilities  
Create the product vision and strategy and align with key stakeholders.  
Serve as the voice of the customer to prioritize features based on solving the largest customer needs.  
Manage the entire product life cycle from strategic planning to tactical execution.  
Partner with engineering teams to deliver on the product roadmap.  
Establish goals and review metrics to measure the success and identify areas of improvement.  
Define and maintain a product roadmap with inputs from all stakeholders.  
Provide effective, executive\-level written documents for new features that work backwards from the customer.  
Advocate and execute pricing models and naming for new products or features.**BASIC QUALIFICATIONS**
------------------------
* 7\+ years of working as a Technical Product Manager experience
* 7\+ years of technical (software development, network development, IT, other related) experience
**PREFERRED QUALIFICATIONS**
----------------------------
* Can dissect complicated problems, simplify experiences and innovate on behalf of our customers
* Have an entrepreneurial spirit and be able to work independently and effectively in a results\-oriented environment
* Excellent written communication skills
* Demonstrated history of successfully bringing novel products to market, such as those that integrate new technology, branch into new consumer segments or other market segments, or start new categories
* Demonstrated ability to champion the voice of other stakeholders in your products
* Strong team\-orientation with proven track record of taking ownership and delivering results
* Have the ability to communicate complex technical issues simply and convincingly to a wide range of audiences
* Demonstrated experience in go\-to\-market inclusive of pricing and packaging of solutions
* Strong analytic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$163,000/year in our lowest geographic market up to $281,800/year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in-3d455a5e3834403e</t>
        </is>
      </c>
      <c r="B139" t="inlineStr">
        <is>
          <t>Principal Product Manager - External Services, End User Computing</t>
        </is>
      </c>
      <c r="C139" t="inlineStr">
        <is>
          <t>Amazon Web Services</t>
        </is>
      </c>
      <c r="D139" t="inlineStr">
        <is>
          <t>indeed</t>
        </is>
      </c>
      <c r="E139" t="inlineStr"/>
      <c r="F139" t="inlineStr"/>
      <c r="G139" t="inlineStr">
        <is>
          <t>Sunnyvale, CA, US</t>
        </is>
      </c>
      <c r="H139" s="2" t="n">
        <v>45876</v>
      </c>
      <c r="I139" t="inlineStr">
        <is>
          <t>**DESCRIPTION**
---------------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way the world works has changed with the workforce highly distributed and moving between home and office. It is important that corporate data remains secure no matter where it is accessed, which is a key reason we built Amazon Web Services End User Computing (EUC) so employees and contractors can securely access desktops, data, and application from anywhere on any device. Our business is growing immensely, and we are looking for product leaders to help us achieve the next level of scale. More information about Amazon End\- User Computing can be found here: https://aws.amazon.com/products/end\-user\-computing/.  
We are looking for a Principal Product Manager with the ability to think big and look around corners to build the functionality customers need to secure their websites and web\-based applications. the next generation of end\-user productivity products capitalizing on our desktop and application virtualization products. . You have a strong mix of product management, technology, and customer experience expertise, coupled with strategic vision, clarity of communication and proven execution of products from early concept through scaled growth. As the principal product manager, you will define will define product strategy, drive industry and customer research to deeply understand your customers to define differentiated functionality, and drive execution to meet those customer needs. You will work with an interdisciplinary team to drive key aspects of product definition, design, execution and delivery. We are looking for strong business owners who are comfortable sharing their vision with AWS senior leadership, but also working closely with engineering teams to dive deep into details to make ideas into reality. You should have demonstrated success in building strong business cases, managing high\-growth enterprise products, and driving customer success.  
This team is a good fit for you if:  
* You are sensitive to customer needs and interested in having a firsthand impact on Amazon’s global customer base
* You truly care about the business results of what you build, not just the elegance of the technology
* You care about data security and how you can reduce the chance of exfiltration
* You like to solve interesting technology problems
* You enjoy collaborating in a diverse team environment
* You are a passionate learner and motivated to take on new challenges.
* You want to have fun; surround yourself with a highly talented pool of engineers that like to solve complex problems, but also enjoy work life balance.
Key job responsibilities  
Create the product vision and strategy and align with key stakeholders.  
Serve as the voice of the customer to prioritize features based on solving the largest customer needs.  
Manage the entire product life cycle from strategic planning to tactical execution.  
Partner with engineering teams to deliver on the product roadmap.  
Establish goals and review metrics to measure the success and identify areas of improvement.  
Define and maintain a product roadmap with inputs from all stakeholders.  
Provide effective, executive\-level written documents for new features that work backwards from the customer.  
Advocate and execute pricing models and naming for new products or features.**BASIC QUALIFICATIONS**
------------------------
* 7\+ years of working as a Technical Product Manager experience
* 7\+ years of technical (software development, network development, IT, other related) experience
**PREFERRED QUALIFICATIONS**
----------------------------
* Can dissect complicated problems, simplify experiences and innovate on behalf of our customers
* Have an entrepreneurial spirit and be able to work independently and effectively in a results\-oriented environment
* Excellent written communication skills
* Demonstrated history of successfully bringing novel products to market, such as those that integrate new technology, branch into new consumer segments or other market segments, or start new categories
* Demonstrated ability to champion the voice of other stakeholders in your products
* Strong team\-orientation with proven track record of taking ownership and delivering results
* Have the ability to communicate complex technical issues simply and convincingly to a wide range of audiences
* Demonstrated experience in go\-to\-market inclusive of pricing and packaging of solutions
* Strong analytic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$163,000/year in our lowest geographic market up to $281,800/year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in-c5516261ce2dfe5d</t>
        </is>
      </c>
      <c r="B140" t="inlineStr">
        <is>
          <t>Sr. Product Manager Technical, Deal Tooling &amp; Insights, Strategic Customer Engagements</t>
        </is>
      </c>
      <c r="C140" t="inlineStr">
        <is>
          <t>Amazon Web Services</t>
        </is>
      </c>
      <c r="D140" t="inlineStr">
        <is>
          <t>indeed</t>
        </is>
      </c>
      <c r="E140" t="inlineStr"/>
      <c r="F140" t="inlineStr"/>
      <c r="G140" t="inlineStr">
        <is>
          <t>Seattle, WA, US</t>
        </is>
      </c>
      <c r="H140" s="2" t="n">
        <v>45994</v>
      </c>
      <c r="I14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1">
      <c r="A141" t="inlineStr">
        <is>
          <t>in-acec1b3d799acf99</t>
        </is>
      </c>
      <c r="B141" t="inlineStr">
        <is>
          <t>Sr. Product Manager Technical, Deal Tooling &amp; Insights, Strategic Customer Engagements</t>
        </is>
      </c>
      <c r="C141" t="inlineStr">
        <is>
          <t>Amazon Web Services</t>
        </is>
      </c>
      <c r="D141" t="inlineStr">
        <is>
          <t>indeed</t>
        </is>
      </c>
      <c r="E141" t="inlineStr"/>
      <c r="F141" t="inlineStr"/>
      <c r="G141" t="inlineStr">
        <is>
          <t>New York, NY, US</t>
        </is>
      </c>
      <c r="H141" s="2" t="n">
        <v>45994</v>
      </c>
      <c r="I14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2">
      <c r="A142" t="inlineStr">
        <is>
          <t>in-bc67214331d2713c</t>
        </is>
      </c>
      <c r="B142" t="inlineStr">
        <is>
          <t>Sr. Product Manager Technical, Deal Tooling &amp; Insights, Strategic Customer Engagements</t>
        </is>
      </c>
      <c r="C142" t="inlineStr">
        <is>
          <t>Amazon Web Services</t>
        </is>
      </c>
      <c r="D142" t="inlineStr">
        <is>
          <t>indeed</t>
        </is>
      </c>
      <c r="E142" t="inlineStr"/>
      <c r="F142" t="inlineStr"/>
      <c r="G142" t="inlineStr">
        <is>
          <t>Austin, TX, US</t>
        </is>
      </c>
      <c r="H142" s="2" t="n">
        <v>45994</v>
      </c>
      <c r="I14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3">
      <c r="A143" t="inlineStr">
        <is>
          <t>in-6db6c2c53ac2439c</t>
        </is>
      </c>
      <c r="B143" t="inlineStr">
        <is>
          <t>Sr. Product Manager Technical, Deal Tooling &amp; Insights, Strategic Customer Engagements</t>
        </is>
      </c>
      <c r="C143" t="inlineStr">
        <is>
          <t>Amazon Web Services</t>
        </is>
      </c>
      <c r="D143" t="inlineStr">
        <is>
          <t>indeed</t>
        </is>
      </c>
      <c r="E143" t="inlineStr"/>
      <c r="F143" t="inlineStr"/>
      <c r="G143" t="inlineStr">
        <is>
          <t>Dallas, TX, US</t>
        </is>
      </c>
      <c r="H143" s="2" t="n">
        <v>45994</v>
      </c>
      <c r="I14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4">
      <c r="A144" t="inlineStr">
        <is>
          <t>in-4177ca29b8adab56</t>
        </is>
      </c>
      <c r="B144" t="inlineStr">
        <is>
          <t>Sr. Product Manager Technical, Deal Tooling &amp; Insights, Strategic Customer Engagements</t>
        </is>
      </c>
      <c r="C144" t="inlineStr">
        <is>
          <t>Amazon Web Services</t>
        </is>
      </c>
      <c r="D144" t="inlineStr">
        <is>
          <t>indeed</t>
        </is>
      </c>
      <c r="E144" t="inlineStr"/>
      <c r="F144" t="inlineStr"/>
      <c r="G144" t="inlineStr">
        <is>
          <t>Herndon, VA, US</t>
        </is>
      </c>
      <c r="H144" s="2" t="n">
        <v>45994</v>
      </c>
      <c r="I14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5">
      <c r="A145" t="inlineStr">
        <is>
          <t>in-0f3d6a275765fd70</t>
        </is>
      </c>
      <c r="B145" t="inlineStr">
        <is>
          <t>Sr. Product Manager Technical, Deal Tooling &amp; Insights, Strategic Customer Engagements</t>
        </is>
      </c>
      <c r="C145" t="inlineStr">
        <is>
          <t>Amazon Web Services</t>
        </is>
      </c>
      <c r="D145" t="inlineStr">
        <is>
          <t>indeed</t>
        </is>
      </c>
      <c r="E145" t="inlineStr"/>
      <c r="F145" t="inlineStr"/>
      <c r="G145" t="inlineStr">
        <is>
          <t>Arlington, VA, US</t>
        </is>
      </c>
      <c r="H145" s="2" t="n">
        <v>45994</v>
      </c>
      <c r="I14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6">
      <c r="A146" t="inlineStr">
        <is>
          <t>in-c83b2e958a22d03a</t>
        </is>
      </c>
      <c r="B146" t="inlineStr">
        <is>
          <t>Sr. Product Manager - Tech, Workforce Solutions - Talent Mobility</t>
        </is>
      </c>
      <c r="C146" t="inlineStr">
        <is>
          <t>Amazon.com</t>
        </is>
      </c>
      <c r="D146" t="inlineStr">
        <is>
          <t>indeed</t>
        </is>
      </c>
      <c r="E146" t="inlineStr"/>
      <c r="F146" t="inlineStr"/>
      <c r="G146" t="inlineStr">
        <is>
          <t>Arlington, VA, US</t>
        </is>
      </c>
      <c r="H146" s="2" t="n">
        <v>45867</v>
      </c>
      <c r="I146"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47">
      <c r="A147" t="inlineStr">
        <is>
          <t>in-46f9fd6dae4b176e</t>
        </is>
      </c>
      <c r="B147" t="inlineStr">
        <is>
          <t>Sr. Product Manager - Tech, Workforce Solutions - Talent Mobility</t>
        </is>
      </c>
      <c r="C147" t="inlineStr">
        <is>
          <t>Amazon.com</t>
        </is>
      </c>
      <c r="D147" t="inlineStr">
        <is>
          <t>indeed</t>
        </is>
      </c>
      <c r="E147" t="inlineStr"/>
      <c r="F147" t="inlineStr"/>
      <c r="G147" t="inlineStr">
        <is>
          <t>Seattle, WA, US</t>
        </is>
      </c>
      <c r="H147" s="2" t="n">
        <v>45867</v>
      </c>
      <c r="I147"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48">
      <c r="A148" t="inlineStr">
        <is>
          <t>in-b25df1429491434f</t>
        </is>
      </c>
      <c r="B148" t="inlineStr">
        <is>
          <t>Sr. Product Manager - Tech, Workforce Solutions - Talent Mobility</t>
        </is>
      </c>
      <c r="C148" t="inlineStr">
        <is>
          <t>Amazon.com</t>
        </is>
      </c>
      <c r="D148" t="inlineStr">
        <is>
          <t>indeed</t>
        </is>
      </c>
      <c r="E148" t="inlineStr"/>
      <c r="F148" t="inlineStr"/>
      <c r="G148" t="inlineStr">
        <is>
          <t>Nashville, TN, US</t>
        </is>
      </c>
      <c r="H148" s="2" t="n">
        <v>45867</v>
      </c>
      <c r="I148"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49">
      <c r="A149" t="inlineStr">
        <is>
          <t>in-204923a27a2668c8</t>
        </is>
      </c>
      <c r="B149" t="inlineStr">
        <is>
          <t>Sr. Product Manager - Tech, Workforce Solutions - Talent Mobility</t>
        </is>
      </c>
      <c r="C149" t="inlineStr">
        <is>
          <t>Amazon.com</t>
        </is>
      </c>
      <c r="D149" t="inlineStr">
        <is>
          <t>indeed</t>
        </is>
      </c>
      <c r="E149" t="inlineStr"/>
      <c r="F149" t="inlineStr"/>
      <c r="G149" t="inlineStr">
        <is>
          <t>Tempe, AZ, US</t>
        </is>
      </c>
      <c r="H149" s="2" t="n">
        <v>45867</v>
      </c>
      <c r="I149"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50">
      <c r="A150" t="inlineStr">
        <is>
          <t>in-6e951fe120515b60</t>
        </is>
      </c>
      <c r="B150" t="inlineStr">
        <is>
          <t>Sr. Product Manager - Tech, Workforce Solutions - Talent Mobility</t>
        </is>
      </c>
      <c r="C150" t="inlineStr">
        <is>
          <t>Amazon.com</t>
        </is>
      </c>
      <c r="D150" t="inlineStr">
        <is>
          <t>indeed</t>
        </is>
      </c>
      <c r="E150" t="inlineStr"/>
      <c r="F150" t="inlineStr"/>
      <c r="G150" t="inlineStr">
        <is>
          <t>New York, NY, US</t>
        </is>
      </c>
      <c r="H150" s="2" t="n">
        <v>45867</v>
      </c>
      <c r="I150"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51">
      <c r="A151" t="inlineStr">
        <is>
          <t>in-58578375b14daf20</t>
        </is>
      </c>
      <c r="B151" t="inlineStr">
        <is>
          <t>Sr. Product Manager - Tech, WHS Data-Tech</t>
        </is>
      </c>
      <c r="C151" t="inlineStr">
        <is>
          <t>Amazon.com</t>
        </is>
      </c>
      <c r="D151" t="inlineStr">
        <is>
          <t>indeed</t>
        </is>
      </c>
      <c r="E151" t="inlineStr"/>
      <c r="F151" t="inlineStr"/>
      <c r="G151" t="inlineStr">
        <is>
          <t>Nashville, TN, US</t>
        </is>
      </c>
      <c r="H151" s="2" t="n">
        <v>45836</v>
      </c>
      <c r="I151"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52">
      <c r="A152" t="inlineStr">
        <is>
          <t>in-0de98e04817c5e91</t>
        </is>
      </c>
      <c r="B152" t="inlineStr">
        <is>
          <t>Sr. Product Manager - Tech, WHS Data-Tech</t>
        </is>
      </c>
      <c r="C152" t="inlineStr">
        <is>
          <t>Amazon.com</t>
        </is>
      </c>
      <c r="D152" t="inlineStr">
        <is>
          <t>indeed</t>
        </is>
      </c>
      <c r="E152" t="inlineStr"/>
      <c r="F152" t="inlineStr"/>
      <c r="G152" t="inlineStr">
        <is>
          <t>Bellevue, WA, US</t>
        </is>
      </c>
      <c r="H152" s="2" t="n">
        <v>45836</v>
      </c>
      <c r="I152"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53">
      <c r="A153" t="inlineStr">
        <is>
          <t>in-e771856815a99231</t>
        </is>
      </c>
      <c r="B153" t="inlineStr">
        <is>
          <t>Sr. Product Manager - Tech, WHS Data-Tech</t>
        </is>
      </c>
      <c r="C153" t="inlineStr">
        <is>
          <t>Amazon.com</t>
        </is>
      </c>
      <c r="D153" t="inlineStr">
        <is>
          <t>indeed</t>
        </is>
      </c>
      <c r="E153" t="inlineStr"/>
      <c r="F153" t="inlineStr"/>
      <c r="G153" t="inlineStr">
        <is>
          <t>Arlington, VA, US</t>
        </is>
      </c>
      <c r="H153" s="2" t="n">
        <v>45836</v>
      </c>
      <c r="I153"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54">
      <c r="A154" t="inlineStr">
        <is>
          <t>in-efe74a04e6e410e1</t>
        </is>
      </c>
      <c r="B154" t="inlineStr">
        <is>
          <t>Sr. Product Manager-Technical, World Wide Operations Security Tech (WWOS Tech)</t>
        </is>
      </c>
      <c r="C154" t="inlineStr">
        <is>
          <t>Amazon.com</t>
        </is>
      </c>
      <c r="D154" t="inlineStr">
        <is>
          <t>indeed</t>
        </is>
      </c>
      <c r="E154" t="inlineStr"/>
      <c r="F154" t="inlineStr"/>
      <c r="G154" t="inlineStr">
        <is>
          <t>Seattle, WA, US</t>
        </is>
      </c>
      <c r="H154" s="2" t="n">
        <v>46008</v>
      </c>
      <c r="I154"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155">
      <c r="A155" t="inlineStr">
        <is>
          <t>in-dd8942393501c40e</t>
        </is>
      </c>
      <c r="B155" t="inlineStr">
        <is>
          <t>Sr. Product Manager-Technical, World Wide Operations Security Tech (WWOS Tech)</t>
        </is>
      </c>
      <c r="C155" t="inlineStr">
        <is>
          <t>Amazon.com</t>
        </is>
      </c>
      <c r="D155" t="inlineStr">
        <is>
          <t>indeed</t>
        </is>
      </c>
      <c r="E155" t="inlineStr"/>
      <c r="F155" t="inlineStr"/>
      <c r="G155" t="inlineStr">
        <is>
          <t>Austin, TX, US</t>
        </is>
      </c>
      <c r="H155" s="2" t="n">
        <v>46008</v>
      </c>
      <c r="I155"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156">
      <c r="A156" t="inlineStr">
        <is>
          <t>in-0c965562ee691c4c</t>
        </is>
      </c>
      <c r="B156" t="inlineStr">
        <is>
          <t>Principal Product Manager - Tech, Recommender Systems, Prime Video Personalization &amp; Discovery</t>
        </is>
      </c>
      <c r="C156" t="inlineStr">
        <is>
          <t>Amazon.com</t>
        </is>
      </c>
      <c r="D156" t="inlineStr">
        <is>
          <t>indeed</t>
        </is>
      </c>
      <c r="E156" t="inlineStr"/>
      <c r="F156" t="inlineStr"/>
      <c r="G156" t="inlineStr">
        <is>
          <t>Washington, DC, US</t>
        </is>
      </c>
      <c r="H156" s="2" t="n">
        <v>45753</v>
      </c>
      <c r="I1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in-79cdeba4e2df8017</t>
        </is>
      </c>
      <c r="B157" t="inlineStr">
        <is>
          <t>Principal Product Manager - Tech, Recommender Systems, Prime Video Personalization &amp; Discovery</t>
        </is>
      </c>
      <c r="C157" t="inlineStr">
        <is>
          <t>Amazon.com</t>
        </is>
      </c>
      <c r="D157" t="inlineStr">
        <is>
          <t>indeed</t>
        </is>
      </c>
      <c r="E157" t="inlineStr"/>
      <c r="F157" t="inlineStr"/>
      <c r="G157" t="inlineStr">
        <is>
          <t>Seattle, WA, US</t>
        </is>
      </c>
      <c r="H157" s="2" t="n">
        <v>45753</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in-3f40fe97caf4a441</t>
        </is>
      </c>
      <c r="B158" t="inlineStr">
        <is>
          <t>Program Manager II, Relo Ops Integration</t>
        </is>
      </c>
      <c r="C158" t="inlineStr">
        <is>
          <t>Amazon.com</t>
        </is>
      </c>
      <c r="D158" t="inlineStr">
        <is>
          <t>indeed</t>
        </is>
      </c>
      <c r="E158" t="inlineStr"/>
      <c r="F158" t="inlineStr"/>
      <c r="G158" t="inlineStr">
        <is>
          <t>Bellevue, WA, US</t>
        </is>
      </c>
      <c r="H158" s="2" t="n">
        <v>46035</v>
      </c>
      <c r="I158"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59">
      <c r="A159" t="inlineStr">
        <is>
          <t>in-810a8dbb10a1defc</t>
        </is>
      </c>
      <c r="B159" t="inlineStr">
        <is>
          <t>Program Manager II, Relo Ops Integration</t>
        </is>
      </c>
      <c r="C159" t="inlineStr">
        <is>
          <t>Amazon.com</t>
        </is>
      </c>
      <c r="D159" t="inlineStr">
        <is>
          <t>indeed</t>
        </is>
      </c>
      <c r="E159" t="inlineStr"/>
      <c r="F159" t="inlineStr"/>
      <c r="G159" t="inlineStr">
        <is>
          <t>Phoenix, AZ, US</t>
        </is>
      </c>
      <c r="H159" s="2" t="n">
        <v>46035</v>
      </c>
      <c r="I159"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60">
      <c r="A160" t="inlineStr">
        <is>
          <t>in-49b80fbae425527f</t>
        </is>
      </c>
      <c r="B160" t="inlineStr">
        <is>
          <t>Program Manager II, Relo Ops Integration</t>
        </is>
      </c>
      <c r="C160" t="inlineStr">
        <is>
          <t>Amazon.com</t>
        </is>
      </c>
      <c r="D160" t="inlineStr">
        <is>
          <t>indeed</t>
        </is>
      </c>
      <c r="E160" t="inlineStr"/>
      <c r="F160" t="inlineStr"/>
      <c r="G160" t="inlineStr">
        <is>
          <t>Louisville, KY, US</t>
        </is>
      </c>
      <c r="H160" s="2" t="n">
        <v>46035</v>
      </c>
      <c r="I160"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61">
      <c r="A161" t="inlineStr">
        <is>
          <t>in-ec8a4d5e963f71ab</t>
        </is>
      </c>
      <c r="B161" t="inlineStr">
        <is>
          <t>Program Manager II, Relo Ops Integration</t>
        </is>
      </c>
      <c r="C161" t="inlineStr">
        <is>
          <t>Amazon.com</t>
        </is>
      </c>
      <c r="D161" t="inlineStr">
        <is>
          <t>indeed</t>
        </is>
      </c>
      <c r="E161" t="inlineStr"/>
      <c r="F161" t="inlineStr"/>
      <c r="G161" t="inlineStr">
        <is>
          <t>Dallas, TX, US</t>
        </is>
      </c>
      <c r="H161" s="2" t="n">
        <v>46035</v>
      </c>
      <c r="I161"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62">
      <c r="A162" t="inlineStr">
        <is>
          <t>in-479a4f944ad5bfdf</t>
        </is>
      </c>
      <c r="B162" t="inlineStr">
        <is>
          <t>Program Manager II, Relo Ops Integration</t>
        </is>
      </c>
      <c r="C162" t="inlineStr">
        <is>
          <t>Amazon.com</t>
        </is>
      </c>
      <c r="D162" t="inlineStr">
        <is>
          <t>indeed</t>
        </is>
      </c>
      <c r="E162" t="inlineStr"/>
      <c r="F162" t="inlineStr"/>
      <c r="G162" t="inlineStr">
        <is>
          <t>Nashville, TN, US</t>
        </is>
      </c>
      <c r="H162" s="2" t="n">
        <v>46035</v>
      </c>
      <c r="I162"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63">
      <c r="A163" t="inlineStr">
        <is>
          <t>in-4c6e274ec8390d4d</t>
        </is>
      </c>
      <c r="B163" t="inlineStr">
        <is>
          <t>Program Manager, ReLo Ops Excellence, Relo Ops Integration</t>
        </is>
      </c>
      <c r="C163" t="inlineStr">
        <is>
          <t>Amazon.com</t>
        </is>
      </c>
      <c r="D163" t="inlineStr">
        <is>
          <t>indeed</t>
        </is>
      </c>
      <c r="E163" t="inlineStr"/>
      <c r="F163" t="inlineStr"/>
      <c r="G163" t="inlineStr">
        <is>
          <t>Bellevue, WA, US</t>
        </is>
      </c>
      <c r="H163" s="2" t="n">
        <v>46020</v>
      </c>
      <c r="I163"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64">
      <c r="A164" t="inlineStr">
        <is>
          <t>in-831354dbf4543b6e</t>
        </is>
      </c>
      <c r="B164" t="inlineStr">
        <is>
          <t>Program Manager, ReLo Ops Excellence, Relo Ops Integration</t>
        </is>
      </c>
      <c r="C164" t="inlineStr">
        <is>
          <t>Amazon.com</t>
        </is>
      </c>
      <c r="D164" t="inlineStr">
        <is>
          <t>indeed</t>
        </is>
      </c>
      <c r="E164" t="inlineStr"/>
      <c r="F164" t="inlineStr"/>
      <c r="G164" t="inlineStr">
        <is>
          <t>Phoenix, AZ, US</t>
        </is>
      </c>
      <c r="H164" s="2" t="n">
        <v>46020</v>
      </c>
      <c r="I164"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65">
      <c r="A165" t="inlineStr">
        <is>
          <t>in-27837a9ca29759ef</t>
        </is>
      </c>
      <c r="B165" t="inlineStr">
        <is>
          <t>Program Manager, ReLo Ops Excellence, Relo Ops Integration</t>
        </is>
      </c>
      <c r="C165" t="inlineStr">
        <is>
          <t>Amazon.com</t>
        </is>
      </c>
      <c r="D165" t="inlineStr">
        <is>
          <t>indeed</t>
        </is>
      </c>
      <c r="E165" t="inlineStr"/>
      <c r="F165" t="inlineStr"/>
      <c r="G165" t="inlineStr">
        <is>
          <t>Dallas, TX, US</t>
        </is>
      </c>
      <c r="H165" s="2" t="n">
        <v>46020</v>
      </c>
      <c r="I165"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66">
      <c r="A166" t="inlineStr">
        <is>
          <t>in-5377795dd07ca54f</t>
        </is>
      </c>
      <c r="B166" t="inlineStr">
        <is>
          <t>Program Manager, ReLo Ops Excellence, Relo Ops Integration</t>
        </is>
      </c>
      <c r="C166" t="inlineStr">
        <is>
          <t>Amazon.com</t>
        </is>
      </c>
      <c r="D166" t="inlineStr">
        <is>
          <t>indeed</t>
        </is>
      </c>
      <c r="E166" t="inlineStr"/>
      <c r="F166" t="inlineStr"/>
      <c r="G166" t="inlineStr">
        <is>
          <t>Nashville, TN, US</t>
        </is>
      </c>
      <c r="H166" s="2" t="n">
        <v>46020</v>
      </c>
      <c r="I166"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67">
      <c r="A167" t="inlineStr">
        <is>
          <t>in-cf03bba0a0e88919</t>
        </is>
      </c>
      <c r="B167" t="inlineStr">
        <is>
          <t>Principal Product Manager Technical, Creative X - RAPID</t>
        </is>
      </c>
      <c r="C167" t="inlineStr">
        <is>
          <t>Amazon.com</t>
        </is>
      </c>
      <c r="D167" t="inlineStr">
        <is>
          <t>indeed</t>
        </is>
      </c>
      <c r="E167" t="inlineStr"/>
      <c r="F167" t="inlineStr"/>
      <c r="G167" t="inlineStr">
        <is>
          <t>Seattle, WA, US</t>
        </is>
      </c>
      <c r="H167" s="2" t="n">
        <v>45939</v>
      </c>
      <c r="I167"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168">
      <c r="A168" t="inlineStr">
        <is>
          <t>in-e395d4ac430919ad</t>
        </is>
      </c>
      <c r="B168" t="inlineStr">
        <is>
          <t>Principal Product Manager Technical, Creative X - RAPID</t>
        </is>
      </c>
      <c r="C168" t="inlineStr">
        <is>
          <t>Amazon.com</t>
        </is>
      </c>
      <c r="D168" t="inlineStr">
        <is>
          <t>indeed</t>
        </is>
      </c>
      <c r="E168" t="inlineStr"/>
      <c r="F168" t="inlineStr"/>
      <c r="G168" t="inlineStr">
        <is>
          <t>New York, NY, US</t>
        </is>
      </c>
      <c r="H168" s="2" t="n">
        <v>45939</v>
      </c>
      <c r="I168"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169">
      <c r="A169" t="inlineStr">
        <is>
          <t>in-6141b228d98666f9</t>
        </is>
      </c>
      <c r="B169" t="inlineStr">
        <is>
          <t>Afterschool Program Manager</t>
        </is>
      </c>
      <c r="C169" t="inlineStr">
        <is>
          <t>I Am My Brother's Keeper Community Nonprofit Organization</t>
        </is>
      </c>
      <c r="D169" t="inlineStr">
        <is>
          <t>indeed</t>
        </is>
      </c>
      <c r="E169">
        <f>HYPERLINK("https://www.indeed.com/viewjob?jk=6141b228d98666f9", "https://www.indeed.com/viewjob?jk=6141b228d98666f9")</f>
        <v/>
      </c>
      <c r="F169">
        <f>HYPERLINK("http://www.indeed.com/job/afterschool-program-manager-6141b228d98666f9", "http://www.indeed.com/job/afterschool-program-manager-6141b228d98666f9")</f>
        <v/>
      </c>
      <c r="G169" t="inlineStr">
        <is>
          <t>Auburn, AL, US</t>
        </is>
      </c>
      <c r="H169" s="3" t="n">
        <v>46060</v>
      </c>
      <c r="I169" t="inlineStr">
        <is>
          <t>**About us**
I Am My Brother's Keeper (IAMBK) is a nonprofit organization that provides an afterschool program for youth and families (grades K and up) that enable them to become self\-supportive and thrive in their homes, schools, and communities. The afterschool program operates daily from 2pm \- 6:00 pm and includes academic tutoring, life skills management, creative dance, visual arts, STEM, group counseling, and continuous professional development for staff.
We are looking for enthusiastic and self\-motivated individuals who enjoy helping youth succeed. The successful candidate for this position is punctual, creative, and committed.
Responsibilities:
* Help to facilitate daily afterschool programming
* Assess student progress and create activities that help them improve
* Communicate with parents and the program director regarding ongoing needs for the students
Job Type: Part\-time
Pay: From $10\.00 per hour
Work Location: In person</t>
        </is>
      </c>
    </row>
    <row r="170">
      <c r="A170" t="inlineStr">
        <is>
          <t>in-cf3f884d476d4381</t>
        </is>
      </c>
      <c r="B170" t="inlineStr">
        <is>
          <t>Volunteer Program Manager</t>
        </is>
      </c>
      <c r="C170" t="inlineStr">
        <is>
          <t>Ronald McDonald House Charities of Greater Chattanooga</t>
        </is>
      </c>
      <c r="D170" t="inlineStr">
        <is>
          <t>indeed</t>
        </is>
      </c>
      <c r="E170">
        <f>HYPERLINK("https://www.indeed.com/viewjob?jk=cf3f884d476d4381", "https://www.indeed.com/viewjob?jk=cf3f884d476d4381")</f>
        <v/>
      </c>
      <c r="F170">
        <f>HYPERLINK("http://www.indeed.com/job/volunteer-program-manager-cf3f884d476d4381", "http://www.indeed.com/job/volunteer-program-manager-cf3f884d476d4381")</f>
        <v/>
      </c>
      <c r="G170" t="inlineStr">
        <is>
          <t>Chattanooga, TN, US</t>
        </is>
      </c>
      <c r="H170" s="3" t="n">
        <v>46060</v>
      </c>
      <c r="I170" t="inlineStr">
        <is>
          <t>**Job Summary**  
We are seeking a Volunteer Program Manager who is a builder, connector, and relationship\-driven leader. This is not a maintenance role—it is a growth role. You’ll help expand our active volunteer base from approximately 300 volunteers while strengthening retention, recognition, and volunteer experience across all programs.
You will be the primary face of RMHC for volunteers and volunteer groups, working closely with the Chief Engagement \&amp; Volunteer Officer to shape strategy, launch new initiatives (including a volunteer rewards and recognition program), and continuously improve how volunteers experience our mission.
**Responsibilities**
* Responsibilities:
Volunteer Recruitment \&amp; Growth
* Lead and execute a strategic volunteer recruitment plan to grow and diversify our volunteer base.
* Serve as the primary point of contact and ambassador for current volunteers, volunteer groups and community partners.
Volunteer Experience \&amp; Retention
* Design and deliver a volunteer experience where individuals feel welcomed, supported, and connected to our staff and mission.
* Partner with the Chief Engagement \&amp; Volunteer Officer to develop and implement volunteer retention strategies.
Training, Systems \&amp; Operations
* Coordinate onboarding, training, and continuing education for volunteers, ensuring preparedness and confidence.
* Maintain accurate volunteer records, compliance documentation, and a robust volunteer database.
Collaboration \&amp; Leadership
* Work collaboratively with program and Erlanger staff to identify volunteer needs and design meaningful volunteer roles.
* Provide operational support in the Family Room (inside Erlanger) when volunteer coverage gaps arise, ensuring continuity of service and a welcoming environment for families.
* Participate in a rotating on\-call holiday schedule to support program operations as needed.
**Requirements:**
Knowledge, Skills and Abilities
* Minimum Associate's degree with a Bachelor's strongly preferred
* Proven experience in volunteer coordination, volunteer management, community engagement, or a related field.
* A self\-starter mindset with the ability to work independently and take initiative.
* A passion for community service, hospitality, and social impact.
NOTE: This is not necessarily an exhaustive list of all responsibilities, skills, duties, requirements, efforts or working conditions associated with the position. While this is intended to be an accurate reflection of the current position, the Board of Directors reserves the right to revise the position as needed. ruiting skills with a track record of building successful volunteer programs through strategic outreach efforts. Join us as a Volunteer Program Manager to make a meaningful difference while advancing your leadership capabilities!
Pay: $44,229\.84 \- $53,266\.05 per year
Benefits:
* 401(k)
* Dental insurance
* Health insurance
* Paid time off
* Vision insurance
Work Location: In person</t>
        </is>
      </c>
    </row>
    <row r="171">
      <c r="A171" t="inlineStr">
        <is>
          <t>in-7242a6443f7672ce</t>
        </is>
      </c>
      <c r="B171" t="inlineStr">
        <is>
          <t>Pulmonary Program Manager (CRT or RRT)</t>
        </is>
      </c>
      <c r="C171" t="inlineStr">
        <is>
          <t>Horizon Post Acute and Rehabilitation Center</t>
        </is>
      </c>
      <c r="D171" t="inlineStr">
        <is>
          <t>indeed</t>
        </is>
      </c>
      <c r="E171">
        <f>HYPERLINK("https://www.indeed.com/viewjob?jk=7242a6443f7672ce", "https://www.indeed.com/viewjob?jk=7242a6443f7672ce")</f>
        <v/>
      </c>
      <c r="F171">
        <f>HYPERLINK("https://jobs.apploi.com/view/bab47bfbbf2?utm_campaign=integration&amp;utm_medium=job-board-feed&amp;utm_source=indeed-apply-feed", "https://jobs.apploi.com/view/bab47bfbbf2?utm_campaign=integration&amp;utm_medium=job-board-feed&amp;utm_source=indeed-apply-feed")</f>
        <v/>
      </c>
      <c r="G171" t="inlineStr">
        <is>
          <t>Wichita, KS, US</t>
        </is>
      </c>
      <c r="H171" s="3" t="n">
        <v>46060</v>
      </c>
      <c r="I171" t="inlineStr">
        <is>
          <t>**Respiratory Therapist, We need You**!
**Our Pulmonary Program Coordinatory is a Managment Level position that leads a team of Respiratory Therapist to extend are to our long term and short term residents!**
Our recently aquired skilled nursing facility, is launching a pulmonary program that caters to our residents and future residents’ pulmonary and cardiac needs. Our pulmonary program has had a highly effective impact on preventing re\-hospitilazation, maintaining or improving ADLs, and reducing risk of pulmonary infection. Policies and processes have been created so we can have a proactive focus on bettering the lives we serve. The ideal candidate will be a Certified or Registered Respiratory Therapist, licensed in the State of Kansas, with a love of servant leadership. Alongside the Director of Nursing and Infection Preventionist, the RT will execute treatments and interventions necessary to create an atmosphere of health and wellbeing establishing tangible goals and tracking the progress of those we steward! Apply today!
Hours are Monday through Friday, 8 hour days with on call availability. Pay ranges from $45 to $50 per hour based on experience
**This position is for our Pulmonary Program Manager, which leads a team of Respiratory Therapist and is responsible for providing respiratory care services in accordance with specific physician’s orders, department policies and procedures, and state and federal guidelines.**
**Main Responsibilities:**
Maintains knowledge of the varying aspects of all things pulmonary as allowed within the therapist scope and licensure of the long\-term care facility.
Administers respiratory therapy treatments and interventions, understands the purpose of each and the possible side effects associated with each.
Able to assess patient pain interfering with optimal level of function or participation in rehabilitation. Makes appropriate nursing contact for intervention.
Follows departmental equipment sterilization procedures and maintains effective infection control.
Documents all pertinent data on the patient’s medical record following completion of any extension of the Pulmonary Program
Demonstrates knowledge and understanding of the differences in techniques and treatment modalities as performed on residents of varying acuity,age, and life station.
Manages and operates equipment safely and correctly. Inspects and tests respiratory therapy equipment to ensure that it is functioning safely and efficiently.
Maintains thorough knowledge of hazards of oxygen therapy.
Formulates care plan based on identified learning needs of a patient and evaluates effectiveness of learning, Patient’s family is included in teaching as appropriate.
Treats patients and their families with respect and dignity. Coordinates and directs patient care to ensure patients’ needs are met and that physician orders and facility policy is followed.
Demonstrates ability to assess patient, his/her need, and ability to tolerate treatment and reassessment for response to treatment.
 Demonstrates the ability to navigate pressure to meet deadlines, to be accurate, and to handle constantly changing situations.
 Attends and conducts education in\-service programs to maintain professional competency. Obtains appropriate program\-specific education and training.
 Performs all additional duties assigned by the department manager.
 In charge therapist role, is responsible for the daily operation of the shift, including work assignments, troubleshooting, responding to emergencies, and liaison with nurses, Director of Nursing, the Administrator and Physicians
Other duties, responsibilities and activities may change or be assigned to you at any time with or without notice, from DON or NHA.
**Professional Requirements**
Represents the organization in a positive and professional manner.
 Actively participates in performance improvement and continuous quality improvement (CQI) activities.
 Communicates and complies with the Sweetwater Mission, Vision, and Values as well as the focus statement of the department.
 Complies with State and Federal Guidelines, along with Organizational Policies and Procedures.
 Complies with Health and Safety Standards and Guidelines.
**Qualifications**
**Education/Experience Requirements:**
Current State Respiratory Therapist Licensure.
Graduate of an AMA\-approved School of Respiratory Therapy.
Possesses and maintains an active CRT/ RRT credentialing applicable to the Kansas
Current ACLS and BLS Certification
**Affirmative Action Statement**  
*Sweetwater is an Equal Opportunity Employer committed to fostering a diverse and inclusive workplace. We actively seek to recruit, hire, and promote individuals from all backgrounds, including but not limited to women, minorities, individuals with disabilities, protected veterans, and members of the LGBTQ\+ community. We are proud to be an affirmative action employer and encourage all qualified candidates to apply.*
**Reasonable Accommodation Statement**
*Consistent with the Americans with Disabilities Act (ADA) and Kansas Anti\-Discrimination Act, it is the policy of the facility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If reasonable accommodation is needed, please contact the Administrator.*</t>
        </is>
      </c>
    </row>
    <row r="172">
      <c r="A172" t="inlineStr">
        <is>
          <t>in-3d0b518441153f71</t>
        </is>
      </c>
      <c r="B172" t="inlineStr">
        <is>
          <t>LPN - Nurse Program Manager</t>
        </is>
      </c>
      <c r="C172" t="inlineStr">
        <is>
          <t>Florida Technical College</t>
        </is>
      </c>
      <c r="D172" t="inlineStr">
        <is>
          <t>indeed</t>
        </is>
      </c>
      <c r="E172">
        <f>HYPERLINK("https://www.indeed.com/viewjob?jk=3d0b518441153f71", "https://www.indeed.com/viewjob?jk=3d0b518441153f71")</f>
        <v/>
      </c>
      <c r="F172">
        <f>HYPERLINK("https://workforcenow.adp.com/mascsr/default/mdf/recruitment/recruitment.html?cid=20fa69cd-7a48-410e-9cba-87c44786fb7b&amp;ccId=9201060899462_2&amp;jobId=564740&amp;source=IN&amp;lang=en_US", "https://workforcenow.adp.com/mascsr/default/mdf/recruitment/recruitment.html?cid=20fa69cd-7a48-410e-9cba-87c44786fb7b&amp;ccId=9201060899462_2&amp;jobId=564740&amp;source=IN&amp;lang=en_US")</f>
        <v/>
      </c>
      <c r="G172" t="inlineStr">
        <is>
          <t>Orlando, FL, US</t>
        </is>
      </c>
      <c r="H172" s="3" t="n">
        <v>46059</v>
      </c>
      <c r="I172" t="inlineStr">
        <is>
          <t>**Northbridge University \-** Nursing Program is seeking a highly motivated and qualified **LPN Program Manager (Licensed Practical Nurse)** to join our team.
This individual will be responsible for administration, developing, delivering, and evaluating courses across the practical nursing curriculum, fostering a positive learning environment for students, and contributing to the ongoing continuous improvement of the program.
 **Min****imum Requirements:**
* Bachelor of Science in Nursing (BSN) from an accredited program. All degrees must be from institutions accredited by regional or national accrediting bodies approved by the U.S. Department of Education. Foreign transcripts may be acceptable in some cases and require a translation and evaluation of equivalency to U.S. degrees by a recognized agency.
* Active and unrestricted RN license in the State of Florida.
* Minimum of three years of recent experience in clinical nursing practice.
* Minimum of two years of teaching experience.
* Proficiency in computer usage is crucial for managing course documents and educational resources within the learning management system.
* Must be willing to work a flexible schedule to include days, nights, and weekends as needed to meet population requirements and business needs.
* *For best consideration, upload your credentials along with your resume. Please redact any personal information (i.e., date of birth and social security number).*
 **Essential Duties and Responsibilities:**
* Ensure the LPN program meets all Florida Board of Nursing requirements for curriculum, faculty qualifications, and student outcomes.
* Prepare and submit required reports to the FBON, including annual program reports and documentation for site visits.
* Maintain program approval status and readiness for audits or evaluations.
* Monitor and analyze student performance metrics, including NCLEX\-PN pass rates, retention, and job placement.
* Develop and implement strategies to support student achievement and licensure success.
* Track and report program outcomes to the FBON and accrediting bodies.
* Conduct regular program evaluations and implement continuous quality improvement initiatives.
* Maintain accurate and secure records of student progress, faculty credentials, and clinical site agreements.
* Implement a structured system for evaluating teaching effectiveness, including student evaluations, peer reviews, and classroom observations.
* Support faculty in meeting FBON\-required qualifications and continuing education.
* Facilitate faculty development workshops and performance improvement plans.
* Develop and deliver engaging and effective instruction in assigned nursing courses, ensuring alignment with program curriculum, learning outcomes, and best practices.
* Utilize diverse teaching methodologies including lectures, case studies, simulations, group discussions, and other innovative techniques.
* Facilitate clinical learning experiences, providing ongoing mentorship and guidance to students in developing essential clinical skills and judgment.
* Participate in program development activities, including curriculum review, assessment development, and policy development.
* Stay current with evolving trends in nursing practice, healthcare, and nursing education through ongoing professional development activities.
 **Benefits:**
* Medical Coverage \-Including additional options HSA, and FSAs \- Dependent, and Health Care
* Dental/Vision Insurance Coverage
* 12 Paid Holidays / Paid Time Off / Paid Volunteer Day
* 401\[k] with 50% Employer Matching
* Short\-Term Disability Life Insurance
* Supplemental Life Insurance Options
* Growth Opportunities / Education Assistance and Professional Development Benefits
 **No Cost Benefits:**
* Group Life Insurance
* Long Term Disability
* Talent Referral Program
* TicketsatWork \- Discount Entertainment Program
* Enjoy a paid day off on your birthday (available to full\-time employees after two years)
 **Why Join Northbridge University?**
At Northbridge University, you become part of a community devoted to academic excellence, innovation, and human development. Every employee, from faculty to administrative staff, plays a key role in advancing the growth of our students while enhancing their own professional journey. We foster a culture of teamwork, respect, and ongoing learning, where innovative ideas are welcomed and talent is supported. Our employees enjoy professional growth opportunities, career stability, and the satisfaction of contributing to an organization that changes lives through education.
At Northbridge University, you’re not just building a career—you’re creating a meaningful purpose.
For additional information on who we are – https://northbridge.edu/en/who\-we\-are
**Northbridge University** is an Equal Opportunity/Affirmative Action Employer and does not discriminate based on race, color, religion, gender, age, national origin, disability, Protected Veteran status, sexual orientation, or any other characteristic protected by federal, state, or local law.
***The selected applicant will undergo a background check, educational verification, and drug testing.***</t>
        </is>
      </c>
    </row>
    <row r="173">
      <c r="A173" t="inlineStr">
        <is>
          <t>in-58699ea946158406</t>
        </is>
      </c>
      <c r="B173" t="inlineStr">
        <is>
          <t>Program Manager (Device)</t>
        </is>
      </c>
      <c r="C173" t="inlineStr">
        <is>
          <t>Pradco Outdoor Brands</t>
        </is>
      </c>
      <c r="D173" t="inlineStr">
        <is>
          <t>indeed</t>
        </is>
      </c>
      <c r="E173">
        <f>HYPERLINK("https://www.indeed.com/viewjob?jk=58699ea946158406", "https://www.indeed.com/viewjob?jk=58699ea946158406")</f>
        <v/>
      </c>
      <c r="F173">
        <f>HYPERLINK("https://careers.ebscoind.com/PRADCO/job/Birmingham-Program-Manager-%28Device%29-AL-35242/1348547800/?feedId=363300&amp;utm_source=Indeed &amp;utm_campaign=EBSCO_Indeed(CF3)", "https://careers.ebscoind.com/PRADCO/job/Birmingham-Program-Manager-%28Device%29-AL-35242/1348547800/?feedId=363300&amp;utm_source=Indeed &amp;utm_campaign=EBSCO_Indeed(CF3)")</f>
        <v/>
      </c>
      <c r="G173" t="inlineStr">
        <is>
          <t>Birmingham, AL, US</t>
        </is>
      </c>
      <c r="H173" s="3" t="n">
        <v>46059</v>
      </c>
      <c r="I173" t="inlineStr">
        <is>
          <t>Headquartered in Birmingham, Alabama, Moultrie (www.moultrie.com) is the leader in game feeders and cellular camera innovation, building products used by hunters, property owners, and others for real\-time remote monitoring. We take pride in developing deep user understanding, obsessing about the details, and going the extra mile to show our users we love them. Moultrie is customer\-driven – hardware, software, marketing, and customer success teams collaborate to deliver a quality user experience. We are guided by the following principles: Customer Obsession.; Excellence is the Standard.; Bias for Action.; Act Boldly.; Deliver Results.; Hire and Develop the Best.; Be Curious and Learn.; Win as a Team.
**Job Summary**
---------------
Moultrie is a leader in innovative products that inspire and excite hunters across the globe. We're seeking a dynamic and results\-driven Device Program Manager to take charge of engineering and program timelines for our cutting\-edge consumer electronics. This pivotal role will drive breakthroughs, collaborate with cross\-functional teams, and ensure the successful delivery of high\-quality products that thrill our customers.  
We are seeking a results\-driven **Device Program Manager** to oversee the end\-to\-end development of Moultrie’s cutting\-edge consumer electronics. This pivotal role will lead cross\-functional teams, manage engineering and program timelines, and ensure the delivery of high\-quality products on time and within budget. The ideal candidate combines technical expertise, project management excellence, and leadership to drive innovation and impactful results.
**Job Responsibilities**
------------------------
* **Strategic Planning:** Partner with product management to define product roadmaps, development goals, and key performance indicators (KPIs) for new device programs.
* **Project Management:** Lead cross\-functional teams through all product development phases, including discovery, concept, prototype, EVT, DVT, PVT, ramp\-up, and launch.
* **Budget \&amp; Schedule Management:** Develop, monitor, and manage project budgets and timelines. Proactively identify and address potential delays or risks to ensure projects are completed on schedule and within budget.
* **Risk Management:** Identify and mitigate risks across technical, supply chain, and regulatory areas throughout the development lifecycle.
* **Cross\-Functional Collaboration:** Facilitate communication and alignment between engineering, design, marketing, manufacturing, and quality assurance teams to ensure cohesive product development.
* **Technical Expertise:** Apply in\-depth knowledge of consumer electronics hardware, software, and manufacturing processes to guide informed decisions.
* **Quality Assurance:** Oversee quality control measures to ensure products meet rigorous standards and exceed customer expectations.
* **Vendor \&amp; Supplier Management:** Manage relationships with external vendors and suppliers, ensuring timely delivery, compliance with contracts, and alignment with project goals.
* **Post\-Launch Support:** Monitor product performance after launch and implement improvements as needed.
**Job Requirements**
--------------------
* Bachelor’s degree in engineering, operations management, or a related field (Master’s or MBA preferred).
* Proven experience managing complex programs from concept to completion using Agile, Waterfall, or hybrid project management methodologies.
* Strong technical understanding of consumer electronics development, including hardware, software, and manufacturing processes.
* Demonstrated ability to lead and motivate cross\-functional teams while managing multiple stakeholders.
* Excellent communication skills, able to translate technical details to diverse audiences.
* Strong analytical skills with the ability to make data\-driven decisions.
* Experience delivering consumer electronics projects on time, on budget, and to high\-quality standards.
* Knowledge of regulatory compliance and industry standards for consumer electronics.
**Essential Job Function**
--------------------------
**Preferred Qualifications:**
* Passion for hunting or the outdoors.
* Experience as a Program Manager, Project Lead, or similar leadership role.
* Experience with budgetary planning, cost tracking, and financial accountability for projects.
**Working Conditions:**
* Collaborative, fast\-paced environment with a start\-up feel within a larger organization.
* Opportunity to contribute to high\-impact, innovative projects in the outdoor and consumer electronics industry.
We are an equal opportunity employer and comply with all applicable federal, state, and local fair employment practices laws. We strictly prohibit and do not tolerate discrimination against employees, applicants, or any other covered persons because of race, color, sex, pregnancy status, age, national origin or ancestry, ethnicity, religion, creed, sexual orientation, gender identity, status as a veteran, and basis of disability or any other federal, state or local protected class. This policy applies to all terms and conditions of employment, including, but not limited to, hiring, training, promotion, discipline, compensation, benefits, and termination of employment.
We comply with the Americans with Disabilities Act (ADA), as amended by the ADA Amendments Act, and all applicable state or local law.</t>
        </is>
      </c>
    </row>
    <row r="174">
      <c r="A174" t="inlineStr">
        <is>
          <t>in-e66ee7b229b9e5bd</t>
        </is>
      </c>
      <c r="B174" t="inlineStr">
        <is>
          <t>GME Senior Program Manager</t>
        </is>
      </c>
      <c r="C174" t="inlineStr">
        <is>
          <t>Boston Medical Center</t>
        </is>
      </c>
      <c r="D174" t="inlineStr">
        <is>
          <t>indeed</t>
        </is>
      </c>
      <c r="E174">
        <f>HYPERLINK("https://www.indeed.com/viewjob?jk=e66ee7b229b9e5bd", "https://www.indeed.com/viewjob?jk=e66ee7b229b9e5bd")</f>
        <v/>
      </c>
      <c r="F174">
        <f>HYPERLINK("https://careers.bmc.org/jobs/gme-senior-program-manager-boston-massachusetts-052c5d5a-7957-4d0d-b5b1-8923b770c814?source=indeed", "https://careers.bmc.org/jobs/gme-senior-program-manager-boston-massachusetts-052c5d5a-7957-4d0d-b5b1-8923b770c814?source=indeed")</f>
        <v/>
      </c>
      <c r="G174" t="inlineStr">
        <is>
          <t>Boston, MA, US</t>
        </is>
      </c>
      <c r="H174" s="3" t="n">
        <v>46059</v>
      </c>
      <c r="I174" t="inlineStr">
        <is>
          <t>**POSITION SUMMARY****:**
The Senior GME Program Manager is responsible for assuring that programs for the education of Internal Medicine residents/fellows are properly organized, well\-coordinated, effective, monitored, and in compliance with requirements set by Boston Medical Center (BMC) and by all organizations and agencies (such as the ACGME and the governing RRC). Operating independently, the Senior Program Manager serves as a liaison between trainees, the Program Director, the GME office, the hospital, and accrediting bodies. The Senior Program Manager oversees program accreditation and compliance for the entire Internal Medicine Residency Program. Through their team, this roles ensures all inquiries related to the training program are responded to and compliance requirements are met with medical schools, licensing bodies, and affiliated institutions. Makes recommendations and advises on changes to the program based on anticipated needs, new or changing program and institutional requirements, or other market forces, and oversees implementation of agreed upon changes.
Program Scope:  
The Senior Program Manager oversees and supports large and/or complex programs, multiple programs, and is able to step in for other Program Administrators in times of leaves, vacations, or temporary vacancies.
**Position: GME Senior Program Manager**
**Department: Residency**
**Schedule: Full Time**
**ESSENTIAL RESPONSIBILITIES / DUTIES:**
* Maintains excellent and up\-to\-date knowledge of ACGME common and specialty\-specific program requirements and outstanding skills related to the administrative management of training program(s).
* Provides support and guidance to Program Director, Administrative Director, GME office, and other Program Administrators as needed.
* Actively participates in and contributes expertise to Program Administrator monthly meetings, and other trainings/events through the GME office.
* Senior Program Manager serves as an educator and mentor to other Administrators, supporting their training and onboarding, and ensuring consistent application of best practices on the management of training programs across BMC.
* Works in collaboration with GME, Program Leadership and Program Managers to ensure compliance with ACGME and AAIM requirements.
* Provides strategic and operational support to the Vice Chair of Education, Program Director, and Administrative Director as needed.
* Communicates updates to Program Director and Administrative Director on changes to program requirements from GME and ACGME.
Senior Program Manager responsibilities:
* Maintains and updates training program website in partnership with Department and Communications stakeholders.
* Oversees the administrative activities and operations in the Internal Medicine Residency Office to ensure program accreditation and compliance.
* Works with Administrative Director to build community around Department of Medicine education administrators, which includes clerkship, residency, and fellowship.
* Oversees initiatives identified by (diversity, mentorship training, program development, etc.) Vice Chair of Education, Program Director, and Administrative Director of Education.
* Provides reporting and data analysis for recruitment, evaluations, and program performance.
* Oversees preparing, coordinating, and organizing materials and logistics for program recruitment days as well as orientation for new trainees.
* Partners with GME Office around hospital\-wide orientation.
* Supports Administrative Director on managing components of the program budget.
* Identifies and implements administrative process improvement initiatives.
* Manages and collaborates with Program Managers to complete all administrative responsibilities related to hiring, licensing, onboarding, and advancement of trainees and communicates with trainees about related requirements, trainings, and processes.
* Works with the Program Directors to ensure compliance with ACGME (and or other governing/credentialing body) guidelines and their programs specialty board guidelines.
* Leads preparations for site visits, self\-study, and other internal and external review processes. In partnership with the GME Office, provides at the elbow support for other Program Administrators who are preparing for a site visit or other internal or external reviews.
* Partners with GME on standardization and creation of best practices related to management of training programs at BMC.
* Oversees tasks related to the Residency Management Suite application (New Innovations) such as scheduling, procedure logging, and evaluations.
* Actively maintains accurate conference attendance, duty hours, and other issues related to training program and compiles program documentation and appropriate statistical data.
* Ensures that all evaluations are up\-to\-date in residency management software.
* Compiles data for Annual Program Evaluations (APE) and assists Program Director with tasks related to the APE and Program Evaluation Committee.
* Maintains up\-to\-date trainee rotation schedule for the year, including outside rotations, and electives (including rotators from other institutions).
* Manages affiliation agreements and serves as a liaison between BMC and other training sites and enlists GME Office help when appropriate.
* Maintains and reviews resident’s block and assignment schedules, “on\- call” schedules; tracks vacation and sick hours; calculates individual resident work hours to ensure compliance with ACGME/RRC guidelines and alerts Program Director of any potential conflicts.
* Coordinates record of training on all residents for annual report to the American Board of Internal Medicine.
* Assists residents and Program Director with preparation and submission of abstracts, manuscripts, posters, and presentations as needed.
* Sets up conferences and meetings as directed.
* Develops and presents materials for program leadership meetings.
* May initiate responses (such as letters of recommendations, employment verification for loan deferments, etc.) for Program Director’s review or may complete and send out responses on their behalf.
* Administrative support to the Program Director and other members of the residency/fellowship leadership team, and department members as needed.
Other duties
* Conform to hospital standards of performance and conduct, including those pertaining to patient rights, so that the best possible customer service and patient care may be provided.
* Utilize hospital’s behavioral standards as the basis for decision\-making and to facilitate the hospital and the department’s mission.
* Follow established hospital infection control and safety procedures.
* Perform other duties as assigned or as necessary.
Must adhere to all of BMC’s Values \&amp; behavioral standards.
**(The above statements in this job description are intended to depict the general nature and level of work assigned to the employee(s) in this job. The above is not intended to represent an exhaustive list of accountable duties and responsibilities required).**
**JOB REQUIREMENTS**
**EDUCATION:**
Bachelor’s Degree or equivalent combination of formal education and experience.
**CERTIFICATES, LICENSES, REGISTRATIONS REQUIRED**:
TAGME certification (or another advanced degree or certification) required
**EXPERIENCE:**
7\+ years of relevant experience required. Experience with graduate medical education programs required. Previous experience with New Innovations required.
**Compensation Range:**
$83,000\.00\- $120,500\.00
This range offers an estimate based on the minimum job qualifications. However, our approach to determining base pay is comprehensive, and a broad range of factors is considered when making an offer. This includes education, experience, skills, and certifications/licensures as they directly relate to position requirements; as well as business/organizational needs, internal equity, and market\-competitiveness. In addition, BMCHS offers generous total compensation that includes, but is not limited to, benefits (medical, dental, vision, pharmacy), discretionary annual bonuses and merit increases, Flexible Spending Accounts, 403(b) savings matches, paid time off, career advancement opportunities, and resources to support employee and family well\-being.
**NOTE**: This range is based on Boston\-area data, and is subject to modification based on geographic location.
Equal Opportunity Employer/Disabled/Veterans
According to the FTC, there has been a rise in employment offer scams. Our current job openings are listed on our website and applications are received only through our website. We do not ask or require downloads of any applications, or “apps” job offers are not extended over text messages or social media platforms. We do not ask individuals to purchase equipment for or prior to employment.</t>
        </is>
      </c>
    </row>
    <row r="175">
      <c r="A175" t="inlineStr">
        <is>
          <t>in-9326a3e6c9ddb86e</t>
        </is>
      </c>
      <c r="B175" t="inlineStr">
        <is>
          <t>Program Manager II - Biopharmaceuticals</t>
        </is>
      </c>
      <c r="C175" t="inlineStr">
        <is>
          <t>Thermo Fisher Scientific</t>
        </is>
      </c>
      <c r="D175" t="inlineStr">
        <is>
          <t>indeed</t>
        </is>
      </c>
      <c r="E175">
        <f>HYPERLINK("https://www.indeed.com/viewjob?jk=9326a3e6c9ddb86e", "https://www.indeed.com/viewjob?jk=9326a3e6c9ddb86e")</f>
        <v/>
      </c>
      <c r="F175">
        <f>HYPERLINK("https://jsv3.recruitics.com/redirect?rx_cid=3436&amp;rx_jobId=R-01341523&amp;rx_url=https%3A%2F%2Fjobs.thermofisher.com%2Fglobal%2Fen%2Fjob%2FR-01341523%2FProgram-Manager-II-Biopharmaceuticals%3Frx_a%3D0%26rx_c%3D%26rx_ch%3Djobp4p%26rx_group%3D123525%26rx_id%3Da83532fe-0441-11f1-9144-d74e61c4613b%26rx_job%3DR-01341523%26rx_medium%3Dcpc%26rx_r%3Dnone%26rx_source%3Dindeed%26rx_ts%3D20260208T020409Z%26rx_vp%3Dcpc%26utm_medium%3Dppc%26utm_source%3Drecruitics_indeedorganic", "https://jsv3.recruitics.com/redirect?rx_cid=3436&amp;rx_jobId=R-01341523&amp;rx_url=https%3A%2F%2Fjobs.thermofisher.com%2Fglobal%2Fen%2Fjob%2FR-01341523%2FProgram-Manager-II-Biopharmaceuticals%3Frx_a%3D0%26rx_c%3D%26rx_ch%3Djobp4p%26rx_group%3D123525%26rx_id%3Da83532fe-0441-11f1-9144-d74e61c4613b%26rx_job%3DR-01341523%26rx_medium%3Dcpc%26rx_r%3Dnone%26rx_source%3Dindeed%26rx_ts%3D20260208T020409Z%26rx_vp%3Dcpc%26utm_medium%3Dppc%26utm_source%3Drecruitics_indeedorganic")</f>
        <v/>
      </c>
      <c r="G175" t="inlineStr">
        <is>
          <t>WI, US</t>
        </is>
      </c>
      <c r="H175" s="3" t="n">
        <v>46059</v>
      </c>
      <c r="I175" t="inlineStr">
        <is>
          <t>**Work Schedule**
First Shift (Days)**Environmental Conditions**
Office**Job Description**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**Location/Division Specific Information**
------------------------------------------
Our PPD® Laboratory Services team has a direct impact on improving patient health through the expertise of scientists, industry thought\-leaders and therapeutic experts. As the world leader in serving science, our laboratory professionals bring their commitment to accuracy and quality to deliver groundbreaking innovations
**Discover Impactful Work:**
----------------------------
Provides tactical support for client\-facing projects. Manages and supports project performance with specific emphasis on financial management of the program and progressive responsibility for client communications. Provides internal consulting on project management issues and identifies opportunities for process and efficiency improvement. Identifies and escalates risks identified to project timelines and meeting financial objectives for both internal goals and client expectations.
**A day in the Life:**
----------------------
* Provides oversight and coordination of study initiation.
* Understands protocol language and translates to internal systems and processes.
* Prepares for and facilitates internal meetings; attends external meetings
* Coordinates stability launches
* Maintains project set\-up and sample test scheduling
* Evaluates and manages project timelines and deliverables
* Understands and adheres to contract language, support contract management process
* Manages project setup and financials
* Responsible for projections, forecast and revenue recognition for fee for service, hourly or FTE programs, adhering to client budgets and utilization targets, adjusting forecasts or project priority weekly as necessary; communicate routine FTE utilization and spend.
* Progressive responsibility for internal and external communications, beginning with project financial coordination.
* Assists client relationship manager with meeting minutes and action items to support client projects
* Manages study documents and testing directives, shares data/reports
* Supports fee for service and hourly contract review processes
* Provides/Supports training of Program Manager I
* Involvement in cross\-functional initiatives/process improvements
**Keys to Success:**
--------------------
**Education**
-------------
* Bachelor's degree or equivalent and relevant formal academic / vocational qualification
**Experience**
--------------
* Previous experience that provides the knowledge, skills, and abilities to perform the job (comparable to 3\+ years) or equivalent combination of education, training, \&amp; experience.
Years of experience refers to typical years of related experience needed to gain the required knowledge, skills, and abilities necessary to perform the essential functions of the job. Years of experience are not to be used as the only determining factor in establishing the job class or making employment selection decisions.
**Knowledge, Skills, Abilities**
--------------------------------
* Strong verbal, written and presentation skills
* Superior time management, planning, and organizational skills
* Competent with specific computers and enterprise applications, including office productivity
* Proven analytical skills
* Demonstrated compliance with procedures and policies
* Ability to perform multiple tasks effectively in a stressful environment
* Ability to work effectively with multi\-level teams
**Work Environment**
--------------------
Thermo Fisher Scientific values the health and wellbeing of our employees. We support and encourage individuals to create a healthy and balanced environment where they can thrive. Below is listed the working environment/requirements for this role:
* Able to communicate, receive, and understand information and ideas with diverse groups of people in a comprehensible and reasonable manner.
* Able to work upright and stationary for typical working hours.
* Ability to use and learn standard office equipment and technology with proficiency.
* Able to perform successfully under pressure while prioritizing and handling multiple projects or activities.
* May require travel. (Recruiter will provide more details.)
**Benefits**
------------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t>
        </is>
      </c>
    </row>
    <row r="176">
      <c r="A176" t="inlineStr">
        <is>
          <t>in-c8e872cba99ed91e</t>
        </is>
      </c>
      <c r="B176" t="inlineStr">
        <is>
          <t>Program Manager I - Small Molecule (GMP)</t>
        </is>
      </c>
      <c r="C176" t="inlineStr">
        <is>
          <t>Thermo Fisher Scientific</t>
        </is>
      </c>
      <c r="D176" t="inlineStr">
        <is>
          <t>indeed</t>
        </is>
      </c>
      <c r="E176">
        <f>HYPERLINK("https://www.indeed.com/viewjob?jk=c8e872cba99ed91e", "https://www.indeed.com/viewjob?jk=c8e872cba99ed91e")</f>
        <v/>
      </c>
      <c r="F176">
        <f>HYPERLINK("https://jsv3.recruitics.com/redirect?rx_cid=3436&amp;rx_jobId=R-01340900&amp;rx_url=https%3A%2F%2Fjobs.thermofisher.com%2Fglobal%2Fen%2Fjob%2FR-01340900%2FProgram-Manager-I-Small-Molecule-GMP%3Frx_a%3D0%26rx_c%3D%26rx_ch%3Djobp4p%26rx_group%3D123525%26rx_id%3Da4a3a811-0441-11f1-9144-2f6fd343a2bd%26rx_job%3DR-01340900%26rx_medium%3Dcpc%26rx_r%3Dnone%26rx_source%3Dindeed%26rx_ts%3D20260208T020409Z%26rx_vp%3Dcpc%26utm_medium%3Dppc%26utm_source%3Drecruitics_indeedorganic", "https://jsv3.recruitics.com/redirect?rx_cid=3436&amp;rx_jobId=R-01340900&amp;rx_url=https%3A%2F%2Fjobs.thermofisher.com%2Fglobal%2Fen%2Fjob%2FR-01340900%2FProgram-Manager-I-Small-Molecule-GMP%3Frx_a%3D0%26rx_c%3D%26rx_ch%3Djobp4p%26rx_group%3D123525%26rx_id%3Da4a3a811-0441-11f1-9144-2f6fd343a2bd%26rx_job%3DR-01340900%26rx_medium%3Dcpc%26rx_r%3Dnone%26rx_source%3Dindeed%26rx_ts%3D20260208T020409Z%26rx_vp%3Dcpc%26utm_medium%3Dppc%26utm_source%3Drecruitics_indeedorganic")</f>
        <v/>
      </c>
      <c r="G176" t="inlineStr">
        <is>
          <t>WI, US</t>
        </is>
      </c>
      <c r="H176" s="3" t="n">
        <v>46059</v>
      </c>
      <c r="I176" t="inlineStr">
        <is>
          <t>**Work Schedule**
Standard (Mon\-Fri)**Environmental Conditions**
Office**Job Description**
This is a fully remote role supporting our GMP Laboratory in Middleton, WI. We welcome applicants from all locations within the U.S.
Must be legally authorized to work in the United States without sponsorship.
Must be able to pass a comprehensive background check, which includes a drug screening.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Our PPD® Laboratory Services team has a direct impact on improving patient health through the expertise of scientists, industry thought leaders and therapeutic experts. As the world leader in serving science, our laboratory professionals bring their commitment to accuracy and quality to deliver groundbreaking innovations.
Discover Impactful Work:
Provides tactical support for client\-facing projects. Oversees and coordinates the receipt, log\-in, and workflow management of samples and standards to support laboratory analysis. Monitors project progress for both client\-facing and internal projects, ensuring timely project progress through effective communication and status updates. Manages client interactions related to sample and standard processes. Supports the client relationship manager (Program Manager III or above) by providing day\-to\-day progress updates, managing timelines, and identifying and escalating potential risks to ensure the successful completion of projects.
A day in the Life:
* Acts as the primary coordinator for the receipt and log\-in of samples and standards
* Manages shipment requests
* Manages sample and standard workflows, including check\-outs, shipping, relog and disposal activities to support laboratory analysis
* Tracts project progress, within assigned client team and associated support teams, provides status updates
* Initiates project set up process
* Manages reagent documents for client and team, including Certificates of Analysis (CofAs) and Safety Data Sheets (SDSs)
* Coordinates and tracks the completion of internal lab\-based projects, including facility audits and incident reports
* Manages client communication related to sample and standard processes
* Supports the client relationship manager with daily progress updates to ensure project completion
* Manages timelines; identifies and escalates risks as necessary
* Attends internal meetings
Keys to Success:
**Education**
* Bachelor’s degree or equivalent and relevant forma academic / vocational qualification
**Experience**
* Previous experience that provides the knowledge, skills, and abilities to perform the job (comparable to 0\+ years) or equivalent combination of education, training, \&amp; experience
*Years of experience refers to typical years of related experience needed to gain the required knowledge, skills, and abilities necessary to perform the essential functions of the job. Years of experience are not to be used as the only determining factor in establishing the job class or making employment selection decisions.*
**Knowledge, Skills, Abilities**
* Excellent organizational skills with the ability to adapt and adjust to changing priorities while maintaining focus, composure and productivity
* Ability to manage multiple assignments with challenging/conflicting deadlines
* Proficient in Microsoft suite applications (e.g.: Word, Excel, PowerBI, PowerPoint, Teams, SharePoint)
* Strong attention to detail and problem\-solving skills
* Effective written and verbal communication skills
* Demonstrated experience in identification and resolution of conflicts in a professional environment
* Ability to maintain a high degree of confidentiality with client information and data
* Ability to attain, maintain and apply a working knowledge of applicable procedural documents
* Demonstrated positive attitude, enthusiasm toward work, and the ability to work well with others
* Demonstrated ability to receive and apply constructive feedback
**Work Environment**
Thermo Fisher Scientific values the health and wellbeing of our employees. We support and encourage individuals to create a healthy and balanced environment where they can thrive. Below is listed the working environment/requirements for this role:
* Able to communicate, receive, and understand information and ideas with diverse groups of people in a comprehensible and reasonable manner.
* Able to work upright and stationary and/or stand for typical working hours.
* Able to lift and move objects up to 25 pounds.
* Able to work in non\-traditional work environments.
* Able to use and learn standard office equipment and technology with proficiency.
* May have exposure to potentially hazardous elements, including infectious agents, typically found in healthcare or laboratory environments.
* Able to perform successfully under pressure while prioritizing and handling multiple projects or activities.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with PPD, part of Thermo Fisher Scientific, where diverse experiences, backgrounds and perspectives are valued.
Apply today! http://jobs.thermofisher.com
Thermo Fisher Scientific is an EEO/Affirmative Action Employer and does not discriminate on the basis of race, color, religion, sex, sexual orientation, gender identity, national origin, protected veteran status, disability or any other legally protected status.
Accessibility/Disability Access
Job Seekers with a Disability: Thermo Fisher Scientific offers accessibility service for job seekers requiring accommodations in the job application process. For example, this may include individuals requiring assistance because of hearing, vision, mobility, or cognitive impairments. If you are a job seeker with a disability, or assisting a person with a disability, and require accessibility assistance or an accommodation to apply for one of our jobs, please submit a request by telephone at 1\-855\-471\-2255\*. Please include your contact information and specific details about your required accommodation to support you during the job application process.
* This telephone line is reserved solely for job seekers with disabilities requiring accessibility assistance or an accommodation in the job application process. Messages left for other purposes, such as not being able to get into the career website, following up on an application, or other non\-disability related technical issues will not receive a response.</t>
        </is>
      </c>
    </row>
    <row r="177">
      <c r="A177" t="inlineStr">
        <is>
          <t>in-deebcdaced1ed9d9</t>
        </is>
      </c>
      <c r="B177" t="inlineStr">
        <is>
          <t>Program Manager II - Mass Spec (GMP Lab)</t>
        </is>
      </c>
      <c r="C177" t="inlineStr">
        <is>
          <t>Thermo Fisher Scientific</t>
        </is>
      </c>
      <c r="D177" t="inlineStr">
        <is>
          <t>indeed</t>
        </is>
      </c>
      <c r="E177">
        <f>HYPERLINK("https://www.indeed.com/viewjob?jk=deebcdaced1ed9d9", "https://www.indeed.com/viewjob?jk=deebcdaced1ed9d9")</f>
        <v/>
      </c>
      <c r="F177">
        <f>HYPERLINK("https://jsv3.recruitics.com/redirect?rx_cid=3436&amp;rx_jobId=R-01340510&amp;rx_url=https%3A%2F%2Fjobs.thermofisher.com%2Fglobal%2Fen%2Fjob%2FR-01340510%2FProgram-Manager-II-Mass-Spec-GMP-Lab%3Frx_a%3D0%26rx_c%3D%26rx_ch%3Djobp4p%26rx_group%3D123525%26rx_id%3Da6d4434c-0441-11f1-9144-81692ccfc4d5%26rx_job%3DR-01340510%26rx_medium%3Dcpc%26rx_r%3Dnone%26rx_source%3Dindeed%26rx_ts%3D20260208T020409Z%26rx_vp%3Dcpc%26utm_medium%3Dppc%26utm_source%3Drecruitics_indeedorganic", "https://jsv3.recruitics.com/redirect?rx_cid=3436&amp;rx_jobId=R-01340510&amp;rx_url=https%3A%2F%2Fjobs.thermofisher.com%2Fglobal%2Fen%2Fjob%2FR-01340510%2FProgram-Manager-II-Mass-Spec-GMP-Lab%3Frx_a%3D0%26rx_c%3D%26rx_ch%3Djobp4p%26rx_group%3D123525%26rx_id%3Da6d4434c-0441-11f1-9144-81692ccfc4d5%26rx_job%3DR-01340510%26rx_medium%3Dcpc%26rx_r%3Dnone%26rx_source%3Dindeed%26rx_ts%3D20260208T020409Z%26rx_vp%3Dcpc%26utm_medium%3Dppc%26utm_source%3Drecruitics_indeedorganic")</f>
        <v/>
      </c>
      <c r="G177" t="inlineStr">
        <is>
          <t>WI, US</t>
        </is>
      </c>
      <c r="H177" s="3" t="n">
        <v>46059</v>
      </c>
      <c r="I177" t="inlineStr">
        <is>
          <t>**Work Schedule**
Standard (Mon\-Fri)**Environmental Conditions**
Adherence to all Good Manufacturing Practices (GMP) Safety Standards**Job Description**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**Location/Division Specific Information**
------------------------------------------
Our PPD® Laboratory Services team has a direct impact on improving patient health through the expertise of scientists, industry thought\-leaders and therapeutic experts. As the world leader in serving science, our laboratory professionals bring their commitment to accuracy and quality to deliver groundbreaking innovations
**Discover Impactful Work:**
----------------------------
Provides tactical support for client\-facing projects. Manages and supports project performance with specific emphasis on financial management of the program and progressive responsibility for client communications. Provides internal consulting on project management issues and identifies opportunities for process and efficiency improvement. Identifies and escalates risks identified to project timelines and meeting financial objectives for both internal goals and client expectations.
**A day in the Life:**
----------------------
* Provides oversight and coordination of study initiation.
* Understands protocol language and translates to internal systems and processes.
* Prepares for and facilitates internal meetings; attends external meetings
* Coordinates stability launches
* Maintains project set\-up and sample test scheduling
* Evaluates and manages project timelines and deliverables
* Understands and adheres to contract language, support contract management process
* Manages project setup and financials
* Responsible for projections, forecast and revenue recognition for fee for service, hourly or FTE programs, adhering to client budgets and utilization targets, adjusting forecasts or project priority weekly as necessary; communicate routine FTE utilization and spend.
* Progressive responsibility for internal and external communications, beginning with project financial coordination.
* Assists client relationship manager with meeting minutes and action items to support client projects
* Manages study documents and testing directives, shares data/reports
* Supports fee for service and hourly contract review processes
* Provides/Supports training of Program Manager I
* Involvement in cross\-functional initiatives/process improvements
**Keys to Success:**
--------------------
**Education**
-------------
* Bachelor's degree or equivalent and relevant formal academic / vocational qualification
**Experience**
--------------
* Previous experience that provides the knowledge, skills, and abilities to perform the job (comparable to 3\+ years) or equivalent combination of education, training, \&amp; experience.
Years of experience refers to typical years of related experience needed to gain the required knowledge, skills, and abilities necessary to perform the essential functions of the job. Years of experience are not to be used as the only determining factor in establishing the job class or making employment selection decisions.
**Knowledge, Skills, Abilities**
--------------------------------
* Strong verbal, written and presentation skills
* Superior time management, planning, and organizational skills
* Competent with specific computers and enterprise applications, including office productivity
* Proven analytical skills
* Demonstrated compliance with procedures and policies
* Ability to perform multiple tasks effectively in a stressful environment
* Ability to work effectively with multi\-level teams
**Work Environment**
--------------------
Thermo Fisher Scientific values the health and wellbeing of our employees. We support and encourage individuals to create a healthy and balanced environment where they can thrive. Below is listed the working environment/requirements for this role:
* Able to communicate, receive, and understand information and ideas with diverse groups of people in a comprehensible and reasonable manner.
* Able to work upright and stationary for typical working hours.
* Ability to use and learn standard office equipment and technology with proficiency.
* Able to perform successfully under pressure while prioritizing and handling multiple projects or activities.
* May require travel. (Recruiter will provide more details.)
**Benefits**
------------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t>
        </is>
      </c>
    </row>
    <row r="178">
      <c r="A178" t="inlineStr">
        <is>
          <t>in-2f97632607213023</t>
        </is>
      </c>
      <c r="B178" t="inlineStr">
        <is>
          <t>Research Data Program Manager</t>
        </is>
      </c>
      <c r="C178" t="inlineStr">
        <is>
          <t>Meta</t>
        </is>
      </c>
      <c r="D178" t="inlineStr">
        <is>
          <t>indeed</t>
        </is>
      </c>
      <c r="E178">
        <f>HYPERLINK("https://www.indeed.com/viewjob?jk=2f97632607213023", "https://www.indeed.com/viewjob?jk=2f97632607213023")</f>
        <v/>
      </c>
      <c r="F178">
        <f>HYPERLINK("https://jsv3.recruitics.com/redirect?rx_cid=3239&amp;rx_jobId=a1KDp00000CZLoOMAX&amp;rx_url=https%3A%2F%2Fwww.metacareers.com%2Fjobs%2F1256193859947791%2F%3Frx_campaign%3Dindeed0%26rx_ch%3Dvp%26rx_group%3D187943%26rx_id%3Deb594462-0440-11f1-9440-2d9301095f3e%26rx_job%3Da1KDp00000CZLoOMAX%26rx_medium%3Dcpc%26rx_r%3Dnone%26rx_source%3Dindeed%26rx_ts%3D20260208T001208Z%26rx_vp%3Dcpc%26utm_campaign%3DJob%252Bboard%26utm_medium%3Djobs%26utm_source%3Dindeedorganic", "https://jsv3.recruitics.com/redirect?rx_cid=3239&amp;rx_jobId=a1KDp00000CZLoOMAX&amp;rx_url=https%3A%2F%2Fwww.metacareers.com%2Fjobs%2F1256193859947791%2F%3Frx_campaign%3Dindeed0%26rx_ch%3Dvp%26rx_group%3D187943%26rx_id%3Deb594462-0440-11f1-9440-2d9301095f3e%26rx_job%3Da1KDp00000CZLoOMAX%26rx_medium%3Dcpc%26rx_r%3Dnone%26rx_source%3Dindeed%26rx_ts%3D20260208T001208Z%26rx_vp%3Dcpc%26utm_campaign%3DJob%252Bboard%26utm_medium%3Djobs%26utm_source%3Dindeedorganic")</f>
        <v/>
      </c>
      <c r="G178" t="inlineStr">
        <is>
          <t>Menlo Park, CA, US</t>
        </is>
      </c>
      <c r="H178" s="3" t="n">
        <v>46057</v>
      </c>
      <c r="I178" t="inlineStr">
        <is>
          <t>The Meta SuperIntelligence Lab is dedicated to developing AI\-powered experiences for consumers, leveraging Meta's cutting\-edge models. We are looking for a Research Data Program Manager to lead end\-to\-end human data annotation programs that support ML research and model development. This role partners closely with Researchers, Product, Engineering, Data operations, and external data vendors to translate research needs into high\-quality datasets. Successful candidates will be technically fluent, highly organized, and experienced in building scalable processes to build high quality datasets. You will be the connective tissue across research pods driving consistent standards across annotation efforts.  
### **Research Data Program Manager Responsibilities:**
* Manage and execute end\-to\-end annotation lifecycle
* Partner with researcher and product teams to define data needs, create detailed instructions and define quality metrics
* Collaborate with our partner teams on vendor selection
* Work with partner teams to implement and monitor data quality
* Build processes, structured programs and make recommendations on tooling
* Build dashboards, analyze data and share insights
### **Minimum Qualifications:**
* 5\+ years of program management or relevant experience in data operations, ML/data labeling or research operations
* Demonstrated experience working directly with technical stakeholders (ML Researchers/Engineers/Product) and translating needs into execution\-ready requirements
* Experience managing external partners/vendors, including agreed timelines and deliverables throughput planning, and performance management
* Effective communication skills, including producing clear data specifications, quality assurance guidelines, and stakeholder updates
* Experience managing and prioritizing multiple initiatives while operating under ambiguity and driving outcomes
### **Preferred Qualifications:**
* Familiarity with data types and workflows such as SFT, Reinforcement Learning, Evals, Multimodal, Coding, Reasoning, and Safety
* Experience building or running quality programs
* Experience with annotation tooling and workflow systems
* Exposure to ML, Natural Language Processing (NLP), or RL
* Proficient in SQL and Python for data analysis
* 8\+ years of program management experience at a technology company
* Bachelor's degree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$160,000/year to $223,000/year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9">
      <c r="A179" t="inlineStr">
        <is>
          <t>in-251949cd8a0b3884</t>
        </is>
      </c>
      <c r="B179" t="inlineStr">
        <is>
          <t>Budget Program Manager</t>
        </is>
      </c>
      <c r="C179" t="inlineStr">
        <is>
          <t>Valley Metro</t>
        </is>
      </c>
      <c r="D179" t="inlineStr">
        <is>
          <t>indeed</t>
        </is>
      </c>
      <c r="E179">
        <f>HYPERLINK("https://www.indeed.com/viewjob?jk=251949cd8a0b3884", "https://www.indeed.com/viewjob?jk=251949cd8a0b3884")</f>
        <v/>
      </c>
      <c r="F179">
        <f>HYPERLINK("https://www.governmentjobs.com/careers/valleymetro/jobs/5222076/budget-program-manager", "https://www.governmentjobs.com/careers/valleymetro/jobs/5222076/budget-program-manager")</f>
        <v/>
      </c>
      <c r="G179" t="inlineStr">
        <is>
          <t>Phoenix, AZ, US</t>
        </is>
      </c>
      <c r="H179" s="3" t="n">
        <v>46056</v>
      </c>
      <c r="I179" t="inlineStr">
        <is>
          <t>**Summary**
-----------
The full salary range for the position is ($86,365\.70\-$129,548\.54\) with an anticipated starting salary between entry ($86,365\.70\) and midpoint ($107,957\.12\) of the range. It’s essential to note that the actual salary offered will be determined based on several factors, including skills, qualifications, experience, education, certifications, training and internal equity considerations.  
Provides program\-level leadership and supervision of the Agency’s budgeting processes to ensure accurate financial planning, reporting, and compliance with regulatory and intergovernmental requirements.
**Minimum Qualifications \&amp; Requirements**
------------------------------------------
* Three (3\) years of supervisory experience in budgeting, accounting, or related financial area.
* Bachelor's degree in finance, accounting or a related field and six (6\) years of experience in:
	+ Public budgeting and finance.
	+ Financial oversight and coordination.
	+ Intergovernmental agreement management.
	+ Or an equivalent combination of education and experience sufficient to successfully perform the essential duties of the job as listed.
	+ Additional education cannot be substituted for experience.
* A valid Arizona Driver's License with an acceptable driving record upon hire.
**Examples of Duties / Knowledge \&amp; Skills**
--------------------------------------------
The following functions are intended to provide a representative summary of the primary duties and responsibilities of this position and are not an exhaustive list of all duties that may be performed.
* Supervise assigned staff performing budget development, financial analysis, and reporting functions, including assigning work, setting priorities, reviewing work products, and ensuring accuracy and timeliness.
* Lead and oversee the operating and capital budget development process, directing staff activities, reviewing and validating budget requests, and ensuring compliance with agency policies and funding requirements.
* Monitor and oversee budget execution through forecasting, budget\-to\-actual analysis, and expenditure review, resolving issues and recommending adjustments as needed.
* Provide technical guidance, training, and coaching to staff on budget procedures, financial systems, and reporting standards to ensure consistent, high\-quality outcomes.
* Coordinate and prepare budget\-related reports, schedules, and analyses for management, executive leadership, governing bodies, and external stakeholders.
* Identify process weaknesses and opportunities for improvement, and direct the development and implementation of budget tools, controls, and procedures to enhance efficiency and accountability.
* Performs other duties of a similar nature and level as assigned.
**Required Knowledge \&amp; Skills:**  
**Knowledge of:**  
* Extensive understanding of supervisory practices and performance evaluation.
* Advanced knowledge of operating and capital budget development practices.
* Comprehensive understanding of funding schedule reconciliation methodologies.
* Expanded familiarity with internal controls in financial reporting.
* Extensive practice of public\-sector supervisory procedures.
* Thorough understanding of capital project funding coordination.
* Advanced knowledge of federal budget reporting practices.
* Using a computer and related software.
**Skill in:**  
* Supervising budget staff, providing training and performance evaluation.
* Facilitating comprehensive budget development processes.
* Coordinating capital and operating budget schedules.
* Validating divisional budget request accuracy.
* Facilitating budget policy changes.
* Training staff on Agency\-wide financial procedures.
* Monitoring budget\-to\-actual financial reporting.
* Communication and interpersonal skills to exchange information and receive work direction.
**Physical Demands / Work Environment**
---------------------------------------
Work is performed primarily in an office setting with routine use of standard office equipment. This sedentary position involves prolonged sitting and occasional lifting or moving of up to 10 pounds. The role requires hand dexterity, visual acuity, hearing, and speaking for communication, as well as occasional walking, standing, reaching, and twisting. Employees must be able to manage time\-sensitive tasks, multitask, adapt to changing priorities, and work collaboratively with others, including periods of irregular schedules or overtime.  
**Valley Metro is a Drug\-Free Workplace and an Equal Opportunity Employer.**</t>
        </is>
      </c>
    </row>
    <row r="180">
      <c r="A180" t="inlineStr">
        <is>
          <t>in-38ebf1412ada51b9</t>
        </is>
      </c>
      <c r="B180" t="inlineStr">
        <is>
          <t>Global Signage &amp; Wayfinding Designer Program Manager, Workplace Design &amp; Construction (WD&amp;C)</t>
        </is>
      </c>
      <c r="C180" t="inlineStr">
        <is>
          <t>Amazon.com</t>
        </is>
      </c>
      <c r="D180" t="inlineStr">
        <is>
          <t>indeed</t>
        </is>
      </c>
      <c r="E180">
        <f>HYPERLINK("https://www.indeed.com/viewjob?jk=38ebf1412ada51b9", "https://www.indeed.com/viewjob?jk=38ebf1412ada51b9")</f>
        <v/>
      </c>
      <c r="F180">
        <f>HYPERLINK("https://www.amazon.jobs/jobs/3139013/global-signage--wayfinding-designer-program-manager-workplace-design--construction-wdc?cmpid=DA_INAD200785B", "https://www.amazon.jobs/jobs/3139013/global-signage--wayfinding-designer-program-manager-workplace-design--construction-wdc?cmpid=DA_INAD200785B")</f>
        <v/>
      </c>
      <c r="G180" t="inlineStr">
        <is>
          <t>Seattle, WA, US</t>
        </is>
      </c>
      <c r="H180" s="3" t="n">
        <v>45998</v>
      </c>
      <c r="I180"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in-e09393c131e10595</t>
        </is>
      </c>
      <c r="B181" t="inlineStr">
        <is>
          <t>Global Signage &amp; Wayfinding Designer Program Manager, Workplace Design &amp; Construction (WD&amp;C)</t>
        </is>
      </c>
      <c r="C181" t="inlineStr">
        <is>
          <t>Amazon.com</t>
        </is>
      </c>
      <c r="D181" t="inlineStr">
        <is>
          <t>indeed</t>
        </is>
      </c>
      <c r="E181">
        <f>HYPERLINK("https://www.indeed.com/viewjob?jk=e09393c131e10595", "https://www.indeed.com/viewjob?jk=e09393c131e10595")</f>
        <v/>
      </c>
      <c r="F181">
        <f>HYPERLINK("https://www.amazon.jobs/jobs/3139013/global-signage--wayfinding-designer-program-manager-workplace-design--construction-wdc?cmpid=DA_INAD200785B", "https://www.amazon.jobs/jobs/3139013/global-signage--wayfinding-designer-program-manager-workplace-design--construction-wdc?cmpid=DA_INAD200785B")</f>
        <v/>
      </c>
      <c r="G181" t="inlineStr">
        <is>
          <t>Arlington, VA, US</t>
        </is>
      </c>
      <c r="H181" s="3" t="n">
        <v>45998</v>
      </c>
      <c r="I181"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in-c5a3ccf3a38fde2c</t>
        </is>
      </c>
      <c r="B182" t="inlineStr">
        <is>
          <t>Senior Product Manager, Ads</t>
        </is>
      </c>
      <c r="C182" t="inlineStr">
        <is>
          <t>Amazon.com</t>
        </is>
      </c>
      <c r="D182" t="inlineStr">
        <is>
          <t>indeed</t>
        </is>
      </c>
      <c r="E182">
        <f>HYPERLINK("https://www.indeed.com/viewjob?jk=c5a3ccf3a38fde2c", "https://www.indeed.com/viewjob?jk=c5a3ccf3a38fde2c")</f>
        <v/>
      </c>
      <c r="F182">
        <f>HYPERLINK("https://www.amazon.jobs/jobs/3137569/senior-product-manager-ads?cmpid=DA_INAD200785B", "https://www.amazon.jobs/jobs/3137569/senior-product-manager-ads?cmpid=DA_INAD200785B")</f>
        <v/>
      </c>
      <c r="G182" t="inlineStr">
        <is>
          <t>Seattle, WA, US</t>
        </is>
      </c>
      <c r="H182" s="3" t="n">
        <v>45994</v>
      </c>
      <c r="I1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in-3799f9851d39b9ef</t>
        </is>
      </c>
      <c r="B183" t="inlineStr">
        <is>
          <t>Senior Product Manager, Ads</t>
        </is>
      </c>
      <c r="C183" t="inlineStr">
        <is>
          <t>Amazon.com</t>
        </is>
      </c>
      <c r="D183" t="inlineStr">
        <is>
          <t>indeed</t>
        </is>
      </c>
      <c r="E183">
        <f>HYPERLINK("https://www.indeed.com/viewjob?jk=3799f9851d39b9ef", "https://www.indeed.com/viewjob?jk=3799f9851d39b9ef")</f>
        <v/>
      </c>
      <c r="F183">
        <f>HYPERLINK("https://www.amazon.jobs/jobs/3137569/senior-product-manager-ads?cmpid=DA_INAD200785B", "https://www.amazon.jobs/jobs/3137569/senior-product-manager-ads?cmpid=DA_INAD200785B")</f>
        <v/>
      </c>
      <c r="G183" t="inlineStr">
        <is>
          <t>New York, NY, US</t>
        </is>
      </c>
      <c r="H183" s="3" t="n">
        <v>45994</v>
      </c>
      <c r="I1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in-6780075e766a0ea8</t>
        </is>
      </c>
      <c r="B184" t="inlineStr">
        <is>
          <t>Senior Product Manager, Ads</t>
        </is>
      </c>
      <c r="C184" t="inlineStr">
        <is>
          <t>Amazon.com</t>
        </is>
      </c>
      <c r="D184" t="inlineStr">
        <is>
          <t>indeed</t>
        </is>
      </c>
      <c r="E184">
        <f>HYPERLINK("https://www.indeed.com/viewjob?jk=6780075e766a0ea8", "https://www.indeed.com/viewjob?jk=6780075e766a0ea8")</f>
        <v/>
      </c>
      <c r="F184">
        <f>HYPERLINK("https://www.amazon.jobs/jobs/3137569/senior-product-manager-ads?cmpid=DA_INAD200785B", "https://www.amazon.jobs/jobs/3137569/senior-product-manager-ads?cmpid=DA_INAD200785B")</f>
        <v/>
      </c>
      <c r="G184" t="inlineStr">
        <is>
          <t>San Francisco, CA, US</t>
        </is>
      </c>
      <c r="H184" s="3" t="n">
        <v>45994</v>
      </c>
      <c r="I1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in-037037246792b0ae</t>
        </is>
      </c>
      <c r="B185" t="inlineStr">
        <is>
          <t>Senior Product Manager, Ads</t>
        </is>
      </c>
      <c r="C185" t="inlineStr">
        <is>
          <t>Amazon.com</t>
        </is>
      </c>
      <c r="D185" t="inlineStr">
        <is>
          <t>indeed</t>
        </is>
      </c>
      <c r="E185">
        <f>HYPERLINK("https://www.indeed.com/viewjob?jk=037037246792b0ae", "https://www.indeed.com/viewjob?jk=037037246792b0ae")</f>
        <v/>
      </c>
      <c r="F185">
        <f>HYPERLINK("https://www.amazon.jobs/jobs/3137569/senior-product-manager-ads?cmpid=DA_INAD200785B", "https://www.amazon.jobs/jobs/3137569/senior-product-manager-ads?cmpid=DA_INAD200785B")</f>
        <v/>
      </c>
      <c r="G185" t="inlineStr">
        <is>
          <t>Los Angeles, CA, US</t>
        </is>
      </c>
      <c r="H185" s="3" t="n">
        <v>45994</v>
      </c>
      <c r="I1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in-c4891d28e9b67f13</t>
        </is>
      </c>
      <c r="B186" t="inlineStr">
        <is>
          <t>Senior Product Manager, Ads</t>
        </is>
      </c>
      <c r="C186" t="inlineStr">
        <is>
          <t>Amazon.com</t>
        </is>
      </c>
      <c r="D186" t="inlineStr">
        <is>
          <t>indeed</t>
        </is>
      </c>
      <c r="E186">
        <f>HYPERLINK("https://www.indeed.com/viewjob?jk=c4891d28e9b67f13", "https://www.indeed.com/viewjob?jk=c4891d28e9b67f13")</f>
        <v/>
      </c>
      <c r="F186">
        <f>HYPERLINK("https://www.amazon.jobs/jobs/3137568/senior-product-manager-ads?cmpid=DA_INAD200785B", "https://www.amazon.jobs/jobs/3137568/senior-product-manager-ads?cmpid=DA_INAD200785B")</f>
        <v/>
      </c>
      <c r="G186" t="inlineStr">
        <is>
          <t>New York, NY, US</t>
        </is>
      </c>
      <c r="H186" s="3" t="n">
        <v>45994</v>
      </c>
      <c r="I1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in-0c787ba483f71951</t>
        </is>
      </c>
      <c r="B187" t="inlineStr">
        <is>
          <t>Senior Product Manager, Ads</t>
        </is>
      </c>
      <c r="C187" t="inlineStr">
        <is>
          <t>Amazon.com</t>
        </is>
      </c>
      <c r="D187" t="inlineStr">
        <is>
          <t>indeed</t>
        </is>
      </c>
      <c r="E187">
        <f>HYPERLINK("https://www.indeed.com/viewjob?jk=0c787ba483f71951", "https://www.indeed.com/viewjob?jk=0c787ba483f71951")</f>
        <v/>
      </c>
      <c r="F187">
        <f>HYPERLINK("https://www.amazon.jobs/jobs/3137568/senior-product-manager-ads?cmpid=DA_INAD200785B", "https://www.amazon.jobs/jobs/3137568/senior-product-manager-ads?cmpid=DA_INAD200785B")</f>
        <v/>
      </c>
      <c r="G187" t="inlineStr">
        <is>
          <t>Irvine, CA, US</t>
        </is>
      </c>
      <c r="H187" s="3" t="n">
        <v>45994</v>
      </c>
      <c r="I1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in-fa447760b526c1d4</t>
        </is>
      </c>
      <c r="B188" t="inlineStr">
        <is>
          <t>Senior Product Manager, Ads</t>
        </is>
      </c>
      <c r="C188" t="inlineStr">
        <is>
          <t>Amazon.com</t>
        </is>
      </c>
      <c r="D188" t="inlineStr">
        <is>
          <t>indeed</t>
        </is>
      </c>
      <c r="E188">
        <f>HYPERLINK("https://www.indeed.com/viewjob?jk=fa447760b526c1d4", "https://www.indeed.com/viewjob?jk=fa447760b526c1d4")</f>
        <v/>
      </c>
      <c r="F188">
        <f>HYPERLINK("https://www.amazon.jobs/jobs/3137568/senior-product-manager-ads?cmpid=DA_INAD200785B", "https://www.amazon.jobs/jobs/3137568/senior-product-manager-ads?cmpid=DA_INAD200785B")</f>
        <v/>
      </c>
      <c r="G188" t="inlineStr">
        <is>
          <t>San Francisco, CA, US</t>
        </is>
      </c>
      <c r="H188" s="3" t="n">
        <v>45994</v>
      </c>
      <c r="I1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in-f91145e754f732b4</t>
        </is>
      </c>
      <c r="B189" t="inlineStr">
        <is>
          <t>Senior Product Manager, Ads</t>
        </is>
      </c>
      <c r="C189" t="inlineStr">
        <is>
          <t>Amazon.com</t>
        </is>
      </c>
      <c r="D189" t="inlineStr">
        <is>
          <t>indeed</t>
        </is>
      </c>
      <c r="E189">
        <f>HYPERLINK("https://www.indeed.com/viewjob?jk=f91145e754f732b4", "https://www.indeed.com/viewjob?jk=f91145e754f732b4")</f>
        <v/>
      </c>
      <c r="F189">
        <f>HYPERLINK("https://www.amazon.jobs/jobs/3137568/senior-product-manager-ads?cmpid=DA_INAD200785B", "https://www.amazon.jobs/jobs/3137568/senior-product-manager-ads?cmpid=DA_INAD200785B")</f>
        <v/>
      </c>
      <c r="G189" t="inlineStr">
        <is>
          <t>Los Angeles, CA, US</t>
        </is>
      </c>
      <c r="H189" s="3" t="n">
        <v>45994</v>
      </c>
      <c r="I1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in-264455c50c396ee5</t>
        </is>
      </c>
      <c r="B190" t="inlineStr">
        <is>
          <t>Senior Product Manager, Ads</t>
        </is>
      </c>
      <c r="C190" t="inlineStr">
        <is>
          <t>Amazon.com</t>
        </is>
      </c>
      <c r="D190" t="inlineStr">
        <is>
          <t>indeed</t>
        </is>
      </c>
      <c r="E190">
        <f>HYPERLINK("https://www.indeed.com/viewjob?jk=264455c50c396ee5", "https://www.indeed.com/viewjob?jk=264455c50c396ee5")</f>
        <v/>
      </c>
      <c r="F190">
        <f>HYPERLINK("https://www.amazon.jobs/jobs/3137569/senior-product-manager-ads?cmpid=DA_INAD200785B", "https://www.amazon.jobs/jobs/3137569/senior-product-manager-ads?cmpid=DA_INAD200785B")</f>
        <v/>
      </c>
      <c r="G190" t="inlineStr">
        <is>
          <t>Irvine, CA, US</t>
        </is>
      </c>
      <c r="H190" s="3" t="n">
        <v>45994</v>
      </c>
      <c r="I1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in-e2e55cb02eff0346</t>
        </is>
      </c>
      <c r="B191" t="inlineStr">
        <is>
          <t>Senior Product Manager, Ads</t>
        </is>
      </c>
      <c r="C191" t="inlineStr">
        <is>
          <t>Amazon.com</t>
        </is>
      </c>
      <c r="D191" t="inlineStr">
        <is>
          <t>indeed</t>
        </is>
      </c>
      <c r="E191">
        <f>HYPERLINK("https://www.indeed.com/viewjob?jk=e2e55cb02eff0346", "https://www.indeed.com/viewjob?jk=e2e55cb02eff0346")</f>
        <v/>
      </c>
      <c r="F191">
        <f>HYPERLINK("https://www.amazon.jobs/jobs/3137568/senior-product-manager-ads?cmpid=DA_INAD200785B", "https://www.amazon.jobs/jobs/3137568/senior-product-manager-ads?cmpid=DA_INAD200785B")</f>
        <v/>
      </c>
      <c r="G191" t="inlineStr">
        <is>
          <t>Seattle, WA, US</t>
        </is>
      </c>
      <c r="H191" s="3" t="n">
        <v>45994</v>
      </c>
      <c r="I1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in-0d9f7407c4463c06</t>
        </is>
      </c>
      <c r="B192" t="inlineStr">
        <is>
          <t>Sr. Product Manager</t>
        </is>
      </c>
      <c r="C192" t="inlineStr">
        <is>
          <t>Amazon.com</t>
        </is>
      </c>
      <c r="D192" t="inlineStr">
        <is>
          <t>indeed</t>
        </is>
      </c>
      <c r="E192">
        <f>HYPERLINK("https://www.indeed.com/viewjob?jk=0d9f7407c4463c06", "https://www.indeed.com/viewjob?jk=0d9f7407c4463c06")</f>
        <v/>
      </c>
      <c r="F192">
        <f>HYPERLINK("https://www.amazon.jobs/jobs/3129468/sr-product-manager?cmpid=DA_INAD200785B", "https://www.amazon.jobs/jobs/3129468/sr-product-manager?cmpid=DA_INAD200785B")</f>
        <v/>
      </c>
      <c r="G192" t="inlineStr">
        <is>
          <t>San Francisco, CA, US</t>
        </is>
      </c>
      <c r="H192" s="3" t="n">
        <v>45979</v>
      </c>
      <c r="I1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in-0bbca23bd82608f1</t>
        </is>
      </c>
      <c r="B193" t="inlineStr">
        <is>
          <t>Sr. Product Manager</t>
        </is>
      </c>
      <c r="C193" t="inlineStr">
        <is>
          <t>Amazon.com</t>
        </is>
      </c>
      <c r="D193" t="inlineStr">
        <is>
          <t>indeed</t>
        </is>
      </c>
      <c r="E193">
        <f>HYPERLINK("https://www.indeed.com/viewjob?jk=0bbca23bd82608f1", "https://www.indeed.com/viewjob?jk=0bbca23bd82608f1")</f>
        <v/>
      </c>
      <c r="F193">
        <f>HYPERLINK("https://www.amazon.jobs/jobs/3129468/sr-product-manager?cmpid=DA_INAD200785B", "https://www.amazon.jobs/jobs/3129468/sr-product-manager?cmpid=DA_INAD200785B")</f>
        <v/>
      </c>
      <c r="G193" t="inlineStr">
        <is>
          <t>New York, NY, US</t>
        </is>
      </c>
      <c r="H193" s="3" t="n">
        <v>45979</v>
      </c>
      <c r="I1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in-e52c8dcb0f0becd6</t>
        </is>
      </c>
      <c r="B194" t="inlineStr">
        <is>
          <t>Sr. Product Manager</t>
        </is>
      </c>
      <c r="C194" t="inlineStr">
        <is>
          <t>Amazon.com</t>
        </is>
      </c>
      <c r="D194" t="inlineStr">
        <is>
          <t>indeed</t>
        </is>
      </c>
      <c r="E194">
        <f>HYPERLINK("https://www.indeed.com/viewjob?jk=e52c8dcb0f0becd6", "https://www.indeed.com/viewjob?jk=e52c8dcb0f0becd6")</f>
        <v/>
      </c>
      <c r="F194">
        <f>HYPERLINK("https://www.amazon.jobs/jobs/3129468/sr-product-manager?cmpid=DA_INAD200785B", "https://www.amazon.jobs/jobs/3129468/sr-product-manager?cmpid=DA_INAD200785B")</f>
        <v/>
      </c>
      <c r="G194" t="inlineStr">
        <is>
          <t>Los Angeles, CA, US</t>
        </is>
      </c>
      <c r="H194" s="3" t="n">
        <v>45979</v>
      </c>
      <c r="I1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in-0c1203876585d52e</t>
        </is>
      </c>
      <c r="B195" t="inlineStr">
        <is>
          <t>Sr. Product Manager</t>
        </is>
      </c>
      <c r="C195" t="inlineStr">
        <is>
          <t>Amazon.com</t>
        </is>
      </c>
      <c r="D195" t="inlineStr">
        <is>
          <t>indeed</t>
        </is>
      </c>
      <c r="E195">
        <f>HYPERLINK("https://www.indeed.com/viewjob?jk=0c1203876585d52e", "https://www.indeed.com/viewjob?jk=0c1203876585d52e")</f>
        <v/>
      </c>
      <c r="F195">
        <f>HYPERLINK("https://www.amazon.jobs/jobs/3129468/sr-product-manager?cmpid=DA_INAD200785B", "https://www.amazon.jobs/jobs/3129468/sr-product-manager?cmpid=DA_INAD200785B")</f>
        <v/>
      </c>
      <c r="G195" t="inlineStr">
        <is>
          <t>Seattle, WA, US</t>
        </is>
      </c>
      <c r="H195" s="3" t="n">
        <v>45979</v>
      </c>
      <c r="I1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in-42d12e8657216825</t>
        </is>
      </c>
      <c r="B196" t="inlineStr">
        <is>
          <t>Sr. Product Manager</t>
        </is>
      </c>
      <c r="C196" t="inlineStr">
        <is>
          <t>Amazon.com</t>
        </is>
      </c>
      <c r="D196" t="inlineStr">
        <is>
          <t>indeed</t>
        </is>
      </c>
      <c r="E196">
        <f>HYPERLINK("https://www.indeed.com/viewjob?jk=42d12e8657216825", "https://www.indeed.com/viewjob?jk=42d12e8657216825")</f>
        <v/>
      </c>
      <c r="F196">
        <f>HYPERLINK("https://www.amazon.jobs/jobs/3129468/sr-product-manager?cmpid=DA_INAD200785B", "https://www.amazon.jobs/jobs/3129468/sr-product-manager?cmpid=DA_INAD200785B")</f>
        <v/>
      </c>
      <c r="G196" t="inlineStr">
        <is>
          <t>Irvine, CA, US</t>
        </is>
      </c>
      <c r="H196" s="3" t="n">
        <v>45979</v>
      </c>
      <c r="I1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in-acd5d3ad7767b81c</t>
        </is>
      </c>
      <c r="B197" t="inlineStr">
        <is>
          <t>Program Manager, Executive Content and Programs, Global Executive Marketing</t>
        </is>
      </c>
      <c r="C197" t="inlineStr">
        <is>
          <t>Amazon Web Services</t>
        </is>
      </c>
      <c r="D197" t="inlineStr">
        <is>
          <t>indeed</t>
        </is>
      </c>
      <c r="E197">
        <f>HYPERLINK("https://www.indeed.com/viewjob?jk=acd5d3ad7767b81c", "https://www.indeed.com/viewjob?jk=acd5d3ad7767b81c")</f>
        <v/>
      </c>
      <c r="F197">
        <f>HYPERLINK("https://www.amazon.jobs/jobs/3125520/program-manager-executive-content-and-programs-global-executive-marketing?cmpid=DA_INAD200785B", "https://www.amazon.jobs/jobs/3125520/program-manager-executive-content-and-programs-global-executive-marketing?cmpid=DA_INAD200785B")</f>
        <v/>
      </c>
      <c r="G197" t="inlineStr">
        <is>
          <t>Arlington, VA, US</t>
        </is>
      </c>
      <c r="H197" s="3" t="n">
        <v>45970</v>
      </c>
      <c r="I197"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in-a42da6a9bbf0ffeb</t>
        </is>
      </c>
      <c r="B198" t="inlineStr">
        <is>
          <t>Program Manager, Executive Content and Programs, Global Executive Marketing</t>
        </is>
      </c>
      <c r="C198" t="inlineStr">
        <is>
          <t>Amazon Web Services</t>
        </is>
      </c>
      <c r="D198" t="inlineStr">
        <is>
          <t>indeed</t>
        </is>
      </c>
      <c r="E198">
        <f>HYPERLINK("https://www.indeed.com/viewjob?jk=a42da6a9bbf0ffeb", "https://www.indeed.com/viewjob?jk=a42da6a9bbf0ffeb")</f>
        <v/>
      </c>
      <c r="F198">
        <f>HYPERLINK("https://www.amazon.jobs/jobs/3125520/program-manager-executive-content-and-programs-global-executive-marketing?cmpid=DA_INAD200785B", "https://www.amazon.jobs/jobs/3125520/program-manager-executive-content-and-programs-global-executive-marketing?cmpid=DA_INAD200785B")</f>
        <v/>
      </c>
      <c r="G198" t="inlineStr">
        <is>
          <t>Seattle, WA, US</t>
        </is>
      </c>
      <c r="H198" s="3" t="n">
        <v>45970</v>
      </c>
      <c r="I198"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in-3d829c27bc6dba93</t>
        </is>
      </c>
      <c r="B199" t="inlineStr">
        <is>
          <t>Senior Product Manager, Sub Same Day</t>
        </is>
      </c>
      <c r="C199" t="inlineStr">
        <is>
          <t>Amazon.com</t>
        </is>
      </c>
      <c r="D199" t="inlineStr">
        <is>
          <t>indeed</t>
        </is>
      </c>
      <c r="E199">
        <f>HYPERLINK("https://www.indeed.com/viewjob?jk=3d829c27bc6dba93", "https://www.indeed.com/viewjob?jk=3d829c27bc6dba93")</f>
        <v/>
      </c>
      <c r="F199">
        <f>HYPERLINK("https://www.amazon.jobs/jobs/3122677/senior-product-manager-sub-same-day?cmpid=DA_INAD200785B", "https://www.amazon.jobs/jobs/3122677/senior-product-manager-sub-same-day?cmpid=DA_INAD200785B")</f>
        <v/>
      </c>
      <c r="G199" t="inlineStr">
        <is>
          <t>Nashville, TN, US</t>
        </is>
      </c>
      <c r="H199" s="3" t="n">
        <v>45957</v>
      </c>
      <c r="I199"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in-f43d2abbedae9afc</t>
        </is>
      </c>
      <c r="B200" t="inlineStr">
        <is>
          <t>Senior Product Manager, Sub Same Day</t>
        </is>
      </c>
      <c r="C200" t="inlineStr">
        <is>
          <t>Amazon.com</t>
        </is>
      </c>
      <c r="D200" t="inlineStr">
        <is>
          <t>indeed</t>
        </is>
      </c>
      <c r="E200">
        <f>HYPERLINK("https://www.indeed.com/viewjob?jk=f43d2abbedae9afc", "https://www.indeed.com/viewjob?jk=f43d2abbedae9afc")</f>
        <v/>
      </c>
      <c r="F200">
        <f>HYPERLINK("https://www.amazon.jobs/jobs/3122677/senior-product-manager-sub-same-day?cmpid=DA_INAD200785B", "https://www.amazon.jobs/jobs/3122677/senior-product-manager-sub-same-day?cmpid=DA_INAD200785B")</f>
        <v/>
      </c>
      <c r="G200" t="inlineStr">
        <is>
          <t>Bellevue, WA, US</t>
        </is>
      </c>
      <c r="H200" s="3" t="n">
        <v>45957</v>
      </c>
      <c r="I200"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in-dc5343d4cc921ef0</t>
        </is>
      </c>
      <c r="B201" t="inlineStr">
        <is>
          <t>Senior Product Manager, Sub Same Day</t>
        </is>
      </c>
      <c r="C201" t="inlineStr">
        <is>
          <t>Amazon.com</t>
        </is>
      </c>
      <c r="D201" t="inlineStr">
        <is>
          <t>indeed</t>
        </is>
      </c>
      <c r="E201">
        <f>HYPERLINK("https://www.indeed.com/viewjob?jk=dc5343d4cc921ef0", "https://www.indeed.com/viewjob?jk=dc5343d4cc921ef0")</f>
        <v/>
      </c>
      <c r="F201">
        <f>HYPERLINK("https://www.amazon.jobs/jobs/3122677/senior-product-manager-sub-same-day?cmpid=DA_INAD200785B", "https://www.amazon.jobs/jobs/3122677/senior-product-manager-sub-same-day?cmpid=DA_INAD200785B")</f>
        <v/>
      </c>
      <c r="G201" t="inlineStr">
        <is>
          <t>New York, NY, US</t>
        </is>
      </c>
      <c r="H201" s="3" t="n">
        <v>45957</v>
      </c>
      <c r="I201"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in-e4f32219960aab5d</t>
        </is>
      </c>
      <c r="B202" t="inlineStr">
        <is>
          <t>Sr. Program Manager, Planning &amp; Automation, Global Fleet and Products Electrification and Infrastructure</t>
        </is>
      </c>
      <c r="C202" t="inlineStr">
        <is>
          <t>Amazon.com</t>
        </is>
      </c>
      <c r="D202" t="inlineStr">
        <is>
          <t>indeed</t>
        </is>
      </c>
      <c r="E202">
        <f>HYPERLINK("https://www.indeed.com/viewjob?jk=e4f32219960aab5d", "https://www.indeed.com/viewjob?jk=e4f32219960aab5d")</f>
        <v/>
      </c>
      <c r="F202">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202" t="inlineStr">
        <is>
          <t>San Francisco, CA, US</t>
        </is>
      </c>
      <c r="H202" s="3" t="n">
        <v>45949</v>
      </c>
      <c r="I202"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in-8fcf265307d7a498</t>
        </is>
      </c>
      <c r="B203" t="inlineStr">
        <is>
          <t>Sr. Program Manager, Planning &amp; Automation, Global Fleet and Products Electrification and Infrastructure</t>
        </is>
      </c>
      <c r="C203" t="inlineStr">
        <is>
          <t>Amazon.com</t>
        </is>
      </c>
      <c r="D203" t="inlineStr">
        <is>
          <t>indeed</t>
        </is>
      </c>
      <c r="E203">
        <f>HYPERLINK("https://www.indeed.com/viewjob?jk=8fcf265307d7a498", "https://www.indeed.com/viewjob?jk=8fcf265307d7a498")</f>
        <v/>
      </c>
      <c r="F203">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203" t="inlineStr">
        <is>
          <t>Nashville, TN, US</t>
        </is>
      </c>
      <c r="H203" s="3" t="n">
        <v>45949</v>
      </c>
      <c r="I203"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in-35b7b2d14a8ca38f</t>
        </is>
      </c>
      <c r="B204" t="inlineStr">
        <is>
          <t>Sr. Program Manager, Planning &amp; Automation, Global Fleet and Products Electrification and Infrastructure</t>
        </is>
      </c>
      <c r="C204" t="inlineStr">
        <is>
          <t>Amazon.com</t>
        </is>
      </c>
      <c r="D204" t="inlineStr">
        <is>
          <t>indeed</t>
        </is>
      </c>
      <c r="E204">
        <f>HYPERLINK("https://www.indeed.com/viewjob?jk=35b7b2d14a8ca38f", "https://www.indeed.com/viewjob?jk=35b7b2d14a8ca38f")</f>
        <v/>
      </c>
      <c r="F204">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204" t="inlineStr">
        <is>
          <t>Bellevue, WA, US</t>
        </is>
      </c>
      <c r="H204" s="3" t="n">
        <v>45949</v>
      </c>
      <c r="I204"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in-ffeb56e34e61b5b9</t>
        </is>
      </c>
      <c r="B205" t="inlineStr">
        <is>
          <t>Sr Program Manager, Procurement Operations, SSD OI</t>
        </is>
      </c>
      <c r="C205" t="inlineStr">
        <is>
          <t>Amazon.com</t>
        </is>
      </c>
      <c r="D205" t="inlineStr">
        <is>
          <t>indeed</t>
        </is>
      </c>
      <c r="E205">
        <f>HYPERLINK("https://www.indeed.com/viewjob?jk=ffeb56e34e61b5b9", "https://www.indeed.com/viewjob?jk=ffeb56e34e61b5b9")</f>
        <v/>
      </c>
      <c r="F205">
        <f>HYPERLINK("https://www.amazon.jobs/jobs/3120809/sr-program-manager-procurement-operations-ssd-oi-?cmpid=DA_INAD200785B", "https://www.amazon.jobs/jobs/3120809/sr-program-manager-procurement-operations-ssd-oi-?cmpid=DA_INAD200785B")</f>
        <v/>
      </c>
      <c r="G205" t="inlineStr">
        <is>
          <t>Nashville, TN, US</t>
        </is>
      </c>
      <c r="H205" s="3" t="n">
        <v>45938</v>
      </c>
      <c r="I205"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in-dd81abca01682cc9</t>
        </is>
      </c>
      <c r="B206" t="inlineStr">
        <is>
          <t>Sr Program Manager, Procurement Operations, SSD OI</t>
        </is>
      </c>
      <c r="C206" t="inlineStr">
        <is>
          <t>Amazon.com</t>
        </is>
      </c>
      <c r="D206" t="inlineStr">
        <is>
          <t>indeed</t>
        </is>
      </c>
      <c r="E206">
        <f>HYPERLINK("https://www.indeed.com/viewjob?jk=dd81abca01682cc9", "https://www.indeed.com/viewjob?jk=dd81abca01682cc9")</f>
        <v/>
      </c>
      <c r="F206">
        <f>HYPERLINK("https://www.amazon.jobs/jobs/3120809/sr-program-manager-procurement-operations-ssd-oi-?cmpid=DA_INAD200785B", "https://www.amazon.jobs/jobs/3120809/sr-program-manager-procurement-operations-ssd-oi-?cmpid=DA_INAD200785B")</f>
        <v/>
      </c>
      <c r="G206" t="inlineStr">
        <is>
          <t>Bellevue, WA, US</t>
        </is>
      </c>
      <c r="H206" s="3" t="n">
        <v>45938</v>
      </c>
      <c r="I206"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in-81930dd6bee799bb</t>
        </is>
      </c>
      <c r="B207" t="inlineStr">
        <is>
          <t>Sr Program Manager, Procurement Operations, SSD OI</t>
        </is>
      </c>
      <c r="C207" t="inlineStr">
        <is>
          <t>Amazon.com</t>
        </is>
      </c>
      <c r="D207" t="inlineStr">
        <is>
          <t>indeed</t>
        </is>
      </c>
      <c r="E207">
        <f>HYPERLINK("https://www.indeed.com/viewjob?jk=81930dd6bee799bb", "https://www.indeed.com/viewjob?jk=81930dd6bee799bb")</f>
        <v/>
      </c>
      <c r="F207">
        <f>HYPERLINK("https://www.amazon.jobs/jobs/3120809/sr-program-manager-procurement-operations-ssd-oi-?cmpid=DA_INAD200785B", "https://www.amazon.jobs/jobs/3120809/sr-program-manager-procurement-operations-ssd-oi-?cmpid=DA_INAD200785B")</f>
        <v/>
      </c>
      <c r="G207" t="inlineStr">
        <is>
          <t>New York, NY, US</t>
        </is>
      </c>
      <c r="H207" s="3" t="n">
        <v>45938</v>
      </c>
      <c r="I207"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in-05b4fb12e3ccc775</t>
        </is>
      </c>
      <c r="B208" t="inlineStr">
        <is>
          <t>Sr. Supply Chain Product Manager, Amazon Custom Modules</t>
        </is>
      </c>
      <c r="C208" t="inlineStr">
        <is>
          <t>Amazon.com</t>
        </is>
      </c>
      <c r="D208" t="inlineStr">
        <is>
          <t>indeed</t>
        </is>
      </c>
      <c r="E208">
        <f>HYPERLINK("https://www.indeed.com/viewjob?jk=05b4fb12e3ccc775", "https://www.indeed.com/viewjob?jk=05b4fb12e3ccc775")</f>
        <v/>
      </c>
      <c r="F208">
        <f>HYPERLINK("https://www.amazon.jobs/jobs/3109372/sr-supply-chain-product-manager-amazon-custom-modules?cmpid=DA_INAD200785B", "https://www.amazon.jobs/jobs/3109372/sr-supply-chain-product-manager-amazon-custom-modules?cmpid=DA_INAD200785B")</f>
        <v/>
      </c>
      <c r="G208" t="inlineStr">
        <is>
          <t>Austin, TX, US</t>
        </is>
      </c>
      <c r="H208" s="3" t="n">
        <v>45935</v>
      </c>
      <c r="I20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in-05dbb3d95a086d0f</t>
        </is>
      </c>
      <c r="B209" t="inlineStr">
        <is>
          <t>Sr. Supply Chain Product Manager, Amazon Custom Modules</t>
        </is>
      </c>
      <c r="C209" t="inlineStr">
        <is>
          <t>Amazon.com</t>
        </is>
      </c>
      <c r="D209" t="inlineStr">
        <is>
          <t>indeed</t>
        </is>
      </c>
      <c r="E209">
        <f>HYPERLINK("https://www.indeed.com/viewjob?jk=05dbb3d95a086d0f", "https://www.indeed.com/viewjob?jk=05dbb3d95a086d0f")</f>
        <v/>
      </c>
      <c r="F209">
        <f>HYPERLINK("https://www.amazon.jobs/jobs/3109372/sr-supply-chain-product-manager-amazon-custom-modules?cmpid=DA_INAD200785B", "https://www.amazon.jobs/jobs/3109372/sr-supply-chain-product-manager-amazon-custom-modules?cmpid=DA_INAD200785B")</f>
        <v/>
      </c>
      <c r="G209" t="inlineStr">
        <is>
          <t>Seattle, WA, US</t>
        </is>
      </c>
      <c r="H209" s="3" t="n">
        <v>45935</v>
      </c>
      <c r="I20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in-dcc708ed3f60685f</t>
        </is>
      </c>
      <c r="B210" t="inlineStr">
        <is>
          <t>Sr. Supply Chain Product Manager, Amazon Custom Modules</t>
        </is>
      </c>
      <c r="C210" t="inlineStr">
        <is>
          <t>Amazon.com</t>
        </is>
      </c>
      <c r="D210" t="inlineStr">
        <is>
          <t>indeed</t>
        </is>
      </c>
      <c r="E210">
        <f>HYPERLINK("https://www.indeed.com/viewjob?jk=dcc708ed3f60685f", "https://www.indeed.com/viewjob?jk=dcc708ed3f60685f")</f>
        <v/>
      </c>
      <c r="F210">
        <f>HYPERLINK("https://www.amazon.jobs/jobs/3109372/sr-supply-chain-product-manager-amazon-custom-modules?cmpid=DA_INAD200785B", "https://www.amazon.jobs/jobs/3109372/sr-supply-chain-product-manager-amazon-custom-modules?cmpid=DA_INAD200785B")</f>
        <v/>
      </c>
      <c r="G210" t="inlineStr">
        <is>
          <t>Cupertino, CA, US</t>
        </is>
      </c>
      <c r="H210" s="3" t="n">
        <v>45935</v>
      </c>
      <c r="I21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in-6c7f2d68891a73c8</t>
        </is>
      </c>
      <c r="B211" t="inlineStr">
        <is>
          <t>Sr. Program Manager, Same Day Programs,</t>
        </is>
      </c>
      <c r="C211" t="inlineStr">
        <is>
          <t>Amazon.com</t>
        </is>
      </c>
      <c r="D211" t="inlineStr">
        <is>
          <t>indeed</t>
        </is>
      </c>
      <c r="E211">
        <f>HYPERLINK("https://www.indeed.com/viewjob?jk=6c7f2d68891a73c8", "https://www.indeed.com/viewjob?jk=6c7f2d68891a73c8")</f>
        <v/>
      </c>
      <c r="F211">
        <f>HYPERLINK("https://www.amazon.jobs/jobs/3106368/sr-program-manager-same-day-programs--?cmpid=DA_INAD200785B", "https://www.amazon.jobs/jobs/3106368/sr-program-manager-same-day-programs--?cmpid=DA_INAD200785B")</f>
        <v/>
      </c>
      <c r="G211" t="inlineStr">
        <is>
          <t>Nashville, TN, US</t>
        </is>
      </c>
      <c r="H211" s="3" t="n">
        <v>45931</v>
      </c>
      <c r="I211"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in-acce803ca1ee690e</t>
        </is>
      </c>
      <c r="B212" t="inlineStr">
        <is>
          <t>Sr. Program Manager, Same Day Programs,</t>
        </is>
      </c>
      <c r="C212" t="inlineStr">
        <is>
          <t>Amazon.com</t>
        </is>
      </c>
      <c r="D212" t="inlineStr">
        <is>
          <t>indeed</t>
        </is>
      </c>
      <c r="E212">
        <f>HYPERLINK("https://www.indeed.com/viewjob?jk=acce803ca1ee690e", "https://www.indeed.com/viewjob?jk=acce803ca1ee690e")</f>
        <v/>
      </c>
      <c r="F212">
        <f>HYPERLINK("https://www.amazon.jobs/jobs/3106368/sr-program-manager-same-day-programs--?cmpid=DA_INAD200785B", "https://www.amazon.jobs/jobs/3106368/sr-program-manager-same-day-programs--?cmpid=DA_INAD200785B")</f>
        <v/>
      </c>
      <c r="G212" t="inlineStr">
        <is>
          <t>Bellevue, WA, US</t>
        </is>
      </c>
      <c r="H212" s="3" t="n">
        <v>45931</v>
      </c>
      <c r="I212"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in-0974ace6c5b55aa4</t>
        </is>
      </c>
      <c r="B213" t="inlineStr">
        <is>
          <t>Tech Infrastructure Program Manager - AV , IT Services - CIS</t>
        </is>
      </c>
      <c r="C213" t="inlineStr">
        <is>
          <t>Amazon.com</t>
        </is>
      </c>
      <c r="D213" t="inlineStr">
        <is>
          <t>indeed</t>
        </is>
      </c>
      <c r="E213">
        <f>HYPERLINK("https://www.indeed.com/viewjob?jk=0974ace6c5b55aa4", "https://www.indeed.com/viewjob?jk=0974ace6c5b55aa4")</f>
        <v/>
      </c>
      <c r="F213">
        <f>HYPERLINK("https://www.amazon.jobs/jobs/3114622/tech-infrastructure-program-manager--av--it-services--cis?cmpid=DA_INAD200785B", "https://www.amazon.jobs/jobs/3114622/tech-infrastructure-program-manager--av--it-services--cis?cmpid=DA_INAD200785B")</f>
        <v/>
      </c>
      <c r="G213" t="inlineStr">
        <is>
          <t>Austin, TX, US</t>
        </is>
      </c>
      <c r="H213" s="3" t="n">
        <v>45923</v>
      </c>
      <c r="I213"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in-3800eeae930f0f68</t>
        </is>
      </c>
      <c r="B214" t="inlineStr">
        <is>
          <t>Tech Infrastructure Program Manager - AV , IT Services - CIS</t>
        </is>
      </c>
      <c r="C214" t="inlineStr">
        <is>
          <t>Amazon.com</t>
        </is>
      </c>
      <c r="D214" t="inlineStr">
        <is>
          <t>indeed</t>
        </is>
      </c>
      <c r="E214">
        <f>HYPERLINK("https://www.indeed.com/viewjob?jk=3800eeae930f0f68", "https://www.indeed.com/viewjob?jk=3800eeae930f0f68")</f>
        <v/>
      </c>
      <c r="F214">
        <f>HYPERLINK("https://www.amazon.jobs/jobs/3114622/tech-infrastructure-program-manager--av--it-services--cis?cmpid=DA_INAD200785B", "https://www.amazon.jobs/jobs/3114622/tech-infrastructure-program-manager--av--it-services--cis?cmpid=DA_INAD200785B")</f>
        <v/>
      </c>
      <c r="G214" t="inlineStr">
        <is>
          <t>Sunnyvale, CA, US</t>
        </is>
      </c>
      <c r="H214" s="3" t="n">
        <v>45923</v>
      </c>
      <c r="I214"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in-0bf4d85c639d28b5</t>
        </is>
      </c>
      <c r="B215" t="inlineStr">
        <is>
          <t>Tech Infrastructure Program Manager - AV , IT Services - CIS</t>
        </is>
      </c>
      <c r="C215" t="inlineStr">
        <is>
          <t>Amazon.com</t>
        </is>
      </c>
      <c r="D215" t="inlineStr">
        <is>
          <t>indeed</t>
        </is>
      </c>
      <c r="E215">
        <f>HYPERLINK("https://www.indeed.com/viewjob?jk=0bf4d85c639d28b5", "https://www.indeed.com/viewjob?jk=0bf4d85c639d28b5")</f>
        <v/>
      </c>
      <c r="F215">
        <f>HYPERLINK("https://www.amazon.jobs/jobs/3114622/tech-infrastructure-program-manager--av--it-services--cis?cmpid=DA_INAD200785B", "https://www.amazon.jobs/jobs/3114622/tech-infrastructure-program-manager--av--it-services--cis?cmpid=DA_INAD200785B")</f>
        <v/>
      </c>
      <c r="G215" t="inlineStr">
        <is>
          <t>Arlington, VA, US</t>
        </is>
      </c>
      <c r="H215" s="3" t="n">
        <v>45923</v>
      </c>
      <c r="I215"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in-6606e9c67fd3c80b</t>
        </is>
      </c>
      <c r="B216" t="inlineStr">
        <is>
          <t>Tech Infrastructure Program Manager - AV , IT Services - CIS</t>
        </is>
      </c>
      <c r="C216" t="inlineStr">
        <is>
          <t>Amazon.com</t>
        </is>
      </c>
      <c r="D216" t="inlineStr">
        <is>
          <t>indeed</t>
        </is>
      </c>
      <c r="E216">
        <f>HYPERLINK("https://www.indeed.com/viewjob?jk=6606e9c67fd3c80b", "https://www.indeed.com/viewjob?jk=6606e9c67fd3c80b")</f>
        <v/>
      </c>
      <c r="F216">
        <f>HYPERLINK("https://www.amazon.jobs/jobs/3114622/tech-infrastructure-program-manager--av--it-services--cis?cmpid=DA_INAD200785B", "https://www.amazon.jobs/jobs/3114622/tech-infrastructure-program-manager--av--it-services--cis?cmpid=DA_INAD200785B")</f>
        <v/>
      </c>
      <c r="G216" t="inlineStr">
        <is>
          <t>Seattle, WA, US</t>
        </is>
      </c>
      <c r="H216" s="3" t="n">
        <v>45923</v>
      </c>
      <c r="I216"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in-cc505166c1853321</t>
        </is>
      </c>
      <c r="B217" t="inlineStr">
        <is>
          <t>Amazon Last Mile Fleet Program Manager, In Life Services-Recalls, Retrofits, and Tires</t>
        </is>
      </c>
      <c r="C217" t="inlineStr">
        <is>
          <t>Amazon.com</t>
        </is>
      </c>
      <c r="D217" t="inlineStr">
        <is>
          <t>indeed</t>
        </is>
      </c>
      <c r="E217">
        <f>HYPERLINK("https://www.indeed.com/viewjob?jk=cc505166c1853321", "https://www.indeed.com/viewjob?jk=cc505166c1853321")</f>
        <v/>
      </c>
      <c r="F217">
        <f>HYPERLINK("https://www.amazon.jobs/jobs/3083275/amazon-last-mile-fleet-program-manager-in-life-servicesrecalls-retrofits-and-tires?cmpid=DA_INAD200785B", "https://www.amazon.jobs/jobs/3083275/amazon-last-mile-fleet-program-manager-in-life-servicesrecalls-retrofits-and-tires?cmpid=DA_INAD200785B")</f>
        <v/>
      </c>
      <c r="G217" t="inlineStr">
        <is>
          <t>Bellevue, WA, US</t>
        </is>
      </c>
      <c r="H217" s="3" t="n">
        <v>45911</v>
      </c>
      <c r="I217"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in-420c6b18e9827812</t>
        </is>
      </c>
      <c r="B218" t="inlineStr">
        <is>
          <t>Amazon Last Mile Fleet Program Manager, In Life Services-Recalls, Retrofits, and Tires</t>
        </is>
      </c>
      <c r="C218" t="inlineStr">
        <is>
          <t>Amazon.com</t>
        </is>
      </c>
      <c r="D218" t="inlineStr">
        <is>
          <t>indeed</t>
        </is>
      </c>
      <c r="E218">
        <f>HYPERLINK("https://www.indeed.com/viewjob?jk=420c6b18e9827812", "https://www.indeed.com/viewjob?jk=420c6b18e9827812")</f>
        <v/>
      </c>
      <c r="F218">
        <f>HYPERLINK("https://www.amazon.jobs/jobs/3083275/amazon-last-mile-fleet-program-manager-in-life-servicesrecalls-retrofits-and-tires?cmpid=DA_INAD200785B", "https://www.amazon.jobs/jobs/3083275/amazon-last-mile-fleet-program-manager-in-life-servicesrecalls-retrofits-and-tires?cmpid=DA_INAD200785B")</f>
        <v/>
      </c>
      <c r="G218" t="inlineStr">
        <is>
          <t>Nashville, TN, US</t>
        </is>
      </c>
      <c r="H218" s="3" t="n">
        <v>45911</v>
      </c>
      <c r="I218"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in-732f07044ad00736</t>
        </is>
      </c>
      <c r="B219" t="inlineStr">
        <is>
          <t>Amazon Last Mile Fleet Program Manager, In Life Services-Recalls, Retrofits, and Tires</t>
        </is>
      </c>
      <c r="C219" t="inlineStr">
        <is>
          <t>Amazon.com</t>
        </is>
      </c>
      <c r="D219" t="inlineStr">
        <is>
          <t>indeed</t>
        </is>
      </c>
      <c r="E219">
        <f>HYPERLINK("https://www.indeed.com/viewjob?jk=732f07044ad00736", "https://www.indeed.com/viewjob?jk=732f07044ad00736")</f>
        <v/>
      </c>
      <c r="F219">
        <f>HYPERLINK("https://www.amazon.jobs/jobs/3083275/amazon-last-mile-fleet-program-manager-in-life-servicesrecalls-retrofits-and-tires?cmpid=DA_INAD200785B", "https://www.amazon.jobs/jobs/3083275/amazon-last-mile-fleet-program-manager-in-life-servicesrecalls-retrofits-and-tires?cmpid=DA_INAD200785B")</f>
        <v/>
      </c>
      <c r="G219" t="inlineStr">
        <is>
          <t>Arlington, VA, US</t>
        </is>
      </c>
      <c r="H219" s="3" t="n">
        <v>45911</v>
      </c>
      <c r="I219"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in-2d04d0bcab2694fb</t>
        </is>
      </c>
      <c r="B220" t="inlineStr">
        <is>
          <t>Sr. EHS Program Manager, Safety Learning and Development</t>
        </is>
      </c>
      <c r="C220" t="inlineStr">
        <is>
          <t>Amazon.com</t>
        </is>
      </c>
      <c r="D220" t="inlineStr">
        <is>
          <t>indeed</t>
        </is>
      </c>
      <c r="E220">
        <f>HYPERLINK("https://www.indeed.com/viewjob?jk=2d04d0bcab2694fb", "https://www.indeed.com/viewjob?jk=2d04d0bcab2694fb")</f>
        <v/>
      </c>
      <c r="F220">
        <f>HYPERLINK("https://www.amazon.jobs/jobs/3124450/sr-ehs-program-manager-safety-learning-and-development?cmpid=DA_INAD200785B", "https://www.amazon.jobs/jobs/3124450/sr-ehs-program-manager-safety-learning-and-development?cmpid=DA_INAD200785B")</f>
        <v/>
      </c>
      <c r="G220" t="inlineStr">
        <is>
          <t>Bellevue, WA, US</t>
        </is>
      </c>
      <c r="H220" s="3" t="n">
        <v>45910</v>
      </c>
      <c r="I220"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in-e4660fb31a256462</t>
        </is>
      </c>
      <c r="B221" t="inlineStr">
        <is>
          <t>Sr. EHS Program Manager, Safety Learning and Development</t>
        </is>
      </c>
      <c r="C221" t="inlineStr">
        <is>
          <t>Amazon.com</t>
        </is>
      </c>
      <c r="D221" t="inlineStr">
        <is>
          <t>indeed</t>
        </is>
      </c>
      <c r="E221">
        <f>HYPERLINK("https://www.indeed.com/viewjob?jk=e4660fb31a256462", "https://www.indeed.com/viewjob?jk=e4660fb31a256462")</f>
        <v/>
      </c>
      <c r="F221">
        <f>HYPERLINK("https://www.amazon.jobs/jobs/3124450/sr-ehs-program-manager-safety-learning-and-development?cmpid=DA_INAD200785B", "https://www.amazon.jobs/jobs/3124450/sr-ehs-program-manager-safety-learning-and-development?cmpid=DA_INAD200785B")</f>
        <v/>
      </c>
      <c r="G221" t="inlineStr">
        <is>
          <t>Nashville, TN, US</t>
        </is>
      </c>
      <c r="H221" s="3" t="n">
        <v>45910</v>
      </c>
      <c r="I221"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in-471cbc8c1528a7a8</t>
        </is>
      </c>
      <c r="B222" t="inlineStr">
        <is>
          <t>Sr. Product Manager, Sub-Same Day (SSD) - DOT, SSD Delivery Ops Tech</t>
        </is>
      </c>
      <c r="C222" t="inlineStr">
        <is>
          <t>Amazon.com</t>
        </is>
      </c>
      <c r="D222" t="inlineStr">
        <is>
          <t>indeed</t>
        </is>
      </c>
      <c r="E222">
        <f>HYPERLINK("https://www.indeed.com/viewjob?jk=471cbc8c1528a7a8", "https://www.indeed.com/viewjob?jk=471cbc8c1528a7a8")</f>
        <v/>
      </c>
      <c r="F222">
        <f>HYPERLINK("https://www.amazon.jobs/jobs/3063966/sr-product-manager-subsame-day-ssd--dot-ssd-delivery-ops-tech?cmpid=DA_INAD200785B", "https://www.amazon.jobs/jobs/3063966/sr-product-manager-subsame-day-ssd--dot-ssd-delivery-ops-tech?cmpid=DA_INAD200785B")</f>
        <v/>
      </c>
      <c r="G222" t="inlineStr">
        <is>
          <t>New York, NY, US</t>
        </is>
      </c>
      <c r="H222" s="3" t="n">
        <v>45876</v>
      </c>
      <c r="I222"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in-565da3076938028c</t>
        </is>
      </c>
      <c r="B223" t="inlineStr">
        <is>
          <t>Sr. Product Manager, Sub-Same Day (SSD) - DOT, SSD Delivery Ops Tech</t>
        </is>
      </c>
      <c r="C223" t="inlineStr">
        <is>
          <t>Amazon.com</t>
        </is>
      </c>
      <c r="D223" t="inlineStr">
        <is>
          <t>indeed</t>
        </is>
      </c>
      <c r="E223">
        <f>HYPERLINK("https://www.indeed.com/viewjob?jk=565da3076938028c", "https://www.indeed.com/viewjob?jk=565da3076938028c")</f>
        <v/>
      </c>
      <c r="F223">
        <f>HYPERLINK("https://www.amazon.jobs/jobs/3063966/sr-product-manager-subsame-day-ssd--dot-ssd-delivery-ops-tech?cmpid=DA_INAD200785B", "https://www.amazon.jobs/jobs/3063966/sr-product-manager-subsame-day-ssd--dot-ssd-delivery-ops-tech?cmpid=DA_INAD200785B")</f>
        <v/>
      </c>
      <c r="G223" t="inlineStr">
        <is>
          <t>Bellevue, WA, US</t>
        </is>
      </c>
      <c r="H223" s="3" t="n">
        <v>45876</v>
      </c>
      <c r="I223"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in-58a1620aaf31e356</t>
        </is>
      </c>
      <c r="B224" t="inlineStr">
        <is>
          <t>Sr. Product Manager, Sub-Same Day (SSD) - DOT, SSD Delivery Ops Tech</t>
        </is>
      </c>
      <c r="C224" t="inlineStr">
        <is>
          <t>Amazon.com</t>
        </is>
      </c>
      <c r="D224" t="inlineStr">
        <is>
          <t>indeed</t>
        </is>
      </c>
      <c r="E224">
        <f>HYPERLINK("https://www.indeed.com/viewjob?jk=58a1620aaf31e356", "https://www.indeed.com/viewjob?jk=58a1620aaf31e356")</f>
        <v/>
      </c>
      <c r="F224">
        <f>HYPERLINK("https://www.amazon.jobs/jobs/3063966/sr-product-manager-subsame-day-ssd--dot-ssd-delivery-ops-tech?cmpid=DA_INAD200785B", "https://www.amazon.jobs/jobs/3063966/sr-product-manager-subsame-day-ssd--dot-ssd-delivery-ops-tech?cmpid=DA_INAD200785B")</f>
        <v/>
      </c>
      <c r="G224" t="inlineStr">
        <is>
          <t>Nashville, TN, US</t>
        </is>
      </c>
      <c r="H224" s="3" t="n">
        <v>45876</v>
      </c>
      <c r="I224"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in-b68f0b3865861541</t>
        </is>
      </c>
      <c r="B225" t="inlineStr">
        <is>
          <t>Principal Product Manager - External Services, End User Computing</t>
        </is>
      </c>
      <c r="C225" t="inlineStr">
        <is>
          <t>Amazon Web Services</t>
        </is>
      </c>
      <c r="D225" t="inlineStr">
        <is>
          <t>indeed</t>
        </is>
      </c>
      <c r="E225">
        <f>HYPERLINK("https://www.indeed.com/viewjob?jk=b68f0b3865861541", "https://www.indeed.com/viewjob?jk=b68f0b3865861541")</f>
        <v/>
      </c>
      <c r="F225">
        <f>HYPERLINK("https://www.amazon.jobs/jobs/3055181/principal-product-manager--external-services-end-user-computing?cmpid=DA_INAD200785B", "https://www.amazon.jobs/jobs/3055181/principal-product-manager--external-services-end-user-computing?cmpid=DA_INAD200785B")</f>
        <v/>
      </c>
      <c r="G225" t="inlineStr">
        <is>
          <t>Seattle, WA, US</t>
        </is>
      </c>
      <c r="H225" s="3" t="n">
        <v>45876</v>
      </c>
      <c r="I225" t="inlineStr">
        <is>
          <t>**DESCRIPTION**
---------------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way the world works has changed with the workforce highly distributed and moving between home and office. It is important that corporate data remains secure no matter where it is accessed, which is a key reason we built Amazon Web Services End User Computing (EUC) so employees and contractors can securely access desktops, data, and application from anywhere on any device. Our business is growing immensely, and we are looking for product leaders to help us achieve the next level of scale. More information about Amazon End\- User Computing can be found here: https://aws.amazon.com/products/end\-user\-computing/.  
We are looking for a Principal Product Manager with the ability to think big and look around corners to build the functionality customers need to secure their websites and web\-based applications. the next generation of end\-user productivity products capitalizing on our desktop and application virtualization products. . You have a strong mix of product management, technology, and customer experience expertise, coupled with strategic vision, clarity of communication and proven execution of products from early concept through scaled growth. As the principal product manager, you will define will define product strategy, drive industry and customer research to deeply understand your customers to define differentiated functionality, and drive execution to meet those customer needs. You will work with an interdisciplinary team to drive key aspects of product definition, design, execution and delivery. We are looking for strong business owners who are comfortable sharing their vision with AWS senior leadership, but also working closely with engineering teams to dive deep into details to make ideas into reality. You should have demonstrated success in building strong business cases, managing high\-growth enterprise products, and driving customer success.  
This team is a good fit for you if:  
* You are sensitive to customer needs and interested in having a firsthand impact on Amazon’s global customer base
* You truly care about the business results of what you build, not just the elegance of the technology
* You care about data security and how you can reduce the chance of exfiltration
* You like to solve interesting technology problems
* You enjoy collaborating in a diverse team environment
* You are a passionate learner and motivated to take on new challenges.
* You want to have fun; surround yourself with a highly talented pool of engineers that like to solve complex problems, but also enjoy work life balance.
Key job responsibilities  
Create the product vision and strategy and align with key stakeholders.  
Serve as the voice of the customer to prioritize features based on solving the largest customer needs.  
Manage the entire product life cycle from strategic planning to tactical execution.  
Partner with engineering teams to deliver on the product roadmap.  
Establish goals and review metrics to measure the success and identify areas of improvement.  
Define and maintain a product roadmap with inputs from all stakeholders.  
Provide effective, executive\-level written documents for new features that work backwards from the customer.  
Advocate and execute pricing models and naming for new products or features.**BASIC QUALIFICATIONS**
------------------------
* 7\+ years of working as a Technical Product Manager experience
* 7\+ years of technical (software development, network development, IT, other related) experience
**PREFERRED QUALIFICATIONS**
----------------------------
* Can dissect complicated problems, simplify experiences and innovate on behalf of our customers
* Have an entrepreneurial spirit and be able to work independently and effectively in a results\-oriented environment
* Excellent written communication skills
* Demonstrated history of successfully bringing novel products to market, such as those that integrate new technology, branch into new consumer segments or other market segments, or start new categories
* Demonstrated ability to champion the voice of other stakeholders in your products
* Strong team\-orientation with proven track record of taking ownership and delivering results
* Have the ability to communicate complex technical issues simply and convincingly to a wide range of audiences
* Demonstrated experience in go\-to\-market inclusive of pricing and packaging of solutions
* Strong analytic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$163,000/year in our lowest geographic market up to $281,800/year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in-3d455a5e3834403e</t>
        </is>
      </c>
      <c r="B226" t="inlineStr">
        <is>
          <t>Principal Product Manager - External Services, End User Computing</t>
        </is>
      </c>
      <c r="C226" t="inlineStr">
        <is>
          <t>Amazon Web Services</t>
        </is>
      </c>
      <c r="D226" t="inlineStr">
        <is>
          <t>indeed</t>
        </is>
      </c>
      <c r="E226">
        <f>HYPERLINK("https://www.indeed.com/viewjob?jk=3d455a5e3834403e", "https://www.indeed.com/viewjob?jk=3d455a5e3834403e")</f>
        <v/>
      </c>
      <c r="F226">
        <f>HYPERLINK("https://www.amazon.jobs/jobs/3055181/principal-product-manager--external-services-end-user-computing?cmpid=DA_INAD200785B", "https://www.amazon.jobs/jobs/3055181/principal-product-manager--external-services-end-user-computing?cmpid=DA_INAD200785B")</f>
        <v/>
      </c>
      <c r="G226" t="inlineStr">
        <is>
          <t>Sunnyvale, CA, US</t>
        </is>
      </c>
      <c r="H226" s="3" t="n">
        <v>45876</v>
      </c>
      <c r="I226" t="inlineStr">
        <is>
          <t>**DESCRIPTION**
---------------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way the world works has changed with the workforce highly distributed and moving between home and office. It is important that corporate data remains secure no matter where it is accessed, which is a key reason we built Amazon Web Services End User Computing (EUC) so employees and contractors can securely access desktops, data, and application from anywhere on any device. Our business is growing immensely, and we are looking for product leaders to help us achieve the next level of scale. More information about Amazon End\- User Computing can be found here: https://aws.amazon.com/products/end\-user\-computing/.  
We are looking for a Principal Product Manager with the ability to think big and look around corners to build the functionality customers need to secure their websites and web\-based applications. the next generation of end\-user productivity products capitalizing on our desktop and application virtualization products. . You have a strong mix of product management, technology, and customer experience expertise, coupled with strategic vision, clarity of communication and proven execution of products from early concept through scaled growth. As the principal product manager, you will define will define product strategy, drive industry and customer research to deeply understand your customers to define differentiated functionality, and drive execution to meet those customer needs. You will work with an interdisciplinary team to drive key aspects of product definition, design, execution and delivery. We are looking for strong business owners who are comfortable sharing their vision with AWS senior leadership, but also working closely with engineering teams to dive deep into details to make ideas into reality. You should have demonstrated success in building strong business cases, managing high\-growth enterprise products, and driving customer success.  
This team is a good fit for you if:  
* You are sensitive to customer needs and interested in having a firsthand impact on Amazon’s global customer base
* You truly care about the business results of what you build, not just the elegance of the technology
* You care about data security and how you can reduce the chance of exfiltration
* You like to solve interesting technology problems
* You enjoy collaborating in a diverse team environment
* You are a passionate learner and motivated to take on new challenges.
* You want to have fun; surround yourself with a highly talented pool of engineers that like to solve complex problems, but also enjoy work life balance.
Key job responsibilities  
Create the product vision and strategy and align with key stakeholders.  
Serve as the voice of the customer to prioritize features based on solving the largest customer needs.  
Manage the entire product life cycle from strategic planning to tactical execution.  
Partner with engineering teams to deliver on the product roadmap.  
Establish goals and review metrics to measure the success and identify areas of improvement.  
Define and maintain a product roadmap with inputs from all stakeholders.  
Provide effective, executive\-level written documents for new features that work backwards from the customer.  
Advocate and execute pricing models and naming for new products or features.**BASIC QUALIFICATIONS**
------------------------
* 7\+ years of working as a Technical Product Manager experience
* 7\+ years of technical (software development, network development, IT, other related) experience
**PREFERRED QUALIFICATIONS**
----------------------------
* Can dissect complicated problems, simplify experiences and innovate on behalf of our customers
* Have an entrepreneurial spirit and be able to work independently and effectively in a results\-oriented environment
* Excellent written communication skills
* Demonstrated history of successfully bringing novel products to market, such as those that integrate new technology, branch into new consumer segments or other market segments, or start new categories
* Demonstrated ability to champion the voice of other stakeholders in your products
* Strong team\-orientation with proven track record of taking ownership and delivering results
* Have the ability to communicate complex technical issues simply and convincingly to a wide range of audiences
* Demonstrated experience in go\-to\-market inclusive of pricing and packaging of solutions
* Strong analytic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$163,000/year in our lowest geographic market up to $281,800/year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in-c5516261ce2dfe5d</t>
        </is>
      </c>
      <c r="B227" t="inlineStr">
        <is>
          <t>Sr. Product Manager Technical, Deal Tooling &amp; Insights, Strategic Customer Engagements</t>
        </is>
      </c>
      <c r="C227" t="inlineStr">
        <is>
          <t>Amazon Web Services</t>
        </is>
      </c>
      <c r="D227" t="inlineStr">
        <is>
          <t>indeed</t>
        </is>
      </c>
      <c r="E227">
        <f>HYPERLINK("https://www.indeed.com/viewjob?jk=c5516261ce2dfe5d", "https://www.indeed.com/viewjob?jk=c5516261ce2dfe5d")</f>
        <v/>
      </c>
      <c r="F227">
        <f>HYPERLINK("https://www.amazon.jobs/jobs/3138889/sr-product-manager-technical-deal-tooling--insights-strategic-customer-engagements?cmpid=DA_INAD200785B", "https://www.amazon.jobs/jobs/3138889/sr-product-manager-technical-deal-tooling--insights-strategic-customer-engagements?cmpid=DA_INAD200785B")</f>
        <v/>
      </c>
      <c r="G227" t="inlineStr">
        <is>
          <t>Seattle, WA, US</t>
        </is>
      </c>
      <c r="H227" s="3" t="n">
        <v>45994</v>
      </c>
      <c r="I22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28">
      <c r="A228" t="inlineStr">
        <is>
          <t>in-acec1b3d799acf99</t>
        </is>
      </c>
      <c r="B228" t="inlineStr">
        <is>
          <t>Sr. Product Manager Technical, Deal Tooling &amp; Insights, Strategic Customer Engagements</t>
        </is>
      </c>
      <c r="C228" t="inlineStr">
        <is>
          <t>Amazon Web Services</t>
        </is>
      </c>
      <c r="D228" t="inlineStr">
        <is>
          <t>indeed</t>
        </is>
      </c>
      <c r="E228">
        <f>HYPERLINK("https://www.indeed.com/viewjob?jk=acec1b3d799acf99", "https://www.indeed.com/viewjob?jk=acec1b3d799acf99")</f>
        <v/>
      </c>
      <c r="F228">
        <f>HYPERLINK("https://www.amazon.jobs/jobs/3138889/sr-product-manager-technical-deal-tooling--insights-strategic-customer-engagements?cmpid=DA_INAD200785B", "https://www.amazon.jobs/jobs/3138889/sr-product-manager-technical-deal-tooling--insights-strategic-customer-engagements?cmpid=DA_INAD200785B")</f>
        <v/>
      </c>
      <c r="G228" t="inlineStr">
        <is>
          <t>New York, NY, US</t>
        </is>
      </c>
      <c r="H228" s="3" t="n">
        <v>45994</v>
      </c>
      <c r="I22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29">
      <c r="A229" t="inlineStr">
        <is>
          <t>in-bc67214331d2713c</t>
        </is>
      </c>
      <c r="B229" t="inlineStr">
        <is>
          <t>Sr. Product Manager Technical, Deal Tooling &amp; Insights, Strategic Customer Engagements</t>
        </is>
      </c>
      <c r="C229" t="inlineStr">
        <is>
          <t>Amazon Web Services</t>
        </is>
      </c>
      <c r="D229" t="inlineStr">
        <is>
          <t>indeed</t>
        </is>
      </c>
      <c r="E229">
        <f>HYPERLINK("https://www.indeed.com/viewjob?jk=bc67214331d2713c", "https://www.indeed.com/viewjob?jk=bc67214331d2713c")</f>
        <v/>
      </c>
      <c r="F229">
        <f>HYPERLINK("https://www.amazon.jobs/jobs/3138889/sr-product-manager-technical-deal-tooling--insights-strategic-customer-engagements?cmpid=DA_INAD200785B", "https://www.amazon.jobs/jobs/3138889/sr-product-manager-technical-deal-tooling--insights-strategic-customer-engagements?cmpid=DA_INAD200785B")</f>
        <v/>
      </c>
      <c r="G229" t="inlineStr">
        <is>
          <t>Austin, TX, US</t>
        </is>
      </c>
      <c r="H229" s="3" t="n">
        <v>45994</v>
      </c>
      <c r="I22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30">
      <c r="A230" t="inlineStr">
        <is>
          <t>in-6db6c2c53ac2439c</t>
        </is>
      </c>
      <c r="B230" t="inlineStr">
        <is>
          <t>Sr. Product Manager Technical, Deal Tooling &amp; Insights, Strategic Customer Engagements</t>
        </is>
      </c>
      <c r="C230" t="inlineStr">
        <is>
          <t>Amazon Web Services</t>
        </is>
      </c>
      <c r="D230" t="inlineStr">
        <is>
          <t>indeed</t>
        </is>
      </c>
      <c r="E230">
        <f>HYPERLINK("https://www.indeed.com/viewjob?jk=6db6c2c53ac2439c", "https://www.indeed.com/viewjob?jk=6db6c2c53ac2439c")</f>
        <v/>
      </c>
      <c r="F230">
        <f>HYPERLINK("https://www.amazon.jobs/jobs/3138889/sr-product-manager-technical-deal-tooling--insights-strategic-customer-engagements?cmpid=DA_INAD200785B", "https://www.amazon.jobs/jobs/3138889/sr-product-manager-technical-deal-tooling--insights-strategic-customer-engagements?cmpid=DA_INAD200785B")</f>
        <v/>
      </c>
      <c r="G230" t="inlineStr">
        <is>
          <t>Dallas, TX, US</t>
        </is>
      </c>
      <c r="H230" s="3" t="n">
        <v>45994</v>
      </c>
      <c r="I23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31">
      <c r="A231" t="inlineStr">
        <is>
          <t>in-4177ca29b8adab56</t>
        </is>
      </c>
      <c r="B231" t="inlineStr">
        <is>
          <t>Sr. Product Manager Technical, Deal Tooling &amp; Insights, Strategic Customer Engagements</t>
        </is>
      </c>
      <c r="C231" t="inlineStr">
        <is>
          <t>Amazon Web Services</t>
        </is>
      </c>
      <c r="D231" t="inlineStr">
        <is>
          <t>indeed</t>
        </is>
      </c>
      <c r="E231">
        <f>HYPERLINK("https://www.indeed.com/viewjob?jk=4177ca29b8adab56", "https://www.indeed.com/viewjob?jk=4177ca29b8adab56")</f>
        <v/>
      </c>
      <c r="F231">
        <f>HYPERLINK("https://www.amazon.jobs/jobs/3138889/sr-product-manager-technical-deal-tooling--insights-strategic-customer-engagements?cmpid=DA_INAD200785B", "https://www.amazon.jobs/jobs/3138889/sr-product-manager-technical-deal-tooling--insights-strategic-customer-engagements?cmpid=DA_INAD200785B")</f>
        <v/>
      </c>
      <c r="G231" t="inlineStr">
        <is>
          <t>Herndon, VA, US</t>
        </is>
      </c>
      <c r="H231" s="3" t="n">
        <v>45994</v>
      </c>
      <c r="I23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32">
      <c r="A232" t="inlineStr">
        <is>
          <t>in-0f3d6a275765fd70</t>
        </is>
      </c>
      <c r="B232" t="inlineStr">
        <is>
          <t>Sr. Product Manager Technical, Deal Tooling &amp; Insights, Strategic Customer Engagements</t>
        </is>
      </c>
      <c r="C232" t="inlineStr">
        <is>
          <t>Amazon Web Services</t>
        </is>
      </c>
      <c r="D232" t="inlineStr">
        <is>
          <t>indeed</t>
        </is>
      </c>
      <c r="E232">
        <f>HYPERLINK("https://www.indeed.com/viewjob?jk=0f3d6a275765fd70", "https://www.indeed.com/viewjob?jk=0f3d6a275765fd70")</f>
        <v/>
      </c>
      <c r="F232">
        <f>HYPERLINK("https://www.amazon.jobs/jobs/3138889/sr-product-manager-technical-deal-tooling--insights-strategic-customer-engagements?cmpid=DA_INAD200785B", "https://www.amazon.jobs/jobs/3138889/sr-product-manager-technical-deal-tooling--insights-strategic-customer-engagements?cmpid=DA_INAD200785B")</f>
        <v/>
      </c>
      <c r="G232" t="inlineStr">
        <is>
          <t>Arlington, VA, US</t>
        </is>
      </c>
      <c r="H232" s="3" t="n">
        <v>45994</v>
      </c>
      <c r="I23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33">
      <c r="A233" t="inlineStr">
        <is>
          <t>in-c83b2e958a22d03a</t>
        </is>
      </c>
      <c r="B233" t="inlineStr">
        <is>
          <t>Sr. Product Manager - Tech, Workforce Solutions - Talent Mobility</t>
        </is>
      </c>
      <c r="C233" t="inlineStr">
        <is>
          <t>Amazon.com</t>
        </is>
      </c>
      <c r="D233" t="inlineStr">
        <is>
          <t>indeed</t>
        </is>
      </c>
      <c r="E233">
        <f>HYPERLINK("https://www.indeed.com/viewjob?jk=c83b2e958a22d03a", "https://www.indeed.com/viewjob?jk=c83b2e958a22d03a")</f>
        <v/>
      </c>
      <c r="F233">
        <f>HYPERLINK("https://www.amazon.jobs/jobs/3112703/sr-product-manager--tech-workforce-solutions--talent-mobility?cmpid=DA_INAD200785B", "https://www.amazon.jobs/jobs/3112703/sr-product-manager--tech-workforce-solutions--talent-mobility?cmpid=DA_INAD200785B")</f>
        <v/>
      </c>
      <c r="G233" t="inlineStr">
        <is>
          <t>Arlington, VA, US</t>
        </is>
      </c>
      <c r="H233" s="3" t="n">
        <v>45867</v>
      </c>
      <c r="I233"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234">
      <c r="A234" t="inlineStr">
        <is>
          <t>in-46f9fd6dae4b176e</t>
        </is>
      </c>
      <c r="B234" t="inlineStr">
        <is>
          <t>Sr. Product Manager - Tech, Workforce Solutions - Talent Mobility</t>
        </is>
      </c>
      <c r="C234" t="inlineStr">
        <is>
          <t>Amazon.com</t>
        </is>
      </c>
      <c r="D234" t="inlineStr">
        <is>
          <t>indeed</t>
        </is>
      </c>
      <c r="E234">
        <f>HYPERLINK("https://www.indeed.com/viewjob?jk=46f9fd6dae4b176e", "https://www.indeed.com/viewjob?jk=46f9fd6dae4b176e")</f>
        <v/>
      </c>
      <c r="F234">
        <f>HYPERLINK("https://www.amazon.jobs/jobs/3112703/sr-product-manager--tech-workforce-solutions--talent-mobility?cmpid=DA_INAD200785B", "https://www.amazon.jobs/jobs/3112703/sr-product-manager--tech-workforce-solutions--talent-mobility?cmpid=DA_INAD200785B")</f>
        <v/>
      </c>
      <c r="G234" t="inlineStr">
        <is>
          <t>Seattle, WA, US</t>
        </is>
      </c>
      <c r="H234" s="3" t="n">
        <v>45867</v>
      </c>
      <c r="I234"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235">
      <c r="A235" t="inlineStr">
        <is>
          <t>in-b25df1429491434f</t>
        </is>
      </c>
      <c r="B235" t="inlineStr">
        <is>
          <t>Sr. Product Manager - Tech, Workforce Solutions - Talent Mobility</t>
        </is>
      </c>
      <c r="C235" t="inlineStr">
        <is>
          <t>Amazon.com</t>
        </is>
      </c>
      <c r="D235" t="inlineStr">
        <is>
          <t>indeed</t>
        </is>
      </c>
      <c r="E235">
        <f>HYPERLINK("https://www.indeed.com/viewjob?jk=b25df1429491434f", "https://www.indeed.com/viewjob?jk=b25df1429491434f")</f>
        <v/>
      </c>
      <c r="F235">
        <f>HYPERLINK("https://www.amazon.jobs/jobs/3112703/sr-product-manager--tech-workforce-solutions--talent-mobility?cmpid=DA_INAD200785B", "https://www.amazon.jobs/jobs/3112703/sr-product-manager--tech-workforce-solutions--talent-mobility?cmpid=DA_INAD200785B")</f>
        <v/>
      </c>
      <c r="G235" t="inlineStr">
        <is>
          <t>Nashville, TN, US</t>
        </is>
      </c>
      <c r="H235" s="3" t="n">
        <v>45867</v>
      </c>
      <c r="I235"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236">
      <c r="A236" t="inlineStr">
        <is>
          <t>in-204923a27a2668c8</t>
        </is>
      </c>
      <c r="B236" t="inlineStr">
        <is>
          <t>Sr. Product Manager - Tech, Workforce Solutions - Talent Mobility</t>
        </is>
      </c>
      <c r="C236" t="inlineStr">
        <is>
          <t>Amazon.com</t>
        </is>
      </c>
      <c r="D236" t="inlineStr">
        <is>
          <t>indeed</t>
        </is>
      </c>
      <c r="E236">
        <f>HYPERLINK("https://www.indeed.com/viewjob?jk=204923a27a2668c8", "https://www.indeed.com/viewjob?jk=204923a27a2668c8")</f>
        <v/>
      </c>
      <c r="F236">
        <f>HYPERLINK("https://www.amazon.jobs/jobs/3112703/sr-product-manager--tech-workforce-solutions--talent-mobility?cmpid=DA_INAD200785B", "https://www.amazon.jobs/jobs/3112703/sr-product-manager--tech-workforce-solutions--talent-mobility?cmpid=DA_INAD200785B")</f>
        <v/>
      </c>
      <c r="G236" t="inlineStr">
        <is>
          <t>Tempe, AZ, US</t>
        </is>
      </c>
      <c r="H236" s="3" t="n">
        <v>45867</v>
      </c>
      <c r="I236"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237">
      <c r="A237" t="inlineStr">
        <is>
          <t>in-6e951fe120515b60</t>
        </is>
      </c>
      <c r="B237" t="inlineStr">
        <is>
          <t>Sr. Product Manager - Tech, Workforce Solutions - Talent Mobility</t>
        </is>
      </c>
      <c r="C237" t="inlineStr">
        <is>
          <t>Amazon.com</t>
        </is>
      </c>
      <c r="D237" t="inlineStr">
        <is>
          <t>indeed</t>
        </is>
      </c>
      <c r="E237">
        <f>HYPERLINK("https://www.indeed.com/viewjob?jk=6e951fe120515b60", "https://www.indeed.com/viewjob?jk=6e951fe120515b60")</f>
        <v/>
      </c>
      <c r="F237">
        <f>HYPERLINK("https://www.amazon.jobs/jobs/3112703/sr-product-manager--tech-workforce-solutions--talent-mobility?cmpid=DA_INAD200785B", "https://www.amazon.jobs/jobs/3112703/sr-product-manager--tech-workforce-solutions--talent-mobility?cmpid=DA_INAD200785B")</f>
        <v/>
      </c>
      <c r="G237" t="inlineStr">
        <is>
          <t>New York, NY, US</t>
        </is>
      </c>
      <c r="H237" s="3" t="n">
        <v>45867</v>
      </c>
      <c r="I237"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238">
      <c r="A238" t="inlineStr">
        <is>
          <t>in-58578375b14daf20</t>
        </is>
      </c>
      <c r="B238" t="inlineStr">
        <is>
          <t>Sr. Product Manager - Tech, WHS Data-Tech</t>
        </is>
      </c>
      <c r="C238" t="inlineStr">
        <is>
          <t>Amazon.com</t>
        </is>
      </c>
      <c r="D238" t="inlineStr">
        <is>
          <t>indeed</t>
        </is>
      </c>
      <c r="E238">
        <f>HYPERLINK("https://www.indeed.com/viewjob?jk=58578375b14daf20", "https://www.indeed.com/viewjob?jk=58578375b14daf20")</f>
        <v/>
      </c>
      <c r="F238">
        <f>HYPERLINK("https://www.amazon.jobs/jobs/3156736/sr-product-manager--tech-whs-datatech?cmpid=DA_INAD200785B", "https://www.amazon.jobs/jobs/3156736/sr-product-manager--tech-whs-datatech?cmpid=DA_INAD200785B")</f>
        <v/>
      </c>
      <c r="G238" t="inlineStr">
        <is>
          <t>Nashville, TN, US</t>
        </is>
      </c>
      <c r="H238" s="3" t="n">
        <v>45836</v>
      </c>
      <c r="I238"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239">
      <c r="A239" t="inlineStr">
        <is>
          <t>in-0de98e04817c5e91</t>
        </is>
      </c>
      <c r="B239" t="inlineStr">
        <is>
          <t>Sr. Product Manager - Tech, WHS Data-Tech</t>
        </is>
      </c>
      <c r="C239" t="inlineStr">
        <is>
          <t>Amazon.com</t>
        </is>
      </c>
      <c r="D239" t="inlineStr">
        <is>
          <t>indeed</t>
        </is>
      </c>
      <c r="E239">
        <f>HYPERLINK("https://www.indeed.com/viewjob?jk=0de98e04817c5e91", "https://www.indeed.com/viewjob?jk=0de98e04817c5e91")</f>
        <v/>
      </c>
      <c r="F239">
        <f>HYPERLINK("https://www.amazon.jobs/jobs/3156736/sr-product-manager--tech-whs-datatech?cmpid=DA_INAD200785B", "https://www.amazon.jobs/jobs/3156736/sr-product-manager--tech-whs-datatech?cmpid=DA_INAD200785B")</f>
        <v/>
      </c>
      <c r="G239" t="inlineStr">
        <is>
          <t>Bellevue, WA, US</t>
        </is>
      </c>
      <c r="H239" s="3" t="n">
        <v>45836</v>
      </c>
      <c r="I239"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240">
      <c r="A240" t="inlineStr">
        <is>
          <t>in-e771856815a99231</t>
        </is>
      </c>
      <c r="B240" t="inlineStr">
        <is>
          <t>Sr. Product Manager - Tech, WHS Data-Tech</t>
        </is>
      </c>
      <c r="C240" t="inlineStr">
        <is>
          <t>Amazon.com</t>
        </is>
      </c>
      <c r="D240" t="inlineStr">
        <is>
          <t>indeed</t>
        </is>
      </c>
      <c r="E240">
        <f>HYPERLINK("https://www.indeed.com/viewjob?jk=e771856815a99231", "https://www.indeed.com/viewjob?jk=e771856815a99231")</f>
        <v/>
      </c>
      <c r="F240">
        <f>HYPERLINK("https://www.amazon.jobs/jobs/3156736/sr-product-manager--tech-whs-datatech?cmpid=DA_INAD200785B", "https://www.amazon.jobs/jobs/3156736/sr-product-manager--tech-whs-datatech?cmpid=DA_INAD200785B")</f>
        <v/>
      </c>
      <c r="G240" t="inlineStr">
        <is>
          <t>Arlington, VA, US</t>
        </is>
      </c>
      <c r="H240" s="3" t="n">
        <v>45836</v>
      </c>
      <c r="I240"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241">
      <c r="A241" t="inlineStr">
        <is>
          <t>in-efe74a04e6e410e1</t>
        </is>
      </c>
      <c r="B241" t="inlineStr">
        <is>
          <t>Sr. Product Manager-Technical, World Wide Operations Security Tech (WWOS Tech)</t>
        </is>
      </c>
      <c r="C241" t="inlineStr">
        <is>
          <t>Amazon.com</t>
        </is>
      </c>
      <c r="D241" t="inlineStr">
        <is>
          <t>indeed</t>
        </is>
      </c>
      <c r="E241">
        <f>HYPERLINK("https://www.indeed.com/viewjob?jk=efe74a04e6e410e1", "https://www.indeed.com/viewjob?jk=efe74a04e6e410e1")</f>
        <v/>
      </c>
      <c r="F241">
        <f>HYPERLINK("https://www.amazon.jobs/jobs/3152463/sr-product-managertechnical-world-wide-operations-security-tech-wwos-tech?cmpid=DA_INAD200785B", "https://www.amazon.jobs/jobs/3152463/sr-product-managertechnical-world-wide-operations-security-tech-wwos-tech?cmpid=DA_INAD200785B")</f>
        <v/>
      </c>
      <c r="G241" t="inlineStr">
        <is>
          <t>Seattle, WA, US</t>
        </is>
      </c>
      <c r="H241" s="3" t="n">
        <v>46008</v>
      </c>
      <c r="I241"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242">
      <c r="A242" t="inlineStr">
        <is>
          <t>in-dd8942393501c40e</t>
        </is>
      </c>
      <c r="B242" t="inlineStr">
        <is>
          <t>Sr. Product Manager-Technical, World Wide Operations Security Tech (WWOS Tech)</t>
        </is>
      </c>
      <c r="C242" t="inlineStr">
        <is>
          <t>Amazon.com</t>
        </is>
      </c>
      <c r="D242" t="inlineStr">
        <is>
          <t>indeed</t>
        </is>
      </c>
      <c r="E242">
        <f>HYPERLINK("https://www.indeed.com/viewjob?jk=dd8942393501c40e", "https://www.indeed.com/viewjob?jk=dd8942393501c40e")</f>
        <v/>
      </c>
      <c r="F242">
        <f>HYPERLINK("https://www.amazon.jobs/jobs/3152463/sr-product-managertechnical-world-wide-operations-security-tech-wwos-tech?cmpid=DA_INAD200785B", "https://www.amazon.jobs/jobs/3152463/sr-product-managertechnical-world-wide-operations-security-tech-wwos-tech?cmpid=DA_INAD200785B")</f>
        <v/>
      </c>
      <c r="G242" t="inlineStr">
        <is>
          <t>Austin, TX, US</t>
        </is>
      </c>
      <c r="H242" s="3" t="n">
        <v>46008</v>
      </c>
      <c r="I242"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243">
      <c r="A243" t="inlineStr">
        <is>
          <t>in-0c965562ee691c4c</t>
        </is>
      </c>
      <c r="B243" t="inlineStr">
        <is>
          <t>Principal Product Manager - Tech, Recommender Systems, Prime Video Personalization &amp; Discovery</t>
        </is>
      </c>
      <c r="C243" t="inlineStr">
        <is>
          <t>Amazon.com</t>
        </is>
      </c>
      <c r="D243" t="inlineStr">
        <is>
          <t>indeed</t>
        </is>
      </c>
      <c r="E243">
        <f>HYPERLINK("https://www.indeed.com/viewjob?jk=0c965562ee691c4c", "https://www.indeed.com/viewjob?jk=0c965562ee691c4c")</f>
        <v/>
      </c>
      <c r="F243">
        <f>HYPERLINK("https://www.amazon.jobs/jobs/2956622/principal-product-manager--tech-recommender-systems-prime-video-personalization--discovery-?cmpid=DA_INAD200785B", "https://www.amazon.jobs/jobs/2956622/principal-product-manager--tech-recommender-systems-prime-video-personalization--discovery-?cmpid=DA_INAD200785B")</f>
        <v/>
      </c>
      <c r="G243" t="inlineStr">
        <is>
          <t>Washington, DC, US</t>
        </is>
      </c>
      <c r="H243" s="3" t="n">
        <v>45753</v>
      </c>
      <c r="I2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in-79cdeba4e2df8017</t>
        </is>
      </c>
      <c r="B244" t="inlineStr">
        <is>
          <t>Principal Product Manager - Tech, Recommender Systems, Prime Video Personalization &amp; Discovery</t>
        </is>
      </c>
      <c r="C244" t="inlineStr">
        <is>
          <t>Amazon.com</t>
        </is>
      </c>
      <c r="D244" t="inlineStr">
        <is>
          <t>indeed</t>
        </is>
      </c>
      <c r="E244">
        <f>HYPERLINK("https://www.indeed.com/viewjob?jk=79cdeba4e2df8017", "https://www.indeed.com/viewjob?jk=79cdeba4e2df8017")</f>
        <v/>
      </c>
      <c r="F244">
        <f>HYPERLINK("https://www.amazon.jobs/jobs/2956622/principal-product-manager--tech-recommender-systems-prime-video-personalization--discovery-?cmpid=DA_INAD200785B", "https://www.amazon.jobs/jobs/2956622/principal-product-manager--tech-recommender-systems-prime-video-personalization--discovery-?cmpid=DA_INAD200785B")</f>
        <v/>
      </c>
      <c r="G244" t="inlineStr">
        <is>
          <t>Seattle, WA, US</t>
        </is>
      </c>
      <c r="H244" s="3" t="n">
        <v>45753</v>
      </c>
      <c r="I2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in-3f40fe97caf4a441</t>
        </is>
      </c>
      <c r="B245" t="inlineStr">
        <is>
          <t>Program Manager II, Relo Ops Integration</t>
        </is>
      </c>
      <c r="C245" t="inlineStr">
        <is>
          <t>Amazon.com</t>
        </is>
      </c>
      <c r="D245" t="inlineStr">
        <is>
          <t>indeed</t>
        </is>
      </c>
      <c r="E245">
        <f>HYPERLINK("https://www.indeed.com/viewjob?jk=3f40fe97caf4a441", "https://www.indeed.com/viewjob?jk=3f40fe97caf4a441")</f>
        <v/>
      </c>
      <c r="F245">
        <f>HYPERLINK("https://www.amazon.jobs/jobs/3167596/program-manager-ii-relo-ops-integration?cmpid=DA_INAD200785B", "https://www.amazon.jobs/jobs/3167596/program-manager-ii-relo-ops-integration?cmpid=DA_INAD200785B")</f>
        <v/>
      </c>
      <c r="G245" t="inlineStr">
        <is>
          <t>Bellevue, WA, US</t>
        </is>
      </c>
      <c r="H245" s="3" t="n">
        <v>46035</v>
      </c>
      <c r="I245"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246">
      <c r="A246" t="inlineStr">
        <is>
          <t>in-810a8dbb10a1defc</t>
        </is>
      </c>
      <c r="B246" t="inlineStr">
        <is>
          <t>Program Manager II, Relo Ops Integration</t>
        </is>
      </c>
      <c r="C246" t="inlineStr">
        <is>
          <t>Amazon.com</t>
        </is>
      </c>
      <c r="D246" t="inlineStr">
        <is>
          <t>indeed</t>
        </is>
      </c>
      <c r="E246">
        <f>HYPERLINK("https://www.indeed.com/viewjob?jk=810a8dbb10a1defc", "https://www.indeed.com/viewjob?jk=810a8dbb10a1defc")</f>
        <v/>
      </c>
      <c r="F246">
        <f>HYPERLINK("https://www.amazon.jobs/jobs/3167596/program-manager-ii-relo-ops-integration?cmpid=DA_INAD200785B", "https://www.amazon.jobs/jobs/3167596/program-manager-ii-relo-ops-integration?cmpid=DA_INAD200785B")</f>
        <v/>
      </c>
      <c r="G246" t="inlineStr">
        <is>
          <t>Phoenix, AZ, US</t>
        </is>
      </c>
      <c r="H246" s="3" t="n">
        <v>46035</v>
      </c>
      <c r="I246"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247">
      <c r="A247" t="inlineStr">
        <is>
          <t>in-49b80fbae425527f</t>
        </is>
      </c>
      <c r="B247" t="inlineStr">
        <is>
          <t>Program Manager II, Relo Ops Integration</t>
        </is>
      </c>
      <c r="C247" t="inlineStr">
        <is>
          <t>Amazon.com</t>
        </is>
      </c>
      <c r="D247" t="inlineStr">
        <is>
          <t>indeed</t>
        </is>
      </c>
      <c r="E247">
        <f>HYPERLINK("https://www.indeed.com/viewjob?jk=49b80fbae425527f", "https://www.indeed.com/viewjob?jk=49b80fbae425527f")</f>
        <v/>
      </c>
      <c r="F247">
        <f>HYPERLINK("https://www.amazon.jobs/jobs/3167596/program-manager-ii-relo-ops-integration?cmpid=DA_INAD200785B", "https://www.amazon.jobs/jobs/3167596/program-manager-ii-relo-ops-integration?cmpid=DA_INAD200785B")</f>
        <v/>
      </c>
      <c r="G247" t="inlineStr">
        <is>
          <t>Louisville, KY, US</t>
        </is>
      </c>
      <c r="H247" s="3" t="n">
        <v>46035</v>
      </c>
      <c r="I247"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248">
      <c r="A248" t="inlineStr">
        <is>
          <t>in-ec8a4d5e963f71ab</t>
        </is>
      </c>
      <c r="B248" t="inlineStr">
        <is>
          <t>Program Manager II, Relo Ops Integration</t>
        </is>
      </c>
      <c r="C248" t="inlineStr">
        <is>
          <t>Amazon.com</t>
        </is>
      </c>
      <c r="D248" t="inlineStr">
        <is>
          <t>indeed</t>
        </is>
      </c>
      <c r="E248">
        <f>HYPERLINK("https://www.indeed.com/viewjob?jk=ec8a4d5e963f71ab", "https://www.indeed.com/viewjob?jk=ec8a4d5e963f71ab")</f>
        <v/>
      </c>
      <c r="F248">
        <f>HYPERLINK("https://www.amazon.jobs/jobs/3167596/program-manager-ii-relo-ops-integration?cmpid=DA_INAD200785B", "https://www.amazon.jobs/jobs/3167596/program-manager-ii-relo-ops-integration?cmpid=DA_INAD200785B")</f>
        <v/>
      </c>
      <c r="G248" t="inlineStr">
        <is>
          <t>Dallas, TX, US</t>
        </is>
      </c>
      <c r="H248" s="3" t="n">
        <v>46035</v>
      </c>
      <c r="I248"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249">
      <c r="A249" t="inlineStr">
        <is>
          <t>in-479a4f944ad5bfdf</t>
        </is>
      </c>
      <c r="B249" t="inlineStr">
        <is>
          <t>Program Manager II, Relo Ops Integration</t>
        </is>
      </c>
      <c r="C249" t="inlineStr">
        <is>
          <t>Amazon.com</t>
        </is>
      </c>
      <c r="D249" t="inlineStr">
        <is>
          <t>indeed</t>
        </is>
      </c>
      <c r="E249">
        <f>HYPERLINK("https://www.indeed.com/viewjob?jk=479a4f944ad5bfdf", "https://www.indeed.com/viewjob?jk=479a4f944ad5bfdf")</f>
        <v/>
      </c>
      <c r="F249">
        <f>HYPERLINK("https://www.amazon.jobs/jobs/3167596/program-manager-ii-relo-ops-integration?cmpid=DA_INAD200785B", "https://www.amazon.jobs/jobs/3167596/program-manager-ii-relo-ops-integration?cmpid=DA_INAD200785B")</f>
        <v/>
      </c>
      <c r="G249" t="inlineStr">
        <is>
          <t>Nashville, TN, US</t>
        </is>
      </c>
      <c r="H249" s="3" t="n">
        <v>46035</v>
      </c>
      <c r="I249"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250">
      <c r="A250" t="inlineStr">
        <is>
          <t>in-4c6e274ec8390d4d</t>
        </is>
      </c>
      <c r="B250" t="inlineStr">
        <is>
          <t>Program Manager, ReLo Ops Excellence, Relo Ops Integration</t>
        </is>
      </c>
      <c r="C250" t="inlineStr">
        <is>
          <t>Amazon.com</t>
        </is>
      </c>
      <c r="D250" t="inlineStr">
        <is>
          <t>indeed</t>
        </is>
      </c>
      <c r="E250">
        <f>HYPERLINK("https://www.indeed.com/viewjob?jk=4c6e274ec8390d4d", "https://www.indeed.com/viewjob?jk=4c6e274ec8390d4d")</f>
        <v/>
      </c>
      <c r="F250">
        <f>HYPERLINK("https://www.amazon.jobs/jobs/3167103/program-manager-relo-ops-excellence-relo-ops-integration?cmpid=DA_INAD200785B", "https://www.amazon.jobs/jobs/3167103/program-manager-relo-ops-excellence-relo-ops-integration?cmpid=DA_INAD200785B")</f>
        <v/>
      </c>
      <c r="G250" t="inlineStr">
        <is>
          <t>Bellevue, WA, US</t>
        </is>
      </c>
      <c r="H250" s="3" t="n">
        <v>46020</v>
      </c>
      <c r="I250"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251">
      <c r="A251" t="inlineStr">
        <is>
          <t>in-831354dbf4543b6e</t>
        </is>
      </c>
      <c r="B251" t="inlineStr">
        <is>
          <t>Program Manager, ReLo Ops Excellence, Relo Ops Integration</t>
        </is>
      </c>
      <c r="C251" t="inlineStr">
        <is>
          <t>Amazon.com</t>
        </is>
      </c>
      <c r="D251" t="inlineStr">
        <is>
          <t>indeed</t>
        </is>
      </c>
      <c r="E251">
        <f>HYPERLINK("https://www.indeed.com/viewjob?jk=831354dbf4543b6e", "https://www.indeed.com/viewjob?jk=831354dbf4543b6e")</f>
        <v/>
      </c>
      <c r="F251">
        <f>HYPERLINK("https://www.amazon.jobs/jobs/3167103/program-manager-relo-ops-excellence-relo-ops-integration?cmpid=DA_INAD200785B", "https://www.amazon.jobs/jobs/3167103/program-manager-relo-ops-excellence-relo-ops-integration?cmpid=DA_INAD200785B")</f>
        <v/>
      </c>
      <c r="G251" t="inlineStr">
        <is>
          <t>Phoenix, AZ, US</t>
        </is>
      </c>
      <c r="H251" s="3" t="n">
        <v>46020</v>
      </c>
      <c r="I251"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252">
      <c r="A252" t="inlineStr">
        <is>
          <t>in-27837a9ca29759ef</t>
        </is>
      </c>
      <c r="B252" t="inlineStr">
        <is>
          <t>Program Manager, ReLo Ops Excellence, Relo Ops Integration</t>
        </is>
      </c>
      <c r="C252" t="inlineStr">
        <is>
          <t>Amazon.com</t>
        </is>
      </c>
      <c r="D252" t="inlineStr">
        <is>
          <t>indeed</t>
        </is>
      </c>
      <c r="E252">
        <f>HYPERLINK("https://www.indeed.com/viewjob?jk=27837a9ca29759ef", "https://www.indeed.com/viewjob?jk=27837a9ca29759ef")</f>
        <v/>
      </c>
      <c r="F252">
        <f>HYPERLINK("https://www.amazon.jobs/jobs/3167103/program-manager-relo-ops-excellence-relo-ops-integration?cmpid=DA_INAD200785B", "https://www.amazon.jobs/jobs/3167103/program-manager-relo-ops-excellence-relo-ops-integration?cmpid=DA_INAD200785B")</f>
        <v/>
      </c>
      <c r="G252" t="inlineStr">
        <is>
          <t>Dallas, TX, US</t>
        </is>
      </c>
      <c r="H252" s="3" t="n">
        <v>46020</v>
      </c>
      <c r="I252"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253">
      <c r="A253" t="inlineStr">
        <is>
          <t>in-5377795dd07ca54f</t>
        </is>
      </c>
      <c r="B253" t="inlineStr">
        <is>
          <t>Program Manager, ReLo Ops Excellence, Relo Ops Integration</t>
        </is>
      </c>
      <c r="C253" t="inlineStr">
        <is>
          <t>Amazon.com</t>
        </is>
      </c>
      <c r="D253" t="inlineStr">
        <is>
          <t>indeed</t>
        </is>
      </c>
      <c r="E253">
        <f>HYPERLINK("https://www.indeed.com/viewjob?jk=5377795dd07ca54f", "https://www.indeed.com/viewjob?jk=5377795dd07ca54f")</f>
        <v/>
      </c>
      <c r="F253">
        <f>HYPERLINK("https://www.amazon.jobs/jobs/3167103/program-manager-relo-ops-excellence-relo-ops-integration?cmpid=DA_INAD200785B", "https://www.amazon.jobs/jobs/3167103/program-manager-relo-ops-excellence-relo-ops-integration?cmpid=DA_INAD200785B")</f>
        <v/>
      </c>
      <c r="G253" t="inlineStr">
        <is>
          <t>Nashville, TN, US</t>
        </is>
      </c>
      <c r="H253" s="3" t="n">
        <v>46020</v>
      </c>
      <c r="I253"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254">
      <c r="A254" t="inlineStr">
        <is>
          <t>in-cf03bba0a0e88919</t>
        </is>
      </c>
      <c r="B254" t="inlineStr">
        <is>
          <t>Principal Product Manager Technical, Creative X - RAPID</t>
        </is>
      </c>
      <c r="C254" t="inlineStr">
        <is>
          <t>Amazon.com</t>
        </is>
      </c>
      <c r="D254" t="inlineStr">
        <is>
          <t>indeed</t>
        </is>
      </c>
      <c r="E254">
        <f>HYPERLINK("https://www.indeed.com/viewjob?jk=cf03bba0a0e88919", "https://www.indeed.com/viewjob?jk=cf03bba0a0e88919")</f>
        <v/>
      </c>
      <c r="F254">
        <f>HYPERLINK("https://www.amazon.jobs/jobs/3112224/principal-product-manager-technical-creative-x--rapid?cmpid=DA_INAD200785B", "https://www.amazon.jobs/jobs/3112224/principal-product-manager-technical-creative-x--rapid?cmpid=DA_INAD200785B")</f>
        <v/>
      </c>
      <c r="G254" t="inlineStr">
        <is>
          <t>Seattle, WA, US</t>
        </is>
      </c>
      <c r="H254" s="3" t="n">
        <v>45939</v>
      </c>
      <c r="I254"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255">
      <c r="A255" t="inlineStr">
        <is>
          <t>in-e395d4ac430919ad</t>
        </is>
      </c>
      <c r="B255" t="inlineStr">
        <is>
          <t>Principal Product Manager Technical, Creative X - RAPID</t>
        </is>
      </c>
      <c r="C255" t="inlineStr">
        <is>
          <t>Amazon.com</t>
        </is>
      </c>
      <c r="D255" t="inlineStr">
        <is>
          <t>indeed</t>
        </is>
      </c>
      <c r="E255">
        <f>HYPERLINK("https://www.indeed.com/viewjob?jk=e395d4ac430919ad", "https://www.indeed.com/viewjob?jk=e395d4ac430919ad")</f>
        <v/>
      </c>
      <c r="F255">
        <f>HYPERLINK("https://www.amazon.jobs/jobs/3112224/principal-product-manager-technical-creative-x--rapid?cmpid=DA_INAD200785B", "https://www.amazon.jobs/jobs/3112224/principal-product-manager-technical-creative-x--rapid?cmpid=DA_INAD200785B")</f>
        <v/>
      </c>
      <c r="G255" t="inlineStr">
        <is>
          <t>New York, NY, US</t>
        </is>
      </c>
      <c r="H255" s="3" t="n">
        <v>45939</v>
      </c>
      <c r="I255"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li-4336016823</t>
        </is>
      </c>
      <c r="B2" t="inlineStr">
        <is>
          <t>Associate Product Manager</t>
        </is>
      </c>
      <c r="C2" t="inlineStr">
        <is>
          <t>iHeartMedia</t>
        </is>
      </c>
      <c r="D2" t="inlineStr">
        <is>
          <t>linkedin</t>
        </is>
      </c>
      <c r="E2" t="inlineStr"/>
      <c r="F2" t="inlineStr"/>
      <c r="G2" t="inlineStr">
        <is>
          <t>New York, United States</t>
        </is>
      </c>
      <c r="H2" t="inlineStr"/>
      <c r="I2" t="inlineStr">
        <is>
          <t>iHeartRadio
 Current employees and contingent workers click here
 **to apply and search by the Job Posting Title.**
 The audio revolution is here – and iHeart is leading it! iHeartMedia,
 **the number one audio company in America** 
 , reaches 90% of Americans every month \-\- a monthly audience that’s
 **twice the size of any other audio company** 
 – almost three times the size of the largest TV network – and almost 4 times the size of the largest ad\-supported music streaming service. In fact, we have:
* More \#1 rated markets than the next two largest radio companies combined;
* We’re the largest podcast publisher, with more monthly downloads than the second\- and third\-largest podcast publishers combined. Podcasting, the fastest\-growing new media, today has more monthly users than streaming music services or Netflix;
* iHeart is the home of many of the country’s most popular and trusted on\-air personalities and podcast influencers, who build important connections with hundreds of communities across America;
* We create and produce some of the most popular and well\-known branded live music events in America, including the iHeartRadio Music Festival, the iHeartRadio Music Awards, the iHeartCountry Festival, iHeartRadio Fiesta Latina and the iHeartRadio Jingle Ball Tour;
* iHeartRadio is the \#1 streaming radio digital service in America;
* Our social media footprint is 7 times larger than the next largest audio service; and
*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 are looking for an Associate Product Manager to join the Product Management team. This person will assist our team to create new products and features as well as updates and enhancements to existing products, from the idea stage to initial scoping, build out, and launch. Main responsibilities include assisting with research on user problems and challenges, identifying and documenting product enhancements to solve those problems, partnering with engineering to scope \&amp; size those product features, answering engineering questions and signing off on products as they are being developed and helping to evangelize newly built product features to sales, marketing and existing customers.
**What You'll Do:**
* Partner with a Product Manager to own and define the product roadmap for their product lines
* Assist with defining user personas including identification of user problems and serve as user evangelist
* Research our customers and the market generally, to understand, validate and become an expert in their challenges
* Analyze usage of our existing products to understand how customers are interacting with our solutions and if they are achieving their goal
* Assist with articulating product goals and measures of success to business
* Perform analysis of competitors and identify competitive threats
* Work with engineering teams to clearly scope and roughly size product solutions before we start development so we understand the time and effort required to build those solutions
* Helping validate product hypotheses with surveys, usage analytics, A/B testing, etc.
* Direct research efforts of Business Analysts working on the product team
* Run brainstorming \&amp; interview sessions with end users
* Write clear, coherent user stories with detailed acceptance criteria
* Generate simplified wireframes and design mocks to define user flow
* Assist product manager in running groomings, standups, post mortems and negotiating feature build out with engineering teams
* Conduct timely product reviews and sign\-offs of new features and work with engineering to thoroughly user\-test and ensure resulting build matches what was committed to in each sprint
* Assist product manager with go\-to\-market strategy for new features and products, including consumer\-ready communications for marketing \&amp; sales teams
* Attend daily stand ups and biweekly sprint planning with engineering teams to obliterate blockers, manage dependencies / prerequisites while product is being developed
**What You'll Need:**
* 1\-2 years experience in product management, product development, product design or similar field
* Very strong verbal and communication skills
* Familiarity or experience with Agile and scrum software development processes
* Strong organizational skills and ability to handle multiple tasks
* Strong analytical problem solving and solution finding skills
* Very strong writing and presentation skills (including but not limited to describing simple user stories, jobs\-to\-be\-done requirements for engineering teams, value proposition statements, etc)
* Experience working in SaaS organizations and comfortable working within large, cross\-functional teams that include engineering, customer success, marketing, and sales.
* Relevant industry experience, either with marketing \&amp; advertising technology or developing on Facebook \&amp; other social APIs
* Positive, upbeat and customer\-service oriented
* Ability to manage changing priorities within a highly dynamic environment
* Ability to perform duties with limited oversight
* Willing and able to learn new skills as required
**What You'll Bring:**
* Respect for others and a strong belief that others should do this in return
* Accountability for own work and desire to provide guidance to new team members
* Ability to contribute to several projects at the same time under a moderate level of direction
* Application of objective judgement, technical skills and prior experience to solve business problems
* Strong written and verbal communication skills, including a knack for explaining complex information in a straightforward manner
* Desire for continued knowledge sharing and learning
* Understanding of impact of own decisions
**Compensation:**
 Salary to be determined by multiple factors including but not limited to relevant experience, knowledge, skills, other job\-related qualifications, and alignment with market data.
 $73,960 \- $92,450
**Location:**
 VIRTUAL, NY
**Position Type:**
 Regular
**Time Type:**
 Full time
**Pay Type:**
 Salaried
**Benefits:**
 iHeartMedia’s benefits offering is flexible and offers a variety of choices to meet the diverse needs of our changing workforce, including the following:
* Employer sponsored medical, dental and vision with a variety of coverage options
* Company provided and supplemental life insurance
* Paid vacation and sick time
* Paid company holidays, including a floating holiday that enable our employees to celebrate the holiday of their choosing
* A Spirit day to encourage and allow our employees to more easily volunteer in their community
* A 401K plan
* Employee Assistance Program (EAP) at no cost – services include telephonic counseling sessions, consultation on legal and financial matters, emotional well\-being, family and caregiving
* A range of additional voluntary programs, such as spending accounts, student loan refinancing, accident insurance and more!
 We are accepting applications for this role on an ongoing basis.
 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Non\-Compete will be required for certain positions and as allowed by law.
 Our organization participates in E\-Verify. Click here to learn about E\-Verify.</t>
        </is>
      </c>
    </row>
    <row r="3">
      <c r="A3" t="inlineStr">
        <is>
          <t>li-4363846328</t>
        </is>
      </c>
      <c r="B3" t="inlineStr">
        <is>
          <t>Product Manager, Omnichannel</t>
        </is>
      </c>
      <c r="C3" t="inlineStr">
        <is>
          <t>HubSpot</t>
        </is>
      </c>
      <c r="D3" t="inlineStr">
        <is>
          <t>linkedin</t>
        </is>
      </c>
      <c r="E3" t="inlineStr"/>
      <c r="F3" t="inlineStr"/>
      <c r="G3" t="inlineStr"/>
      <c r="H3" t="inlineStr"/>
      <c r="I3" t="inlineStr">
        <is>
          <t>**POS\-15799**
**Product Manager, Omnichannel Messaging Platform**
**Role Summary**
 Our mission at HubSpot is to help millions of organizations grow better. In this role, you’ll shape the future of how sales and support teams communicate across email, WhatsApp, Facebook Messenger, Instagram, and emerging channels. You’ll redefine the most heavily used messaging channel—email—while building a unified, AI\-powered platform that helps reps communicate naturally and efficiently. You’ll collaborate deeply across Engineering, UX, Research, and Analytics to deliver impactful, customer\-driven solutions.
**What You’ll Do**
* Lead the product strategy and roadmap for HubSpot’s Omnichannel Messaging Platform, with a core focus on modernizing email for 2026 and beyond.
* Simplify and evolve complex email foundations such as threading, deliverability, access controls, provider integrations, signatures, automations, and message\-object associations.
* Build platform capabilities that power consistent, scalable messaging across email, WhatsApp, Facebook Messenger, Instagram, and future channels.
* Use AI to streamline setup, automate support messages, enhance reply workflows, and boost rep productivity.
* Work closely with Service Hub, Connected Email, CRM, and Deliverability teams to create end\-to\-end messaging experiences that scale.
* Balance native channel constraints with CRM workflows to deliver intuitive, enterprise\-grade omnichannel communication.
* Guide new product ideas from concept through launch, driving alignment across engineering, UX, and cross\-functional teams.
* Interview customers to understand their messaging behaviors, challenges, and opportunities.
* Define, track, and analyze the key metrics that reflect the health, adoption, and effectiveness of the messaging ecosystem.
**What You’ll Bring**
**Required Qualifications**
* Proven experience shipping messaging or communications products as a Product Manager.
* Skilled at partnering with engineers and designers to deliver high\-quality, customer\-centric products.
* Curiosity and resilience in navigating mature, technically complex domains like email.
* Strong data literacy and a hypothesis\-driven approach to decision making.
* Excellent communication and storytelling skills, with the ability to articulate vision and trade\-offs clearly.
* Ability to connect familiar messaging behaviors (Gmail, Outlook, WhatsApp, Slack) to CRM workflows.
* Understanding of the competitive messaging landscape and emerging trends.
* Comfortable moving quickly, learning fast, and iterating in ambiguity.
**Nice\-to\-Have Qualifications**
* Experience with AI\-driven messaging or automation capabilities.
* Background in platform, communications, or infrastructure products.
* Experience in sales, support, or CRM\-connected workflows.
**Where You’ll Work**
* Location: Remote, United States (EST/CST preferred)
* Work preference: Remote
* Travel: Limited travel
**Application Requirements**
* Applications must be submitted in English.
* No cover letter or supplemental materials required.
* No application deadline set.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$144,000—$216,000 USD
*We know the* 
*confidence gap* 
*and* 
*impostor syndrome* 
*can get in the way of meeting spectacular candidates, so please don’t hesitate to apply — we’d love to hear from you.*
***If you need accommodations or assistance due to a disability, please reach out to us using this form.***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 HubSpot Careers
* Life at HubSpot on Instagram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Refer to HubSpot's Recruiting Privacy Notice for details on data processing and your rights.*</t>
        </is>
      </c>
    </row>
    <row r="4">
      <c r="A4" t="inlineStr">
        <is>
          <t>li-4318526949</t>
        </is>
      </c>
      <c r="B4" t="inlineStr">
        <is>
          <t>Senior Product Manager</t>
        </is>
      </c>
      <c r="C4" t="inlineStr">
        <is>
          <t>Cleerly</t>
        </is>
      </c>
      <c r="D4" t="inlineStr">
        <is>
          <t>linkedin</t>
        </is>
      </c>
      <c r="E4" t="inlineStr"/>
      <c r="F4" t="inlineStr"/>
      <c r="G4" t="inlineStr">
        <is>
          <t>Denver, CO</t>
        </is>
      </c>
      <c r="H4" t="inlineStr"/>
      <c r="I4" t="inlineStr">
        <is>
          <t>**About Cleerly**
 We’re Cleerly – a healthcare company that’s revolutionizing how heart disease is diagnosed, treated, and tracked. We were founded in 2017 by one of the world’s leading cardiologists and are a growing team of world\-class engineering, operations, medical affairs, marketing, and sales leaders. We raised $223M in Series C funding in 2022 which has enabled rapid growth and continued support of our mission. In December 2024 we received an additional $106M in a Series C extension funding. Most of our teams work remotely and have access to our offices in Denver, Colorado, New, York, New York, Dallas, Texas, and Lisbon, Portugal with some roles requiring you to be on\-site in a location.
 Cleerly has created a new standard of care for heart disease through value\-based, AI\-driven precision diagnostic solutions with the goal of helping prevent heart attacks. Our technology goes beyond traditional measures of heart disease by enabling comprehensive quantification and characterization of atherosclerosis, or plaque buildup, in each of the heart arteries. Cleerly’s solutions are supported by more than a decade of performing some of the world’s largest clinical trials to identify important findings beyond symptoms that increase a person’s risk of heart attacks.
 At Cleerly, we collaborate digitally and use a wide variety of systems. Our people use Google Workspace (GMail, Drive, Docs, Sheets, Slides), Slack, Confluence/Jira, and Zoom Video, prior experience in these areas is a plus. Role or department specific technology needs may vary and will be listed as requirements in the job description.
 While we are mostly a remote company, travel is required for some team meetings and cross function projects typically once per month or once per quarter, for some roles like sales or external facing roles travel could be up to 90% of the time.
**About The Opportunity**
 We are seeking an accomplished Senior Product Manager to lead the release and launch of Cleerly’s AI\-powered products for cardiovascular health. The Product Manager will collaborate with cross\-functional teams to define product requirements, prioritize features, and deliver innovative AI solutions that directly impact the diagnostic and prognostic care pathways for heart disease. This role requires a focus on understanding clinical needs, designing effective solutions, and making informed trade\-offs to balance customer demands with technical feasibility. The Product Manager will be a primary contributor to product definition and will be responsible for prioritizing and articulating new opportunities in the marketplace and defining the product roadmap in alignment with the overall business objectives.
**Responsibilities**
* Lead the product roadmap for innovation products aligning with market demand, customer needs and company goals.
* Engage with internal and external stakeholders, such as clinicians and AI scientists, to shape the product vision and direction; establish the voice of the customer funnel.
* Write clear business and functional requirements that support development efforts while ensuring clinical relevance and regulatory alignment.
* Understand the domain of diagnostic and prognostic care pathways for heart disease to guide product decisions.
* Prioritize features and balance trade\-offs between performance, feasibility, and business impact.
* Collaborate with AI, regulatory, and engineering teams on implementation, from design and development reviews to launch, ensuring timely and high\-quality delivery.
* Work closely with product management and leadership teams to develop and support the go\-to\-market strategy.
* Define, track, and interpret key product metrics to drive future product iteration, inform decisions and drive continuous improvement.
* Partner with downstream marketing and sales team on product detail and messaging and support of initial implementation of products in the field at key customer accounts.
**Requirements**
* 8\+ years in product and portfolio management, with hands\-on experience developing and launching SaMD, or AI\-driven healthcare solutions.
* Bachelor's degree in Engineering, Biomedical Engineering, or a related technical field. A Master’s or PhD degree is a plus and may substitute for part of the required experience.
* Proven track record of leading the roadmap planning, end\-to\-end development, launch, and iteration of complex products in fast\-paced or startup environments.
* Deep understanding of clinical workflows and advanced imaging techniques, particularly in cardiology and radiology.
* Track record of managing products through the full lifecycle, from concept to launch and beyond, while anticipating future needs and problems in the roadmap.
* Strong research and analytical skills, a deep understanding of customer needs, and an ability to represent the customer as a stakeholder in detailed design team meetings.
* Skilled at breaking down complex, ambiguous, or changing problems into clear product strategies and functional requirements.
* Familiar with deep learning concepts, agile development methodologies (e.g., Agile, Scrum), and the regulatory environment (FDA, HIPAA, and global guidelines).
* Comfortable working cross\-functionally including ML/AI, clinical, engineering, sales, regulatory, and marketing teams.
* Excellent written and verbal communication skills with the ability to influence and collaborate across teams.
**Preferred Qualifications**
* Experience leading cross\-functional project teams including ML/AI,imaging, clinical, engineering, sales, regulatory, and marketing teams.
* Prior experience in the cardiovascular field with base knowledge of cardiovascular diseases and procedures, to be able to engage in thoughtful discussions with key stakeholders.
* Comprehensive knowledge of one or more medical imaging modalities (CT, MRI, Ultrasound, Fluoroscopy, etc.) and their role in diagnostic decision making, procedure planning and guidance.
* Prior experience in complex healthcare or medical imaging workflow applications and enterprise imaging IT solutions.
* Track record of driving strategic ideas, building business cases, developing product roadmaps, and securing executive alignment to deliver high\-impact solutions.
* Knowledge of global healthcare economics, reimbursement models, and payer dynamics.
**TTC\*:** 
 $207,000 \- $241,500
* Total Target Compensation (TTC): Total Cash Compensation (including base pay, variable pay, commission, bonuses, etc.).
*Each role at Cleerly has a defined salary range based on market data and company stage. We typically hire at the lower to mid\-point of the range, with the top end reserved for internal growth and exceptional performance. Actual pay depends on factors like experience, technical depth, geographic location, and alignment with internal peers.*
**Working at Cleerly takes HEART. Discover our Core Values:**
* H: Humility\- be a servant leader
* E: Excellence\- deliver world\-changing results
* A: Accountability\- do what you say; expect the same from others
* R: Remarkable\- inspire \&amp; innovate with impact
* T: Teamwork\- together we win
 Don’t meet 100 percent of the qualifications? Apply anyway and help us diversify our candidate pool and workforce. We value experience, whether gained formally or informally on the job or through other experiences.
 *Job duties, activities and responsibilities are subject to change by our company.*
***OUR COMPANY IS AN EQUAL OPPORTUNITY EMPLOYER.***
*We do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By submitting your application, you agree to receive SMS messages from Cleerly recruiters throughout the interview process. Message frequency may vary. Message and data rates may apply. You can STOP messaging by sending STOP and get more help by sending HELP. For more information see our Privacy Policy (https://cleerlyhealth.com/privacy\-policy). All official emails will come from @cleerlyhealth.com email accounts.
 \#Cleerly</t>
        </is>
      </c>
    </row>
    <row r="5">
      <c r="A5" t="inlineStr">
        <is>
          <t>li-4348566495</t>
        </is>
      </c>
      <c r="B5" t="inlineStr">
        <is>
          <t>Group Product Manager, Enterprise Services Management</t>
        </is>
      </c>
      <c r="C5" t="inlineStr">
        <is>
          <t>Asana</t>
        </is>
      </c>
      <c r="D5" t="inlineStr">
        <is>
          <t>linkedin</t>
        </is>
      </c>
      <c r="E5" t="inlineStr"/>
      <c r="F5" t="inlineStr"/>
      <c r="G5" t="inlineStr">
        <is>
          <t>San Francisco, CA</t>
        </is>
      </c>
      <c r="H5" t="inlineStr"/>
      <c r="I5" t="inlineStr">
        <is>
          <t>The Product Management team drives Asana’s product strategy and execution, translating customer needs and opportunities into a compelling roadmap and working cross\-functionally to deliver impactful solutions for team productivity and collaboration. We’re helping to define the Work Management category and inventing new ways for teams to work more efficiently together and see the larger purpose behind their work. Our team works directly with Engineering, Design, Experience Research, and Data Science, as well as with Sales, Support, and Marketing to ship great products. You’ll take part in every type of product work here — from strategy to product to process improvements — conceptualizing, launching, and iterating on Asana itself for millions of teams around the world.
 Asana is building its next major business line: Enterprise Service Management, powered by AI agents and tightly integrated with Asana’s Work Graph. This is a 0→1 opportunity to define how IT, HR, and Support teams resolve work, automate workflows, and connect tickets to projects in a modern, AI\-native platform. We’re looking for a hands\-on, highly entrepreneurial Group PM who combines deep product craft with customer obsession, technical fluency, and strong go\-to\-market instincts. This person will incubate a new business from scratch, partner directly with customers, and drive the product and GTM strategy required to build the next scalable product at Asana.
 This role is ideal for someone who loves ambiguity, builds quickly, learns from customers, and has experience shaping AI agentic workflows, IT/service automation tools, or adjacent enterprise SaaS products.
 This role is based in our San Francisco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Drive the 0→1 strategy and product vision by helping define the 3\-year product strategy for Asana’s ESM business, including differentiation through AI agents, automations, and deep workflow integrations, and establishing Asana’s “right to win.”
* Partner deeply with customers by spending significant time validating pain points, co\-developing workflows, and translating insights into clear MVP scope, an iterative roadmap, and measurable outcomes.
* Build and launch an AI\-native MVP, prioritizing a focused set of capabilities that solve real customer problems and collaborating closely with engineering, design, and UXR to build reliable, technical AI systems.
* Drive cross\-functional GTM by partnering with Sales, Channel, PMM, and CS on positioning, pricing, packaging, early lighthouse accounts, and working with channel partners to refine migration and onboarding experiences.
* Operate with startup\-level hustle and high velocity, breaking down ambiguous problems, shipping iteratively, validating quickly, learning from real usage, and staying scrappy and passionate about the 0→1 stage.
**About You**
* 10\+ years of Product Management experience, with demonstrated success building AI\-driven platforms, automation systems, service workflows, or enterprise SaaS products; experience with multi\-agent systems, LLM\-powered workflows, or AI operations is a plus.
* 2\+ years of people management experience with a track record of mentoring and developing high performing PM's.
* Strong 0→1 builder — you’ve built and scaled new products or incubations before and operate with urgency, resourcefulness, and creativity, pushing through ambiguity.
* Technical systems thinker, comfortable going deep on architecture, flows, and tradeoffs with engineering, and able to reason about integrations, identity systems, workflow engines, and AI agent behavior.
* Customer\-centric, thriving in customer conversations and translating qualitative insights into sharp product decisions; energized by solving real operational pain.
* Commercially and GTM savvy, equally comfortable in customer pitches, channel partner discussions, and pricing conversations as you are writing PRDs; skilled at positioning and selling into both mid\-market and enterprise.
* Communication and collaboration: exceptional communicator with crisp writing, clear storytelling, and the ability to persuade across engineering, design, sales, and executive stakeholders while bringing clarity to ambiguity.
* Growth mindset and AI\-first thinker, curious, adaptable, and eager to leverage emerging technologies to elevate product experiences and internal workflows.
* Demonstrates curiosity about AI tools and emerging technologies, with a willingness to learn and leverage them to enhance productivity, collaboration, or decision\-making.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$297,000 \- $403,000\.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6">
      <c r="A6" t="inlineStr">
        <is>
          <t>li-4317462255</t>
        </is>
      </c>
      <c r="B6" t="inlineStr">
        <is>
          <t>Product Manager</t>
        </is>
      </c>
      <c r="C6" t="inlineStr">
        <is>
          <t>Atticus</t>
        </is>
      </c>
      <c r="D6" t="inlineStr">
        <is>
          <t>linkedin</t>
        </is>
      </c>
      <c r="E6" t="inlineStr"/>
      <c r="F6" t="inlineStr"/>
      <c r="G6" t="inlineStr">
        <is>
          <t>Los Angeles, CA</t>
        </is>
      </c>
      <c r="H6" t="inlineStr"/>
      <c r="I6" t="inlineStr">
        <is>
          <t>**About Atticus**
 At any given time, 16 million Americans are experiencing a crisis that requires urgent help from our legal system or government. The right assistance could transform their lives. But today, most never get it.
 Atticus makes it easy for any sick or injured person in crisis to get the life\-changing aid they deserve. In the last six years, we’ve become the leading platform connecting people with disabilities to government benefits. We also help victims of accidents, misconduct, and violence get compensation from insurance.
 So far, we’ve helped hundreds of thousands of people access over $10B in life\-changing aid —and earned over 17,000\+ five\-star reviews. And we’re just getting started.
 We've raised more than $100 million from top VC firms like Fika, Forerunner, GV (Google Ventures), and True Ventures, with ambitions to create a category defining business assisting needy Americans. (We closed our Series C round in April 2025, so we're well\-funded for the foreseeable future.) In 2025, our team grew from 151 to 210, and we will grow again in 2026\.
**The Job**
 At every step of our funnel, we aim to make choosing Atticus a no\-brainer. Our platform covers a lot: evaluating a client’s case, giving advice, matching them with the right lawyer, formalizing the arrangement, and helping both parties work together as the case progresses. We hold ourselves to an incredibly high bar, because we know it results in life\-changing aid for those in need. A few examples of what we’re currently working on:
* Improve an existing framework to match clients to the best law firm in our network available (for their case, geography, client and firm preferences, etc.) and work with the Data Science team to turn it into a reality.
* Interview partner law firms to prioritize the next set of features we’ll build, then partner with Design and Engineering to craft a formal roadmap and mock up wireframes for our next product launch.
* Leverage data from our call center and case details to optimize how and when we reach clients across mediums and throughout their case lifecycle.
* Build a core data platform to support multiple verticals at varying scales with model\-driven decision making and personalization throughout the funnel.
**Responsibilities**
* Get to know our users \- both clients and lawyers \- and understand their needs.
* Craft a product vision for our next phase of growth. Go deep on strategy: become an expert in our business model, current offering, and key milestones to inform your work.
* Develop a comprehensive product roadmap and build alignment for it with stakeholders and senior leadership.
* Work with engineering and design to build and ship new products and features. Play the role of conductor, coordinating and empowering others.
* Own key targets and metrics. Collect and analyze data, and use it to drive decision\-making at a company level. Propose hypotheses, run experiments, and iterate quickly.
**Qualifications**
* 3\+ years of product management experience, building and shipping products at scale
* Demonstrated success in setting a product vision and strategy, and the ability to speak thoughtfully about the key decisions and tradeoffs you made
* Knowledge of best practices (from past work in a high\-performing organization) and the ability to instill a great product culture as we grow
* Great communication and people skills — shown by great reviews from PMs, engineers and designers you’ve worked with
* Mastery of data platforms and ability to do your own analysis
* A demonstrated commitment to doing good and helping people
* Bonus: Early\-stage startup experience \- complex consumer business, two\-sided marketplace, and/or B2B product
**Salary And Benefits**
 This is a rare opportunity to join a startup that has strong traction (substantial funding, well\-respected backers, tremendous growth, and many happy customers) but is still small enough that you can have a huge impact and play a role in shaping our culture.We’re a certified B Corporation tackling a critical social problem. Our mission to help people in need drives everything we do, and your work here will touch many lives.
 We offer competitive pay — including equity — and generous benefits:
* Medical and dental insurance with 100% of employee premiums covered
* 15 vacation days \&amp; \~20 paid holidays each year (including two weeks at end\-of\-year)
* Free membership to OneMedical
* $600/year reimbursable stipend for internet service
* $1,000 reimbursable stipend for education and training outside of work
* Up to $1,200/year student loan repayment assistance
* 401(k) and optional HSA/FSA
* Humble, thoughtful, smart, fun colleagues
**Location**
 This job is fully remote and we’re committed to empowering everyone with flexibility. Work remotely, and travel to LA (on the company dime) as needed to be with your colleagues – usually quarterly, plus offsites. We care a lot about building a great culture and we think some interactions need to happen in person, so we put a lot of thought into retreats, offsites, and other ways to gather.</t>
        </is>
      </c>
    </row>
    <row r="7">
      <c r="A7" t="inlineStr">
        <is>
          <t>li-4370172754</t>
        </is>
      </c>
      <c r="B7" t="inlineStr">
        <is>
          <t>Product Owner</t>
        </is>
      </c>
      <c r="C7" t="inlineStr">
        <is>
          <t>Mango Analytics</t>
        </is>
      </c>
      <c r="D7" t="inlineStr">
        <is>
          <t>linkedin</t>
        </is>
      </c>
      <c r="E7" t="inlineStr"/>
      <c r="F7" t="inlineStr"/>
      <c r="G7" t="inlineStr">
        <is>
          <t>Seattle, WA</t>
        </is>
      </c>
      <c r="H7" t="inlineStr"/>
      <c r="I7" t="inlineStr">
        <is>
          <t>**Sr. Product Owner**
**Location: Seattle WA ( 3 days onsite 2 days remote)**
**Local Nearby Candidates Required**
**Visa: Independent visa**
**Must have:
 **Backlog \&amp; Requirements Management; Sprint Execution \&amp; Agile Delivery; Roadmap \&amp; Strategy Execution; Documentation \&amp; Governance (Feature specs, API requirement, Data flow diagrams, Access control models)****
**Responsibilities**
* Owns and manages mix of simple to complex features within Authentication teams.
* Serves as a single point of contact and the escalation point between the client/business area and AuthHub development team for the resolution of unresolved problems, complaints, and complex service requests.
* Be accountable for the coordinate the development of technology solutions appropriate to business needs and objectives, and oversees implementation of programs, projects or processes.
* Involves in the coordination of translating business strategy into work programs and processes.
* Be accountable for adhering to enterprise standards for documentation in our software delivery tools (Jira, Remedy, Confluence, etc.)
**Required Qualifications**
* Experience in design principles and design patterns. Strong background in a disciplined software development life cycle (SDLC) process
* 5\+ years' experience working on a team with the Agile Methodology, lead the software development team successfully delivered projects
* Scrum, sprint planning, burn down and velocity reporting, backlog prioritization, retrospectives
* 5\+ years' experience as a business analyst or project manager
* Manage scope, estimation, project status, reporting, escalation
* Experience gathering required info into Business Requirements, Documents, wireframes, epic and story writing, flow diagrams, data mapping, test plans, use cases and scenario
* Ability to communicate with both business and technology partners effectively.</t>
        </is>
      </c>
    </row>
    <row r="8">
      <c r="A8" t="inlineStr">
        <is>
          <t>li-4370023821</t>
        </is>
      </c>
      <c r="B8" t="inlineStr">
        <is>
          <t>AI Product Manager - Remote</t>
        </is>
      </c>
      <c r="C8" t="inlineStr">
        <is>
          <t>RemoteHunter</t>
        </is>
      </c>
      <c r="D8" t="inlineStr">
        <is>
          <t>linkedin</t>
        </is>
      </c>
      <c r="E8" t="inlineStr"/>
      <c r="F8" t="inlineStr"/>
      <c r="G8" t="inlineStr"/>
      <c r="H8" t="inlineStr"/>
      <c r="I8"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
      <c r="A9" t="inlineStr">
        <is>
          <t>li-4322179993</t>
        </is>
      </c>
      <c r="B9" t="inlineStr">
        <is>
          <t>Product Manager, Claude Code</t>
        </is>
      </c>
      <c r="C9" t="inlineStr">
        <is>
          <t>Anthropic</t>
        </is>
      </c>
      <c r="D9" t="inlineStr">
        <is>
          <t>linkedin</t>
        </is>
      </c>
      <c r="E9" t="inlineStr"/>
      <c r="F9" t="inlineStr"/>
      <c r="G9" t="inlineStr">
        <is>
          <t>San Francisco, CA</t>
        </is>
      </c>
      <c r="H9" t="inlineStr"/>
      <c r="I9"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Product Manager for Claude Code, you will drive the evolution of the Claude Code product suite and help shape how developers work with AI. You will work closely with internal users and customers to prioritize their requirements and ship improvements to Claude Code. You will work closely with the engineering team, research team, and XFN teams to ensure Claude Code remains ahead of model capabilities and is seen as the best way to experience the most intelligent Claude models.
 In just a few months since launch, Claude Code has already redefined how developers interact with AI. Yet we are only scratching the surface. As model intelligence accelerates, the ultimate form factor of agentic software development remains unwritten. We seek a product manager who combines deep technical understanding, genuine love for developers, and strong product intuition. You should be equally comfortable discussing customer feedback with world\-class researchers, debugging user workflows with engineers, and presenting product strategy to executives.
**Responsibilities**
* Define the roadmap for an area of the Claude Code product suite
* Translate cutting\-edge AI advances into practical developer features
* Build an ecosystem around the CLI and other products so that developers can easily share best practices
**You Might Be a Good Fit If You**
* Have a combined 5\+ years in product management and engineering, including at least 1 year as a professional engineer.
* Have a deep technical background with experience working cross\-functionally with engineering teams to ship technical products.
* Track record of launching ambitious products that have achieved distribution or commercial success. Experience in dev tools is preferred.
* Stay up\-to\-date and hands\-on with AI coding tools, model capabilities, and industry trends
* Have a creative, hacker spirit and love solving puzzles
 The annual compensation range for this role is listed below.
 For sales roles, the range provided is the role’s On Target Earnings ("OTE") range, meaning that the range includes both the sales commissions/sales bonuses target and annual base salary for the role.
**Annual Salary**
 $285,000—$305,000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0">
      <c r="A10" t="inlineStr">
        <is>
          <t>li-4342391962</t>
        </is>
      </c>
      <c r="B10" t="inlineStr">
        <is>
          <t>Senior Product Manager, Member Growth</t>
        </is>
      </c>
      <c r="C10" t="inlineStr">
        <is>
          <t>SoFi</t>
        </is>
      </c>
      <c r="D10" t="inlineStr">
        <is>
          <t>linkedin</t>
        </is>
      </c>
      <c r="E10" t="inlineStr"/>
      <c r="F10" t="inlineStr"/>
      <c r="G10" t="inlineStr">
        <is>
          <t>San Francisco, CA</t>
        </is>
      </c>
      <c r="H10" t="inlineStr"/>
      <c r="I1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an experienced, strategic, and highly collaborative product leader to lead our
 **Campaigns product** 
 team at SoFi. This team owns the platforms and experiences that power our promotional marketing campaigns. The role is central to the success of SoFi’s goals of driving member acquisition, engagement, and retention, towards the overall mission of SoFi to help our members get their money right.
 You will be responsible for setting the vision, identifying opportunities and key inputs, setting goals, defining the member/marketer experiences and delivering features. As a product leader in our organization, we look to you to set big, ambitious goals, be gritty, and hold yourself and your cross\-functional teams accountable to deliver results on behalf of our members. You will be a vocal and empathetic customer advocate, influencing and building cross\-functional experiences with stakeholders across all business units.
 This role is inherently cross\-functional—you will work closely with engineering, marketing, data science, design, operations, finance, risk, legal, compliance and executive teams to set business objectives, define product strategy, prioritize features and execute on them. You’ll play the critical role of driving the business while bridging the technical and business worlds to drive profitable business growth while managing risk.
**What You’ll Do:**
* Own and define the vision, strategy and product roadmap for Campaigns platforms at SoFi
* Identify leapfrog product features, leveraging forward thinking technology, data, tools (including ML or AI) and industry best practices that will provide a significantly differentiated value and best\-in\-class experience to our members, to help them get their money right
* Create and evangelize a product vision and own a multi\-year product roadmap, including prioritizing and driving backlogs for launch with your dedicated engineering teams
* Communicate the vision, strategy, execution plan and customer impact/learnings to all stakeholders including the highest levels of leadership in the company
* Collaborate closely with the full cross\-functional team (e.g., marketing, product, design, engineering, platform, data, compliance, risk, finance and operations) for your line of business \&amp; initiatives, to help execute on the strategic vision
**What You’ll Need:**
* Bachelor’s degree or higher with a technical discipline
* 5\+ years of experience in a Product Management role
* Previous experience leading Platform and/or MarTech cross functional teams
* Technical savvy with marketing systems and ability to partner closely with marketing leadership
* Full stack “operator”: ability to both create and execute the business and product strategy; with clear objectives, but limited, ambiguous, or varied direction
* Ability to operate cross\-functionally, leading and influencing colleagues, and ultimately leading to timely tactical decision making to advance our objectives
* Flexible and collaborative approach to problem solving and ideation in a highly ambiguous environment
* Superior communication skills, both written and verbal, along with experience presenting to C\-level leadership
* Data\-driven approach and excellent analytical skills
* Passion for your customers!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1">
      <c r="A11" t="inlineStr">
        <is>
          <t>li-4322440026</t>
        </is>
      </c>
      <c r="B11" t="inlineStr">
        <is>
          <t>Research Product Manager</t>
        </is>
      </c>
      <c r="C11" t="inlineStr">
        <is>
          <t>Anthropic</t>
        </is>
      </c>
      <c r="D11" t="inlineStr">
        <is>
          <t>linkedin</t>
        </is>
      </c>
      <c r="E11" t="inlineStr"/>
      <c r="F11" t="inlineStr"/>
      <c r="G11" t="inlineStr">
        <is>
          <t>New York, NY</t>
        </is>
      </c>
      <c r="H11" t="inlineStr"/>
      <c r="I11"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Product Manager for the Research team at Anthropic, you will own the ideation and deployment of new models and products as we advance frontier, safe AI technology. You will work closely with our research teams to help productize credible applied research and identify high\-potential use cases grounded in customer needs. We are looking for someone passionate about developing safe and beneficial artificial intelligence technologies. You thrive in ambiguous environments and can uncover latent, non\-obvious use cases for nascent technologies, bringing these insights back to research. Your curiosity about user needs enables you to connect advanced technology to products that deliver real\-world value.
 We seek experienced founders and product managers who can bridge research and ambitious product experimentation, with the ability to create and grow entirely new product categories enabled by AI.
**Responsibilities**
* Lead vision, strategy, roadmap, and execution of frontier technologies that leverage the latest AI capabilities to solve real\-world problems
* Partner with research to define, improve, and ship model capabilities within a research area
* Identify nascent research that could become transformative products
* Synthesize user insights into actionable requirements and evaluations
* Understand the AI landscape and ecosystem, ensuring we have an objective view of market capabilities and our position
* Work with and influence a diverse set of stakeholders, including research, product engineering, and platform engineering teams
**You Might Be a Good Fit If You**
* Have a deep passion and curiosity for AI and LLMs. Use AI regularly.
* Have 5\+ years in product management, with experience launching new products and scaling existing ones (founder background is a plus)
* Are a first\-principles thinker with the ability to navigate and execute amidst ambiguity, flexing into different domains based on the business problem at hand and finding simple, easy\-to\-understand solutions
* Possess a deep technical background with a strong grasp of AI/ML concepts and are willing to go deep on technical solutions; have a data\-driven mindset with working proficiency in Python and SQL
* Have strong user empathy and the ability to synthesize vague or contradictory feedback into actionable priorities
* Have a track record of launching ambitious products that have achieved distribution or commercial success
* Have intellectual curiosity without ego—comfortable asking questions and learning independently
* Think creatively about the risks and benefits of new technologies, moving beyond past checklists and playbooks
* Have a creative, hacker spirit and love solving puzzles
 The annual compensation range for this role is listed below.
 For sales roles, the range provided is the role’s On Target Earnings ("OTE") range, meaning that the range includes both the sales commissions/sales bonuses target and annual base salary for the role.
**Annual Salary**
 $305,000—$460,000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2">
      <c r="A12" t="inlineStr">
        <is>
          <t>li-4340206608</t>
        </is>
      </c>
      <c r="B12" t="inlineStr">
        <is>
          <t>Product Manager - Fixed Income - Enterprise Data Products</t>
        </is>
      </c>
      <c r="C12" t="inlineStr">
        <is>
          <t>Bloomberg</t>
        </is>
      </c>
      <c r="D12" t="inlineStr">
        <is>
          <t>linkedin</t>
        </is>
      </c>
      <c r="E12" t="inlineStr"/>
      <c r="F12" t="inlineStr"/>
      <c r="G12" t="inlineStr">
        <is>
          <t>New York, NY</t>
        </is>
      </c>
      <c r="H12" t="inlineStr"/>
      <c r="I12" t="inlineStr">
        <is>
          <t>Location
 New York
 Business Area
 Product
 Ref \#
 10047224
**Description \&amp; Requirements**
 We are Bloomberg Enterprise Data \- fast paced, innovative and expanding! We partner closely with our clients, taking time to understand their unique businesses, individual data, and financial technology (FinTech) needs. Our selection of datasets, covering all asset types, with multiple delivery technologies and flexible scheduling enables our clients to get the exact data they need, when they need it, in the format they prefer. Put simply, our award\-winning data helps power the capital markets! Bloomberg's Enterprise Data business continues to be a market leader when it comes to providing enterprise content for the financial services industry. Our offering includes best\-in\-class enterprise data, and data delivery via a fully managed platform. Our committed customer base appreciates the quality of our content, completeness of our coverage, data delivery, technology, tools, and high touch client service model.
****Fixed Income Reference Data Team****
 The team manages solutions that are foundational and critical to the success of our Enterprise Content business. We have built a best\-in\-class data product offering that services client demand for completeness, timeliness and high\-quality reference data. Reference data provides the foundation across pricing, regulatory, risk and our sustainable Fixed Income Data Solutions. This business is core to our growth strategy across Enterprise Data, and our ambition is to continue servicing the most complex demands and challenges of our clients so that they can keep innovating and delivering value to their clients. The team is responsible for identifying, creating, and designing data solutions that leverage Bloomberg's Fixed Income data. This requires an in\-depth understanding of Fixed Income markets and familiarity with key market drivers.
****What is the role?****
 We are seeking an exceptional Product Manager to drive the continued development of our extended Fixed Income products to define how we make Fixed Income Reference Data available within the largest financial data marketplace to drive client adoption and evolve the business. You will stay current with industry trends, engage directly with clients to understand their challenges, and collaborate across business units to ensure strategic alignment. You will be responsible for documenting our target client challenges and needs, understanding use cases, and then the design, evolution, prioritization and execution of a strategy and product rollout in collaboration with stakeholders. This will include defining product level and overall go\-to\-market and success metrics.
**We Will Trust You To**
* Support product strategy by helping define and communicate clear goals, initiatives, and outcomes for Fixed Income Reference Data Products, and ensuring business needs translate into actionable product plans
* Understand client needs by gathering feedback, identifying pain points, and helping prioritize features that deliver the greatest impact for our clients and the business
* Collaborate across teams by partnering with Engineering, Support, and Data Operations to ensure deliverables are well defined, clearly communicated, and aligned with business objectives
* Contribute to go\-to\-market efforts by working with Marketing and Sales to promote new products and enhancements, drive adoption, and support business growth
* Engage directly with clients to build trusted relationships, expand our understanding of their challenges, and co\-develop solutions through ongoing feedback and experimentation
* Develop subject matter expertise in Bloomberg’s enterprise Fixed Income Data products, including the accessibility, usability, quality, tools, and services that enable clients to maximize the value of our content
**You Will Need To Have**
* Strong knowledge of the Fixed Income Markets, spanning at least two of the following: Municipals, Securitized Credit, Corporate Credit, and Rates
* Direct, hands\-on experience with enterprise data products from leading financial providers, combined with a clear understanding of how enterprise clients identify, test, and evaluate datasets across vendors, as well as familiarity with data pipeline concepts such as data lakes, data warehouses, ETL, normalization, and linkage
* Proficiency in statistics and data science tools and techniques, including Python, SQL, and cloud computing environments
* Experience applying agile principles and collaborating with multiple stakeholders to deliver projects and initiatives successfully
* Excellent communication skills, with the ability to distill complex topics into clear, actionable insights and effectively present business plans and updates to management or broader audiences
**We'd Love To See**
* Demonstrated progression in current and previous roles, reflecting expanded scope of responsibility and leadership over time.
* Proven experience in a client\-facing environment, with a strong track record of cultivating strategic partnerships and delivering value\-driven solutions.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3">
      <c r="A13" t="inlineStr">
        <is>
          <t>li-4335856693</t>
        </is>
      </c>
      <c r="B13" t="inlineStr">
        <is>
          <t>Sr. Product Manager, AI/ML Personalization</t>
        </is>
      </c>
      <c r="C13" t="inlineStr">
        <is>
          <t>Pinterest</t>
        </is>
      </c>
      <c r="D13" t="inlineStr">
        <is>
          <t>linkedin</t>
        </is>
      </c>
      <c r="E13" t="inlineStr"/>
      <c r="F13" t="inlineStr"/>
      <c r="G13" t="inlineStr"/>
      <c r="H13" t="inlineStr"/>
      <c r="I13"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Pinterest is where people come for inspiration, not distraction – an active intent platform uniquely positioned at the intersection of search, social, and commerce. Our commitment to personalized discovery and actionable curation helps hundreds of millions around the globe turn inspiration into reality. Here, Personalization is essential to who we are and what we do.
 We’re looking for a passionate and strategic AI/ML Product Manager to drive the future of personalized experiences on Pinterest. As part of our Personalization team, you’ll work across Engineering, Data Science, and Design to deliver industry\-leading AI and ML solutions—helping users easily discover inspiration, curate what they love, and shop for what brings their ideas to life. You’ll ship impactful products on high\-traffic Pinterest surfaces, including Home, Search, and Related Pins, and play a key role in Pinterest’s top strategic theme for the years ahead.
**What You’ll Do**
* Define, design, and launch thoughtful AI/ML\-powered experiences that help users discover, curate, and shop ideas tailored to their unique taste.
* Partner cross\-functionally with Engineering, Design, and Data Science to craft seamless and delightful experiences at the intersection of user experience, ML, and AI.
* Set product vision, influence strategy, write requirements, develop hypotheses, and establish success metrics for critical personalization initiatives.
* Identify and prioritize new opportunities to advance the relevance, impact, and sophistication of personalization across Pinterest’s Curation portfolio.
* Autonomously navigate and resolve complex, ambiguous product challenges—and influence product strategy across multiple teams.
**What We’re Looking For**
* Track record in AI/ML products: Experience building and launching personalized experiences, ideally at scale, for consumer products (e\-commerce a plus).
* Technical fluency: Strong understanding of AI/ML product development; ability to credibly partner with engineers and data scientists across the stack.
* Sharp communication: Comfortable presenting to executives and cross\-functional audiences; excels at simplifying complex technical and product concepts.
* Strategic and customer\-centric: Deep empathy for user needs, with an ability to turn rich data and insights into new opportunities and delightful features.
* Collaborative influencer: Ability to build trusted relationships with a variety of internal partners (including Advanced Technology, Growth, Trust \&amp; Safety, Monetization, and more) and align them to shared goals.
* Ownership mindset: Skilled at defining what success looks like, rallying teams, and guiding projects from ideation to successful launch.
* Bachelor’s degree in a relevant field such as Computer Science, or equivalent experience.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$139,764—$287,749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4">
      <c r="A14" t="inlineStr">
        <is>
          <t>li-4364035243</t>
        </is>
      </c>
      <c r="B14" t="inlineStr">
        <is>
          <t>Senior Product Manager</t>
        </is>
      </c>
      <c r="C14" t="inlineStr">
        <is>
          <t>Bottomline</t>
        </is>
      </c>
      <c r="D14" t="inlineStr">
        <is>
          <t>linkedin</t>
        </is>
      </c>
      <c r="E14" t="inlineStr"/>
      <c r="F14" t="inlineStr"/>
      <c r="G14" t="inlineStr"/>
      <c r="H14" t="inlineStr"/>
      <c r="I14" t="inlineStr">
        <is>
          <t>Why Choose Bottomline?
 Are you ready to transform the way businesses pay and get paid? Bottomline is a global leader in business payments and cash management, with over 35 years of experience and moving more than $16 trillion in payments annually. We're looking for passionate individuals to join our team and help drive impactful results for our customers. If you're dedicated to delighting customers and promoting growth and innovation \- we want you on our team!
**The Role**
 We are seeking an experienced and results\-driven
 **Commercial Product Manager** 
 to lead the go\-to\-market strategy for the Risk and Fraud Solutions segment at Bottomline. In this role, you will bridge the gap between product development, sales, marketing, and customer success to drive successful product launches, adoption, and revenue growth across our Risk Solutions portfolio.
 This role is
 **remote** 
 , based in the
 **US** 
 . 10% Travel
**How You’ll Contribute**
* Define product strategy and roadmap. Research, develop, position, and manage the Risk Solutions product lifecycle.
* Develop and execute comprehensive commercialization plans to introduce new Risk Solutions offerings. Provide senior leadership with global pipeline reporting and key metrics to enable commercial success.
* Develop clear, compelling value propositions that differentiate our Risk Solutions in the competitive Risk Technology landscape.
* Conduct market research, competitive analysis, briefings with analysts and customer interviews to identify optimal pricing models aligned with customer value and business goals.
* Develop sales playbooks, pitch decks, and objection\-handling guides.
* Conduct training sessions and workshops to ensure sales teams, customer success, solution consulting and delivery teams all understand new features, benefits, and competitive positioning.
* Partner with sales leadership to drive pipeline development and deal execution.
* Collaborate with Customer Success to gather feedback and refine value propositions.
* Help set priorities for development and ensure alignment on product execution.
* Align with other Bottomline Product teams on feature development, messaging, solution packaging, and release timing.
* Provide market\-driven insights to influence the product roadmap.
* Ensure customer and sales feedback is incorporated into ongoing product improvements.
**If you have the attributes, skills, and experience listed below, we want to hear from you.**
* 7\+ years of experience in product commercialization, product marketing, or go\-to\-market strategy within B2B Fraud Detection and payments in a SaaS environment.
* Strong understanding of the Banking Risk and Fraud space.
* Proven track record of successfully launching and scaling new financial technology products or features.
* Experience conducting market research and competitive analysis.
* Ability to create and deliver effective Sales and Customer Success training programs.
* Strong collaboration and communication skills with the ability to influence internal stakeholders.
* Ability to synthesize market data, customer insights, and business objectives into actionable commercialization strategies.
* Familiarity with Fraud Detection technologies and the Banking Industry.
* Background in SaaS\-based payment platforms or B2B financial solutions in a fintech or regtech company highly preferred.
* Bachelor’s degree in finance, business, or a technology\-related field.
 LI\-AD1
 We welcome talent at all career stages and are dedicated to understanding and supporting additional needs. We're proud to be an equal opportunity employer, committed to creating an inclusive and open environment for everyone.</t>
        </is>
      </c>
    </row>
    <row r="15">
      <c r="A15" t="inlineStr">
        <is>
          <t>li-4322450018</t>
        </is>
      </c>
      <c r="B15" t="inlineStr">
        <is>
          <t>Product Manager, Claude Code</t>
        </is>
      </c>
      <c r="C15" t="inlineStr">
        <is>
          <t>Anthropic</t>
        </is>
      </c>
      <c r="D15" t="inlineStr">
        <is>
          <t>linkedin</t>
        </is>
      </c>
      <c r="E15" t="inlineStr"/>
      <c r="F15" t="inlineStr"/>
      <c r="G15" t="inlineStr">
        <is>
          <t>Seattle, WA</t>
        </is>
      </c>
      <c r="H15" t="inlineStr"/>
      <c r="I15"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Product Manager for Claude Code, you will drive the evolution of the Claude Code product suite and help shape how developers work with AI. You will work closely with internal users and customers to prioritize their requirements and ship improvements to Claude Code. You will work closely with the engineering team, research team, and XFN teams to ensure Claude Code remains ahead of model capabilities and is seen as the best way to experience the most intelligent Claude models.
 In just a few months since launch, Claude Code has already redefined how developers interact with AI. Yet we are only scratching the surface. As model intelligence accelerates, the ultimate form factor of agentic software development remains unwritten. We seek a product manager who combines deep technical understanding, genuine love for developers, and strong product intuition. You should be equally comfortable discussing customer feedback with world\-class researchers, debugging user workflows with engineers, and presenting product strategy to executives.
**Responsibilities**
* Define the roadmap for an area of the Claude Code product suite
* Translate cutting\-edge AI advances into practical developer features
* Build an ecosystem around the CLI and other products so that developers can easily share best practices
**You Might Be a Good Fit If You**
* Have a combined 5\+ years in product management and engineering, including at least 1 year as a professional engineer.
* Have a deep technical background with experience working cross\-functionally with engineering teams to ship technical products.
* Track record of launching ambitious products that have achieved distribution or commercial success. Experience in dev tools is preferred.
* Stay up\-to\-date and hands\-on with AI coding tools, model capabilities, and industry trends
* Have a creative, hacker spirit and love solving puzzles
 The annual compensation range for this role is listed below.
 For sales roles, the range provided is the role’s On Target Earnings ("OTE") range, meaning that the range includes both the sales commissions/sales bonuses target and annual base salary for the role.
**Annual Salary**
 $285,000—$305,000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6">
      <c r="A16" t="inlineStr">
        <is>
          <t>li-4359289839</t>
        </is>
      </c>
      <c r="B16" t="inlineStr">
        <is>
          <t>Product Manager - AI Core</t>
        </is>
      </c>
      <c r="C16" t="inlineStr">
        <is>
          <t>Millennium</t>
        </is>
      </c>
      <c r="D16" t="inlineStr">
        <is>
          <t>linkedin</t>
        </is>
      </c>
      <c r="E16" t="inlineStr"/>
      <c r="F16" t="inlineStr"/>
      <c r="G16" t="inlineStr">
        <is>
          <t>New York, NY</t>
        </is>
      </c>
      <c r="H16" t="inlineStr"/>
      <c r="I16" t="inlineStr">
        <is>
          <t>We are seeking a Product Manager to lead the development and implementation of AI solutions for our Core businesses. The ideal candidate will have a strong background in AI and Financial Services, with hands\-on experience building solutions for Portfolio Managers, Operations, Legal, Human Resources, Finance and Risk. This role requires a unique blend of technical expertise and financial acumen to drive innovation and deliver impactful results.
**Key Responsibilities**
* Partner with the Senior Product Manager to execute against the Core AI roadmap across Legal, Technology, Operations, Finance, and other core functions.
* Lead discovery for prioritized use cases by gathering requirements, mapping workflows, and documenting user needs, constraints, and success metrics.
* Write clear product requirements (PRDs), user stories, acceptance criteria, and process documentation to support end\-to\-end delivery.
* Coordinate day\-to\-day delivery with Engineering, Data Science, Design, and business teams, managing backlog readiness, sprint planning inputs, dependencies, and release execution.
* Support production launches by helping define testing plans, rollout approaches, user communications, training materials, and feedback loops to drive adoption.
* Facilitate AI training and education for business to increase awareness of available AI tools, uplift AI literacy, and accelerate adoption.
**Qualifications**
* Bachelor’s degree in Finance, Computer Science or a related field
* 5\+ years of product management experience, with at least 2\+ years focused on financial technology or AI applications in capital markets.
* Demonstrated track record delivering applied AI solutions to production with measurable business impact
* Excellent written and verbal communication skills, with the ability to convey technical concepts to non\-technical stakeholders.
* Strong problem\-solving skills and the ability to translate complex investment challenges into actionable solutions.
* Strong problem\-solving and product judgment, with the ability to translate complex business workflows and control requirements into clear product requirements, user stories, and execution plans
 Millennium pays a total compensation package which includes a base salary, discretionary performance bonus, and a comprehensive benefits package.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t>
        </is>
      </c>
    </row>
    <row r="17">
      <c r="A17" t="inlineStr">
        <is>
          <t>li-4335696368</t>
        </is>
      </c>
      <c r="B17" t="inlineStr">
        <is>
          <t>Senior Product Manager</t>
        </is>
      </c>
      <c r="C17" t="inlineStr">
        <is>
          <t>Rockbot</t>
        </is>
      </c>
      <c r="D17" t="inlineStr">
        <is>
          <t>linkedin</t>
        </is>
      </c>
      <c r="E17" t="inlineStr"/>
      <c r="F17" t="inlineStr"/>
      <c r="G17" t="inlineStr"/>
      <c r="H17" t="inlineStr"/>
      <c r="I17" t="inlineStr">
        <is>
          <t>As a Senior Product Manager, you will be responsible for the vision, strategy, and execution of Rockbot’s core display products, including digital signage and TV. You will oversee the entire product lifecycle, from software on media players to the content management system that helps thousands of brick\-and\-mortar businesses engage their customers with dynamic visual content.
 A central part of this role is leading the development and expansion of the platform's display features, including integrating and managing media from diverse sources such as the Rockbot CMS, third\-party partners, point\-of\-sale systems, and advertisers. You will gather requirements from customers, internal teams, and partners to drive the digital transformation of brick\-and\-mortar businesses. This role offers a unique opportunity to develop and execute the innovation roadmap for our display products, collaborate with and influence teams such as music and advertising, and shape the go\-to\-market strategy and implementation for a rapidly growing product line.
 The Rockbot team helps businesses, brands, and places succeed by empowering them to deliver better customer experiences and build stronger connections through media in real\-world spaces. We are technologists, music lovers, and content creators all focused on producing the most amazing customer experience possible \- and we’re having a great time doing it!
 You will:
* Own the end\-to\-end product lifecycle for the Rockbot display platform, from hardware/player integrations and the content management system (CMS) to user\-facing applications and APIs.
* Define the product strategy and roadmap for a best\-in\-class digital signage platform, including requirements gathering, performance measurement, optimization, and innovation.
* Conduct market research and competitor analysis to identify opportunities that inform product decisions.
* Thoroughly analyze and deeply understand the customer journey related to content strategy across digital media touchpoints and in\-store media display experiences.
* Collaborate with UX/UI designers to create intuitive, robust, and scalable content management tools for our diverse customer base.
* Lead the product integration of key content and data sources into customer\-facing applications and experiences.
* Maintain and prioritize the feature backlog, and coordinate releases for the signage and display platforms.
* Troubleshoot all product and integration issues, owning them through to a successful resolution.
* Establish performance KPIs and model the revenue of the Rockbot digital signage product, including new features, and monitor actual sales data to refine the model and analyze accordingly.
 You have:
* 5 \- 7 years of experience as a Product Manager with a demonstrable track record of launching and iterating on successful B2B SaaS products.
* Strong understanding of product methodologies and the entire product development lifecycle, from ideation to launch and optimization.
* Experience with products that involve a hardware/software component (e.g., IoT, connected devices, media players) is highly desirable.
* Deep understanding of the Digital Signage/DOOH landscape and use cases, including retail media, menu boards, and wayfinding.
* Proven experience working with and managing technical integrations in a commercial environment.
* Experience with Content Management Systems (CMS), digital asset management platforms (DAMs), or digital signage platforms.
* Ability to collaborate hand in hand with developers to build solutions and solve both business \&amp; design issues. Proficient with agile methodologies and using tools like JIRA and Slack to drive development tasks.
* Strong analytical and problem\-solving skills, with the ability to translate complex business needs into precise, actionable product requirements.
* Very organized, with excellent attention to detail and a focus on delivering projects thoroughly.
**About Rockbot:**
 Rockbot is an omnichannel media platform committed to elevating customer and employee experiences while fostering stronger connections in real\-world spaces. Rockbot addresses the challenges businesses face in media management with integrated solutions spanning music, TV, digital signage, and advertising. Its mission is to enrich on\-premise experiences with media technology, where every interaction is elevated and memorable.
 From independent local businesses to large national brands \- across nearly every industry, including restaurants, bars, retailers, and more, Rockbot provides all the tools and licensed content businesses need. Backed by leading investors including Google and Universal Music Group, Rockbot is the future of out\-of\-home media. For more information visit www.rockbot.com.
**Compensation:**
 Rockbot takes a market\-based approach to pay, and pay may vary depending on your location in the U.S. The successful candidate’s starting pay will be determined based on job\-related skills, experience, qualifications, work location, and market conditions. These ranges may be modified in the future.
 The compensation band for this role is $140\-190K, plus equity, and benefits for all team members.
**Our Values:**
* **Drive:** 
 We pursue our mission with relentless tenacity, passion, and optimism and inspire those around us to do the same. We love the journey and are on offense all the time. Yesterday was good enough for yesterday, but today we have to do even better.
* **Accountability:** 
 We take ownership of our promises, responsibilities, behaviors, and products, and we expect the same of others. Standing behind our mistakes, communicating honestly, and making things right creates trust and strong relationships.
* **Curiosity:** 
 We are hungry to learn and continually deepen our knowledge, skills, and understandings. We have a growth mindset and are intellectually curious. We challenge our beliefs and seek feedback and insights from others. The “Why” and “How” always matters.
* **Empathy:** 
 We embrace that no two people or businesses are the same. We strive to understand others as deeply as possible and feel their pains and passions.
* **Ingenuity:** 
 We work hard but we think smart. We bring creativity, technology, and practicality together to solve tough challenges.
* **Integrity:** 
 We say what we mean, and do what we say, simply, clearly, honestly.
*Rockbot is an Equal Opportunity Employer, but that’s just the start. We believe different perspectives help us grow and achieve more. That’s why we’re dedicated to hiring and developing the most talented and diverse team – which includes individuals with different backgrounds, abilities, identities and experiences*</t>
        </is>
      </c>
    </row>
    <row r="18">
      <c r="A18" t="inlineStr">
        <is>
          <t>li-4332226662</t>
        </is>
      </c>
      <c r="B18" t="inlineStr">
        <is>
          <t>Product Manager, eCommerce</t>
        </is>
      </c>
      <c r="C18" t="inlineStr">
        <is>
          <t>MilliporeSigma</t>
        </is>
      </c>
      <c r="D18" t="inlineStr">
        <is>
          <t>linkedin</t>
        </is>
      </c>
      <c r="E18" t="inlineStr"/>
      <c r="F18" t="inlineStr"/>
      <c r="G18" t="inlineStr">
        <is>
          <t>Burlington, MA</t>
        </is>
      </c>
      <c r="H18" t="inlineStr"/>
      <c r="I18" t="inlineStr">
        <is>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As a Product Manager in our Digital \&amp; eCommerce team, you will lead the Pricing and Promotions product domain, overseeing the creation and management of eCommerce Digital Products. In your role you will define strategy, roadmap and end to end responsibility for your products, with limited oversight from Senior Product manager or Head of product.
**Location** 
**:**
 This is an onsite position based in our Burlington, MA location. We do offer a hybrid flexible work arrangement and require up to 5% travel.
**Key Responsibilities**
* Create and own a 12\-month product vision and strategy that is linked to company and e\-commerce strategy.
* Translate the product vision into a clear, prioritized roadmap for Pricing and Promotions, balancing customer value, commercial impact, and technical feasibility.
* Own the end\-to\-end lifecycle of Pricing and Promotions capabilities (from discovery and definition to launch, iteration, and optimization) ensuring timely and high\-quality delivery.
* Align and influence cross\-functional stakeholders across Commercial, Pricing, Merchandising, Marketing, Engineering, Design, and CX) to drive adoption and maximize the impact of Pricing and Promotions initiatives globally.
* Synthesize market data from CX into actionable insight and prioritized roadmap decisions, identify areas where we can create differentiators in the market.
* Set OKRs/metrics of the product(s) owned. Creates corresponding data/analytics to track and control the health of the product and business impact. This includes functional and technical OKR/metrics.
* Build basic dashboards and leverage already built dashboards to measure business success. Partner with the data science and analytics team to spec out more complex data needs.
* Deeply understands personas and customer segments across product area. Create business plans (product briefs) that outline the how, what, when and why with a clear line to the value created.
* Lead product design and discovery in partnership with engineering and CX; leveraging data, qualitative research and market behaviors to deliver large customer and business value. Able to lead specific product ideation phases.
* Manage sprint backlog for the team. Partner with Commercial, Engineering, UX and data teams to build and manage a product roadmap, prioritizing between business initiatives, quality of life enhancements and technical optimization.
* Develop requirements at an epic level that tie to overall initiatives and as necessary user stories with acceptance criteria. Owns delivery for product area, proactively identifying risks and variances to plans, developing \&amp; implementing appropriate mitigation activities.
 Who You Are
**Minimum Qualifications**
* Bachelor’s Degree in Business Managment, IT, Computer Science or related discipline
* At least 5 years of product leadership experience working with eCommerce or digital products.
* Demonstrated ability to consistently deliver business growth results
* Strong leadership and problem\-solving skills.
* Strong customer\-centric mindset and service orientation
* Proficiency in data analysis and visualization with a data\-driven mindset.
**Preferred Qualifications**
* Master’s Degree in Business Managment, IT, Computer Science or related discipline
* Experience collaborating across stakeholder groups for knowledge sharing.
* Familiar with Pricing and Promotions in an eCommerce environment.
* Enterprise operator able to work across multiple stakeholders.
* Comfort presenting complex concepts to executive audiences.
* Exprience in Life Science, Biotech or a regulated environment.
* Experience working globally.
* Proficiency in data analysis and visualization with a data\-driven mindset.
* Hands\-on experience managing complex eCommerce product domains (e.g. pricing, promotions, merchandising, catalog, cart, or checkout)
**Pay Range:** 
 $97,400\-$150,000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19">
      <c r="A19" t="inlineStr">
        <is>
          <t>li-4370031641</t>
        </is>
      </c>
      <c r="B19" t="inlineStr">
        <is>
          <t>Technical Product Manager, Data Platform</t>
        </is>
      </c>
      <c r="C19" t="inlineStr">
        <is>
          <t>RemoteHunter</t>
        </is>
      </c>
      <c r="D19" t="inlineStr">
        <is>
          <t>linkedin</t>
        </is>
      </c>
      <c r="E19" t="inlineStr"/>
      <c r="F19" t="inlineStr"/>
      <c r="G19" t="inlineStr"/>
      <c r="H19" t="inlineStr"/>
      <c r="I19" t="inlineStr">
        <is>
          <t>About the Opportunity:
 The Technical Product Manager will drive the vision, strategy, and roadmap of the MEDIAN data platform. This role bridges customer needs, business strategy, and technical teams by conducting user research, managing stakeholder relationships, translating feedback into product requirements, and defining feature priorities to maximize value and impact.
 Responsibilities:
 • Conduct user interviews and research with engineering teams to understand data and analytics needs
 • Manage relationships with product managers, business leaders, engineering teams, and customers
 • Synthesize customer feedback and technical insights into product direction
 • Define and maintain the product roadmap balancing customer needs with strategic objectives
 • Write clear product requirements and user stories for platform and solutions engineers
 • Collaborate with Data Platform and Solutions teams on technical constraints and feasibility
 • Advocate for customer needs while managing expectations and communicating product vision
 • Monitor market trends, competitive platforms, and emerging technologies
 • Measure product success through KPIs, adoption metrics, and customer satisfaction
 • Present product vision and roadmap to leadership, customers, and stakeholders
 • Manage product lifecycle including feature prioritization, release planning, and post\-launch evaluation
 Requirements:
 • 3\+ years of experience in product management, product strategy, or technical program management
 • Strong understanding of data platforms, data pipelines, and analytics use cases; hands\-on experience preferred
 • Excellent communication and stakeholder management skills
 • Experience conducting user research and translating feedback into product requirements
 • Ability to work in a fast\-paced, ambiguous environment with limited resources
 • Proficiency with data concepts such as SQL, ETL, data modeling, and cloud platforms
 • Demonstrated ability to prioritize and manage competing interests across teams
 Preferred Qualifications:
 • Background as data engineer, data analyst, or solutions engineer prior to product management
 • Experience with modern data platforms like Databricks, Snowflake, BigQuery
 • Experience in regulated industries or with complex compliance requirements
 • Familiarity with nuclear energy, medical imaging, or similar high\-stakes industries
 • Experience building platforms and tools for internal engineering teams
 • Track record of successful product launches or feature releases
 • Knowledge of analytics, ML/AI, and data science use cases
 • Experience with agile and product development methodologies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
      <c r="A20" t="inlineStr">
        <is>
          <t>li-4348556950</t>
        </is>
      </c>
      <c r="B20" t="inlineStr">
        <is>
          <t>Entry Level Product Manager: 2026</t>
        </is>
      </c>
      <c r="C20" t="inlineStr">
        <is>
          <t>IBM</t>
        </is>
      </c>
      <c r="D20" t="inlineStr">
        <is>
          <t>linkedin</t>
        </is>
      </c>
      <c r="E20" t="inlineStr"/>
      <c r="F20" t="inlineStr"/>
      <c r="G20" t="inlineStr">
        <is>
          <t>Austin, TX</t>
        </is>
      </c>
      <c r="H20" t="inlineStr"/>
      <c r="I20" t="inlineStr">
        <is>
          <t>**Introduction**
 Product Managers play a pivotal role in shaping offerings that leverage artificial intelligence, machine learning, and data analytics to solve complex business challenges. IBM follows a structured product lifecycle management process, integrating agile methodologies, data\-informed decision\-making, and cross\-functional collaboration. Product Managers work across engineering, design, data science, and go\-to\-market teams to deliver innovative, secure, and scalable AI\-powered solutions.
**Your Role And Responsibilities**
 The responsibilities of a Product Manager include:
* Define and drive product strategy for AI and data\-centric offerings, aligning with business goals and user needs.
* Collaborate with cross\-functional teams including data scientists, engineers, designers, and stakeholders to deliver high\-quality features and models.
* Translate complex technical capabilities (e.g., ML models, data pipelines, APIs) into clear product requirements and user stories.
* Prioritize product backlog using data\-driven frameworks and ensure alignment with roadmap and KPIs.
* Facilitate ethical AI practices by integrating fairness, transparency, and compliance into product development.
* Monitor product performance using analytics tools and user feedback to iterate and improve continuously.
* Communicate product vision, strategy, and progress to internal and external stakeholders, including executives and customers.
* Champion user experience and usability in AI interfaces, ensuring intuitive and trustworthy interactions.
**Preferred Education**
 Bachelor's Degree
**Required Technical And Professional Expertise**
* Strong product management fundamentals: roadmap planning, backlog grooming, stakeholder alignment, and go\-to\-market execution.
* Understanding of AI/ML concepts, data lifecycle, and model deployment practices.
* Experience with Agile methodologies, including sprint planning, retrospectives, and iterative delivery.
* Proficiency in product analytics tools and data visualization platforms.
* Strong communication and storytelling skills to translate technical insights into business value.
* Ability to manage dependencies across teams and anticipate risks in product delivery.
**Preferred Technical And Professional Experience**
* Experience with enterprise AI products or platforms
* Exposure to AI ethics frameworks and responsible AI practices.
* Comfortable working with global teams across time zones and cultures.</t>
        </is>
      </c>
    </row>
    <row r="21">
      <c r="A21" t="inlineStr">
        <is>
          <t>li-4348613311</t>
        </is>
      </c>
      <c r="B21" t="inlineStr">
        <is>
          <t>Entry Level Product Manager 2026</t>
        </is>
      </c>
      <c r="C21" t="inlineStr">
        <is>
          <t>IBM</t>
        </is>
      </c>
      <c r="D21" t="inlineStr">
        <is>
          <t>linkedin</t>
        </is>
      </c>
      <c r="E21" t="inlineStr"/>
      <c r="F21" t="inlineStr"/>
      <c r="G21" t="inlineStr">
        <is>
          <t>Research Park, CA</t>
        </is>
      </c>
      <c r="H21" t="inlineStr"/>
      <c r="I21"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Are you a seasoned Product Manager with a proven track record of successful product ownership and growth? Colleagues regard you as someone who navigates customer outcomes, business impacts, and functional tradeoffs with unparalleled skill. Your communication style leaves team members feeling respected, heard, and understood. Now, imagine channeling your expertise to shape the technology of tomorrow—a force that powers the world around us and yields an impact to be proud of.As a cross\-portfolio Product Manager for IBM, you will play a vital role in assisting with projects spanning the entire cloud portfolio. Your focus will be on product management process agility and optimization. You will collaborate with product owners and cross\-functional teams. You will help curate insights from customers that flow into the Idea hub and engage the right product teams to progress them. You will innovate ways to help drive efficiency in our product management processes. This is an exciting opportunity to learn
 the ropes of product management in a fast\-growing market, and to contribute to the success of our products.
**What You'll Do**
* Collaborate with the broader IBM product organization to help support the portfolio and business.
* Become an expert in IBM’s product management methodologies, design thinking and new product introduction. Support product teams in defining product requirements, user stories, and specifications.
* Collaborate with cross\-functional teams (engineering, design, marketing, and sales) to ensure timely product delivery
* Analyze competitors, market trends and customer feedback to identify new product opportunities
**Preferred Education**
 Bachelor's Degree
**Required Technical And Professional Expertise**
* Bachelor’s Degree in IT/Computer Science/Engineering
* Experience in Product Management or equivalent practical experience building or deploying
 products in a Cloud based software organization
* Experience in implementing agile practices and design thinking
* Strong written communication and presentation skills
* Problem solving and Business Analysis skills
* Ability to work 3 days a week from the office.
**Preferred Technical And Professional Experience**
* Track record of high\-quality, self\-directed, timely execution,
* Attention to detail.
* Technical expertise and ability to communicate, work \&amp; build trust with stakeholders
* Experience with Cloud \&amp; technology</t>
        </is>
      </c>
    </row>
    <row r="22">
      <c r="A22" t="inlineStr">
        <is>
          <t>li-4309825443</t>
        </is>
      </c>
      <c r="B22" t="inlineStr">
        <is>
          <t>Principal Product Manager, Software</t>
        </is>
      </c>
      <c r="C22" t="inlineStr">
        <is>
          <t>Axon</t>
        </is>
      </c>
      <c r="D22" t="inlineStr">
        <is>
          <t>linkedin</t>
        </is>
      </c>
      <c r="E22" t="inlineStr"/>
      <c r="F22" t="inlineStr"/>
      <c r="G22" t="inlineStr">
        <is>
          <t>Scottsdale, AZ</t>
        </is>
      </c>
      <c r="H22" t="inlineStr"/>
      <c r="I22"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We are seeking a seasoned Principal Product Manager to lead strategy and execution for innovative software products. This role is responsible for defining product vision, driving roadmap execution, and ensuring the successful launch and scaling of high\-impact software solutions. The ideal candidate has a strong technical foundation, deep customer empathy, and a proven track record of delivering software platforms or applications that delight users and drive business growth.
**What You’ll Do**
**Location** 
 : This role is based out of our Scottsdale, AZ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 Define and evolve the product vision, strategy, and roadmap from concept through launch, adoption, and iteration.
* Gather insights from customers, partners, and industry trends to shape product decisions and ensure market fit.
* Partner with engineering, design, QA, data science, and operations to deliver scalable, reliable, and modern software solutions.
* Ensure solutions deliver seamless user experiences, strong performance, security, and compliance across platforms.
* Validate product concepts, refine requirements, and ensure solutions address real\-world workflows and business goals.
* Establish KPIs around adoption, retention, reliability, and customer satisfaction, and use data to guide prioritization.
* Collaborate with sales, marketing, and customer success teams to launch products, onboard users, and drive long\-term adoption.
* Ensure your product integrates effectively with broader platforms, APIs, and third\-party applications to deliver end\-to\-end value.
****What You Bring****
* 10\+ years of product management experience, with a focus on software, SaaS, or platform products.
* Bachelor’s degree in computer science, engineering, or related field (or equivalent practical experience).
* Proven success in building, launching, and scaling complex software products across enterprise or consumer markets.
* Comfortable discussing system architecture, APIs, and technical trade\-offs with engineering teams.
* Skilled at working with iterative development, product discovery, and data\-driven prioritization.
* Exceptional empathy and ability to translate user insights into product strategy.
* Skilled at aligning stakeholders across levels, from executives to technical teams.
* Demonstrated ability to drive adoption strategies, pricing, and product growth in competitive markets.
* Willingness to travel (up to \~20%) for customer engagement, user research, and cross\-functional collaboration.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23">
      <c r="A23" t="inlineStr">
        <is>
          <t>li-4370188034</t>
        </is>
      </c>
      <c r="B23" t="inlineStr">
        <is>
          <t>Technical Product Owner</t>
        </is>
      </c>
      <c r="C23" t="inlineStr">
        <is>
          <t>Cisco</t>
        </is>
      </c>
      <c r="D23" t="inlineStr">
        <is>
          <t>linkedin</t>
        </is>
      </c>
      <c r="E23" t="inlineStr"/>
      <c r="F23" t="inlineStr"/>
      <c r="G23" t="inlineStr">
        <is>
          <t>Durham, NC</t>
        </is>
      </c>
      <c r="H23" t="inlineStr"/>
      <c r="I23" t="inlineStr">
        <is>
          <t>**The Application Window Is Expected To Close On**
**Job posting may be removed earlier if the position is filled or if a sufficient number of applications are received** 
 .
 Cisco Enterprise DevOps as a Service (EDaaS) team is seeking a Technical Product Owner and Program Manager to lead the strategy, roadmap, and execution of the internal developer portal. This role focuses on reducing developer friction and delivering a unified developer experience that improves how engineers build, deploy, and operate software. You will define the product vision and drive coordinated execution across engineering, platform, and vendor teams to accelerate adoption and improve workflow efficiency.
**Key Responsibilities**
**Product Ownership**
* Define and communicate the portal vision and roadmap.
* Prioritize the backlog to streamline workflows and increase developer efficiency.
* Convert engineering needs into clear technical requirements.
* Lead integrations with CI/CD, code management, security, and platform services.
* Evaluate portal performance and adoption and drive continuous improvements.
* Provide clear leadership updates on progress and outcomes.
**Program Management**
* Manage program execution across multiple internal and external teams
* Align priorities across engineering, operations, security, business units, and executives.
* Manage vendor relationships for tools and platforms that connect into the portal.
* Track key metrics and deliver concise executive level reports.
* Identify risks and blockers and drive mitigation strategies.
* Lead rollout and change management for global engineering teams.
**Required Qualifications**
* Bachelor’s degree in a related field or equivalent experience.
* 10\+ years of experience with atleast three years as a product owner.
* Strong knowledge of Agile and Scrum practices and backlog management.
* Proven success delivering large cross functional initiatives and platform rollouts.
* Experience with developer tooling, internal platforms, and workflow optimization.
* Familiarity with SDLC, CI and CD pipelines, APIs, and major cloud platforms.
* Excellent communication, partnership, and stakeholder management skills.
* Ability to manage multiple priorities in a fast paced environment.
**Desired Qualifications**
* Certified Scrum Product Owner, SAFe Product Owner Manager, PMP, or equivalent.
* Strong foundation in software engineering from prior developer roles
* Experience with GitHub, VS Code, JetBrains, and related developer tools.
* Knowledge of compliance and governance for enterprise platforms.
* Experience leading distributed teams and managing large vendor engagements.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$130,600\.00 to $182,200\.00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$152,400\.00 \- $255,100\.00
**Non\-Metro New York State \&amp; Washington State**
 $134,300\.00 \- $224,800\.00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4">
      <c r="A24" t="inlineStr">
        <is>
          <t>li-4370033625</t>
        </is>
      </c>
      <c r="B24" t="inlineStr">
        <is>
          <t>Lead Product Manager</t>
        </is>
      </c>
      <c r="C24" t="inlineStr">
        <is>
          <t>RemoteHunter</t>
        </is>
      </c>
      <c r="D24" t="inlineStr">
        <is>
          <t>linkedin</t>
        </is>
      </c>
      <c r="E24" t="inlineStr"/>
      <c r="F24" t="inlineStr"/>
      <c r="G24" t="inlineStr"/>
      <c r="H24" t="inlineStr"/>
      <c r="I24" t="inlineStr">
        <is>
          <t>About the Opportunity:
 The organization is dedicated to helping businesses earn and prove trust by continuously monitoring and verifying security. The Lead Product Manager/Product Owner for Business Systems is responsible for owning the Salesforce and Go\-to\-Market (GTM) ecosystem. This role bridges core stakeholders—including Revenue Operations, Finance, Deal Desk, Product, Sales, Marketing, and Legal—and the technology powering the GTM motion. The focus is on defining and executing product strategy to build, maintain, and optimize products and processes for effective and scalable growth.
 Responsibilities:
 • Lead, manage, and coach a team of 3\-5 Product Managers and Business Systems Analysts, driving performance, career development, and strategic hiring.
 • Define, own, and communicate the multi\-quarter Business Systems roadmap focused on Salesforce and GTM ecosystem.
 • Assess opportunities, technical feasibility, and business impact to prioritize work across Sales Cloud, Service Cloud, CPQ, and integrated GTM tools.
 • Partner with stakeholders to gather and translate business needs into clear product requirements and process designs.
 • Identify risks and areas for improvement, driving proactive solutions beyond request fulfillment.
 • Act as Scrum Master, leading agile ceremonies to maintain delivery cadence and coordinate team resources based on capacity and priorities.
 • Communicate strategy, value, progress, and impact of Business Systems initiatives to executives and cross\-functional partners.
 • Report on system performance, utilization, ROI, and business impact regularly.
 • Oversee product and process lifecycle within Salesforce, ensuring maintainability, scalability, and user experience.
 • Establish and maintain governance frameworks including security roles, permissions, compliance, and data quality protocols.
 • Drive change management initiatives to ensure high user adoption, satisfaction, and effective training.
 • Partner with enablement teams to deliver onboarding and ongoing support.
 • Oversee integrations between Salesforce and GTM tech stack tools ensuring data flow, API management, and reliability.
 • Establish and track KPIs measuring system performance, business impact, and team effectiveness; use data to guide decisions.
 Requirements:
 • 5\+ years in product management, business systems, or revenue operations with experience in B2B SaaS environments.
 • 2\+ years managing product managers or business systems analysts, including hiring and talent development.
 • Deep hands\-on Salesforce experience including flows, validation rules, custom objects, process automation, and data modeling; relevant Salesforce certifications preferred.
 • Strong knowledge of Salesforce modules (Sales Cloud, CPQ) and Quote\-to\-Cash, Contract Lifecycle Management, Entitlement Management, SaaS/Subscription models.
 • Experience owning and communicating multi\-quarter product roadmaps to senior and executive leadership.
 • Hands\-on agile leadership experience including sprint planning, backlog refinement, and retrospectives.
 • Proven experience with GTM tools like Outreach, LeanData, Gong, Clari, HubSpot, Marketo, Gainsight and managing system integrations.
 • Strong data and analytics skills to establish KPIs, create reports, and drive decisions.
 • Ability to balance priorities, make trade\-offs, and align cross\-functional teams.
 • Excellent communication with ability to translate complex system work into clear business outcomes and influence without direct authority.
 • Demonstrated success in driving change management and high user adoption.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
      <c r="A25" t="inlineStr">
        <is>
          <t>li-4335976805</t>
        </is>
      </c>
      <c r="B25" t="inlineStr">
        <is>
          <t>Senior Product Manager, Broker/Owner Experience, LoopNet</t>
        </is>
      </c>
      <c r="C25" t="inlineStr">
        <is>
          <t>LoopNet</t>
        </is>
      </c>
      <c r="D25" t="inlineStr">
        <is>
          <t>linkedin</t>
        </is>
      </c>
      <c r="E25" t="inlineStr"/>
      <c r="F25" t="inlineStr"/>
      <c r="G25" t="inlineStr">
        <is>
          <t>Arlington, VA</t>
        </is>
      </c>
      <c r="H25" t="inlineStr"/>
      <c r="I25" t="inlineStr">
        <is>
          <t>**Job Description**
**Senior Product Manager – Broker/Owner Experience**
**CoStar Group (NASDAQ: CSGP)** 
 is a leading global provider of commercial and residential real estate information, analytics, and online marketplaces, and 3D digital twin technology.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**About LoopNet**
 With over 86,000 companies searching daily and six times more traffic than our nearest competitor, LoopNet has offered unmatched visibility for commercial real estate listings for over 30 years.
 The LoopNet platform connects brokers, buyers, and sellers, equipping them with powerful tools to close deals efficiently, whether for sale or lease, or at auction using LoopNet Auctions by Ten\-X.
 We have established ourselves as the \#1 global commercial real estate marketplace – and we aren’t done yet. We are focused on expansion, increasing our market share in the U.S. and around the world, continuously innovating and growing a powerhouse team to reach our goals.
 At LoopNet, we’re on a mission to fill the world’s commercial space—because full space means thriving businesses, growing communities, and dreams coming to fruition. In these spaces, careers are built, milestones are reached, and potential is unlocked.
**About The Role**
 a Senior Product Manager to transform the listing experience for brokers and owners. This role will focus on streamlining workflows, improving media and data integrations, and driving listing performance. You will lead initiatives that empower listers to create high\-quality, high\-converting listings with ease.
 This position is located in Arlington, VA and in office Monday through Friday.
**RESPONSIBILITES**
* Own the end\-to\-end listing creation and management experience.
* Develop tools that simplify workflows for brokers and owners.
* Enhance media upload, data entry, and performance tracking capabilities.
* Collaborate with design and engineering to deliver seamless, scalable solutions.
* Drive adoption of new features through enablement and training.
* Ensure listing integrity through validation and governance strategies
**Basic Qualifications**
* Bachelor’s degree from an accredited, not\-for\-profit, in person, university or college.
* 5\+ years of product management experience with a proven track record delivering industry leading products and solutions.
* Experience in commercial real estate and/or working with brokers, owners, or listing platforms.
* Dedication to understanding user needs through research, feedback, and data analysis, with a focus on delivering solutions that provide value and enhance the user experience.
* Proven ability to collaborate effectively with \-functional teams, including engineering, design, marketing, sales, and customer support, to drive product development and adoption.
* Familiarity with real estate data standards and integrations.
* Experience managing sprint schedules and resources in an agile\-scrum development environment.
* Excellent interpersonal, communication, and presentation skills.
* Strong analytical, communication, and stakeholder management skills.
* Familiarity with experimentation frameworks and data\-driven product development.
* A track record of commitment to prior employers.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and tuition reimbursement.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\#LoopNet
 CoStar Group is an Equal Employment Opportunity Employer; we maintain a drug\-free workplace and perform pre\-employment substance abuse testing</t>
        </is>
      </c>
    </row>
    <row r="26">
      <c r="A26" t="inlineStr">
        <is>
          <t>li-4329304629</t>
        </is>
      </c>
      <c r="B26" t="inlineStr">
        <is>
          <t>Product Manager</t>
        </is>
      </c>
      <c r="C26" t="inlineStr">
        <is>
          <t>Orion</t>
        </is>
      </c>
      <c r="D26" t="inlineStr">
        <is>
          <t>linkedin</t>
        </is>
      </c>
      <c r="E26" t="inlineStr"/>
      <c r="F26" t="inlineStr"/>
      <c r="G26" t="inlineStr">
        <is>
          <t>Omaha, NE</t>
        </is>
      </c>
      <c r="H26" t="inlineStr"/>
      <c r="I26" t="inlineStr">
        <is>
          <t>**About This Opportunity**
 As a Product Manager, you will be responsible for working with the client base of Orion to support the development road map and development roll out execution of their respective product(s). This position will work to drive the strategic and tactical development of advisor facing products and services. The Product Manager will work with internal SMEs and stakeholders and to identify opportunities, risks, and efficiencies to further develop the product offering. As we continue to evolve and live our Orion values, we are looking for someone to grow with us.
**For External Candidates**
 Candidates must work in\-office at one of the following locations for at least 3 days per week: Omaha, NE.
**For Internal Candidates**
*A* 
 ll internal employees, regardless of their current work arrangement (remote or in\-office), are encouraged to apply.
**In This Role, You'll Get To**
* Own and maintain the product roadmap for your assigned product area(s), aligned to business goals and customer needs
* Define, validate, and refine the product vision and strategy in partnership with leadership, design, engineering, and key stakeholders
* Set and track clear success metrics (OKRs/KPIs) to measure product performance and business impact
* Conduct ongoing user research, client interviews, usability testing, and data analysis to identify pain points and opportunities
* Prioritize solving customer problems and delivering measurable value, not just feature delivery
* Champion a hypothesis\-driven and experimentation mindset in product development
* Translate insights into clear, detailed user stories, requirements, acceptance criteria, and prototypes
* Prioritize and manage the product backlog, balancing new features, technical debt, and bug fixes using data\-informed prioritization frameworks
* Partner closely with engineering, design, and QA to plan, execute, and deliver high\-quality releases in an Agile environment
* Validate releases post\-launch through adoption metrics, user feedback, and performance data
* Act as the primary product expert internally and externally, educating teams on product capabilities, positioning, and roadmap
* Collaborate with Marketing, Sales, and Service teams to support go\-to\-market activities, product messaging, and client education
* Build trusted relationships with clients, gathering feedback and representing their voice in product decisions
* Support revenue growth by assisting Business Development and Sales teams with strategic client opportunities
* Stay informed on industry trends, competitive landscape, technology advancements, and regulatory changes impacting your product area
* Advocate for user experience consistency, working closely with UX teams to enhance product usability and accessibility
* Identify, track, and mitigate product risks proactively
**We're Looking For Talent Who**
* Has strong understanding of product lifecycle management, roadmapping, and prioritization frameworks (e.g., RICE, MoSCoW)
* Defines and tracks customer\-centric product KPIs
* Has excellent skills in storytelling, communication, and stakeholder management
* Balances technical understanding with business and user needs
* Is proficient with data\-driven decision\-making using analytics tools (e.g., Tableau, Power BI, Fullstory, Looker, Google Analytics)
* Has familiarity with Salesforce and project tracking tools (e.g., Jira, Aha!) preferred
* Has prior experience delivering products in an Agile development environment
* Has proven success owning and growing a customer\-facing product or feature set
* Has experience shipping AI/ML\-powered products (e.g., LLM\-enabled features, recommendation systems, classifiers, workflow automation), including full lifecycle ownership from ideation through delivery and iteration
* Has strong understanding of LLM capabilities and constraints, including hallucination risk, context\-window tradeoffs, latency and inference cost models, prompt\-engineering patterns, retrieval\-augmented generation (RAG), and agentic workflows
* Has ability to translate ambiguous AI opportunities into clear product use cases with measurable business outcomes, KPIs, and prioritization logic
* Is proficient at working with model evaluation frameworks, including defining evaluation datasets, measuring quality (precision/recall), latency thresholds, cost per inference, and incorporating human\-in\-the\-loop feedback
* Has familiarity with modern AI tooling and architectures such as vector databases, embeddings, orchestration frameworks, agent frameworks, and evaluation/monitoring platforms
* Is comfortable at partnering deeply with data science and engineering to understand model performance, training data needs, architectural tradeoffs, deployment patterns, and operational considerations
* Minimum of 3–5 years of Product Management experience required
* Prior experience in technology, SaaS, or financial services preferred
* Equivalent education and experience will be considered
* Minimum of a bachelor’s degree in Business Administration, Finance, or a related field required
**Salary Range**
 $83,076\.00 \- $127,179\.00
 The pay listed in this posting indicates the estimated pay at the time of this posting; however, may vary depending on geographic location, job\-related knowledge, skills, and experience. In addition, Orion offers a competitive benefits package which includes health, dental, vision, and disability coverage on day one, 401(k) plan with employer match, paid parental leave, pet benefits including pawternity leave and pet insurance, student loan repayment and more.
**About Us**
 At Orion, we achieve our best work when we support one another, staying personally accountable to each other and the clients we serve. We create a welcoming environment where everyone is respected, valued, and heard. Our commitment to
 **create raving** 
**fans** 
 ensures we consistently exceed client expectations. Thinking differently is in our DNA—we
 **innovate always** 
 , push boundaries, and reject the status quo to deliver transformative outcomes. Together, we
 **support one another** 
 and
 **see it through** 
 to success, driving our collective achievements and those of our clients.</t>
        </is>
      </c>
    </row>
    <row r="27">
      <c r="A27" t="inlineStr">
        <is>
          <t>li-4348603338</t>
        </is>
      </c>
      <c r="B27" t="inlineStr">
        <is>
          <t>Product Manager - IBM Storage</t>
        </is>
      </c>
      <c r="C27" t="inlineStr">
        <is>
          <t>IBM</t>
        </is>
      </c>
      <c r="D27" t="inlineStr">
        <is>
          <t>linkedin</t>
        </is>
      </c>
      <c r="E27" t="inlineStr"/>
      <c r="F27" t="inlineStr"/>
      <c r="G27" t="inlineStr">
        <is>
          <t>Durham, NC</t>
        </is>
      </c>
      <c r="H27" t="inlineStr"/>
      <c r="I27" t="inlineStr">
        <is>
          <t>**Introduction**
 IBM Infrastructure is a catalyst that makes the world work better because our clients demand it. Heterogeneous environments, the explosion of data, digital automation, and cybersecurity threats require hybrid cloud infrastructure that only IBM can provide.
 Your ability to be creative, a forward\-thinker and to focus on innovation that matters is all supported by our growth\-minded culture as we continue to drive career development across our teams. Collaboration is key to IBM Infrastructure success, as we bring together different business units and teams that balance their priorities in a way that best serves our client's needs.
 IBM's product and technology landscape includes Research, Software, and Infrastructure. Entering this domain positions you at the heart of IBM, where growth and innovation thrive.
**Your Role And Responsibilities**
 What You’ll Do
* Conduct market, customer, and competitive research to identify opportunities and inform product strategy.
* Collaborate with Engineering, Sales, Marketing, and Finance to define and deliver product capabilities.
* Translate customer needs and technical capabilities into clear product requirements and user stories.
* Participate in product planning, roadmap development, and go\-to\-market activities.
* Support product launches and monitor performance metrics to drive continuous improvement.
* Engage with customers and stakeholders to gather feedback and validate product direction.
**About You**
* Recently graduated with a Bachelor’s or Master’s degree in Business, Computer Science, Engineering, or a related field.
* Strong communicator with excellent written and verbal skills.
* Analytical thinker with the ability to interpret data and derive actionable insights.
* Self\-motivated, resourceful, and comfortable working in fast\-paced, multidisciplinary environments.
* Able to make decisions with incomplete information and follow through on execution.
* Collaborative team player who thrives in cross\-functional settings.
**Preferred Education**
 Bachelor's Degree
**Required Technical And Professional Expertise**
* Bachelor’s or Master’s degree in Business, Computer Science, Engineering, or related field.
* Strong analytical and problem\-solving skills.
* Excellent communication and presentation abilities.
* Experience working in teams, including during internships or academic projects.
* Proficiency in Microsoft Office tools (Excel, PowerPoint, Word).
* Familiarity with AI tools and productivity platforms.
**Preferred Technical And Professional Experience**
* Knowledge of hardware and software development concepts.
* Passion and desire to make the best products in the industry hands\-down.</t>
        </is>
      </c>
    </row>
    <row r="28">
      <c r="A28" t="inlineStr">
        <is>
          <t>li-4369090804</t>
        </is>
      </c>
      <c r="B28" t="inlineStr">
        <is>
          <t>Digital Product Manager</t>
        </is>
      </c>
      <c r="C28" t="inlineStr">
        <is>
          <t>Amgen</t>
        </is>
      </c>
      <c r="D28" t="inlineStr">
        <is>
          <t>linkedin</t>
        </is>
      </c>
      <c r="E28" t="inlineStr"/>
      <c r="F28" t="inlineStr"/>
      <c r="G28" t="inlineStr">
        <is>
          <t>Thousand Oaks, CA</t>
        </is>
      </c>
      <c r="H28" t="inlineStr"/>
      <c r="I28"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**Digital Product Manager**
**What you will do and what we expect of you**
 Let’s do this. Let’s change the world. In this vital role you will:
**Duties:** 
 Plan, initiate, and manage information technology (IT) projects; Plan project stages and assess business implications for each stage; Manage project execution progress to ensure adherence to budget, schedule, scope and quality; Monitor or track project milestones and deliverables; Submit project deliverables, ensuring adherence to quality standards; Assess current or future business teams needs and priorities by communicating directly with business teams, conducting workshops, or other methods; Initiate, review, or approve modifications to project plans; Schedule and facilitate meetings related to information technology projects; Direct or coordinate activities of project personnel; Develop implementation plans that include analyses such as cost\-benefit or return on investment (ROI); Monitor, evaluate, and communicate product progress at each stage of the development lifecycle, including key decisions and issue developments; Collaborate with prospective users and clients to understand and anticipate their needs, shape the vision and concept, and translate needs into product requirements; Own the product roadmap, working with internal and external customers to analyze the needs and align the roadmap to strategic goals; Develop scope and help define backlog items such as epics, features, and user stories that guide the development team; Tackle product\-related problems, make decisions, and complete trade\-off analyses to stay on track toward business commitments; Assess value, develop business analysis, and prioritize opportunities to ensure the work focuses on those with maximum value that are aligned with product strategy; and Define and implement change management plans, including communications, staff engagement, training, and sponsorship. May telecommute.
**Requirements:** 
 Bachelor’s degree (or foreign equivalent) in Computer Science, Computer Applications, or related field and 5 years of experience in the job offered or in a technology\-related occupation. Position requires 5 years of experience in the following:
* Utilizing data analysis and visualization tools including MS Excel, Tableau, Smartsheet, or Spotfire;
 2 Collaborating with business stakeholders to design process workflows using Microsoft Visio and Miro;
* Working with Scrum Agile Software Development Lifecycle (SDLC) delivery methodology, tracking project milestones, and managing Scrum boards using JIRA;
* Eliciting business requirements from stakeholders to enable development of technical solutions using technologies such as AWS and Databricks;
* Examining business processes and problems, creating technical solutions, and applying the solutions and processes to resolve problems; and
* Delivering projects with planning, financial, resource, vendor, and risk management.
**Contact:** 
 Interested candidates please apply via https://careers.amgen.com/en/search\-jobs and search for job \# R\-232607\.
 Job type: Full Time position. The annual salary range for this position in the U.S. is $130,915\.00 \- $157,964\.00 per year. Also, this position offers stock, retirement, medical, life and disability insurance and eligibility for an annual bonus or for sales roles, other incentive compensation. For more details visit https://careers.amgen.com/life\-at\-amgen/benefits/
**What You Can Expect Of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including remote and hybrid work arrangements, where possible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Amgen does not have an application deadline for this position; we will continue accepting applications until we receive a sufficient number or select a candidate for the position.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29">
      <c r="A29" t="inlineStr">
        <is>
          <t>li-4370170438</t>
        </is>
      </c>
      <c r="B29" t="inlineStr">
        <is>
          <t>Associate Director, Product Owner - Patient Find</t>
        </is>
      </c>
      <c r="C29" t="inlineStr">
        <is>
          <t>Sanofi</t>
        </is>
      </c>
      <c r="D29" t="inlineStr">
        <is>
          <t>linkedin</t>
        </is>
      </c>
      <c r="E29" t="inlineStr"/>
      <c r="F29" t="inlineStr"/>
      <c r="G29" t="inlineStr">
        <is>
          <t>Morristown, NJ</t>
        </is>
      </c>
      <c r="H29" t="inlineStr"/>
      <c r="I29" t="inlineStr">
        <is>
          <t>**Job title:** 
 Product Owner, Patient Find
**Location:** 
 Morristown, NJ
**About The Job**
 As
 **Product Owner, Patient Find** 
 within our
 **Digital team** 
 , you will be part of transforming our business while helping to change millions of lives. Our Hubs are a crucial part of how we innovate, improving performance across every Sanofi department and providing a springboard for the amazing work we do.
 Sanofi has recently embarked on a vast and ambitious digital transformation program. A cornerstone of this roadmap is the acceleration of its data transformation and the adoption of artificial intelligence (AI) and machine learning (ML) solutions to accelerate R\&amp;D, manufacturing and commercial performance and bring better drugs and vaccines to patients faster, to improve health and save lives.
 We are seeking a highly skilled and experienced analytics and AI/GenAI/Agentic AI solution Product Owner who will work in collaboration with Global brand teams, Go To Market, Data, Data Science, Scrum Master, and other stakeholders on AI, GenAI and Agentic AI\-based solutions to address various aspects of Patient Diagnosis and prescription fulfillment challenges. The ideal candidate will possess a strong background in advanced analytics and AI/GenAI/Agentic AI, great leadership abilities, and a passion for driving innovation through data\-driven solutions.
 You will play a critical role in shaping our Advanced analytics and AI/GenAI/Agentic AI solution development, delivery, and overall digital transformation by implementing best practices (including responsible AI) and driving strategic initiatives to ensure reliability, scalability, and continuous improvement while challenging the status quo.
 Join us on our journey in enabling Sanofi's Digital Transformation through becoming an AI\-first organization. This includes working with our AI Factory utilizing versatile teams operating in cross\-functional pods, experiencing a leading\-edge tech stack deployed globally, and receiving world\-class mentorship and training from renowned leaders and academics in machine learning.
 As a Product Owner, you will be a leader and act as a mini\-CEO for this digital product, co\-defining product strategy with the business, planning product roadmap, driving product delivery with delivery teams, and measuring and optimizing business impact. We are an innovative global healthcare company with one purpose: to chase the miracles of science to improve people's lives.
 Join the digital engine driving Sanofi’s transformation \- where AI, automation, and bold experimentation power faster science and smarter decisions. Here, you’ll help build the first biopharma company powered by AI at scale.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**Main Responsibilities**
* Support Development and Delivery: Assist in the development and delivery of analytics, AI, GenAI and Agentic AI\-based products or solutions to address various stages of patient journey from patient diagnosis through treatment fulfillment and treatment adherence.
* Collaborate with Commercial Teams: Work closely with Commercial teams to understand their requirements and help develop efficient and effective payer strategies using analytics and AI solutions, including GenAI and Agentic AI components.
* Optimize Use Cases: Participate in the assessment and recommendation of commercial use cases for analytics and AI solutions, ensuring alignment with strategic goals.
* Implement Product Vision: Contribute to the design and implementation of end\-to\-end product vision and delivery for Commercial Advanced Analytics \&amp; AI Strategy.
* Standardize Digital Products: Help standardize and deliver digital products with a focus on the commercial analytics and AI portfolio.
* Synergize with Central GenAI/Agentic AI Team: Collaborate with the central GenAI/Agentic AI team to develop products and solutions that leverage reusable components and ensure synergy across projects.
* Manage Product Roadmap: Assist in managing the product roadmap, including budget planning, resource allocation, and feasibility assessments.
* Ensure Performance and Value: Support efforts to ensure digital product performance and value realization.
* Stakeholder Collaboration: Collaborate with cross\-functional teams to gather requirements, drive technology strategy, and deliver tailored reporting solutions.
* Experience with Pharmaceutical brand commercialization function is a strong plus
**Ways of working**
* You will be a member of Global Digital GBU Advance Analytics \&amp; AI Team.
* You will foster partnerships and close collaboration between cross\-functional teams (GBU Brand teams, Digital, business operations, market teams) and drive structured ways of working between teams to provide maximum value and efficiency to business teams.
* You will work closely and constructively with other development teams e.g., Accelerator, AI COEs, Data Engineering COE, Responsible AI COE) whether inside or outside the company.
* You will empower your teams to set up lean but effective teams and efficient local governance.
* You will help build and develop a team that uses complementary strengths and develop novel solutions to core business problems
**About You**
* 5\-7\+ years of experience in product management or building complex digital solutions.
* Deep passion and hands\-on experience in AI/ML/GenAI/Agentic AI
* Experience working with a variety of cross\-functional teams.
* Solid industry background and understanding \&amp; process a strong business acumen
* Seasoned leader with outstanding communication and presentation skills.
* Proven record of creating and implementing successful advanced analytics \&amp; AI digital commercial strategies.
* Attention to detail \&amp; technical intuition
* Excellent written, verbal, and interpersonal skills for executive level communication and collaboration
* Fluent in English (Other languages a plus)
**Education**
* Bachelor's degree required, Master’s degree preferred in computer science or equivalent scientific field, MBA is a big plus.
**Technical Skills**
* Solid knowledge of Lean \&amp; Agile practices, UX/UI and Application Design \&amp; Integration.
* Extensive hands\-on experience in ML/AI/GenAI/Agentic AI
* Understanding of Claims, EMR, Lab, etc. data and their uses in AI model development.
**Soft Skills**
* Strong drive and ability to build \&amp; share product line vision
* Excellent communication \&amp; presenting skills, including with executive stakeholders
* Proven business sense, ability to take decisions, think strategically and partner with business/other teams
* Track\-record of problem\-solving \&amp; overcoming roadblocks in a complex environment, with “get things done” mindset
* Strong cross\-functional leadership \&amp; influencing skills
* Strong project management skills
* Leadership \&amp; Strategic Thinking \&amp; Impact Focus
* Demonstrates very strong leadership skills; knows how to influence and work as an integral part of a team.
* Deep experience in applying LEAN and Agile Practices
* Multi\-cultural Transversal Collaboration
* Thoughtful Risk Taking
**Languages**
* English a must, French a plus, other languages a plus
**Why Choose Us**
* Bring the miracles of science to life alongside a supportive, futurefocused team.
* Discover endless opportunities to grow your talent and drive your career, whether it’s through a promotion or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parental leave.
* Join the digital force behind Sanofi’s AI\-powered pipeline, where Expert, Generative, and Snackable AI accelerate the discovery, development and delivery of breakthrough treatments to patients.
* Help reduce time from discovery to commercialization, delivering life\-changing medicines to patients faster than ever.
* Join a workplace where diversity, equity, and inclusion are at the core, with Employee Resource Groups and leadership programs that celebrate every voice.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\#GD\-SA
 \#vhd
 All compensation will be determined commensurate with demonstrated experience. Employees may be eligible to participate in Company employee benefit programs, and additional benefits information can be found here.</t>
        </is>
      </c>
    </row>
    <row r="30">
      <c r="A30" t="inlineStr">
        <is>
          <t>li-4335978547</t>
        </is>
      </c>
      <c r="B30" t="inlineStr">
        <is>
          <t>Sr. Technical Product Manager, Amazon Prime Air</t>
        </is>
      </c>
      <c r="C30" t="inlineStr">
        <is>
          <t>Amazon</t>
        </is>
      </c>
      <c r="D30" t="inlineStr">
        <is>
          <t>linkedin</t>
        </is>
      </c>
      <c r="E30" t="inlineStr"/>
      <c r="F30" t="inlineStr"/>
      <c r="G30" t="inlineStr">
        <is>
          <t>Seattle, WA</t>
        </is>
      </c>
      <c r="H30" t="inlineStr"/>
      <c r="I30" t="inlineStr">
        <is>
          <t>**Description**
 Here at Amazon, we embrace our differences. We are committed to furthering our culture of diversity and inclusion of our teams within the organization.
 How do you get items to customers quickly, cost\-effectively, and—most importantly—safely, in less than an hour? And how do you do it in a way that can scale? Our teams of hundreds of scientists, engineers, aerospace professionals, and futurists have been working hard to do just that! We are delivering to customers, and are excited for what’s to come. Check out more information about Prime Air on the About Amazon blog (https://www.aboutamazon.com/news/transportation/amazon\-prime\-air\-delivery\-drone\-reveal\-photos).
 If you are seeking an iterative environment where you can drive innovation, apply state\-of\-the\-art technologies to solve real world delivery challenges, and provide benefits to customers, Prime Air is the place for you.
 Come work on the Amazon Prime Air Team!
 We’re hiring a Sr. Technical Product Manager, Fulfillment Integration to own the under\-the\-roof fulfillment flows and the supporting technical design for integration with new models/businesses that feed our Prime Air Drone Delivery Centers (PADDCs). You will define how an order is prepared, packaged, verified, and handed off to flight operations. You’ll turn ambiguous, real\-world constraints into crisp mechanisms, partnering with software, hardware, and operations to reduce latency and defects while enabling replication across sites.
 If you thrive in an iterative environment, love shipping mechanisms that exist in the physical world, and enjoy working across software, operations, and infrastructure, this role is for you.
 The ideal candidate is a creative, demonstrated product manager with superior analytical abilities. This opportunity requires excellent technical, problem\-solving, and communication skills. You must be able to accurately prioritize projects, make sound judgments, and work to improve the customer experience. Skillset in operations management and aviation enthusiasm is a plus.
 Key job responsibilities
 Own the end\-to\-end under\-the\-roof workflow from order → pick/pack → packaging → scanning/labeling → staging → PADDC handoff; define detailed product requirements and success metrics.
 Lead partner\-location integrations across other businesses: map current/future states, define SLAs and interfaces, and land mechanisms that work at scale.
 Define and drive packaging approaches per model, balancing product protection, weight constraints, and drone compatibility; set guardrails that remove decision making.
 Partner with operator tooling teams to translate operational needs into usable software flows (scanning, exceptions, queueing, etc).
 Instrument the workflow with phase\-level telemetry; own targets for median and P90 by phase and overall Click\-to\-Delivery; run RCAs and deliver measurable variance reduction.
 Write clear PRFAQs/BRDs and drive cross\-org alignment with engineering, operations, safety, and partner teams.
 Support site launches and retrofits; validate mechanisms on the floor, close the loop with data, and iterate quickly.
**About The Team**
 Prime Air’s PADDC team designs and scales the ground systems that turn a customer click into a drone takeoff. We design both mobile deployment infrastructure and multi\-pad permanent sites, plus the processes and software that connect PADDCs to Amazon networks and partner operations. Day to day, we turn ambiguous needs into buildable interfaces and site\-ready plans, and work with engineering and operations to prototype, pilot, and harden changes before scaling. If you like building where software, hardware, and real\-world operations meet—and seeing your decisions show up on a launch pad—you’ll fit right in.
**Basic Qualifications**
* 2\+ years of technical product or program management experience
* Experience owning/driving roadmap strategy and definition
* Experience with feature delivery and tradeoffs of a product
* Experience contributing to engineering discussions around technology decisions and strategy related to a product
**Preferred Qualifications**
* Experience in using analytical tools, such as Tableau, Qlikview, QuickSight
* Experience in building and driving adoption of new tools
* Technical depth in operations/fulfillment domains (same\-day/sortation/last\-mile, WMS, scanning/labeling, packaging)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A3126480</t>
        </is>
      </c>
    </row>
    <row r="31">
      <c r="A31" t="inlineStr">
        <is>
          <t>li-4327254818</t>
        </is>
      </c>
      <c r="B31" t="inlineStr">
        <is>
          <t>Technical Product Owner - Developer Platform</t>
        </is>
      </c>
      <c r="C31" t="inlineStr">
        <is>
          <t>Toyota North America</t>
        </is>
      </c>
      <c r="D31" t="inlineStr">
        <is>
          <t>linkedin</t>
        </is>
      </c>
      <c r="E31" t="inlineStr"/>
      <c r="F31" t="inlineStr"/>
      <c r="G31" t="inlineStr">
        <is>
          <t>Plano, TX</t>
        </is>
      </c>
      <c r="H31" t="inlineStr"/>
      <c r="I31"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at this time.*
 This position is an onsite role based in Plano, TX.
**Who We’re Looking For**
 The TFS Enterprise Platforms team is seeking a highly motivated Technical Product Owner to drive the development and innovation of our internal developer platform. In this role, you will lead a team to create a world\-class development environment that empowers engineers and supports our organization's ongoing transformation.
 As a Technical Product Owner, you will work closely with engineering teams, stakeholders, and cross\-functional leaders to identify key challenges and opportunities in the developer ecosystem. Your expertise in the software delivery lifecycle, cloud technologies, and best practices will enable you to define and execute a clear product vision, ensuring a seamless and efficient development experience.
**What You’ll Be Doing**
* Own and manage the entire product lifecycle from vision and strategy through design, development, release, and iteration, ensuring alignment with business goals.
* Collaborate with engineering teams and cross\-domain stakeholders to gather technical requirements and prioritize features that optimize developer productivity and platform scalability.
* Lead roadmap and backlog refinement by applying agile methodologies, ensuring timely delivery of high\-value features that meet both technical and business objectives.
* Champion best practices in software development, cloud\-native architecture, and automation, driving improvements across the development ecosystem.
* Establish clear metrics to track product performance and demonstrate business value, continuously improving developer experience and ROI.
* Effectively communicate product vision and progress to technical teams, business stakeholders, and leadership, translating complex technical concepts into business impact.
* Foster strong vendor and partner relationships, ensuring successful delivery of key platform capabilities and integrations.
**What You Bring**
* 10\-15 years of relevant experience in technology implementations, product management, and technical leadership.
* Proven ability to lead cross\-functional teams and deliver complex products in a fast\-paced, agile environment.
* Deep understanding of cloud technologies and modern software development practices, with a strong ability to solve technical challenges.
* Strong communication skills, able to articulate technical and business concepts across diverse audiences.
* Bachelor's Degree in Information Systems, Computer Science, or a related field.
* 7\+ years of product management experience with a focus on technical platforms, and 5\+ years of people management experience.
**Added Bonus If You Have**
* Master’s Degree in Computer Science or Software Engineering.
* 3\+ years of experience building and scaling horizontal platforms or cloud\-native applications.
* Demonstrated experience in architecting large\-scale, mission\-critical cloud solutions for enterprises.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Advantaged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32">
      <c r="A32" t="inlineStr">
        <is>
          <t>li-4323973728</t>
        </is>
      </c>
      <c r="B32" t="inlineStr">
        <is>
          <t>RevOps Product Manager</t>
        </is>
      </c>
      <c r="C32" t="inlineStr">
        <is>
          <t>Sage</t>
        </is>
      </c>
      <c r="D32" t="inlineStr">
        <is>
          <t>linkedin</t>
        </is>
      </c>
      <c r="E32" t="inlineStr"/>
      <c r="F32" t="inlineStr"/>
      <c r="G32" t="inlineStr">
        <is>
          <t>Atlanta, GA</t>
        </is>
      </c>
      <c r="H32" t="inlineStr"/>
      <c r="I32" t="inlineStr">
        <is>
          <t>**Job Description**
 We’re looking for a RevOps Product Manager to shape and operationalize the AI\-driven capabilities that power our global go\-to\-market organization. In this role, you’ll sit at the intersection of business strategy, analytics, and technology, helping define how AI enhances the way we measure, forecast, and manage performance across Sales, Marketing, and Customer Success.
 You’ll partner with developers, data experts, and business leaders to translate ideas into scalable AI capabilities that improve decision\-making, efficiency, and insight across the GTM engine. This is ideal for a business\-minded problem solver who understands GTM operations and data — and can think like a product manager while operating inside a revenue operations function. You’ll bring a customer\-centric mindset, ensuring every capability is designed for usability, adoption, and measurable business impact.
 This role is Hybrid based on\-site three days per week in our office in Atlanta, GA or Austin, TX.
 Define the AI Strategy \&amp; Roadmap for GTM
* Identify, prioritize, and define high\-value AI use cases that improve GTM performance (e.g., forecasting accuracy, lead quality, conversion insights).
* Build and maintain a dynamic roadmap of AI\-enabled capabilities that evolve with business needs and emerging technologies.
* Ensure every initiative aligns with GTM strategy, has measurable success criteria, and delivers value across Sales, Marketing, and Customer Success.
* Translate high\-level business goals into clear, actionable AI product priorities tied to outcomes.
 Manage Business Requirements \&amp; Delivery
* Translate GTM challenges into AI use cases and functional requirements with clear business outcomes and usability goals.
* Act as the voice of the internal customer — understanding how sales, marketing, and customer success teams work, and ensuring AI tools fit seamlessly into their daily workflows.
* Partner with analytics, data engineering, and development teams to design, test, and deploy new capabilities across internal business systems (CRMs, data visualization tools, and planning platforms).
* Maintain product backlogs, define acceptance criteria, and track progress for AI\-related initiatives.
* Ensure AI outputs are actionable, explainable, and embedded into everyday GTM processes.
 Drive AI Adoption \&amp; Change Management
* Champion the adoption of AI and automation tools across GTM teams through education, demos, and hands\-on support.
* Collaborate with leadership and regional operations to align new capabilities with business workflows.
* Bridge the gap between business and technical teams — translating strategic needs into technical requirements that deliver real value.
* Create enablement materials that make AI tools intuitive and approachable for non\-technical users.
 Lead Continuous Improvement \&amp; Stakeholder Collaboration
* Partner closely with business stakeholders to understand evolving needs, pain points, and opportunities for innovation.
* Apply customer empathy, deeply understanding internal users’ motivations and challenges to ensure AI initiatives drive tangible value.
* Collaborate with analytics and systems teams to monitor model performance, usability, and data quality.
* Recommend enhancements to improve accuracy, adoption, and explainability of AI\-driven insights.
* Stay current on emerging AI technologies (e.g., copilots, generative AI, anomaly detection) and evaluate their potential for GTM operations.
* Manage stakeholders, backlogs, and delivery expectations to balance near\-term priorities with long\-term scalability.
* Foster a continuous feedback loop with users to refine functionality and experience.
**Qualifications**
* 5\+ years of experience in Revenue Operations, GTM Systems, Business Operations, or Product/Program Management at a B2B SaaS company.
* Strong understanding of Sales, Marketing, and Customer Success processes, data, and performance metrics.
* Proven success working cross\-functionally with business stakeholders, analytics, and technical teams to operationalize insights or automate workflows.
* Experience driving alignment across leadership and end users; skilled in stakeholder engagement and communication.
* Familiarity with platforms like Salesforce, Power BI, Snowflake, Clari, and Chorus (or similar CRMs, BI, and data tools).
* Analytical and structured thinker; able to prioritize initiatives based on business impact, feasibility, and scalability.
* Excellent communicator — adept at translating between technical and non\-technical audiences and articulating business value clearly.
* Curiosity and foundational understanding of AI, machine learning, and automation (e.g., predictive analytics, LLMs, copilots).
* Experience with agile or iterative delivery is a plus, even if not in a formal product management role.
 Plenty of perks:
* Competitive salaries that landed us top 5% of similar sized companies (according to Comparably)
* Comprehensive health, dental and vision coverage
* 401(k) retirement match (100% matching up to 4%)
* 32 days paid time off (21 personal days, 10 national holidays, 1 floating holiday)
* 18 weeks paid parental leave for birth, adoption or surrogacy offered 1 year after start date
* 5 days paid yearly to volunteer (through Sage Foundation)
* $5,250 tuition reimbursement per calendar year starting 6 months after hire date
* Sage Wellness Rewards Program ($600 wellness credit and $360 fitness reimbursement annually)
* Library of on\-demand career development options and ongoing training offerings
 What it’s like to work at Sage:
 Careers homepage \- https://www.sage.com/en\-us/company/careers/
 Glassdoor reviews \- https://www.glassdoor.com/Reviews/Sage\-Reviews\-E1150\.htm
 LinkedIn page \- https://www.linkedin.com/company/sage\-software</t>
        </is>
      </c>
    </row>
    <row r="33">
      <c r="A33" t="inlineStr">
        <is>
          <t>li-4340525807</t>
        </is>
      </c>
      <c r="B33" t="inlineStr">
        <is>
          <t>Technical Product Manager - AI Platforms - GenAI Developer Platform - CTO Office</t>
        </is>
      </c>
      <c r="C33" t="inlineStr">
        <is>
          <t>Bloomberg</t>
        </is>
      </c>
      <c r="D33" t="inlineStr">
        <is>
          <t>linkedin</t>
        </is>
      </c>
      <c r="E33" t="inlineStr"/>
      <c r="F33" t="inlineStr"/>
      <c r="G33" t="inlineStr">
        <is>
          <t>New York, NY</t>
        </is>
      </c>
      <c r="H33" t="inlineStr"/>
      <c r="I33" t="inlineStr">
        <is>
          <t>Location
 New York
 Business Area
 Engineering and CTO
 Ref \#
 10041979
**Description \&amp; Requirements**
 Bloomberg’s CTO Office is the future\-looking technical and product arm of Bloomberg L.P. We envision, design, and prototype the next generation infrastructure, hardware, and applications for the Bloomberg Terminal. Our projects include machine learning\-powered products, cloud computing infrastructure and strategy, open source stewardship, generative AI, and more. We are passionate about what we do.
 For more than a decade, Bloomberg has been a trailblazer in its application of AI, Machine Learning (ML), and Natural Language Processing (NLP) in finance. We build models and systems that power sentiment analysis, classification, question answering, document understanding, recommendation, and more, using state of the art AI techniques including generative AI. Critical to this effort are our AI platforms, which enable teams to rapidly and robustly develop, deploy and maintain AI products and features.
**What’s In It For You**
 We are looking for a Technical Product Manager to shape and execute the vision and roadmap for our Generative AI application development lifecycle. As a product manager, you will focus on the end\-to\-end user experience, share ownership of the product roadmap for our AI Platforms, and build out new features, capabilities, and integrations to fulfill our mission. You’ll be making decisions on how to streamline the GenAI developer workflow around tools, agents, evaluation, and more. You will work in a group of other highly motivated product managers that work on a range of adjacent projects around AI application development. You will interact very closely with internal stakeholders from product, engineering, and UX. This is a high\-leverage role in a very cross\-functional environment, so you’ll need to be comfortable wearing many hats and balancing technical expertise with business acumen.
**We’ll trust you to**
* Develop a long\-term technical strategy, roadmap, framework, design patterns, tools for improving the developer experience for GenAI applications
* Partner closely with AI product and engineering teams to accelerate their critical projects
* Interact with internal users and diverse group of partners to understand their workflows and technical requirements, and develop a deep understanding of an ideal user experience
* Foster a culture of collaboration with your Engineering and UX counterparts
* Prioritize, plan, make decisions, ask the right questions, and understand how to plan for and manage resources effectively
* Take the initiative, be proactive, be inclusive, innovate, advocate, understand the priorities for the business, and do what’s best for Bloomberg
**You’ll need to have**
* 5\+ years of experience in technical product management
* Experience working with developer teams and productionizing AI or other data\-intensive applications
* Breadth of knowledge or familiarity with GenAI platforms, MLOps platforms, AI toolkits
* Deep understanding of software development best practices
* Organizational and communication skills to effectively coordinate and work with engineers, UX, subject matter experts, other product managers, and senior management
* A product\-driven focus and track record of shaping business strategy and roadmaps for technical products
**We’d love to see**
* A degree in Computer Science, Engineering, Data Science, HCI, AI, similar field of study or equivalent work experience
* Experience with GenAI technologies like MCP, A2A, LangGraph, LlamaIndex, Pydantic AI, OpenAI APIs and SDKs
* Applied experience with AI, Machine Learning, familiarity with large language models and their operational requirements
* Experience with Distributed Systems, Kubernetes, container orchestration, cloud computing platforms, experience with public cloud providers such as AWS, GCP, or Azure
* Open source involvement or community presence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4">
      <c r="A34" t="inlineStr">
        <is>
          <t>li-4340496054</t>
        </is>
      </c>
      <c r="B34" t="inlineStr">
        <is>
          <t>Technical Product Manager - Semantic Modeling and Integration</t>
        </is>
      </c>
      <c r="C34" t="inlineStr">
        <is>
          <t>Bloomberg</t>
        </is>
      </c>
      <c r="D34" t="inlineStr">
        <is>
          <t>linkedin</t>
        </is>
      </c>
      <c r="E34" t="inlineStr"/>
      <c r="F34" t="inlineStr"/>
      <c r="G34" t="inlineStr">
        <is>
          <t>New York, NY</t>
        </is>
      </c>
      <c r="H34" t="inlineStr"/>
      <c r="I34" t="inlineStr">
        <is>
          <t>Location
 New York
 Business Area
 Engineering and CTO
 Ref \#
 10045791
**Description \&amp; Requirements**
**Who we are / The Team**
 The Metadata Strategy team, part of Bloomberg’s CTO Office, defines and delivers the long\-term strategy for how semantic data and metadata are structured, managed, and leveraged across the company. Our mission is to build scalable, intelligent systems that make data more meaningful, discoverable, and interoperable across Bloomberg’s diverse products and platforms.
 The Bloomberg Knowledge Graph (KG) is a foundational data asset that models the vast and interconnected landscape of financial markets, entities, events, and metadata across Bloomberg’s ecosystem. It serves as the semantic backbone of the firm, enabling consistent, context\-rich representation of data that powers a wide array of internal and client\-facing applications—from analytics and search to AI, personalization, and risk modeling. As a strategic artifact and the foundation of Bloomberg's Metadata Strategy, the Knowledge Graph underpins the next generation of AI\-driven and semantically enriched experiences for Bloomberg clients and internal stakeholders alike. The Semantic Model Product Owner will play a key role in shaping the evolution of this critical platform.
**About The Role**
 Bloomberg is seeking an experienced and visionary Technical Product Owner to lead the development and evolution of the Bloomberg Semantic Model (BSM)—our enterprise\-wide knowledge modeling initiative and oversee the population of Bloomberg’s knowledge graph and its integration into Bloomberg’s ecosystem. This foundational role is responsible for shaping the strategic roadmap, technical direction, and execution plans for semantic modeling across financial and non\-financial domains.
 The ideal candidate will combine deep technical knowledge of semantic modeling and metadata systems with strong product ownership capabilities, enabling Bloomberg to scale its knowledge graph and metadata strategy in alignment with data, product, and AI workflows across the organization.
**We’ll trust you to**
* Define and champion the long\-term vision and strategic roadmap for Bloomberg’s enterprise semantic model (BSM), aligning with firm\-wide data and product strategies.
* Develop and deploy strategies for iterative semantic model development and modularization of semantic models and taxonomies for application across disparate use cases.
* Develop a domain\-inclusive knowledge modeling strategy, extending BSM beyond financial instruments to include products, people, processes, and internal operations.
* Lead integration strategy between BSM and AI/ML teams, enabling semantic grounding for generative AI, intelligent agents, and large language models.
* Create structured roadmaps for domain\-specific modeling, in partnership with data experts across asset classes, reference data, core product, and engineering teams.
* Oversee the prioritization and sequencing of data domains into the BSM, ensuring a coherent and extensible knowledge architecture.
* Establish best practices for ontology, taxonomy, and reference model development, ensuring quality, reusability, and semantic consistency.
* Stay abreast of the latest research, tools, and industry trends in knowledge representation, and incorporate innovative approaches into the modeling lifecycle.
* Introduce automation and tooling for model development workflows to streamline authoring, validation, and deployment processes.
* Work closely with data domain experts, core product stakeholders, and engineers to capture modeling requirements and translate them into actionable roadmaps and user stories.
* Serve as a key liaison between data teams, platform engineers, and AI researchers, facilitating communication and ensuring that models meet stakeholder needs.
* Foster collaboration between metadata creators and consumers, ensuring semantic infrastructure is usable, scalable, and impactful.
**You’ll need to have**
* 8\+ years of experience in a product management role
* Breadth of knowledge and familiarity with metadata, enterprise data modeling and industry best practices
* Proficiency in Semantic technologies and semantic data modeling including OWL, RDF/S, SPARQL, SHACL, Ontology design and knowledge graphs
* Experience in semantic model integration into large ecosystems and legacy systems
* A strong technical or Engineering background and broad technical fluency
* A track record of shaping business strategy and roadmaps for technical products and providing reliable, scalable, and easy\-to\-use infrastructure
* A Degree in Computer Science, Engineering, Mathematics, similar field of study or equivalent work experience
* High degree of organization, individual initiative, and personal accountability
* Experience with one or more agile project management tools
* Ability to drive change and influence stakeholders at all levels to deliver impact in a fast\-paced, high\-pressure environment.
**We’d love to see**
* A good understanding of financial markets , instruments and products
* Open source involvement or community presence
* Exposure to Bloomberg Terminal and/or enterprise data products
* Experience with collaborative design platforms, such as MIRO and FIGMA.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5">
      <c r="A35" t="inlineStr">
        <is>
          <t>li-4348712377</t>
        </is>
      </c>
      <c r="B35" t="inlineStr">
        <is>
          <t>Product Manager - IBM Storage</t>
        </is>
      </c>
      <c r="C35" t="inlineStr">
        <is>
          <t>IBM</t>
        </is>
      </c>
      <c r="D35" t="inlineStr">
        <is>
          <t>linkedin</t>
        </is>
      </c>
      <c r="E35" t="inlineStr"/>
      <c r="F35" t="inlineStr"/>
      <c r="G35" t="inlineStr">
        <is>
          <t>Tucson, AZ</t>
        </is>
      </c>
      <c r="H35" t="inlineStr"/>
      <c r="I35" t="inlineStr">
        <is>
          <t>**Introduction**
 IBM Infrastructure is a catalyst that makes the world work better because our clients demand it. Heterogeneous environments, the explosion of data, digital automation, and cybersecurity threats require hybrid cloud infrastructure that only IBM can provide.
 Your ability to be creative, a forward\-thinker and to focus on innovation that matters is all supported by our growth\-minded culture as we continue to drive career development across our teams. Collaboration is key to IBM Infrastructure success, as we bring together different business units and teams that balance their priorities in a way that best serves our client's needs.
 IBM's product and technology landscape includes Research, Software, and Infrastructure. Entering this domain positions you at the heart of IBM, where growth and innovation thrive.
**Your Role And Responsibilities**
 What You’ll Do
* Conduct market, customer, and competitive research to identify opportunities and inform product strategy.
* Collaborate with Engineering, Sales, Marketing, and Finance to define and deliver product capabilities.
* Translate customer needs and technical capabilities into clear product requirements and user stories.
* Participate in product planning, roadmap development, and go\-to\-market activities.
* Support product launches and monitor performance metrics to drive continuous improvement.
* Engage with customers and stakeholders to gather feedback and validate product direction.
**About You**
* Recently graduated with a Bachelor’s or Master’s degree in Business, Computer Science, Engineering, or a related field.
* Strong communicator with excellent written and verbal skills.
* Analytical thinker with the ability to interpret data and derive actionable insights.
* Self\-motivated, resourceful, and comfortable working in fast\-paced, multidisciplinary environments.
* Able to make decisions with incomplete information and follow through on execution.
* Collaborative team player who thrives in cross\-functional settings.
**Preferred Education**
 Bachelor's Degree
**Required Technical And Professional Expertise**
* Bachelor’s or Master’s degree in Business, Computer Science, Engineering, or related field.
* Strong analytical and problem\-solving skills.
* Excellent communication and presentation abilities.
* Experience working in teams, including during internships or academic projects.
* Proficiency in Microsoft Office tools (Excel, PowerPoint, Word).
* Familiarity with AI tools and productivity platforms.
**Preferred Technical And Professional Experience**
* Knowledge of hardware and software development concepts.
* Passion and desire to make the best products in the industry hands\-down.</t>
        </is>
      </c>
    </row>
    <row r="36">
      <c r="A36" t="inlineStr">
        <is>
          <t>li-4362732661</t>
        </is>
      </c>
      <c r="B36" t="inlineStr">
        <is>
          <t>Director, Product Manager, Commercial Forward Impact Engineering &amp; Engagement Team</t>
        </is>
      </c>
      <c r="C36" t="inlineStr">
        <is>
          <t>Pfizer</t>
        </is>
      </c>
      <c r="D36" t="inlineStr">
        <is>
          <t>linkedin</t>
        </is>
      </c>
      <c r="E36" t="inlineStr"/>
      <c r="F36" t="inlineStr"/>
      <c r="G36" t="inlineStr">
        <is>
          <t>Lake Forest, IL</t>
        </is>
      </c>
      <c r="H36" t="inlineStr"/>
      <c r="I36" t="inlineStr">
        <is>
          <t>**Role Summary**
 At Pfizer, our purpose is breakthroughs that change patients’ lives and our colleagues make this happen. All over the world, our colleagues work together to touch millions of lives. Forward Impact Engineering and Engagement Teams deliver rapid outcomes by experimenting, learning fast, and proving what works.
**This role will be reporting into Global** 
**Commercial** 
**Analytics / AI** 
**Acceleration \&amp; Specialty Care Pod in** 
 Commercial Forward Impact Engineering and Engagement team.
 The Commercial Forward Impact Engineering and Engagement Product Manager drives innovation by closely working with Commercial business stakeholders and team of engineers to translate prioritized business opportunities into rapid prototypes and minimum viable products (MVPs). The role blends business engagement with technical execution, enabling Pfizer to accelerate delivery, reduce complexity, and create measurable value. Operating at the intersection of Commercial business priorities, technical design, and product delivery, Product Manager advances concepts into validated solutions that enable decision making on further scale across the enterprise. The role has responsibility for managing stakeholder relationships, shaping product strategies, and ensuring solutions meet both technical rigor and customer needs within dedicated Pod domain.
 The role focuses on hands\-on product leadership—establishing clear product vision, strategy, and roadmaps, and ensuring that prototypes and MVPs are built, tested, and refined efficiently. You will collaborate closely with commercial stakeholders to align priorities, gather feedback, and adapt solutions to maximize business value, all while fostering a culture of creativity, experimentation, and continuous improvement.
**Role Responsibilities**
* Lead the development of AI and data\-driven digital products through rapid prototyping and MVP\-first approaches to validate concepts and accelerate time\-to\-value.
* Define and communicate a clear product vision and strategy that prioritizes speed, experimentation, and learning through iterative delivery.
* Collaborate closely with cross\-functional teams—including engineering, design, and business stakeholders—to quickly test hypotheses and refine product direction based on user feedback and data.
* Establish and manage a lean product roadmap focused on delivering high\-impact features with minimal viable scope, while maintaining flexibility to pivot based on insights.
* Drive agile ceremonies and sprint planning with a focus on short cycles, fast feedback loops, and continuous improvement.
* Champion a culture of experimentation, encouraging A/B testing, user research, and analytics to inform product decisions.
* Ensure MVPs are scalable and extensible, laying the groundwork for future enhancements while meeting immediate business needs.
* Oversee the creation of user stories, prototypes, and wireframes that reflect user\-centric design principles and solve real\-world problems.
* Manage stakeholder expectations by clearly communicating trade\-offs, timelines, and outcomes of MVP launches.
* Foster a team environment that embraces ambiguity, adapts quickly to change, and thrives on delivering tangible results in compressed timeframes.
* Primary Stakeholders: Global Commercial Analytics group, Specialty BU – (Rare Disease / Inflammation \&amp; Immunology) and AI Acceleration Team – Tier 1/2 programs
**Basic Qualifications**
* Bachelor’s degree in Computer Science, Engineering, Business, or related field.
* 8\+ years of product management experience, with a strong emphasis on rapid prototyping, MVP development, and agile delivery.
* Strong understanding of Commercial Analytics capabilities in Pharma as well as the value each delivers.
* Background in scaling/industrializing analytics and data science/machine learning capabilities (descriptive, diagnostic and predictive analytics capabilities)
* Working knowledge of the latest innovations / technology platforms in tech/AI enabled analytics (spanning AI and BI)
* Proven success in launching MVPs and iterating based on user feedback and performance metrics.
* Deep understanding of lean product development, agile methodologies, and user\-centered design.
* Experience working in fast\-paced environments where speed and adaptability are critical.
* Strong analytical skills with the ability to interpret data and translate insights into actionable product decisions.
* Excellent communication and storytelling skills to align diverse stakeholders around MVP goals and outcomes.
* Demonstrated ability to lead without authority through ambiguity and deliver high\-impact solutions quickly.
**Preferred Qualifications**
* MBA or Master’s degree in strategy, innovation, or related field.
* Ideally a prior practitioner of commercial analytics in pharma, with a focus on creating scalable solutions
* Certification in Agile, Scrum, or Lean Startup methodologies.
* Experience with design thinking, prototyping tools (e.g., Figma, Sketch), and analytics platforms.
* Background in healthcare, pharma, or regulated industries with experience navigating compliance in MVP delivery.
* Experience managing distributed teams and driving alignment across global stakeholders.
* Previous Management Consulting experience in Top Consulting Firm is a big Plus
* Candidate demonstrates a breadth of diverse leadership experiences and capabilities including: the ability to influence and collaborate with peers, develop and coach others, oversee and guide the work of other colleagues to achieve meaningful outcomes and create business impact.
**Non\-standard Work Schedule, Travel Or Environment Requirements**
* Traveling to Pfizer offices, vendor offices and other team meeting locations when required. Project work can sometimes be demanding and require work during off\-hours.
 Work Location Assignment: Hybrid
 Last Date to Apply for Job: 2/10/2026
 The annual base salary for this position ranges from $162,900\.00 to $261,000\.00\.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Information \&amp; Business Tech</t>
        </is>
      </c>
    </row>
    <row r="37">
      <c r="A37" t="inlineStr">
        <is>
          <t>li-4346441061</t>
        </is>
      </c>
      <c r="B37" t="inlineStr">
        <is>
          <t>Senior Product Manager - Unified Login &amp; Mobile Experiences, Enterprise Customer Identity Access Management (Remote)</t>
        </is>
      </c>
      <c r="C37" t="inlineStr">
        <is>
          <t>First Citizens Bank</t>
        </is>
      </c>
      <c r="D37" t="inlineStr">
        <is>
          <t>linkedin</t>
        </is>
      </c>
      <c r="E37" t="inlineStr"/>
      <c r="F37" t="inlineStr"/>
      <c r="G37" t="inlineStr">
        <is>
          <t>Raleigh, NC</t>
        </is>
      </c>
      <c r="H37" t="inlineStr"/>
      <c r="I37" t="inlineStr">
        <is>
          <t>**Overview**
 This is a remote role that may be hired in several markets across the United States.
**About The Team**
 The Enterprise Customer Identity Access Management (CIAM) \&amp; Digital Fraud Services team is building the modern identity and risk platform that secures every customer interaction across the bank. By consolidating authentication, identity, and fraud controls into a unified enterprise platform, the team helps protect customer accounts, enables secure growth, reduces fraud, and strengthens regulatory compliance. Team members work with industry\-leading identity technologies and partner closely with user experience, fraud, security, and technology teams to shape the future of digital banking security.
**Role Overview**
 The Senior Product Manager – Unified Login \&amp; Mobile Experiences is responsible for delivering a seamless, secure, and consistent authentication experience across all of the bank’s customer interaction channels, including web, mobile, branch, phone, and partner applications. This role defines and drives the evolution of modern login, MFA, and mobile authentication experiences that scale across the enterprise while adapting dynamically to risk signals.
 As part of the Enterprise CIAM \&amp; Digital Fraud Services team, this role works closely with Digital Fraud, engineering, and channel product teams to ensure authentication journeys are intuitive for customers and resilient against emerging threats. The outcome is a unified identity experience that strengthens customer trust while reducing friction and operational complexity across the bank.
**What You’ll Get To Work On**
* Enterprise\-scale authentication experiences used by millions of customers
* Modern CIAM platforms and mobile identity capabilities
* Risk\-based and adaptive authentication in partnership with user experience and fraud teams
* Cross\-channel identity experiences spanning web, mobile, branch, and phone
* Industry\-leading identity and security technologies
**Responsibilities**
* Own the product vision and roadmap for unified login and authentication experiences across web, mobile, branch, phone, and partner channels
* Lead the design and delivery of modern authentication capabilities, including login flows, MFA, step\-up authentication, and mobile\-specific experiences
* Partner with the Digital Fraud team to integrate risk\-based controls and adaptive authentication into identity journeys
* Define consistent authentication patterns, standards, and UX principles that can be reused across applications and channels
* Work with engineering and architecture teams to ensure authentication services are scalable, reliable, and aligned with enterprise CIAM standards
* Collaborate with channel product teams to onboard applications to unified login experiences and reduce fragmented or custom authentication flows
* Balance security, usability, and performance to deliver friction\-aware authentication experiences
* Use telemetry, analytics, and customer feedback to continuously optimize authentication flows and reduce unnecessary friction
* Ensure authentication experiences meet regulatory, security, accessibility, and compliance requirements
**Qualifications**
 Bachelor's Degree and 6 years of experience in Product Management OR High School Diploma or GED and 10 years of experience in Product Management
**Preferred Experience**
* 6–10\+ years of experience in Product Management, with experience leading complex, customer\-facing platform or experience products
* Bachelor’s degree in Computer Science, Information Systems, Engineering, Human\-Computer Interaction, or a related field (or equivalent experience)
* Experience designing or delivering authentication, identity, mobile, or security\-related experiences preferred
* Familiarity with CIAM, IAM, MFA, mobile authentication, or identity standards (OAuth, OIDC, SAML) strongly desired
* Experience partnering with security, fraud, or risk teams to deliver adaptive or risk\-based user experiences a plus
* Strong communication skills with the ability to influence across engineering, security, UX, and business stakeholders
 This job posting is expected to remain active for 45 days from the initial posting date listed above. If it is necessary to extend this deadline, the posting will remain active as appropriate. Job postings may come down early due to business need or a high volume of applicants.
 The base pay for this position is generally between $96,900 and $168,000\.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38">
      <c r="A38" t="inlineStr">
        <is>
          <t>li-4288099712</t>
        </is>
      </c>
      <c r="B38" t="inlineStr">
        <is>
          <t>Senior Product Manager, Infra Generalist</t>
        </is>
      </c>
      <c r="C38" t="inlineStr">
        <is>
          <t>The Trade Desk</t>
        </is>
      </c>
      <c r="D38" t="inlineStr">
        <is>
          <t>linkedin</t>
        </is>
      </c>
      <c r="E38" t="inlineStr"/>
      <c r="F38" t="inlineStr"/>
      <c r="G38" t="inlineStr">
        <is>
          <t>San Francisco, CA</t>
        </is>
      </c>
      <c r="H38" t="inlineStr"/>
      <c r="I38"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We’re seeking a driven, senior\-level Product Manager who thrives in ambiguity, learns quickly, and brings humility to complex technical landscapes—particularly those spanning infrastructure, platform scalability, and operational excellence, with security as a vital component. This role is central to advancing our efforts to build robust, adaptable systems that support a high\-performance, global platform. The ideal candidate is technically fluent and systems\-minded, understanding how core infrastructure and product capabilities—including but not limited to security—empower the broader mission of delivering a trusted, innovative Trade Desk experience.
**WHAT YOU WILL BE DOING:** 
 As a Senior Product Manager on Infrastructure, you will spearhead the development and expansion of our global platform’s foundational technologies—including on\-prem compute, robust storage solutions, and GPU architectures that drive high\-performance workloads. Your leadership will be central to envisioning and delivering scalable infrastructure capable of supporting trillions of queries daily and powering advanced data analytics, machine learning, and media processing.
 You’ll own the roadmap for modernizing our platform’s core systems, working closely with engineering and operations teams to install, optimize, and evolve on\-prem environments. From architecting high\-availability compute clusters to coordinating multi\-tiered storage and integrating the latest GPU advancements, you’ll ensure our infrastructure meets the demands of a rapidly growing business and unlocks new capabilities for our users.
 Collaboration will be key as you partner across engineering, product \&amp; business teams, and external vendors to understand technical requirements, operational challenges, and future opportunities. By translating complex infrastructure needs into actionable strategies, you’ll deliver solutions that maximize reliability, performance, and efficiency—enabling our teams to build innovative products at scale.
 Success in this role means delivering enterprise\-grade infrastructure that is resilient, flexible, and optimized for growth—laying the groundwork for a platform that continues to set the standard in digital advertising technology.
**WHAT YOU BRING TO THE TABLE:** 
* 5\+ years of Product Management experience, ideally in infrastructure, security, or platform domains.
* Product Strategy \&amp; Vision: Ability to define and drive long\-term roadmaps for secure, scalable systems that support enterprise\-grade reliability and protection.
* Stakeholder\-Centric Mindset: Experience partnering with internal teams such as engineering, product, and business to understand platform needs, translating them into impactful product capabilities.
* Cross\-Functional Leadership: Proven ability to lead and influence across all roles, and leadership.
* Data Fluency: Comfortable interpreting telemetry, audit logs, and performance metrics to inform product decisions and improve system observability.
* Scalable Systems Thinking: Experience designing and evolving infrastructure that supports high availability, fault tolerance, and secure multi\-tenant environments.
* Strong Communication Skills: Capable of translating technical concepts into clear, actionable narratives for executives, engineers, and cross\-functional partners.
* Bias for Action: Comfortable navigating ambiguity, making trade\-offs, and driving progress in fast\-paced, high\-stakes environments.
* Passion for Impact: You care deeply about building systems that are not only technically sound but also trusted and relied upon by users and stakeholders.
* Grit \&amp; Iterative Problem\-Solving: You embrace complexity, test multiple approaches, and persist until you find the right solution—especially when the stakes are high.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$137,300—$251,800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39">
      <c r="A39" t="inlineStr">
        <is>
          <t>li-4368767307</t>
        </is>
      </c>
      <c r="B39" t="inlineStr">
        <is>
          <t>Product Manager</t>
        </is>
      </c>
      <c r="C39" t="inlineStr">
        <is>
          <t>Jobs via Dice</t>
        </is>
      </c>
      <c r="D39" t="inlineStr">
        <is>
          <t>linkedin</t>
        </is>
      </c>
      <c r="E39" t="inlineStr"/>
      <c r="F39" t="inlineStr"/>
      <c r="G39" t="inlineStr">
        <is>
          <t>Stamford, CT</t>
        </is>
      </c>
      <c r="H39" t="inlineStr"/>
      <c r="I39" t="inlineStr">
        <is>
          <t>**Description**
 The Product Manager is responsible for managing one or more highly complex digital experience products. The Product Manager evaluates customer, business and market needs to identify new capabilities and features to enhance the experience and meet company goals.
 Responsibilities:
* Defines and communicates the product vision and goals
* Aligns cross\-functional teams with the product goals
* Creates, defines, refines and prioritizes the product feature intake and backlog to align with product roadmap
* Defines feature requirements and oversees the execution of projects to meet timelines
* Manages relationships with internal and external customers and stakeholders
* Understands and communicates business goals of features and capabilities
* Identifies team risks and dependencies and communicates impacts and proposals
* Prepares and/or presents and/or participates in product planning ceremonies including Product syncs, System Demos and Quarterly Planning
* Establishes KPIs and OKRs for the product
* Monitors product metrics to meet or exceed KPI goals
* Collects and analyzes customer feedback
* Develops user personas and use cases to understand the end users needs
* Creates user journey maps to illustrate the goals and desired outcomes for various customer types and scenarios
* Manages and supports Product Owner(s) in creating effective delivery teams
* Works with Product Owner(s) to explore customer needs and business opportunities
 Core Skills:
* Ability to analyze data to identify risks and opportunities
* Understanding of technical aspects of the product and development cycle
* Ability to create and communicate a product vision, roadmap and strategy
* Risk management and prioritization
* Market research
* User research
* Identify risks and dependencies
* Data analytics and metrics
* UI/UX
* Understanding of Agile principles and ability to apply to delivery team
* Basic understanding of technologies that support the product
* Understand technical implications of design and development decisions
**Job Type \&amp; Location**
 This is a Contract position based out of Stamford, CT.
**Pay And Benefits**
 The pay range for this position is $70\.00 \- $77\.00/hr.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Stamford,CT.
**Application Deadline**
 This position is anticipated to close on Feb 17,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40">
      <c r="A40" t="inlineStr">
        <is>
          <t>li-4370167922</t>
        </is>
      </c>
      <c r="B40" t="inlineStr">
        <is>
          <t>BaaS Program Manager</t>
        </is>
      </c>
      <c r="C40" t="inlineStr">
        <is>
          <t>Piermont Bank</t>
        </is>
      </c>
      <c r="D40" t="inlineStr">
        <is>
          <t>linkedin</t>
        </is>
      </c>
      <c r="E40" t="inlineStr"/>
      <c r="F40" t="inlineStr"/>
      <c r="G40" t="inlineStr">
        <is>
          <t>New York, NY</t>
        </is>
      </c>
      <c r="H40" t="inlineStr"/>
      <c r="I40" t="inlineStr">
        <is>
          <t>**About Us**
 Piermont Bank is a digital commercial bank with a mission to serve fast growing companies at the speed they need. Entrepreneur\-led and tech\-forward, we offer a fully digital experience coupled with meaningful banker relations. We believe in being a partner for enterprising companies, acting as a funding catalyst for mid\-market innovation and growth. Piermont’s financial solutions and expertise empower our business community to thrive. At Piermont, we are purpose\-driven, responsive and practical, delivering integrated and flexible solutions that create value for clients in today’s fast\-changing economy. For more information, visit www.piermontbank.com.
**The Role**
 Piermont Bank enables innovators in the broader technology ecosystem to launch new product and service propositions. This role reports to the bank’s Chief Banking Officer and supports fintech client implementations and program management for the bank’s Banking as a Service (BaaS) business, with a focus on deposit and payments products. The ideal candidate is an obsessive go\-getter who has expertise in fintech, payments and/or banking and the ability to quickly gain a deep understanding of a complex and rapidly evolving vertical. We are seeking a results\-oriented individual who can independently manage multiple fintech programs and drive growth\-oriented results for both the bank and its fintech clients.
**Responsibilities**
* Manage a segment of the bank’s BaaS client portfolio
* Develop a clear and deep understanding of each client’s business model, use case, target end\-users, and flow of funds.
* Foster strong relationships with each client and be the point person for client\-related communications and requests
* Conduct end\-to\-end onboarding of new BaaS relationships, including document collection/review, due diligence approval memos, limit calculations, and approvals.
* Identify potential growth or expansion opportunities within the existing portfolio, and evaluate /document new feature or use case modification requests, coordinating internal reviews and approvals as needed
* Facilitate reviews and related requests for the bank’s ongoing oversight needs of its BaaS relationships
* Participate in other ad\-hoc projects to improve the quality and delivery of the bank’s BaaS channel
**Qualifications**
* Exceptional relationship management skills.
* Strong verbal and written communication and interpersonal skills.
* Strong analytical and problem\-solving skills.
* Ability to deal with competing priorities.
* Self\-starter, motivated, independent, versatile team player who works well under pressure across a diverse group of stakeholders.
* 3\-5 years relevant work experience, ideally in an operational role in fintech, payments or banking.
* Bachelor’s degree or equivalent.
 The hiring range for this position is $100,000 to $150,000 per year. The base pay actually offered will take into account internal equity and also may vary depending on the candidate’s job\-related knowledge, skills, and experience, among other factors. A bonus and/or incentives may be provided as part of the compensation package, in addition to the full range of medical, dental, vision, 401k, and other benefits.
 Piermont Bank is an equal\-opportunity employer. We celebrate diversity and are committed to creating an inclusive environment for all employees. We do not discriminate based upon race, religion, color, national origin, political affiliation, gender (including pregnancy, childbirth, or related medical conditions), sexual orientation, gender identity, gender expression, age, status as a protected veteran, status as an individual with a disability or other applicable legally protected characteristics.</t>
        </is>
      </c>
    </row>
    <row r="41">
      <c r="A41" t="inlineStr">
        <is>
          <t>li-4340466074</t>
        </is>
      </c>
      <c r="B41" t="inlineStr">
        <is>
          <t>Senior Data Management Professional - Data Product Owner - Classifications</t>
        </is>
      </c>
      <c r="C41" t="inlineStr">
        <is>
          <t>Bloomberg</t>
        </is>
      </c>
      <c r="D41" t="inlineStr">
        <is>
          <t>linkedin</t>
        </is>
      </c>
      <c r="E41" t="inlineStr"/>
      <c r="F41" t="inlineStr"/>
      <c r="G41" t="inlineStr">
        <is>
          <t>Montgomery, NJ</t>
        </is>
      </c>
      <c r="H41" t="inlineStr"/>
      <c r="I41" t="inlineStr">
        <is>
          <t>Location
 Skillman
 Business Area
 Data
 Ref \#
 10047204
**Description \&amp; Requirements**
 Bloomberg runs on data. Our products are fueled by powerful information. We combine data and context to paint a complete picture for our clients—around the clock and around the world. In Data, we are responsible for delivering this data, news, and analytics through innovative technology—quickly and accurately. We apply product thinking, deep domain expertise, and technical insight to continuously improve our data offerings, ensuring they remain reliable, scalable, and fit\-for\-purpose in a fast\-changing landscape.
**Our Team**
 The Classifications team is responsible for creating and maintaining the classifications that organize companies and securities into peer groups based on similar business activities and risks. These classifications form the foundation for peer group analysis, benchmarking, and market trend evaluation. When clients compare investment opportunities, evaluate sector exposures, or analyze historical performance, classification data provides the consistent framework that makes these insights possible.
**We Enable Clients To**
* Assess how global, regional, or local industry trends affect portfolios
* Compare and report on sector exposures versus peers and benchmarks
* Identify investment opportunities across developed and emerging markets
* Analyze sector and industry contributions to portfolio performance
* Build consistently defined, sector\-based investment and rotation strategies
**The Role**
 We are seeking a Data Product Owner to lead the strategy, development, and evolution of Bloomberg’s Private Company Classifications. You will be responsible for maximizing the value of this dataset—ensuring it meets client needs, supports internal product goals, and upholds Bloomberg’s standards for quality, transparency, and usability.
 You will manage the roadmap for private company classifications, balancing near\-term enhancements with long\-term innovation. Partnering with Engineering, Data, and Product teams, you will modernize the dataset, improve delivery mechanisms, and unlock advanced analytical capabilities across Bloomberg platforms.
**We'll Trust You To**
* Own the end\-to\-end strategy and roadmap for private companies’ classification data, balancing technical modernization with business impact.
* Define and communicate the vision for a fit\-for\-purpose classification product aligned with evolving industry use cases
* Lead discovery and prioritization to assess dataset needs, quality, and expansion opportunities
* Translate client and internal feedback into actionable requirements with clear acceptance criteria
* Collaborate with Engineering and Product to deliver iterative improvements, manage dependencies, and ensure scalability
* Define and supervise data quality metrics such as completeness, recency, accuracy, and availability.
* Advocate for the role of classification data across Bloomberg, driving adoption and enabling better client experiences
**You'll Need To Have**
* Please note we use years of experience as a guide but we certainly will consider applications from all candidates who are able to demonstrate the skills necessary for the role.
* 4\+ years of experience in financial data, with deep knowledge of classification data and its applications in financial markets
* Awareness of emerging trends in private markets and the complexities of non\-public company structures
* Proven experience as a Data Product Owner or Product Manager working with large\-scale datasets or platforms.
* Ability to define and communicate a compelling data product vision across technical and non\-technical audiences
* Experience building product roadmaps, managing backlogs, and leading cross\-functional delivery in Agile or hybrid environments
* Strong data\-driven decision\-making skills, with comfort using metrics to guide prioritization and measure success
* Excellent collaboration and communication skills, with experience influencing across Product, Engineering, and Data teams
* Ability to bring clarity and structure to complex, evolving problem spaces
**We'd Love To See**
* Experience with data governance, quality frameworks, and metadata management
* Familiarity with modern data infrastructure, including APIs, data pipelines, and machine learning or LLM\-based enrichment solutions
* Knowledge of financial workflows that rely on accurate classification data (e.g., portfolio construction, risk management, compliance)
* Background in private company data or emerging market analytics
**Does this sound like you?**
 Apply if you think we're a good match. We'll get in touch to let you know what the next steps are!
 Salary Range \= 110000 \- 190000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42">
      <c r="A42" t="inlineStr">
        <is>
          <t>li-4368580715</t>
        </is>
      </c>
      <c r="B42" t="inlineStr">
        <is>
          <t>Technical Product Manager (OEM)</t>
        </is>
      </c>
      <c r="C42" t="inlineStr">
        <is>
          <t>Jobs via Dice</t>
        </is>
      </c>
      <c r="D42" t="inlineStr">
        <is>
          <t>linkedin</t>
        </is>
      </c>
      <c r="E42" t="inlineStr"/>
      <c r="F42" t="inlineStr"/>
      <c r="G42" t="inlineStr">
        <is>
          <t>Bernards, NJ</t>
        </is>
      </c>
      <c r="H42" t="inlineStr"/>
      <c r="I42" t="inlineStr">
        <is>
          <t>**TECHNICAL PRODUCT MANAGER (TELECOM DEVICES) \| BASKING RIDGE, NJ**
 The Select Group is looking for a talented Technical Product Manager to join one of our top communications partners in a hybrid (3/2\) capacity. This person will be responsible for new device development, certification and lifecycle management. They will drive OEMs who build the Mobile Business for on\-time, high\-quality device launches. This role will focus on Smartphones and Tablets with 4G/5G connectivity.
**Technical Product Manager Requirements**
* 6\+ years of relevant work experience in product/device development, device/network technologies, or a related field
* 5\+ years of telecom/mobile industry experience
* Product Management experience
+ Experience launching multiple products and devices
+ Experience in process execution, development, and deployment of products and new technologies
+ Experience identifying and delivering creative opportunities to achieve business organization goals
+ Experience with collaboration and stakeholder management in a cross\-functional environment
* Strong communication and executive presentation skills
* Proficiency in Google Suite, PowerPoint, Excel, Word, and other standard office computer applications
**Technial Product Manager Responsibilities**
* Defining and executing a streamlined process for on\-boarding device OEMs
* Driving detailed technical requirements and test strategy for new product feature needs
* Leading OEM and internal stakeholders on device features and services lockdown
* Owning detailed development, certification and launch schedule with OEMs and internal stakeholders
* Creating cost and time efficient certification strategy that addresses Verizon network and business customer needs
* Planning and executing software updates to address field feedback, new feature requests and return drivers.
 TSG is an equal opportunity employer. All qualified applicants will receive consideration for employment without regard to race, color, religion, sex, sexual orientation, gender identity, national origin, disability, or status as a protected veteran.
 74707</t>
        </is>
      </c>
    </row>
    <row r="43">
      <c r="A43" t="inlineStr">
        <is>
          <t>li-4353663532</t>
        </is>
      </c>
      <c r="B43" t="inlineStr">
        <is>
          <t>Senior Customer Master Data Product Owner</t>
        </is>
      </c>
      <c r="C43" t="inlineStr">
        <is>
          <t>NetApp</t>
        </is>
      </c>
      <c r="D43" t="inlineStr">
        <is>
          <t>linkedin</t>
        </is>
      </c>
      <c r="E43" t="inlineStr"/>
      <c r="F43" t="inlineStr"/>
      <c r="G43" t="inlineStr">
        <is>
          <t>Morrisville, NC</t>
        </is>
      </c>
      <c r="H43" t="inlineStr"/>
      <c r="I43"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NetApp, Inc. is seeking a highly motivated individual to join our Enterprise Data \&amp; Analytics (EDA) team as a Customer Master Data Product owner. This position will play a critical role in driving the success of our Customer and Contact related applications, products and services by collaborating with cross\-functional teams to deliver high\-quality solutions that meet business needs and align with both industry best practices and internal standards.
 Job Requirements
* Business Analysis: Analyze processes and data, making recommendations for improvements based on industry trends and professional business knowledge.
* Product Roadmap Management: Collaborate with stakeholders and Product/Enterprise Architects to define and maintain the product roadmaps for each of the applications, platforms and technologies part of the portfolio, ensuring alignment with business and IT goals and objectives.
* Requirement Intake \&amp; Grooming: Working closely with business and IT stakeholders, gather and refine requirements, ensuring they are well\-documented and aligned with the overall product vision. Responsible for managing backlog prioritization.
* Solution \&amp; Architecture: Partner with Enterprise, product architects, and other technical teams to verify design and solutions meet business requirements and IT roadmaps.
* Delivery: Ownership of release planning, definition of major project milestones, and overall delivery execution. Ensure that deliverables meet the required quality and align with established standards and committed timelines.
* Communication: Perform regular and consistent communication with business and IT stakeholders, providing regular updates on project status, risks, and issues. Align with other Product owners to ensure best practices and consistency across domains is achieved.
* Support/Product Stability: Engage in incident management, ensuring timely resolution of issues and continuous improvement of product stability and performance.
* Data Quality / Governance: Collaborate with Data Governance team members to monitor and improve data quality with the associated domains/applications. Perform implementation and overall ownership of data model and associated documentation / Metadata.
* Documentation: Maintain current product documentation including functional specifications, solution designs, data models, as built diagrams, integration diagrams, data integration mappings etc.
**Qualifications**
* Bachelor's degree in Computer Science, Information Technology, or a related field
* Over 2 years of prior experience as a Product Owner or similar role in a data\-driven environment
* Hands\-on Involvement with vendor Customer / Company Master Data solutions and concepts ( Oracle Fusion Applications preferred )
* Strong understanding of delivery lifecycle and agile methodologies
* Must be self\-motivated, team oriented and possess strong communication and interpersonal skills
* Strong problem\-solving and analytical skills
* Experience with SQL, relational databases, and working with large complex data set
* Familiarity with data governance, data quality and compliance standards
* Detailed involvement with BI / Reporting tools; Power BI, Oracle BI Publisher, and Oracle OTBI prefered
 Compensation:
 The target salary range for this position is 136,000 \- 202,400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44">
      <c r="A44" t="inlineStr">
        <is>
          <t>li-4370170749</t>
        </is>
      </c>
      <c r="B44" t="inlineStr">
        <is>
          <t>Senior Product Owner, Oracle PPM &amp; Cost Management</t>
        </is>
      </c>
      <c r="C44" t="inlineStr">
        <is>
          <t>Hotels AI</t>
        </is>
      </c>
      <c r="D44" t="inlineStr">
        <is>
          <t>linkedin</t>
        </is>
      </c>
      <c r="E44" t="inlineStr"/>
      <c r="F44" t="inlineStr"/>
      <c r="G44" t="inlineStr">
        <is>
          <t>Bethesda, MD</t>
        </is>
      </c>
      <c r="H44" t="inlineStr"/>
      <c r="I44" t="inlineStr">
        <is>
          <t>**Description**
**JOB SUMMARY**
 The Senior Product Owner, Oracle Project Portfolio Management (PPM), Cost Management and EPM Profitability serves as a Functional / Technical expert and key liaison between finance stakeholders and the technical team. This outlines a role that combines strong Oracle PPM and Enterprise Performance Management (EPM) functional and technical skills with a deep understanding of Enterprise Data Management Cloud Services (EDMCS) and PCMCS. Additional knowledge of EPBCS and Financial Close and Consolidation cloud services (FCCS) and finance and accounting business processes is a Plus. This individual is responsible for the design, development, and maintenance of Oracle PPM \&amp; PCMCS solutions to meet a company's financial planning, budgeting, forecasting, and reporting needs. The associate will collaborate with business stakeholders, system integrators and technical teams to translate business requirements into effective solutions and provide expert advice and support throughout the project lifecycle and beyond.
 In this role, the candidate will assume technical ownership of product delivery and advocate for appropriate industry standards and best practices that align with the company’s technology framework, guidelines and polices.
**CANDIDATE PROFILE**
**Education And Experience**
**Required Qualifications:**
* Undergraduate degree in an engineering or computer science discipline or equivalent experience/certification
* 7\+ years of progressive professional experience in information technology application development and support including:
* 5\+ years’ experience in Oracle EPM Implementation and support focused on Design, modeling, implementation, testing and maintenance
* 5\+ years of hands\-on experience managing Oracle Projects \&amp; Portfolio Management module and Profitability and Cost Management cloud service module in EPM, additional knowledge and implementations of EPBCS, EDMCS, FCCS, ARCS, TRCS is a Plus.
* 3\+ years of knowledge and experience managing Oracle EBS modules like General Ledger, Accounts Payable, Accounts Receivable, Fixed Assets, Project Accounting and other modules.
* At least 2\-3 full\-cycle Oracle implementation of migration projects focused on the building integrations to Oracle EPM.
* Oracle PPM \&amp; EPM certifications are highly desired.
* Ability to understand business requirements and translate into technical design documents.
* Ability to elicit, organize and document detailed and comprehensive functional system configuration requirements.
* Experience developing test plans, test scripts, and managing unit, system, regression, and user acceptance testing.
* Excellent problem\-solving, communication and collaboration skills.
* Strong verbal and written communication skills, with the ability to present complex ideas in clear business terms
* Experience in agile software methodologies and DevOps practices.
**Preferred Qualifications**
* 5\+ years’ domain experience in PPM \&amp; EPM processes relevant to supported business function; industry and competitive Oracle EPM / Hyperion landscape knowledge.
* Understanding of Hospitality domain finance processes and Revenue Recognition is strongly desired.
* Experience in functional understanding, document, map, design, execution and reconciliation of Conversion objects related to Chart of Accounts, Budgets and Forecasts, Trial balances from multiple systems etc.
* Experience in building PPM and EPM Reports.
* X
* X
* Experience in managing and leading a team of consultants to deliver the designed solution based on offshore model.
* Experience with SOX processes and IT General Controls.
* Ability to analyze user stories and develop an end\-to\-end solution design and functional design.
* Experience in Business Process redesign or transformation.
* Experience in functional understanding, document, map, design, execution and reconciliation of Conversion objects related to Procure to Pay domain that includes but not limited to Vendors, Invoices, etc.
* Experience in building OTBI and BIP Reports, knowledge of FDI and customization of FDI reports is a Plus.
* Experience in technical integrations of Third\-party Tax software integrations with Vertex or OneSource.
* Solid understanding of ETL and data migration techniques. Integration design and build experience with external systems is a Plus.
* Experience with cloud environments like OCI, AWS etc. Customization experience using OCI is a Plus.
* Ability to troubleshoot technical issues in PPM \&amp; EPM and follow through to resolution. Proven ability to prioritize and manage multiple support request while working on time sensitive projects and upgrades.
* Ability to work independently, identifying and driving required tasks to completion in a timely manner.
* Proven ability to support all aspects of large, complex applications with multiple stakeholders.
* Understanding of financial and accounting processes including cyclical events like month end close, quarter close etc.
* Understanding financial budgeting and forecasting processes.
* Experience with change management, and enterprise architecture frameworks
* Demonstrated ability to anticipate future integration platform opportunities.
**Core Work Activities**
* Serve as Functional lead / Technical lead for PPM \&amp; EPM and demonstrated understanding of some core modules of Oracle ERP Fusion Cloud like General Ledger, Projects etc.
* Lead functional design, assist in technical design and development, configuration, deployment and support of Oracle PPM and EPM solutions (PBCS/EDCMS/FCCS etc.).
* Design and build financial models, including forms, dashboards, business rules, and workflows.
* Configure metadata, calculations, and reporting structures.
* Manage data integration from source systems using tools like Data Management and EPM Automate. Coordinate data extraction and transformation processes from multiple systems, Data warehouses, Spreadsheets etc. to Oracle EPM.
* Lead discovery sessions with business users / system integrators / consultants to gather, elicit and document business requirements, perform gap analysis against standard Oracle EPM functionality, and capture the "as\-is" and "to\-be" business processes.
* Design functional solutions for PPM, PCMCS including configurations, customizations, extensions, and integrations. Develop functional design specifications (e.g., User stories, MD.50, BRD) following standard methodologies.
* Design, build, and maintain Oracle PPM \&amp; EPM modules, including configuration of applications, dimensions, metadata, and security settings.
* Lead workshops and interviews with finance and accounting teams to gather, document, and analyze business requirements. Translate business needs into detailed techno\-functional specifications for PPM \&amp; EPM solutions. These workshops would include deep dive in to the Project Management and Accounting process in Marriott and design solutions that will help Billing and Contracting related to PPM.
* Create and manage complex business rules, custom consolidations, Groovy scripts, and EPM Automate scripts to automate processes and meet complex business needs.
* Implement data\-level security to control access to specific data points such as rows, columns, or fields within the EPM database.
* Develop Role based access management in EPM and use the Access Control feature to extend predefined roles by creating custom groups and assigning application\-specific roles to users or groups. Advise and assist in drawing up options for User roles and access privileges
* Develop and manage data integration processes between EPM applications and other enterprise systems, such as ERPs, data warehouses, and other source / feeder systems.
* Support validation efforts for comparing legacy data to converted Oracle Cloud records and generate reconciliation reports.
* Develop and execute comprehensive test plans, scripts, and scenarios for unit, system integration (SIT), and user acceptance testing (UAT). Lead the testing cycles and manage defect resolution.
* Collaborate with technical teams to define and validate integration strategies with third\-party applications, external systems, other internal feeder systems and other Oracle modules (where applicable).
* Provide end\-user training, create training materials, and offer post\-go\-live support to address functional and operational issues. Act as a senior point of escalation for complex problems.
* Act as a key liaison between business stakeholders, project managers, and technical teams to ensure clear communication and alignment throughout project lifecycle and project backlogs.
* Review and Monitor Oracle Cloud updates and new features, executing testing and making recommendations for potential enhancements to optimize system capabilities.
* Manage and monitor prod and non\-prod environments, ensuring compliance with security and performance standards.
* Liaison with Oracle for Penetration testing / Disaster Recovery testing cycles.
* Support and assist in the Internal security, SOX and Financial assurance process.
* Identify recurring issues and inefficiencies in the PPM \&amp; EPM processes and propose solutions to optimize and automate business processes using RPA or Agentic AI’s.
* Create and maintain clear, high\-quality documentation for processes, configurations, and functional designs.
* Ensure Aging of Production support tickets are below thresholds and continuously monitor the aging of tickets and their resolution.
* Ensure all hands\-on deck for Sev\-1 issues and create/maintain documentation related to Problem Management and triage.
* Communicate effectively with team members, stakeholders, and system integrators.
* Collaborate with infrastructure, security, enterprise architecture and broader corporate systems teams on SSO, architecture and security reviews and infrastructure management.
**Technical Leadership**
* Lead and mentor other team members, engineers and peers as appropriate
* Collaborate with product managers and other stakeholders in discovery and definition of requirements.
* Ensure the quality and timely delivery of product features.
* Participate in the evaluation and selection of Corporate Systems products and services.
* Provides input on department or project budgets, capital expenditures or other cost/resource estimates as requested.
* Apply knowledge/judgment to achieve business goals.
* Keeps up\-to\-date functionally and technically and apply new knowledge to job.
* Perform other reasonable duties as required for this position.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t>
        </is>
      </c>
    </row>
    <row r="45">
      <c r="A45" t="inlineStr">
        <is>
          <t>li-4368762519</t>
        </is>
      </c>
      <c r="B45" t="inlineStr">
        <is>
          <t>Product Owner</t>
        </is>
      </c>
      <c r="C45" t="inlineStr">
        <is>
          <t>Jobs via Dice</t>
        </is>
      </c>
      <c r="D45" t="inlineStr">
        <is>
          <t>linkedin</t>
        </is>
      </c>
      <c r="E45" t="inlineStr"/>
      <c r="F45" t="inlineStr"/>
      <c r="G45" t="inlineStr">
        <is>
          <t>Minneapolis, MN</t>
        </is>
      </c>
      <c r="H45" t="inlineStr"/>
      <c r="I45" t="inlineStr">
        <is>
          <t>job summary:
 The Client Lifecycle Management product consultant will support the CLM product teams in refining the vision and approach to tackling critical initatives. They will support research and discovery, translating business requirements into configuration\-ready stories.
 location: Minneapolis, Minnesota
 job type: Contract
 salary: $42\.82 \- 52\.82 per hour
 work hours: 8am to 5pm
 education: Bachelors
 responsibilities:
 The Client Lifecycle Management product consultant will support the CLM product teams in refining the vision and approach to tackling critical initatives. They will support research and discovery, translating business requirements into configuration\-ready stories.
 qualifications:
* Strong knowledge in Fenergo's CLM platform and hands on experience in configuring Fenergo modules to meet onboarding, KYC , AML and compliance needs.
* Excellent problem solving and analytical skills.
* Knowledge of the Agile approach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46">
      <c r="A46" t="inlineStr">
        <is>
          <t>li-4342502603</t>
        </is>
      </c>
      <c r="B46" t="inlineStr">
        <is>
          <t>Technical Program Manager</t>
        </is>
      </c>
      <c r="C46" t="inlineStr">
        <is>
          <t>Fontainebleau Las Vegas</t>
        </is>
      </c>
      <c r="D46" t="inlineStr">
        <is>
          <t>linkedin</t>
        </is>
      </c>
      <c r="E46" t="inlineStr"/>
      <c r="F46" t="inlineStr"/>
      <c r="G46" t="inlineStr">
        <is>
          <t>Las Vegas, NV</t>
        </is>
      </c>
      <c r="H46" t="inlineStr"/>
      <c r="I46" t="inlineStr">
        <is>
          <t>**Position Overview**
 The Technical Program Manager is responsible for driving the successful planning, execution, and delivery of complex technical programs within the organization. This role combines project management expertise with technical knowledge, facilitating cross\-functional teams to meet ambitious goals while ensuring alignment with business objectives. The TPM will work closely with vendors, engineering, product management, and other stakeholders to ensure smooth communication, prioritization, and the on\-time delivery of high\-quality software solutions and systems.
**Essential Duties And Responsibilities**
 The following and other duties may be assigned as necessary:
* Define and oversee the strategic direction of technical programs and ensure alignment with company objectives
* Develop comprehensive program roadmaps, project timelines, and resource plans, identifying key milestones and deliverables
* Establish measurable success criteria, KPIs, and metrics to track progress and ensure program success
* Lead and coordinate cross\-functional teams of engineers, product managers, designers, and other stakeholders
* Facilitate regular meetings, such as sprint planning, retrospectives, and status updates, to ensure effective communication and timely problem resolution
* Serve as the point of contact for any escalations or risks within the program, addressing challenges and making course corrections as needed
* Manage the end\-to\-end lifecycle of technical programs from initiation through to delivery, including ideation, design, development, testing, and release
* Drive project execution, ensuring teams are meeting milestones, timelines, and quality expectations
* Identify and mitigate risks early, balancing trade\-offs between scope, time, and resources
* Work closely with vendors to validate that deliverables meet both functional and non\-functional requirements
* Continuously assess and improve processes related to program management, identifying opportunities to increase efficiency and optimize workflows
* Introduce best practices for managing large\-scale technical initiatives, ensuring adherence to Agile, Scrum, or other relevant methodologies
* Analyze past program performance to drive improvements and prevent recurrence of issues in future programs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Must be at least 21 years of age.
* Bachelor's degree in Computer Science, Engineering, or a related technical field; Master’s degree is a plus
* 5\+ years of experience in technical program management, product management, or engineering leadership, with at least 2 years managing large\-scale, cross\-functional technical projects
* Strong experience in Agile, Scrum, or similar project management methodologies
* Experience in managing complex technical initiatives, ideally in software development or systems engineering
* Solid understanding of software development processes, Agile, SDLC, and system architectures
* Ability to understand technical requirements and challenges to effectively communicate with engineering teams
* Familiarity with project management tools like JIRA, Trello, or Asana.
* Excellent leadership, communication, and collaboration skills
* Strong problem\-solving and decision\-making abilities, with a track record of successfully managing risks
* Ability to manage multiple priorities in a fast\-paced, dynamic environment.
* PMP (Project Management Professional), Scrum Master, or other relevant certifications
**Supervisory Responsibilities**
 This position does not have any supervisory responsibilities.
**DIVERSITY COMMITMENT**
 Fontainebleau Las Vegas is committed to ensuring an inclusive space and sense of belonging for our Members. We believe our workforce should reflect the vast diversity of the communities we serve, and that diverse voices should be intentionally integrated into our work. We foster a culture of difference and diversity of identity, experience, and perspective, while actively striving for inclusive behaviors across our Company. By promoting these values and continuously pushing for better, we aim to create a positive work environment that encourages equality, inclusion, empowerment, and respect.
**CERTIFICATES, LICENSES, REGISTRATIONS**
 Member must be able to qualify for licenses and permits required by federal, state, and local regulations.
**Language Skills**
 Ability to read and interpret documents in English, such as safety rules, operating and maintenance instructions, and procedure manuals. Ability to read and communicate verbally in English. Written communication skills in English may also be required.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 Member to successfully perform the essential functions of this job. Reasonable accommodations may be made to enable individuals with disabilities to perform the essential functions.
 While performing the duties of this job, the Member is regularly required to stand and use hands and fingers to handle or utilize objects, tools, or controls. The Member frequently is required to reach with hands and arms and talk or hear. Specific vision abilities required by this job include close vision and peripheral vision.
 The Member must regularly lift and/or move up to 10 pounds, frequently lift and/or move up to 25 pounds, and occasionally lift and/or move up to 50 pounds, and must have the ability to push, pull, reach, bend, twist, stoop, stack, crouch, kneel and balance when performing job duties in varying work areas such as confined spaces.
**WORK ENVIRONMENT**
 The work environment characteristics described here are representative of those a Member encounters while performing the essential functions of this job. Reasonable accommodations may be made to enable individuals with disabilities to perform the essential functions. The noise level in the work environment is usually moderate.
 Member could be exposed to an environment containing unrestricted secondhand tobacco smoke.
**PAY TRANSPARENCY**
 Fontainebleau Las Vegas believes in developing and supporting our talent into the future. Our compensation program is designed to attract, motivate, and retain talented Members who are the driving force behind the Company's success. We strive to provide market\-competitive compensation. Salary will be commensurate with experience and skill set, considering a candidate's qualifications, skills, competencies, and experience, as well as internal equity and market data alignment.
 In alignment with our Company culture, we will strive to communicate openly about the goals of the Company and the design of the compensation program. The compensation process is designed to be fair and simple so that all Members and managers understand the Company's goals and future career development opportunities for upward mobility.</t>
        </is>
      </c>
    </row>
    <row r="47">
      <c r="A47" t="inlineStr">
        <is>
          <t>li-4299758921</t>
        </is>
      </c>
      <c r="B47" t="inlineStr">
        <is>
          <t>Senior Product Manager (Bangkok-based)</t>
        </is>
      </c>
      <c r="C47" t="inlineStr">
        <is>
          <t>Agoda</t>
        </is>
      </c>
      <c r="D47" t="inlineStr">
        <is>
          <t>linkedin</t>
        </is>
      </c>
      <c r="E47" t="inlineStr"/>
      <c r="F47" t="inlineStr"/>
      <c r="G47" t="inlineStr">
        <is>
          <t>Los Angeles, CA</t>
        </is>
      </c>
      <c r="H47" t="inlineStr"/>
      <c r="I4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Product, ideas come alive. The world is moving fast so our culture empowers ownership and minimal bureaucracy. That’s the environment that enables you to do what you think is right – and quickly. Our Product Managers move fast, fail, learn, and pivot.
 Being a product\-centric organization, our team works cross\-functionally to build products from conception to launch by bringing together engineering and business worlds. Agoda Product Managers work closely with executive leadership and have high visibility among the C\-suite; they have direct impact on Agoda’s growth and strategy. Product puts our travelers first and delivers that special travel experience in the most creative expression.
**The opportunity:**
 This role is
 **BANGKOK\-BASED, RELOCATION PROVIDED.** 
 Our Senior Product Managers are analytical and data\-driven individuals, who’re responsible for building products end\-to\-end focusing on analyzing and experimenting until our solutions are perfectly tailored to our travelers. As our next Senior Product Manager, you will drive product strategy and partner closely with senior leadership cross\-functionally to define, build, and deliver the best travel solutions.
 You will get dedicated engineering resources that you, and only you define and allocate. We expect you to have a hands\-on mentality and spend considerable time with your SCRUM teams, have enthusiasm to develop engineered processes and technologies and apply innovative solutions to make organizational improvements. Product Managers can modify \*every\* system we have in our company to suit their needs.
 By applying to this role, you'll be considered for a role either in User Experience, Marketing, Finance or Supply product vertical. The goal is to match you with the team that best aligns with your interests, competencies, and where you will have the most impact. We’re looking for Senior Product Managers for every part of our business. Our entire Product team sits in Bangkok. This is an Individual Contributor position.
**In this role, you'll get to:**
* Analyze the online travel ecosystem, markets, competitive landscape and user requirements.
* Conceptualize, launch and optimize products and features, experiment, test their performance and iterate quickly.
* Work collaboratively with Engineering, Marketing, Legal and UX teams on cutting\-edge technologies.
* Develop innovative solutions to some of the world’s difficult problems by collaborating as needed across regions, product areas, and functions.
**What you'll need to succeed:**
* Bachelor’s degree in technical field (i.e. Computer Science, Statistics, Engineering, Mathematics, or similar quantitative discipline).
* Proven ability to leverage analytics and quantitative methods to inform and influence decision\-making
* Strong data skills
* Excellent communication skills (both verbal and written in English) with proven ability to convey complex messages clearly and with conviction to different stakeholders
* Experience developing and launching products
* Experience leading global product vision, go\-to\-market strategy and design discussions.
* Entrepreneurial and analytical skills; effective at breaking down complex problems and driving and managing change
* Hands\-on mentality
**It's great if you have:**
* MBA or Master’s degree in Math, Economics, Computer Science or Statistics
* Data tools \- SQL, Python, R, or equivalent
 \#seattle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\#tokyo \#osaka \#amsterdam \#moscow \#saintpetersburg \#frankfurt \#shenzhen \#istanbul \#dubai \#seoul \#madrid \#barcelona \#zurich \#geneva \#warsaw \#budapest \#vienna \#bratislava \#bucharest \#sofia \#athens \#ankara \#jakarta \#manila \#kuala\_lumpur \#ho\_chi\_minh\_city \#hanoi \#beirut \#riyadh \#jeddah \#doha \#cape\_town \#johannesburg \#mexicocity \#guadalajara \#santiago \#buenosaires \#sao\_paulo \#rio\_de\_janeiro \#bogota \#caracas \#auckland \#wellington \#calgary \#edmonton \#ottawa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8">
      <c r="A48" t="inlineStr">
        <is>
          <t>li-4370022923</t>
        </is>
      </c>
      <c r="B48" t="inlineStr">
        <is>
          <t>BA or Product Manager - Toronto, Canada - Hybrid/Remote- (3 days onsite) - Full Time Role</t>
        </is>
      </c>
      <c r="C48" t="inlineStr">
        <is>
          <t>Jobs via Dice</t>
        </is>
      </c>
      <c r="D48" t="inlineStr">
        <is>
          <t>linkedin</t>
        </is>
      </c>
      <c r="E48" t="inlineStr"/>
      <c r="F48" t="inlineStr"/>
      <c r="G48" t="inlineStr">
        <is>
          <t>Toronto, OH</t>
        </is>
      </c>
      <c r="H48" t="inlineStr"/>
      <c r="I48" t="inlineStr">
        <is>
          <t>Dice is the leading career destination for tech experts at every stage of their careers. Our client, Lorven Technologies, Inc., is seeking the following. Apply via Dice today!
**Role: BA or Product Manager**
**Experience : 5 years minimum in technologies**
**Key Responsibilities \&amp; Skills**
* System Modernization: Transitioning legacy, monolithic MMIS to modern, modular Medicaid Enterprise Systems (MES).
* Functional Expertise: Deep knowledge of Medicaid claims, provider enrolment, third\-party liability (TPL), pharmacy benefits, and member management.
* Regulatory Compliance: Ensuring system functionality meets federal and state Medicaid regulations.
* Project Leadership: Guiding IT teams, developers, and business analysts in system requirements and testing.
* Data Analysis: Using data to prevent fraud, waste, and abuse, and improving program performance.
**Required Qualifications:**
* Experience in designing and building MMIS (Medicaid Management Information Systems) part of Medicaid Enterprise Systems (MES).
* Involved in System Integration, Data Analytics and Interoperability initiatives and deep understanding of state Medicaid systems.
* Looking for an MMIS (Medicaid Management Information System) domain expert who is a SME with deep, specialized knowledge of the technology, regulations, and business processes used by state governments to manage Medicaid programs.
* Should have a deep understanding of and be able to bridge the gap between technical teams and state policy, ensuring compliance with federal (CMS) guidelines and streamlining operations like claims processing, provider enrolment, and eligibility verification.</t>
        </is>
      </c>
    </row>
    <row r="49">
      <c r="A49" t="inlineStr">
        <is>
          <t>li-4370167452</t>
        </is>
      </c>
      <c r="B49" t="inlineStr">
        <is>
          <t>Senior Product Manager, Kubernetes Platform</t>
        </is>
      </c>
      <c r="C49" t="inlineStr">
        <is>
          <t>BioSpace</t>
        </is>
      </c>
      <c r="D49" t="inlineStr">
        <is>
          <t>linkedin</t>
        </is>
      </c>
      <c r="E49" t="inlineStr"/>
      <c r="F49" t="inlineStr"/>
      <c r="G49" t="inlineStr">
        <is>
          <t>Indianapolis, IN</t>
        </is>
      </c>
      <c r="H49" t="inlineStr"/>
      <c r="I49"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The Software Product Engineering (SPE) organization is seeking an exceptional technical product manager to lead Lilly’s Global Kubernetes infrastructure platform. The platform is at the core of scalable software systems that accelerate medicine delivery to patients. You will own the product vision, roadmap, delivery, and adoption of the platform (named Hangar) that empowers hundreds of engineers across the enterprise.
 This is a unique opportunity to shape the future of developer productivity at Lilly, working at the intersection of platform engineering, cloud\-native technologies, and developer enablement. The role requires someone who can think strategically about developer experience while maintaining deep technical understanding of modern service architecture and deployment practices.
**What You'll Be Doing**
 Building on Lilly's technical foundation, you will drive the Hangar platform vision to scale world\-wide software solutions, improve deployment quality, and increase system resilience. You will define how teams provision infrastructure, monitor service health, optimize deployments, and leverage emerging technologies like AI agents to automate operations.
 As the Product Manager for Hangar, you will establish Lilly as a leader in platform engineering by creating capabilities that turn infrastructure complexity into seamless workflows for engineering teams. This role requires balancing technical depth with customer\-centric thinking, ensuring our platform investments deliver measurable results.
**Key Responsibilities**
**Strategy and Vision:**
* Define and drive the Hangar platform strategy, establishing how Lilly engineers leverage k8s to deploy services at organizational scale
* Partner with technical leadership to align platform capabilities with enterprise architecture and security requirements
**Product Development**
* Drive end\-to\-end platform adoption
* through technical user engagement, education, documentation, and enablement
* Understand the platform ecosystem and how AI Agents can improve it.
* Reference CNCF and other sources to provide the Hangar technical leads with product requirements.
* Written product requirements documentation and alignment.
**Technical Customer Engagement**
* Gather customer feedback and translate technical requirements into platform features
* Monitor industry trends in platform engineering, developer experience, AI ops, and cloud\-native technologies
* Partner with technical pod leads to ensure platform roadmap reflects real\-world engineering challenges
* Serve as the voice of the developer, advocating for improvements that reduce toil and increase velocity
**Basic Requirements**
* Bachelor's in Computer Science, Engineering, or related field
* 8\+ years of product management experience with at least 3 years in developer platforms or infrastructure products
* Experience working in cloud\-native environments with container orchestration
* Qualified applicants must be authorized to work in the United States on a full\-time basis. Lilly will not provide support for or sponsor work authorization or visas for this role, including but not limited to F\-1 CPT, F\-1 OPT, F\-1 STEM OPT, J\-1, H\-1B, TN, O\-1, E\-3, H\-1B1, or L\-1\.
**What You Should Bring**
* Strong expertise in Kubernetes (k8s) , deployment patterns, and operations
* Experience with service architecture, networking fundamentals, and distributed systems
* Familiarity with CI/CD tooling, infrastructure as code, and deployment automation
* Demonstrated ability to influence technical stakeholders and drive platform adoption
* Excellence in translating technical concepts into compelling product narratives
* Strong customer empathy and a growth mindset
* Outstanding communication skills with ability to engage developers and technical leaders
* Proficiency in agile software development
* Prior experience as a software developer or platform engineer is a plus
* Proven track record of driving adoption of technical platforms across engineering organizations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$126,000 \- $184,800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50">
      <c r="A50" t="inlineStr">
        <is>
          <t>li-4370183132</t>
        </is>
      </c>
      <c r="B50" t="inlineStr">
        <is>
          <t>Manager, Product Management - Workforce &amp; Routing Data Product Manager</t>
        </is>
      </c>
      <c r="C50" t="inlineStr">
        <is>
          <t>Capital One</t>
        </is>
      </c>
      <c r="D50" t="inlineStr">
        <is>
          <t>linkedin</t>
        </is>
      </c>
      <c r="E50" t="inlineStr"/>
      <c r="F50" t="inlineStr"/>
      <c r="G50" t="inlineStr">
        <is>
          <t>New York, NY</t>
        </is>
      </c>
      <c r="H50" t="inlineStr"/>
      <c r="I50"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Role**
 As the Data Product Manager on the Workforce and Intelligent Routing team, you will:
* Define use cases and user groups for Workforce data
* Work with Card Data and Enterprise Data teams to define and launch Data Product(s)
* Serve as team expert on the Enterprise data ecosystem and how Workforce data and data products fits into the overall landscape
* Partner closely with technology and data experts to design data publishing patterns to enable data consumption by stakeholder teams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$149,800 \- $171,000 for Manager, Product Management
 McLean, VA: $164,800 \- $188,100 for Manager, Product Management
 New York, NY: $179,700 \- $205,100 for Manager, Product Management
 Richmond, VA: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1">
      <c r="A51" t="inlineStr">
        <is>
          <t>li-4361466504</t>
        </is>
      </c>
      <c r="B51" t="inlineStr">
        <is>
          <t>Program Manager</t>
        </is>
      </c>
      <c r="C51" t="inlineStr">
        <is>
          <t>City of New York</t>
        </is>
      </c>
      <c r="D51" t="inlineStr">
        <is>
          <t>linkedin</t>
        </is>
      </c>
      <c r="E51" t="inlineStr"/>
      <c r="F51" t="inlineStr"/>
      <c r="G51" t="inlineStr">
        <is>
          <t>Manhattan, NY</t>
        </is>
      </c>
      <c r="H51" t="inlineStr"/>
      <c r="I51" t="inlineStr">
        <is>
          <t>**Skills**
 The New York City Department of Youth and Community Development (DYCD) invests in a network of community\-based organizations and programs to alleviate the effects of poverty and to provide opportunities for New Yorkers and communities to flourish. The Comprehensive Afterschool System of NYC (COMPASS) formerly known as the Out\-of\-School Time (OST) Program is comprised of over 800 programs serving young people enrolled in grades K\-12\. Through its network of providers, COMPASS offers high quality programs that have a strong balance of academics, recreation, enrichment, and cultural activities to support and strengthen the overall development of youth. COMPASS aims to help young people build skills to support their academic achievement, raise their confidence and cultivate their leadership skills through service learning and other civic engagement opportunities. Under the supervision of a COMPASS Deputy Director, with latitude to exercise independent action and decision making, the Program Manager will be responsible for monitoring over 25 sites and perform the following duties:
* Monitor and evaluate Community\-Based Organization (CBO) COMPASS contractors.
* Review and approve program plans.
* Conduct site visits during late afternoon and early evening hours.
* Provide technical assistance and directs work improvement or corrective action for underperforming CBO contractors.
* Participate in contract negotiations.
* Advance knowledge of COMPASS sites by providing technical assistance and sharing resources to promote program quality.
* Provide technical expertise to contractors in the development stages of their contracts and contract.
* Evaluate contract performance reports, as well as agency fiscal documents to ensure contract compliance.
* Provide training to CBOs on DYCD CONNECT, DYCD’s innovative, web\-based program management system.
* Make summary reports to higher administrative levels along with recommendations to improve program performance.
* Prepare standard reports as designated by higher management. \- Other projects and tasks as needed to support the COMPASS unit and its programs.
 COMMUNITY COORDINATOR \- 56058
**Minimum Qualifications**
* A baccalaureate degree from an accredited college and two years of experience in community work or community centered activities in an area related to the duties described above; or
* High school graduation or equivalent and six years of experience in community work or community centered activities in an area related to the duties as described above; or
* Education and/or experience which is equivalent to "1" or "2" above. However, all candidates must have at least one year of experience as described in "1" above.
**Preferred Skills**
* Background in working with community\-based organizations. \- Experience or knowledge of after school or other youth development programming. \- Strong written and verbal communication skills. \- Computer literate with advanced knowledge of Microsoft: Word, Excel, and Outlook. \- Familiarity with DYCD’s data system DYCD CONNECT experience preferred.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 $62,868\.00 – $72,298\.00</t>
        </is>
      </c>
    </row>
    <row r="52">
      <c r="A52" t="inlineStr">
        <is>
          <t>li-4370181224</t>
        </is>
      </c>
      <c r="B52" t="inlineStr">
        <is>
          <t>Manager, Product Manager - Extended Servicing</t>
        </is>
      </c>
      <c r="C52" t="inlineStr">
        <is>
          <t>Capital One</t>
        </is>
      </c>
      <c r="D52" t="inlineStr">
        <is>
          <t>linkedin</t>
        </is>
      </c>
      <c r="E52" t="inlineStr"/>
      <c r="F52" t="inlineStr"/>
      <c r="G52" t="inlineStr">
        <is>
          <t>Richmond, VA</t>
        </is>
      </c>
      <c r="H52" t="inlineStr"/>
      <c r="I52" t="inlineStr">
        <is>
          <t>****Job role description for core case servicing****
****What You’ll Do****
**As a Manager, Product Management for
 **Extended Servicing** 
 , you will:**
* Transform Messaging \&amp; Intake: Focus on how we communicate with customers and receive critical documentation, ensuring our messaging and document intake processes are accurate, transparent, and effortlessly integrated into the case lifecycle.
* Bridge the Enterprise: Act as a key partner to Card, Enterprise, and other Bank teams to extend services from their platforms into our Bank Core Case environment, ensuring we minimize "arbitrary uniqueness" across the customer experience.
* Scale Through Reusability: Identify and build reusable tasks and services that support multiple areas of the Bank, finding opportunities to automate existing services and drive significant operational efficiency.
* Lead with Data: Use quantitative data to refine investment decisions and prioritize builds that are scalable to other use cases across the ecosystem.
* Ideate on the Future of Service: Identify new opportunities for innovation that and supports a servicing world that encompasses Gen AI
****What You’ll Bring****
* Human\-Centered Mindset: You are passionate about the associate experience and believe that empowering our frontline with better tools is key to protecting our customers.
* Collaborative Spirit: You are a "wrangler" who can get back\-end engineers and cross\-functional stakeholders to align on the right customer\-backed solutions.
* Bias for Action: You have a "jack\-of\-all\-trades" mentality, ready to lead discovery, ideation, and implementation in a fast\-paced environment.
* Strategic Problem Solving: You can work at a "tiny crack" until you’ve broken open the whole nut, solving diverse customer problems while delivering business outcomes.
**Basic Qualifications**
* Bachelor’s Degree or military experience.
* At least 3 years of experience working with cross\-functional teams to deliver consumer or platform experiences.
* At least 3 years of experience working on the core product platforms that power digital experiences.
* At least 3 years of digital industry experience.
**Preferred Qualifications**
* MBA or Master’s degree.
* At least 2 years of experience as a Product Owner in an Agile development process.
* Experience with machine learning or AI\-driven automation.
****Why You’ll Love Working Here****
* Supportive Leadership: A highly supportive and “bought in” leadership environment.
* Growth: Continuous learning budget and the opportunity to work alongside superstar product and engineering leaders.
****Impact:** 
 You will dream and you will ship, directly impacting the financial health of millions of customers**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$164,800 \- $188,100 for Manager, Product Management
 New York, NY: $179,700 \- $205,100 for Manager, Product Management
 Philadelphia, PA: $149,800 \- $171,000 for Manager, Product Management
 Richmond, VA: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3">
      <c r="A53" t="inlineStr">
        <is>
          <t>li-4368966916</t>
        </is>
      </c>
      <c r="B53" t="inlineStr">
        <is>
          <t>Technical Product Manager</t>
        </is>
      </c>
      <c r="C53" t="inlineStr">
        <is>
          <t>Jobs via Dice</t>
        </is>
      </c>
      <c r="D53" t="inlineStr">
        <is>
          <t>linkedin</t>
        </is>
      </c>
      <c r="E53" t="inlineStr"/>
      <c r="F53" t="inlineStr"/>
      <c r="G53" t="inlineStr">
        <is>
          <t>Dearborn, MI</t>
        </is>
      </c>
      <c r="H53" t="inlineStr"/>
      <c r="I53" t="inlineStr">
        <is>
          <t>* MUST already reside in Michigan as this is a hybrid schedule, 4x a week onsite\*\*\*
* CANNOT utilize sub\-vendors.Description This person will be supporting the Cloud Platform team. This group supports some of the largest Google Cloud initiatives as well as the remaining Azure platform. This is one of EPEO's (Enterprise Platform Engineering and Operations) busiest spaces so this person must come with a hardworking mentality and a proactive mindset. This person must have Google Cloud understanding and an Agile/Jira experience. This role will be 100% functional focused with no financial responsibilities. This person should have experience also communicating with leadership/executives/stakeholders. This position will have high visibility, be fast paced and they need a strong person to drive this project. This person should have a technical understanding to be able to provide technical details and provide updates. Day to day they will be responsible for risk identification, bi weekly governance meeting and communication about roadblocks and driving communications for leaders. Bachelors degree / Masters preferred (at minimum, bachelors degree is necessary)
**Skills**
 Technical product/Project Manager, Google Cloud Platform, Cloud, Agile, Jira
**Additional Skills \&amp; Qualifications**
 Familiarity with \*\*cloud\-native infrastructure\*\* (Kubernetes, CI/CD, Terraform, GitOps, identity management) Ability to \*\*communicate technical concepts\*\*
**Job Type \&amp; Location**
 This is a Contract position based out of Dearborn, MI.
**Pay And Benefits**
 The pay range for this position is $79\.00 \- $79\.00/hr.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Dearborn,MI.
**Application Deadline**
 This position is anticipated to close on Feb 7,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54">
      <c r="A54" t="inlineStr">
        <is>
          <t>li-4299761843</t>
        </is>
      </c>
      <c r="B54" t="inlineStr">
        <is>
          <t>Senior Product Manager (Bangkok-based)</t>
        </is>
      </c>
      <c r="C54" t="inlineStr">
        <is>
          <t>Agoda</t>
        </is>
      </c>
      <c r="D54" t="inlineStr">
        <is>
          <t>linkedin</t>
        </is>
      </c>
      <c r="E54" t="inlineStr"/>
      <c r="F54" t="inlineStr"/>
      <c r="G54" t="inlineStr">
        <is>
          <t>Chicago, IL</t>
        </is>
      </c>
      <c r="H54" t="inlineStr"/>
      <c r="I54"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Product, ideas come alive. The world is moving fast so our culture empowers ownership and minimal bureaucracy. That’s the environment that enables you to do what you think is right – and quickly. Our Product Managers move fast, fail, learn, and pivot.
 Being a product\-centric organization, our team works cross\-functionally to build products from conception to launch by bringing together engineering and business worlds. Agoda Product Managers work closely with executive leadership and have high visibility among the C\-suite; they have direct impact on Agoda’s growth and strategy. Product puts our travelers first and delivers that special travel experience in the most creative expression.
**The opportunity:**
 This role is
 **BANGKOK\-BASED, RELOCATION PROVIDED.** 
 Our Senior Product Managers are analytical and data\-driven individuals, who’re responsible for building products end\-to\-end focusing on analyzing and experimenting until our solutions are perfectly tailored to our travelers. As our next Senior Product Manager, you will drive product strategy and partner closely with senior leadership cross\-functionally to define, build, and deliver the best travel solutions.
 You will get dedicated engineering resources that you, and only you define and allocate. We expect you to have a hands\-on mentality and spend considerable time with your SCRUM teams, have enthusiasm to develop engineered processes and technologies and apply innovative solutions to make organizational improvements. Product Managers can modify \*every\* system we have in our company to suit their needs.
 By applying to this role, you'll be considered for a role either in User Experience, Marketing, Finance or Supply product vertical. The goal is to match you with the team that best aligns with your interests, competencies, and where you will have the most impact. We’re looking for Senior Product Managers for every part of our business. Our entire Product team sits in Bangkok. This is an Individual Contributor position.
**In this role, you'll get to:**
* Analyze the online travel ecosystem, markets, competitive landscape and user requirements.
* Conceptualize, launch and optimize products and features, experiment, test their performance and iterate quickly.
* Work collaboratively with Engineering, Marketing, Legal and UX teams on cutting\-edge technologies.
* Develop innovative solutions to some of the world’s difficult problems by collaborating as needed across regions, product areas, and functions.
**What you'll need to succeed:**
* Bachelor’s degree in technical field (i.e. Computer Science, Statistics, Engineering, Mathematics, or similar quantitative discipline).
* Proven ability to leverage analytics and quantitative methods to inform and influence decision\-making
* Strong data skills
* Excellent communication skills (both verbal and written in English) with proven ability to convey complex messages clearly and with conviction to different stakeholders
* Experience developing and launching products
* Experience leading global product vision, go\-to\-market strategy and design discussions.
* Entrepreneurial and analytical skills; effective at breaking down complex problems and driving and managing change
* Hands\-on mentality
**It's great if you have:**
* MBA or Master’s degree in Math, Economics, Computer Science or Statistics
* Data tools \- SQL, Python, R, or equivalent
 \#seattle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\#tokyo \#osaka \#amsterdam \#moscow \#saintpetersburg \#frankfurt \#shenzhen \#istanbul \#dubai \#seoul \#madrid \#barcelona \#zurich \#geneva \#warsaw \#budapest \#vienna \#bratislava \#bucharest \#sofia \#athens \#ankara \#jakarta \#manila \#kuala\_lumpur \#ho\_chi\_minh\_city \#hanoi \#beirut \#riyadh \#jeddah \#doha \#cape\_town \#johannesburg \#mexicocity \#guadalajara \#santiago \#buenosaires \#sao\_paulo \#rio\_de\_janeiro \#bogota \#caracas \#auckland \#wellington \#calgary \#edmonton \#ottawa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55">
      <c r="A55" t="inlineStr">
        <is>
          <t>li-4279045085</t>
        </is>
      </c>
      <c r="B55" t="inlineStr">
        <is>
          <t>Sr. Program Manager III, Amazon Leo</t>
        </is>
      </c>
      <c r="C55" t="inlineStr">
        <is>
          <t>Amazon</t>
        </is>
      </c>
      <c r="D55" t="inlineStr">
        <is>
          <t>linkedin</t>
        </is>
      </c>
      <c r="E55" t="inlineStr"/>
      <c r="F55" t="inlineStr"/>
      <c r="G55" t="inlineStr">
        <is>
          <t>Redmond, WA</t>
        </is>
      </c>
      <c r="H55" t="inlineStr"/>
      <c r="I55"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We are seeking a dynamic professional to lead strategic programs while managing enterprise\-wide material planning operations. This role will drive cross\-functional initiatives while ensuring optimal material flow and inventory management across the organization.
 Candidate superpowers should include ownership, stakeholder management, creating clarity out of ambiguity, and enabling productive collaboration.
 Key job responsibilities
* Have strong analytical skills and a demonstrated ability to use data and metrics to back up assumptions and evaluate outcomes
* Lead complex, cross\-functional projects from inception to completion
* Create, maintain and disseminate project information to stakeholders and senior management
* Forecast material requirements and own schedule management for assigned categories
* Be proficient at managing change implementation for multiple programs
* Coordinate with global commodity managers and internal teams to ensure material availability
* Manage crisis situations related to material shortages or excess inventory
* Develop and track program KPIs, metrics, and deliverables
* Lead supply chain digitalization and automation initiatives
* Drive continuous improvement initiatives across the supply chain
* Be flexible to changing priorities, open to new ideas and enjoy working with ambiguity
**About The Team**
 Here at Amazon, we embrace our differences. We are committed to furthering our culture of inclusion. Amazon has ten employee\-led affinity groups, reaching 40,000 employees in over 190 chapters globally. We have innovative benefit offerings, and host annual and ongoing learning experiences. Amazon’s culture of inclusion is reinforced within our 16 Leadership Principles, which remind team members to seek diverse perspectives, learn and be curious and earn trust.
 Mentorship \&amp; Career Growth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Innovation is part of our DNA! Our goal is to be Earth's most customer\-centric company, and we are just getting started. We need people who want to join an ambitious program that continues to push the state of the art in space based systems design and wireless systems.
**Basic Qualifications**
* 5\+ years of program or project management experience
* Experience using data and metrics to determine and drive improvements
* Experience owning program strategy, end to end delivery, and communicating results to senior leadership
**Preferred Qualifications**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Kuiper Manufacturing Enterprises LLC
 Job ID: A3050192</t>
        </is>
      </c>
    </row>
    <row r="56">
      <c r="A56" t="inlineStr">
        <is>
          <t>li-4370027649</t>
        </is>
      </c>
      <c r="B56" t="inlineStr">
        <is>
          <t>Sr. Screening Program Manager</t>
        </is>
      </c>
      <c r="C56" t="inlineStr">
        <is>
          <t>RemoteHunter</t>
        </is>
      </c>
      <c r="D56" t="inlineStr">
        <is>
          <t>linkedin</t>
        </is>
      </c>
      <c r="E56" t="inlineStr"/>
      <c r="F56" t="inlineStr"/>
      <c r="G56" t="inlineStr"/>
      <c r="H56" t="inlineStr"/>
      <c r="I56" t="inlineStr">
        <is>
          <t>About the Opportunity:
 This fully remote role reports to the Chief Sanctions Officer (CSO) and is critical within the Global Sanctions Compliance function. The Sanctions Screening Program Manager is responsible for designing, executing, and continuously enhancing the global sanctions screening program, including name screening, transaction screening, geo\-controls, evasion detection, and related technical controls across the organization and its global subsidiaries. This individual contributor role requires leadership experience in communication, documentation, partnership, strategy, and time management. The role demands deep expertise in global sanctions regulations, screening technologies, data\-driven risk management, and the ability to operate effectively in a fast\-paced, highly regulated, and evolving environment. Strong ownership, strategic thinking, and independent execution skills are essential.
 Responsibilities:
 • Own and manage the global sanctions screening program, including name screening, transaction monitoring, geo\-blocking, evasion detection, and related technical controls
 • Maintain and enhance screening frameworks to meet global regulatory expectations while ensuring scalability and efficiency
 • Design and execute screening strategies to support regulatory compliance, business growth, product launches, and global expansion
 • Partner with Compliance, Risk, and Engineering teams to lead tuning efforts for sanctions screening tools and controls
 • Collaborate with Engineering to develop, prioritize, and execute the sanctions screening roadmap, including vendor management and system enhancements
 • Participate in annual and ad\-hoc enterprise, product, and sanctions risk assessments focused on screening\-related risks
 • Identify emerging sanctions risks, control gaps, data quality issues, perform root cause analyses, and recommend corrective actions
 • Work with Product, Engineering, Legal, Client Engagement, and Finance teams to embed sanctions screening requirements into new and existing products
 • Assist Sanctions peers in completing Product Risk Assessments related to sanctions controls and risk mitigation
 • Lead business requirements documentation (BRDs) for sanctions screening initiatives and translate compliance needs to technical teams
 • Support regulatory exams, audits, testing, and inquiries related to sanctions screening controls and systems
 • Provide sanctions screening advisory and guidance to leadership, regional compliance partners, and cross\-functional stakeholders
 • Drive process improvements, documentation quality, and program maturity across all sanctions screening functions
 Requirements:
 • Minimum 5 years of experience in sanctions compliance, with a focus on screening systems and controls, or equivalent experience as a data scientist
 • Knowledge of global sanctions regimes including OFAC, EU, UK, UN, and other jurisdictions
 • Expert knowledge of sanctions screening technologies and controls, including name screening, transaction screening, IP/geo controls, evasion detection, and blockchain analytics
 • Proven experience managing sanctions screening programs for a global organization
 • Ability to author detailed business requirements and collaborate effectively with engineering and technology teams
 • Strong analytical skills with experience in SQL, Python, or similar tools for ad\-hoc analysis and investigations
 • Experience supporting regulatory exams, audits, and enforcement inquiries
 • Excellent written and verbal communication skills; ability to communicate across all organizational levels
 • Strong organizational skills with the ability to manage multiple priorities in a fast\-paced environment
 • High integrity, discretion, and ability to handle confidential information
 • Comfortable with ambiguity, context switching, and evolving regulatory expectations
 • Bachelor’s degree or equivalent practical experience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7">
      <c r="A57" t="inlineStr">
        <is>
          <t>li-4370165531</t>
        </is>
      </c>
      <c r="B57" t="inlineStr">
        <is>
          <t>Senior Staff Technical Program Manager</t>
        </is>
      </c>
      <c r="C57" t="inlineStr">
        <is>
          <t>Intuit</t>
        </is>
      </c>
      <c r="D57" t="inlineStr">
        <is>
          <t>linkedin</t>
        </is>
      </c>
      <c r="E57" t="inlineStr"/>
      <c r="F57" t="inlineStr"/>
      <c r="G57" t="inlineStr">
        <is>
          <t>New York, NY</t>
        </is>
      </c>
      <c r="H57" t="inlineStr"/>
      <c r="I57" t="inlineStr">
        <is>
          <t>**Overview**
 Come join the CyberCRAFT Program Management Office as a Senior Staff Technical Program Manager! We are looking for creative technical problem solvers with a passion for tackling tough customer problems to join our team and serve as a program leader, with responsibility for driving program delivery and success. We are looking for candidates who have strong program management experience with deep technical understanding, customer empathy, strong execution capability, experience working with senior leadership, and a track record of building strong business partnerships and delivering impactful business results.
 The role is responsible for driving a high impact portfolio of cybersecurity programs within our business and technical security information orgs, stewarding critical strategic initiatives and driving the delivery of transformational change by providing leadership and direction to cross\-functional teams, and partnering with other TPMs and leaders across the organization to drive a portfolio of programs.
 You will also be part of a centralized PMO team that thrives on learning from and teaching each other, improving our craft, and growing, and the broader Intuit Program Management community.
 Intuit has embraced a hybrid way of working. This is a hybrid role with the expectation of working from our Mountain View office 3 days per week.
**Responsibilities**
* Lead with Influence: Ready to take on more responsibility? You'll play a key role in shaping Intuit's overall strategy, leading initiatives with company\-wide impact, and influencing strategic direction at the highest levels (Dir, VP, C level).
* Champion Change: Are you a natural influencer? You'll lead transformational change across Intuit, influencing senior leadership and driving adoption of new strategies, technologies, and organizational structures.
* Deliver Exceptional Results: Enjoy strategic thinking and prioritization? You'll maximize business impact by effectively prioritizing work across multiple portfolios and driving data\-informed decision\-making. You'll be a key driver of our success.
* Build and Mentor: Want to be a recognized leader in your field and influence and help others? You'll be a thought leader within the TPM community, defining and championing best practices, driving continuous improvement through experimentation, and mentoring other TPMs.
* Master the Domain: Passionate about solving big challenges? You'll leverage your expert\-level technical understanding to drive innovation, solve complex business problems, and influence strategy, and will also work with our PMO team and community to utilize AI in the program management craft to accelerate our business impact.
**Qualifications**
* Proven Leadership: 10\+ years of experience building, leading and delivering complex, large\-scale technical programs within a matrixed organization. Ability to drive at scale, and help the organization scale (across people, processes, technology)
* Technical Acumen: Strong understanding of software development approaches, architecture, and lifecycles. Experience with Agile methodologies is highly desired.
* Strategic Thinker: Ability to analyze industry trends, understand Intuit's strategy, and make data\-driven decisions that accelerate business outcomes.
* Exceptional Communicator: Excellent communication and interpersonal skills, with the ability to influence at all levels in a matrix organization, from individual contributors to senior executives.
* Data\-Driven Mindset: Ability to gather, analyze, and utilize data to assess program progress, identify risks, and drive decision\-making. Familiarity with data analytics and AI/ML concepts is a plus.
* Education: Bachelor's degree in Computer Science, Engineering, or a related field, or equivalent work experience. PMP, Agile certifications or equivalent demonstrated practical technical program management experience is desired.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$193,500 \- $262,000 USD
 New York: $193,000 \- $261,000 USD</t>
        </is>
      </c>
    </row>
    <row r="58">
      <c r="A58" t="inlineStr">
        <is>
          <t>li-4370185226</t>
        </is>
      </c>
      <c r="B58" t="inlineStr">
        <is>
          <t>Program Manager III</t>
        </is>
      </c>
      <c r="C58" t="inlineStr">
        <is>
          <t>Volunteers of America Los Angeles</t>
        </is>
      </c>
      <c r="D58" t="inlineStr">
        <is>
          <t>linkedin</t>
        </is>
      </c>
      <c r="E58" t="inlineStr"/>
      <c r="F58" t="inlineStr"/>
      <c r="G58" t="inlineStr">
        <is>
          <t>Los Angeles, CA</t>
        </is>
      </c>
      <c r="H58" t="inlineStr"/>
      <c r="I58" t="inlineStr">
        <is>
          <t>**About Us**
***VOALA
 Helping Our Most Vulnerable Change Their Life Stories***
 Volunteers of America is a non\-profit human services organization committed to serving people in need, strengthening families, and building communities. VOALA provides a variety of social services to Los Angeles area communities such as Head Start programs, Upward Bound college prep programs, veterans� services, homeless shelters, low\-income housing program as well as drug and alcohol rehabilitation. Learn more at www.voala.org.
**PAY RATE:** 
 $80096\.61 \- $84312\.22 Per Year
**BENEFITS:** 
 VOALA offers competitive medical, dental, vision and retirement benefits
**Job Summary And Purpose**
 Program Manager III manages a large, complex program with multiple functions or services according to contract and budget guidelines. Spends the majority of time (50% or more) achieving organizational objectives through the coordinated achievements of subordinate staff, overseeing resources and coordinating the efforts of the program team members including VOALA sub\-contractors, community partners, and ongoing outreach as it pertains to the target population. The Program Manager III will assure that all goals and objectives are accomplished according to plan.
**Duties And Responsibilities**
* Develop and manage project budget, project development, performance goals, and service delivery for service programs in accordance with stated grant requirements
* Develop program policies, procedure plans, and associated communications documents
* Proactively manage changes in project scope, identify potential crises, and devise contingency plans
* Develop best practices and tools for project execution and management
* Train, coach, and manage service team on program requirements, tools, and methods to meet those requirements
* Effectively communicate project expectation to team members and senior management in a timely and clear fashion
* Delegate tasks and responsibilities to appropriate personnel
* Manage multiple teams of staff located at various work sites
* Monitor and verify services provided to each participant on a regular basis and determine the quality and effectiveness of services provided
* Ensure program interim and final goals and requirements are achieved
* Prepare monthly budget reports and proposals
* Estimate and allocate resources that participants may need in order to achieve project goals
* Create and analyze budget, reports, and program goals
* Communicate with funder on an ongoing basis
* Collaborate with community partners for services and housing opportunities to program participants
* Coach, mentor, and supervise project team members and influence them to take positive action and accountability for their assigned work
* Collaborate with other VOALA programs and community partners and representing the interests of the agency, the program and its participants in all networking and public relations opportunities
* Effectively prioritize and execute tasks in high pressure situations
* Other duties as required
**Essential Duties**
* PROGRAM AND BUDGET DEVELOPMENT:
* Develop program policies, procedure plans, and associated communications documents
* Proactively manage changes in project scope, identify potential crises, and devise contingency plans
* Develop best practices and tools for project execution and management
* WORKFORCE MANAGEMENT: Train, coach, and manage Homeless Services team on program requirements, tools, and methods to meet those requirements.
* MULTIPLE LOCATIONS: Manage multiple teams of staff located at various work sites
* BUDGETING RESOURCES:
* FUNDER FOCUS: Ensure subordinate Programs are accountable and meet Funder Requirements, communicate with funder on an ongoing basis.
* COORDINATION OF SERVICES: Collaborates with other service providers to link various programs to community resources and supportive services.
* COORDINATION WITHIN VOALA: Collaborate with other VOALA programs and community partners and representing the interests of the agency, the program and its participants in all networking and public relations opportunities.
* PLANNING AND ORGANIZATION: Effectively plans workload of subordinate individuals and programs
* budgets, deploys, and organizes resources.
* CHANGE LEADERSHIP: Identifies better, faster, more efficient ways to achieve the mission of VOALA.
* Community Outreach.
* Coaches and mentors junior staff.
* Other duties as required and may be subject to change
**Qualifications**
**REQUIREMENTS:**
* Must be able to pass a fingerprint clearance, background check, including criminal history, personal references, employment and education verifications
* Background Investigation
* Verification of educational degrees and previous employment
* Clearance of:
+ General Services Administration�s List of Parties Excluded from Federal Programs
+ HHS/OIG List of Excluded Individuals/Entities
* Tuberculosis testing within five days of employment start date
**Education**
* Bachelor's degree in Social Work (or related discipline) or a combination of relevant education and experience (4 years).
**Experience**
* 5 years of experience in Social Services Program Management, Coordination or Supervision
* Minimum of 4 years of direct experience in Staff Management Experience in Homeless Services, Department of Mental Health and/or Substance Use Disorder (DMC) Programs
* Budget Management / Oversight Experience
* Experience managing programs with over 10 staff, serving clients with multiple modalities
**Preferred Qualifications**
* Master of Social Work or discipline related to Program services
* History of working with multiple community partners, existing relationships a major plus.
* Experience connecting clients to community and government resources.
* Experience serving the target community (veterans, homeless, at\-risk youth, et cetera)
* Extensive experience with large and complex social services programs, serving clients with various levels of acuity and need.
* Bilingual in English and Spanish.
* Well informed of organizational priorities and procedures.
* Knowledge about community resources
* Experience with HMIS and other relevant databases used by partner service providers
*Volunteers of America is an Equal Opportunity employer. All qualified applicants will receive consideration for employment without regard to race, color, religion, sex, national origin, disability, protected Veteran Status, or any other characteristic protected by applicable federal, state, or local law.*
*This employer participates in E\-Verify as required by the federal government and will provide the federal government with your Form 1\-9 information to confirm that you are authorized to work in the U.S.*
*If E\-Verify cannot confirm that you are authorized to work, this employer is required to give you written instructions and an opportunity to contact Department of Homeland Security (OHS) or Social Security Administration (SSA) so you can begin to resolve the issue before the employer can take any action against you, including terminating your employment.*</t>
        </is>
      </c>
    </row>
    <row r="59">
      <c r="A59" t="inlineStr">
        <is>
          <t>li-4370189023</t>
        </is>
      </c>
      <c r="B59" t="inlineStr">
        <is>
          <t>Program Manager Rotating Shift</t>
        </is>
      </c>
      <c r="C59" t="inlineStr">
        <is>
          <t>Volunteers of America Los Angeles</t>
        </is>
      </c>
      <c r="D59" t="inlineStr">
        <is>
          <t>linkedin</t>
        </is>
      </c>
      <c r="E59" t="inlineStr"/>
      <c r="F59" t="inlineStr"/>
      <c r="G59" t="inlineStr">
        <is>
          <t>Los Angeles, CA</t>
        </is>
      </c>
      <c r="H59" t="inlineStr"/>
      <c r="I59" t="inlineStr">
        <is>
          <t>**About Us**
**VOALA**
***Helping Our Most Vulnerable Change Their Life Stories***
 Volunteers of America is a non\-profit human services organization committed to serving people in need, strengthening families, and building communities. VOALA provides a variety of social services to Los Angeles area communities such as Head Start programs, Upward Bound college prep programs, veterans� services, homeless shelters, low\-income housing program as well as drug and alcohol rehabilitation. Learn more at www.voala.org.
**PAY RATE:** 
 $69607\.47\- $73271\.02 Per Year
**BENEFITS:** 
 VOALA offers competitive medical, dental, vision and retirement benefits
**Job Summary And Purpose**
 The Program Manager I supervises all efforts to fulfill the goals and objectives of the Program, designing plans and operations according to contract and budget guidelines. This includes overseeing resources and coordinating the efforts of community partners, and conducting ongoing outreach to serve participants and leverage VOALA and community assets.
**Duties And Responsibilities**
* Intake, assessments, service planning, service delivery, and goal attainment
* Training, supervision, and problem\-solving for difficult cases
* Meeting grant objectives, adhering to grant guidelines
* Provides information to Division Director highlighting progress to reaching set goals
* Provides quality service to clients with rental issues.
* Monitor program compliance to VOALA policies and required procedures; maintains documentation of all program services delivered to participants.
* Measures and assess impact of services, supports, and participates in key elements to the program's success
* Effectively communicates project expectations to team members
* Coordinate outreach and collaboration efforts with community partners and landlords
* Other Duties as directed to accomplish program goals
**Essential Duties**
* OPERATIONS: Responsible for day\-to\-day service delivery efforts, providing guidance and supervision for staff, budget oversight, project timelines, and anticipated outcomes; Effectively plans workload of subordinate individuals and programs; budgets, deploys, and organizes resources.
* MONITORING AND MEASUREMENT: Ensure all services to clients are properly recorded: every client intake along with the subsequent service documentation, evaluate achievement of program goals, report to senior leadership.
* COORDINATION OF SERVICES: Collaborates with other service providers to link various programs to community resources and supportive services.
* ADMINISTRATION: Keep comprehensive records of compliance with Funder and Regulatory requirements.
* TRAINING AND MENTORING: Responsible for service team�s development through: training, policy and procedure, structured supervision, and learning collaboratives
* CHANGE LEADERSHIP: Identifies better, faster, more efficient ways to achieve the mission of the program
* Community Outreach.
* Other duties as required and is subject to change at any time.
**Requirements** 
 Qualifications
* Must be able to pass a fingerprint clearance, background check, including criminal history, personal references, employment and education verifications
**Education**
* Bachelor's degree in Social Work (or related discipline) or a combination of relevant education and experience (4 years)
**Experience**
* Minimum of 3 years of experience in Social Services Program Management, Coordination or Supervision.
* Minimum of 2 year of direct experience in Staff Management
**Preferred Qualifications**
* Master of Social Work or discipline related to Program services.
* Experience connecting clients to community and government resources
* Experience serving the target community (veterans, homeless, at\-risk youth, et cetera)
* Knowledge about community resources
* Experience with HMIS and other relevant databases used by partner service providers
* Ability to work with people from various backgrounds and/or limited English capabilities
*Volunteers of America is an Equal Opportunity employer. All qualified applicants will receive consideration for employment without regard to race, color, religion, sex, national origin, disability, protected Veteran Status, or any other characteristic protected by applicable federal, state, or local law.*
*This employer participates in E\-Verify as required by the federal government and will provide the federal government with your Form 1\-9 information to confirm that you are authorized to work in the U.S.*
*If E\-Verify cannot confirm that you are authorized to work, this employer is required to give you written instructions and an opportunity to contact Department of Homeland Security (OHS) or Social Security Administration (SSA) so you can begin to resolve the issue before the employer can take any action against you, including terminating your employment.*</t>
        </is>
      </c>
    </row>
    <row r="60">
      <c r="A60" t="inlineStr">
        <is>
          <t>li-4298804355</t>
        </is>
      </c>
      <c r="B60" t="inlineStr">
        <is>
          <t>Lead Program Manager, Signage</t>
        </is>
      </c>
      <c r="C60" t="inlineStr">
        <is>
          <t>RaceTrac</t>
        </is>
      </c>
      <c r="D60" t="inlineStr">
        <is>
          <t>linkedin</t>
        </is>
      </c>
      <c r="E60" t="inlineStr"/>
      <c r="F60" t="inlineStr"/>
      <c r="G60" t="inlineStr">
        <is>
          <t>Atlanta, GA</t>
        </is>
      </c>
      <c r="H60" t="inlineStr"/>
      <c r="I60" t="inlineStr">
        <is>
          <t>The
 **Lead Program Manager \- Signage** 
 is responsible for managing the strategy, design, and execution of the exterior signage program for RaceTrac and RaceWay convenience store locations. This role oversees the permanent signage program across new builds, remodels, and retrofits, ensuring all designs align with established prototype standards and brand guidelines. The ideal candidate will drive program excellence through cross\-functional collaboration, vendor management, and design expertise.
 Up to 25% travel may be required.
**What You'll Do**
* Lead the end\-to\-end design and implementation of exterior signage for new store development, remodels, and retrofits ensuring adherence to all brand and prototypical standards.
* Identify and drive continuous improvement opportunities within the signage program to increase efficiency, drive quality, and add value.
* Partner with the Director of A\&amp;D \- Implementation to establish goals aligned with broader signage and brand objectives and monitor progress toward key performance indicators.
* Serve as a trusted advisor, providing strategic and technical guidance to support the development growth goals of the business.
* Develop and maintain strong working relationships with internal departments including Engineering, Construction, Facilities, Marketing, Operations, and Brand Maintenance.
* Collaborate with internal teams and external consultants to prepare any required design documentation and facilitate submissions to local jurisdictions.
* Own relationships with signage vendors and consultants to ensure design consistency, manufacturing quality, timely delivery, and accurate installation.
* Provide ongoing coaching, performance feedback, and professional development opportunities for team members.
* Provide clear direction and performance expectations to vendor(s) to support project delivery.
* Stay current with industry trends, materials, and technologies by continuous learning and attending trade shows, conferences, and vendor meetings, as necessary.
* Conduct site visits and attend punch walks to assess signage installations and offer actionable feedback for improvement.
* Analyze data in response to business requests and provide insights that inform decision\-making and program direction.
**What We're Looking For**
* Bachelor’s degree from an accredited college or university in Architecture, Engineering, Construction, or related field preferred
* 5\-7 years experience in Signage Industry with a combination of Sign Vendor/Manufacturer and Retail environments
* Excellent negotiation, communication, leadership, decision\-making, and public presentation skills
* Previous experience managing direct reports and demonstration of high performance in project management required.
* Experience using Corel and Photoshop
* Proficient with MS Office Suite and Smartsheet
**Fueled by Growth, Driven by You**
 At RaceTrac, our people make the difference. Whether you’re working in a store, at our corporate office, or on the road, you’ll be part of a team that brings energy, innovation, and a passion for serving others every day. We support each other, celebrate wins big and small, and create opportunities for growth at every level. With four operating divisions RaceTrac, RaceWay, Energy Dispatch, and Gulf \- there’s always a new challenge to take on and a new path to pursue. Join us and discover how far your career can go.
 To see what is like, visit our LinkedIn, Facebook, and Instagram pages.
*All qualified applicants will receive consideration for employment with RaceTrac without regard to their race, national origin, religion, age, color, sex, sexual orientation, gender identity, disability, or protected veteran status, or any other characteristic protected by local, state, or federal laws, rules, or regulations.*</t>
        </is>
      </c>
    </row>
    <row r="61">
      <c r="A61" t="inlineStr">
        <is>
          <t>li-4370166812</t>
        </is>
      </c>
      <c r="B61" t="inlineStr">
        <is>
          <t>Program Manager - Department of Psychiatry</t>
        </is>
      </c>
      <c r="C61" t="inlineStr">
        <is>
          <t>Inside Higher Ed</t>
        </is>
      </c>
      <c r="D61" t="inlineStr">
        <is>
          <t>linkedin</t>
        </is>
      </c>
      <c r="E61" t="inlineStr"/>
      <c r="F61" t="inlineStr"/>
      <c r="G61" t="inlineStr">
        <is>
          <t>Gainesville, FL</t>
        </is>
      </c>
      <c r="H61" t="inlineStr"/>
      <c r="I61" t="inlineStr">
        <is>
          <t>**Job No:** 
 538036
**Work Type:** 
 Full Time
**Location:** 
 Main Campus (Gainesville, FL)
**Categories:** 
 Grant or Research Administration, Health Care Administration/Support
**Department:** 
 29120000 \- MD\-PSYCHIATRY
****Job Description****
 Classification Title:
 Program Manager
**Job Description:**
 The
 **Department of Psychiatry** 
 at the University of Florida invites applications for the SB112
 **Program Manager** 
 with the newly formed
 **UF Center for Autism and Neurodevelopment (UF CAN).**
 This role offers a unique opportunity to play a key role on a multidisciplinary team for advancing statewide initiatives for clinical services, education, research, and advocacy for neurodiverse individuals and their families. The successful candidate will oversee the strategic and operational aspects of grants authorized under Florida Senate Bill 112\. Primary duties for this role include managing the Request for Proposal (RFP) process, evaluating proposals, awarding grants, and monitoring programmatic deliverables. The role emphasizes stakeholder engagement, program evaluation, and coordination with regional hubs.
****About This Role:****
**Grant Administration**
* Oversee all fiscal aspects of subawards and contracts, and responsible for compliance with UF, Federal, and State laws and regulations.
* Review all contracts, subaward requests for proposals and provide all necessary information to appropriate UF Central offices to facilitate risk assessment and prior approvals.
* Develop and publish RFPs for eligible programs (e.g., summer programs, charter schools, micro\-credential development)
* Coordinate peer review processes for proposal evaluation
* Ensure compliance with SB112 programmatic guidelines
* Ensure effective management of financial, administrative and contractual documents and maintain documentation of grant applications, scoring, and award decisions
**Program Monitoring**
* Monitor progress toward and timely completion of contract/award deliverables and outcomes.
* Review subaward financial reports and ensure that financial reporting is in compliance with UF, Federal, and State terms, conditions and regulations.
* Develop and maintain systems for program expenditure monitoring and tracking.
* Conduct site visits to assess program implementation
* Provide technical assistance to grantees on programmatic reporting
**Reporting and Evaluation**
* Work with the UF CAN Director to ensure concurrence between financial and technical reporting.
* Work with appropriate University of Florida centralized offices to ensure that financial management and reporting is in compliance with Federal, State, and UF's requirements.
* Contribute quarterly, biannual and annual financial reports and non\-scheduled reports requested by oversight bodies for submission by the appropriate office.
* Support the Coordinating Center in compiling statewide performance data
* Recommend improvements to program design and implementation and respond to audits and financial questions.
**Stakeholder Engagement**
* Orient subawardees and staff to program policies and procedures through development and delivery of subawardee onboarding sessions.
* Liaise with regional hubs, CARD centers, school districts, and nonprofit organizations
* Facilitate collaboration between grantees and state/local agencies
* Represent the UF Center for Autism and Neurodevelopment (UF CAN) grant program at public meetings and conferences.
**Required Qualifications:**
 A bachelor's degree in an appropriate area of specialization and five years of appropriate experience; or an equivalent combination of education and experience.
**Preferred:**
* At least five years of financial or grant management within educational institutions or health systems is strongly preferred.
* Demonstrated experience in allocating grant funds to subawardees and key stakeholders is strongly preferred.
* Experience in financial management of projects funded by external donors or state agencies is considered an asset.
* Demonstrated experience and skills in developing and managing large and complex budgets.
* Strong analytical, oral and written communication \&amp; interpersonal skills.
* Experience with UF systems and fund accounting.
* Knowledge of and experience with university and state regulations regarding fiscal and budget matters and grants administration.
**Expected Salary:**
 $75,000\-$80,000; commensurate with education and experience.
****Benefits And Compensation****
 As one of the nation's top public research university, the University of Florida is dedicated to providing robust benefits options to support the wellbeing their employees. The university offers a range of complementary and affordable benefit options to meet your family's financial, educational, and health needs. Eligibility varies by position and FTE.
* Comprehensive insurance plans including medical, dental, vision, and prescription coverage
* Flexible spending accounts, employee wellness program, and employee assistance program
* Financial security via our life and long\-term disability insurance, accident and illness insurance
* Plan for your future with retirement savings and investment options that grow with you
* Generous paid time off work options including vacation, sick leave, annual holidays, and personal holiday, and winter break,
* Time to recover \- 8 weeks of paid parental and medical leave
* Enjoy discounts for on and off\-campus activities and services
****About The University Of Florida (UF), Department Of Psychiatry****
**About the University of Florida (UF), Department of Psychiatry**
 The Department of Psychiatry at the University of Florida are engaged in groundbreaking projects covering a variety of interests through our Centers, labs, and collaborations with other departments. The Department of Psychiatry includes a large outpatient center with various specialty clinics within (including one associated with our Center for Autism and Neurodevelopment), a very active inpatient service, psychiatry collaborative program for primary care practitioners, school consultation program, and community consultation services. The Department of Psychiatry spans services across adult, addiction, and child/adolescent specializations, including a freestanding psychiatric hospital, a large consult liaison service at the main UF Shands Hospital, the Florida Recovery Center operated by our Addiction Division, and multiple research centers including the Center for Addiction Research \&amp; Education and the Center for OCD and Related Disorders (COARD).
****About Gainesville****
 The City of Gainesville holds many distinctions. Located in the northern part of Florida, Gainesville is home to the state's largest and oldest university (UF), and is one of the state's centers of education, innovation, healthcare, arts \&amp; culture, sports, and more. You can find the city routinely listed as one of the best college towns, best places to live, and best places to retire. Known for its preservation of historic buildings and the beauty of its natural surroundings, Gainesville's numerous parks, museums, and lakes provide endless entertainment to thousands of visitors and locals every year. Things to do in Gainesville , Visit Gainesville.
**Special Instructions To Applicants:**
 Interested applicants should submit the following items as part of the online application:
* Cover letter that states applicant's interest in the position and qualification relative to the credentials listed above.
* Curriculum Vitae
* Reference Names/Contact Information (3\). The cover letter should include the names and contact information of three individuals who can provide an evaluative appraisal of the applicant's work, potential in the field, and capacity to be an effective colleague in an academic health sciences center. References will be requested from the Department should the applicant be considered.
 Application must be submitted by 11:55 p.m. (ET) of the posting end date.
**Health Assessment Required:**
 No
**Applications Close:** 
 11 February 2026
**To apply, visit https://explore.jobs.ufl.edu/en\-us/job/538036**
****Our Commitment:****
 The University of Florida is an Equal Employment Opportunity Employer.
 Hiring is contingent on eligibility to work in the U.S. The University of Florida is a public institution and is subject to all requirements under Florida Sunshine and Public Record laws. If an accommodation due to a disability is needed to apply for this position, please call 352\-392\- 2477 or the Florida Relay System at 800\-955\-8771 (TDD) or visit Accessibility at UF.
 Copyright ©2025 Jobelephant.com Inc. All rights reserved.
 Posted by the FREE value\-added recruitment advertising agency
 jeid\-fb213005b049f24db023d4035730602e</t>
        </is>
      </c>
    </row>
    <row r="62">
      <c r="A62" t="inlineStr">
        <is>
          <t>li-4335938637</t>
        </is>
      </c>
      <c r="B62" t="inlineStr">
        <is>
          <t>Sr. Program Manager, Planning &amp; Automation, Global Fleet and Products Electrification and Infrastructure</t>
        </is>
      </c>
      <c r="C62" t="inlineStr">
        <is>
          <t>Amazon</t>
        </is>
      </c>
      <c r="D62" t="inlineStr">
        <is>
          <t>linkedin</t>
        </is>
      </c>
      <c r="E62" t="inlineStr"/>
      <c r="F62" t="inlineStr"/>
      <c r="G62" t="inlineStr">
        <is>
          <t>San Francisco, CA</t>
        </is>
      </c>
      <c r="H62" t="inlineStr"/>
      <c r="I62" t="inlineStr">
        <is>
          <t>**Description**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A3126463</t>
        </is>
      </c>
    </row>
    <row r="63">
      <c r="A63" t="inlineStr">
        <is>
          <t>li-4370040266</t>
        </is>
      </c>
      <c r="B63" t="inlineStr">
        <is>
          <t>LPN - Nurse Program Manager</t>
        </is>
      </c>
      <c r="C63" t="inlineStr">
        <is>
          <t>NUC University</t>
        </is>
      </c>
      <c r="D63" t="inlineStr">
        <is>
          <t>linkedin</t>
        </is>
      </c>
      <c r="E63" t="inlineStr"/>
      <c r="F63" t="inlineStr"/>
      <c r="G63" t="inlineStr">
        <is>
          <t>Orlando, FL</t>
        </is>
      </c>
      <c r="H63" t="inlineStr"/>
      <c r="I63" t="inlineStr">
        <is>
          <t>**Northbridge University \-** 
  Nursing Program is seeking a highly motivated and qualified
 **LPN Program Manager  (Licensed Practical Nurse)** 
 to join our team. 
 This individual will be responsible for administration, developing, delivering, and evaluating courses across the practical nursing curriculum, fostering a positive learning environment for students, and contributing to the ongoing continuous improvement of the program.
**Min** 
**imum Requirements:** 
* Bachelor of Science in Nursing (BSN) from an accredited program. All degrees must be from institutions accredited by regional or national accrediting bodies approved by the U.S. Department of Education. Foreign transcripts may be acceptable in some cases and require a translation and evaluation of equivalency to U.S. degrees by a recognized agency.
* Active and unrestricted RN license in the State of Florida.
* Minimum of three years of recent experience in clinical nursing practice.
* Minimum of two years of teaching experience.
* Proficiency in computer usage is crucial for managing course documents and educational resources within the learning management system.
* Must be willing to work a flexible schedule to include days, nights, and weekends as needed to meet population requirements and business needs.
* For best consideration, upload your credentials along with your resume. Please redact any personal information (i.e., date of birth and social security number).
**Essential Duties and Responsibilities:** 
* Ensure the LPN program meets all Florida Board of Nursing requirements for curriculum, faculty qualifications, and student outcomes.
* Prepare and submit required reports to the FBON, including annual program reports and documentation for site visits.
* Maintain program approval status and readiness for audits or evaluations.
* Monitor and analyze student performance metrics, including NCLEX\-PN pass rates, retention, and job placement.
* Develop and implement strategies to support student achievement and licensure success.
* Track and report program outcomes to the FBON and accrediting bodies.
* Conduct regular program evaluations and implement continuous quality improvement initiatives.
* Maintain accurate and secure records of student progress, faculty credentials, and clinical site agreements.
* Implement a structured system for evaluating teaching effectiveness, including student evaluations, peer reviews, and classroom observations.
* Support faculty in meeting FBON\-required qualifications and continuing education.
* Facilitate faculty development workshops and performance improvement plans.
* Develop and deliver engaging and effective instruction in assigned nursing courses, ensuring alignment with program curriculum, learning outcomes, and best practices.
* Utilize diverse teaching methodologies including lectures, case studies, simulations, group discussions, and other innovative techniques.
* Facilitate clinical learning experiences, providing ongoing mentorship and guidance to students in developing essential clinical skills and judgment.
* Participate in program development activities, including curriculum review, assessment development, and policy development.
* Stay current with evolving trends in nursing practice, healthcare, and nursing education through ongoing professional development activities.
**Benefits:** 
* Medical Coverage \-Including additional options  HSA, and FSAs \- Dependent, and Health Care
* Dental/Vision Insurance Coverage
* 12 Paid Holidays / Paid Time Off / Paid Volunteer Day
* 401\[k] with 50% Employer Matching
* Short\-Term Disability Life Insurance
* Supplemental Life Insurance Options
* Growth Opportunities / Education Assistance and Professional Development Benefits
**No Cost Benefits:** 
* Group Life Insurance
* Long Term Disability
* Talent Referral Program
* TicketsatWork \- Discount Entertainment Program
* Enjoy a paid day off on your birthday (available to full\-time employees after two years)
**Why Join Northbridge University?** 
 At Northbridge University, you become part of a community devoted to academic excellence, innovation, and human development. Every employee, from faculty to administrative staff, plays a key role in advancing the growth of our students while enhancing their own professional journey. We foster a culture of teamwork, respect, and ongoing learning, where innovative ideas are welcomed and talent is supported. Our employees enjoy professional growth opportunities, career stability, and the satisfaction of contributing to an organization that changes lives through education.
 At Northbridge University, you’re not just building a career—you’re creating a meaningful purpose.                                                                                                                                 
 For additional information on who we are – https://northbridge.edu/en/who\-we\-are
**Northbridge University** 
  is an Equal Opportunity/Affirmative Action Employer and does not discriminate based on race, color, religion, gender, age, national origin, disability, Protected Veteran status, sexual orientation, or any other characteristic protected by federal, state, or local law.
**The selected applicant will undergo a background check, educational verification, and drug testing.**</t>
        </is>
      </c>
    </row>
    <row r="64">
      <c r="A64" t="inlineStr">
        <is>
          <t>li-4363856192</t>
        </is>
      </c>
      <c r="B64" t="inlineStr">
        <is>
          <t>Physical Security Program Manager , DC Security AMER C</t>
        </is>
      </c>
      <c r="C64" t="inlineStr">
        <is>
          <t>Amazon Web Services (AWS)</t>
        </is>
      </c>
      <c r="D64" t="inlineStr">
        <is>
          <t>linkedin</t>
        </is>
      </c>
      <c r="E64" t="inlineStr"/>
      <c r="F64" t="inlineStr"/>
      <c r="G64" t="inlineStr">
        <is>
          <t>Sparks, NV</t>
        </is>
      </c>
      <c r="H64" t="inlineStr"/>
      <c r="I64" t="inlineStr">
        <is>
          <t>**Description**
 Amazon Web Services (AWS) and Amazon.com serve customers and developers all over the world who rely on storage, compute, and other services that power Amazon’s consumer, digital and AWS businesses. Our customers trust us to handle their data with air\-tight security. Customer data security is a given and a guarantee for our businesses.
 AWS Infrastructure Physical Security team is looking for a highly talented and motivated Physical Security System Project Manager and Technology Expert to lead physical security projects. This position will be responsible for the management of data center physical security systems and projects. A successful candidate will be responsible for interpretation of Threat Assessments and AWS Physical Security Standards to assure the proper security mitigations are selected to meet the unique challenges in each area. You will be responsible for collaborating with AWS architectural and engineering teams to assure each data center meets the high standards AWS sets for physical security. After implementation, this position will be responsible for assuring local security teams have the technical knowledge and resources necessary to meet the physical security mission.
 \`
* Considered candidates should be at least 18 years old.
* As this is a GovCloud region, selected candidate requires US Citizenship or equivalent status.
 Effective May 15, 2017, logical access to the AWS GovCloud region will be restricted to Amazon employees who are U.S. Citizens. (GovCloud may NOT be accessed from outside of the United States)
 Key job responsibilities
* Manage installation of approved physical security system hardware, including, but not limited to, access control devices, intrusion detection devices, CCTV, and other components of physical security systems.
* Design of physical security system for new construction, expansion and retrofit projects.
* Preparation of security design standards, typical drawings, and technical specification documents for projects for the purposes of pricing by approved vendors. Review and provide quality assurance of vendor quotes. Submission of complete and accurate vendor quote packages to the Infrastructure Technical Project Manager for inclusion in project requisitions.
* Project management of multiple, concurrent security system installation projects and vendors.
* Subject Matter Expert for physical security system testing and acceptance, and assuring operational readiness at project completion.
* Preparation and archiving of project close\-out documentation.
* Reporting vendor performance metrics regarding system installation, service delivery, and equipment availability / reliability.
**About The Team**
 AWS Infrastructure Services (AIS)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High school diploma, or equivalent
* Experience managing contract security and physical security operation programs such as access control/intrusion detection and CCTV surveillance systems
* Travel up to 25% of the time
* \- 2\+ years’ experience in physical security project management.
**Preferred Qualifications**
* Bachelor's degree or above
* Experience with AutoCAD, Revit, Bluebeam, and MS Office Suite
* Experience in design, implementation, support, and evaluation of security\-focused tools and services
* 3\+ years' experience working with design, installation, and integration of Access \- Control/Intrusion Detection and CCTV Surveillance systems.
* PSP, CPP, PMP Certification.
* Ability to manage multiple medium and large scale projects that are complex in nature and ability to interpret program objectives, develop project schedules and manage adherence to established timetables.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NV, Sparks \- 80,000\.00 \- 140,000\.00 USD annually
**Company** 
 \- Amazon Data Services, Inc.
 Job ID: A3161382</t>
        </is>
      </c>
    </row>
    <row r="65">
      <c r="A65" t="inlineStr">
        <is>
          <t>li-4370181402</t>
        </is>
      </c>
      <c r="B65" t="inlineStr">
        <is>
          <t>CRM Implementation/Product Manager</t>
        </is>
      </c>
      <c r="C65" t="inlineStr">
        <is>
          <t>Switchboard Hiring</t>
        </is>
      </c>
      <c r="D65" t="inlineStr">
        <is>
          <t>linkedin</t>
        </is>
      </c>
      <c r="E65" t="inlineStr"/>
      <c r="F65" t="inlineStr"/>
      <c r="G65" t="inlineStr">
        <is>
          <t>Englewood, CO</t>
        </is>
      </c>
      <c r="H65" t="inlineStr"/>
      <c r="I65" t="inlineStr">
        <is>
          <t>***Sponsorship not available. Position only available to those with legal authorization to work in the United States.***
 Switchboard is seeking a
 **CRM Product Manager** 
 on behalf of our client,
 **Open Technology Solutions** 
 . As the
 **CRM Product Manager,** 
 you will define business requirements, lead vendor selection, and oversee the migration from OTS’ current CRM platform to a new, consortium‑wide solution that aligns with a multi‑year strategy. The CRM solution you deliver will enhance member engagement, integrate across credit union operations, and create measurable business value for multiple organizations.
 This role is highly strategic and hands‑on, with a strong emphasis on stakeholder alignment, influence without direct authority, and clear communication across technical and non‑technical audiences. You will work closely with leaders at OTS and its credit union partners to understand needs, shape a shared roadmap, and guide a complex, phased migration.
**About Open Technology Solutions**
 Open Technology Solutions (OTS) is a technology consortium empowering credit unions and community financial institutions to compete and thrive. OTS provides shared technology infrastructure and innovative solutions that help member institutions deliver exceptional service to their communities, combining the stability of serving the financial sector with the pace of a modern technology organization. With a people‑first culture built on collaboration and technical excellence, OTS product owners work across organizations, functions, and teams to align business goals, member experience, and technology investments.
****Key Responsibilities****
* Develop and execute a multi‑year CRM product strategy aligned with organizational goals and desired member experience across the consortium.
* Define success metrics and KPIs to measure CRM impact and drive continuous improvement.
* Partner with stakeholders in multiple credit unions and OTS operations to capture business needs and pain points, translating them into clear, actionable requirements.
* Lead CRM platform evaluation and selection, ensuring scalability, flexibility, and robust integration with existing and future systems.
* Manage vendor relationships to support effective implementation, support, and long‑term platform success.
* Maintain a prioritized CRM roadmap and establish governance for usage, data quality, and compliance.
* Collaborate with cross‑functional teams (technology, operations, risk, and business leaders) to deliver scalable, high‑impact features and improvements.
****Requirements****
* Must have: hands‑on experience with CRM platform evaluation, selection, and migration (Salesforce or similar enterprise CRM platforms).
* Minimum 5–10 years in product management, product ownership, or technology consulting roles with significant responsibility for business‑critical platforms.
* Proven ability to lead by influence across organizations and stakeholder groups without direct authority.
* Strong communication skills with the ability to translate technical concepts into business terms and vice versa for both technical teams and business audiences.
* Experience producing high‑quality strategic documents and presenting recommendations to senior leadership.
* Demonstrated curiosity, ownership, and follow‑through in figuring things out and solving complex problems.
* Banking or financial services experience is a plus
****Benefits****
**Location:** 
 Hybrid (3 days per week in our Englewood, CO office)
**Compensation:** 
 $140,000–$165,000 salary \+ bonus
****Benefits:****
* Comprehensive medical, dental, and vision insurance (starting first full month)
* 401(k) with company matching
* Open PTO
* Student loan paydown program (up to $10,000 lifetime benefit)
* Tuition reimbursement (up to $5,250 annually)
* Service anniversary bonuses
* Company\-paid life insurance, short\-term and long\-term disability
* Wellness reimbursement and additional unique perks</t>
        </is>
      </c>
    </row>
    <row r="66">
      <c r="A66" t="inlineStr">
        <is>
          <t>li-4370167921</t>
        </is>
      </c>
      <c r="B66" t="inlineStr">
        <is>
          <t>Banking Service Program Manager</t>
        </is>
      </c>
      <c r="C66" t="inlineStr">
        <is>
          <t>Cennox</t>
        </is>
      </c>
      <c r="D66" t="inlineStr">
        <is>
          <t>linkedin</t>
        </is>
      </c>
      <c r="E66" t="inlineStr"/>
      <c r="F66" t="inlineStr"/>
      <c r="G66" t="inlineStr"/>
      <c r="H66" t="inlineStr"/>
      <c r="I66" t="inlineStr">
        <is>
          <t>**Job Description: Banking Service Program Manager**
**Position Overview**
 We are seeking a highly motivated and experienced Banking Service Program Manager to lead the planning, execution, and customer experience to our banking customers and their projects. This role will oversee initiatives that enhance customer experience, streamline service delivery, improve operational efficiency, and ensure alignment with business goals. The ideal candidate has a strong background in service’s program management, team leadership (Project Managers and Project Coordinators, and cross\-functional leadership.
**Key Responsibilities**
* Program Leadership – Lead a team of project managers/project coordinators, rollout, and governance of multiple customer banking service programs both strategic and planned that will result in project delivered on time/within budget, customer satisfaction, scheduling compliance, and P\&amp;L expectations.
* Strategic Planning – Partner with senior leadership to define program goals, KPIs, and success metrics aligned with company strategy.
* Operational Excellence – Implement best practices for service delivery, scheduling, inventory support, and customer care within banking environments.
* Cross\-Functional Collaboration – Work closely with banking operations, merchandising, supply chain, IT, and customer support teams to ensure seamless execution.
* Process Improvement – Identify Project delivery inefficiencies; drive continuous improvement initiatives that enhance service performance and reduce costs.
* Performance Management – Track program performance, analyze data, and present reports to stakeholders on progress, outcomes, and ROI.
* Change Management – Champion adoption of new tools, processes, and service standards across many customer platforms.
* Customer Experience Focus – Ensure projects are delivered on time, within budget and per the SOW, while also delivering high level effective communications to all our customers.
* All other duties as assigned.
**Qualifications**
* Bachelor’s degree in business, Operations Management, Project Management, or related field (MBA preferred).
* PMP certification
* 7\+ years of experience with program/project management.
* Strong P\&amp;L management
* Proven success leading large\-scale customer programs with multiple Project Managers and /or Project Coordinators
* Strong understanding of installation, deinstalls, rigging, subcontract management, process standards customer service standards, and workforce management.
* Excellent leadership, communication, and stakeholder management skills.
* Analytical mindset with ability to interpret data and make informed decisions.
* Proficiency in project/program management tools (Asana, Smartsheet, MS Project, or similar).
* Lean Six Sigma, or related certification a plus.
**Key Competencies**
* Customer\-centric mindset
* Strong problem\-solving and process improvement skills
* Ability to influence and collaborate at all levels
* Strategic thinker with hands\-on execution capability
* Data\-driven decision\-making
* P\&amp;L understanding and implementation</t>
        </is>
      </c>
    </row>
    <row r="67">
      <c r="A67" t="inlineStr">
        <is>
          <t>li-4335873123</t>
        </is>
      </c>
      <c r="B67" t="inlineStr">
        <is>
          <t>Senior Program Manager, Trust &amp; Safety</t>
        </is>
      </c>
      <c r="C67" t="inlineStr">
        <is>
          <t>Character.AI</t>
        </is>
      </c>
      <c r="D67" t="inlineStr">
        <is>
          <t>linkedin</t>
        </is>
      </c>
      <c r="E67" t="inlineStr"/>
      <c r="F67" t="inlineStr"/>
      <c r="G67" t="inlineStr">
        <is>
          <t>Redwood City, CA</t>
        </is>
      </c>
      <c r="H67" t="inlineStr"/>
      <c r="I67" t="inlineStr">
        <is>
          <t>**About The Role**
 We’re hiring a Senior Trust \&amp; Safety Program Manager to lead high\-impact safety programs across the company. In this role you’ll partner closely with engineering, operations, policy, and research to shape program strategy, align teams, and drive end\-to\-end delivery for critical safety initiatives. You’ll own complex cross\-functional efforts, bring structure to ambiguity, and help the organization ship safer, reliable AI experiences at scale. You’ll work internally across technical and non\-technical teams, and externally with vendors, partners, and safety experts to move our safety strategy forward.
 This role is a good match for someone who enjoys guiding teams through complexity, is comfortable influencing without authority, and can juggle multiple priorities while staying focused on outcomes. You’ll often be the connective tissue between groups with different goals or constraints, and you should be energized by helping them land on shared direction. You’ll need to anticipate risk early, make tradeoffs clear, and help teams move forward even when the path isn’t fully defined.
**What You’ll Do**
* Lead planning and execution of major Trust \&amp; Safety initiatives spanning moderation, detection systems, vendor workflows, and policy impact
* Build structures that keep teams aligned: scopes, goals, requirements, timelines, risks, and success measures
* Influence roadmap prioritization in partnership with product, eng, and research, ensuring safety requirements are fully understood and addressed
* Drive cross\-functional accountability and communication across internal teams and external partners
* Track key program metrics and define reporting that helps leadership see progress, risk, and resourcing needs
* Manage vendors and external partners to performance expectations and quality standards
* Develop repeatable frameworks and operational patterns that improve execution quality across the Trust \&amp; Safety portfolio
* Serve as a strategic advisor to leaders on prioritization, sequencing, and investment decisions
**What You’ll Bring**
* 7–10 years of experience in program management, operations, or product execution in a fast\-moving tech environment
* Experience in Trust \&amp; Safety, content moderation, risk management, or crisis response (3–4 years minimum)
* Proven ability to lead complex, multi\-team initiatives from inception through delivery
* Strong communication skills and the ability to bridge technical and non\-technical partners
* Experience identifying, vetting, and managing external vendors, partners, and safety experts
* Ability to break down ambiguous spaces into clear next steps and drive alignment
* Deep interest in Trust \&amp; Safety, responsible AI, and building safer products at scale
**Nice to Have**
* Familiarity with AI safety concepts, annotation pipelines, or classifier development
* Comfort with SQL, dashboards, or data tools for measuring program impact
* Understanding of the AI entertainment space or Character.AI ecosystem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
 *s.*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row>
    <row r="68">
      <c r="A68" t="inlineStr">
        <is>
          <t>li-4370180852</t>
        </is>
      </c>
      <c r="B68" t="inlineStr">
        <is>
          <t>Product Manager</t>
        </is>
      </c>
      <c r="C68" t="inlineStr">
        <is>
          <t>Kredete Labs</t>
        </is>
      </c>
      <c r="D68" t="inlineStr">
        <is>
          <t>linkedin</t>
        </is>
      </c>
      <c r="E68" t="inlineStr"/>
      <c r="F68" t="inlineStr"/>
      <c r="G68" t="inlineStr">
        <is>
          <t>New York, NY</t>
        </is>
      </c>
      <c r="H68" t="inlineStr"/>
      <c r="I68" t="inlineStr">
        <is>
          <t>**Kredete Labs \| New York, NY \| On\-site** 
 We're building the complete operating system for businesses; One platform. Banking, cards, payments, crypto, AI agents, CRM, HRIS, collaboration—everything.
 This is a technical PM role. You should be comfortable reading code, writing SQL, and understanding system architecture. You'll also do growth work: onboarding, activation, customer acquisition.
**What you'll do:** 
* Define what to build each 2\-week sprint (ruthless prioritization)
* Write technical specs using Claude (engineers execute from your specs)
* Talk to customers: interviews, demos, feedback sessions
* Own growth: onboarding flows, activation metrics, retention
* Analyze data: product analytics, usage patterns, churn
* Make build vs. buy decisions with engineering
* Launch planning, pricing, positioning
**Who you are:** 
* 2\-3 years PM experience (fintech or B2B SaaS)
* Technical: can read code, write SQL, understand APIs
* Have shipped products from 0→1
* Comfortable talking to customers (not just internal stakeholders)
* Use Claude for specs, research, analysis
* Excited to do growth work (not just product definition)
* Can work in ambiguity and move fast</t>
        </is>
      </c>
    </row>
    <row r="69">
      <c r="A69" t="inlineStr">
        <is>
          <t>li-4361763974</t>
        </is>
      </c>
      <c r="B69" t="inlineStr">
        <is>
          <t>Product Manager</t>
        </is>
      </c>
      <c r="C69" t="inlineStr">
        <is>
          <t>ChatGPT Jobs</t>
        </is>
      </c>
      <c r="D69" t="inlineStr">
        <is>
          <t>linkedin</t>
        </is>
      </c>
      <c r="E69" t="inlineStr"/>
      <c r="F69" t="inlineStr"/>
      <c r="G69" t="inlineStr"/>
      <c r="H69" t="inlineStr"/>
      <c r="I69" t="inlineStr">
        <is>
          <t>**Job Description**
 Product Manager \| US \| Remote
 Grafana Labs
 Remote
 $143\.76K \- $172\.51K/yr
**Other**
 Posted 22 hours ago
**Job Description**
 This is a fully remote position and we're considering candidates in the US.
**About Product Management**
 As a Product Manager at Grafana Labs, you'll develop a vision and strategy for your product domain. You will own your product's roadmap, collateral, and market research, and you will collaborate with Grafana leadership on fine\-tuning your product's goals. You will be the primary advocate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UX to GTM. You are a facilitator who ensures the free flow of information across these teams and are expected to be technically proficient when representing our products to our customers.
**The Opportunity**
 As a Product Manager for AI, you'll be involved with everything related to our AI offerings, including helping drive the roadmap of our Grafana Assistant ecosystem. You'll get to the bottom of what customers want and challenge us on what we should build next.
 You'll work across Grafana's R\&amp;D and GTM orgs to deliver AI products and marketing messages. You will develop a deep understanding of how to apply AI to address customer problems in observability. And you'll help shape Grafana Labs AI vision.
**What You'll Be Doing**
* Partnering with our senior AI PM to define and own AI features end\-to\-end
* Working closely with our product marketing and sales teams to shape our AI messaging and support large commercial deals
* Understanding competitors, working with partners and staying on top of the broader AI market
* Being a hands\-on builder: prototyping, building, and shipping AI features end\-to\-end with our engineering team
* Partnering with our data function to analyze large amounts at scale about our product, usage patterns and commercials
* Empathizing with customer problems in order to collect user needs, requirements, and pain points
* Curating and properly representing user feedback to Engineering, while providing evidence to support tradeoffs and priorities
* Using your deep product expertise to make decisions about our go\-to\-market strategies, pricing, packaging, licensing, and tiering
**What Makes You a Great Fit**
* Excellent written and verbal communication
* Strong product sense and curiosity about AI, including demonstrated evidence such as AI projects, blog posts and community contributions
* 2 years of product experience or equivalent experience in a related role with ownership of a feature or project
* Comfortable with basic data analysis (SQL, spreadsheets) and able to interpret experiment results
* Familiarity with large language models (LLMs), prompt engineering, or experience using open\-source models
**Bonus Points**
* Experience using or building observability products and/or developer tools, either internally as an SRE or for external customer
 In the United States, the base compensation range for this role is $143,759 \- $172,511\.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t>
        </is>
      </c>
    </row>
    <row r="70">
      <c r="A70" t="inlineStr">
        <is>
          <t>li-4361801194</t>
        </is>
      </c>
      <c r="B70" t="inlineStr">
        <is>
          <t>Lead Product Manager</t>
        </is>
      </c>
      <c r="C70" t="inlineStr">
        <is>
          <t>ChatGPT Jobs</t>
        </is>
      </c>
      <c r="D70" t="inlineStr">
        <is>
          <t>linkedin</t>
        </is>
      </c>
      <c r="E70" t="inlineStr"/>
      <c r="F70" t="inlineStr"/>
      <c r="G70" t="inlineStr">
        <is>
          <t>New York, NY</t>
        </is>
      </c>
      <c r="H70" t="inlineStr"/>
      <c r="I70" t="inlineStr">
        <is>
          <t>**Job Description**
 Lead Product Manager
**Company:** 
 CD Baby
**Location:** 
 Los Angeles, CA (On\-site, Remote)
**Salary:** 
 $150K \- $175K/yr
**Type:** 
 Full\-time
**Benefits:** 
 Medical, Dental, Vision, Life, Retirement, PTO
**Posted:** 
 13 hours ago
**Job Description**
 CD Baby is looking for a Lead Product Manager to deliver a best\-in\-class experience for artists that drives critical business objectives.
*This hybrid role can be based in our Los Angeles (preferably), or New York City location. Also, open to remote/flexible locations where permitted.*
**The Role**
 This is a high\-impact role, joining during a major product transformation – as CD Baby moves from legacy systems to scalable infrastructure and a modern experience that leverages innovative technology Downtown Music. In this role, you will thrive on solving complex, ambiguous problems in music distribution and artist services. Leveraging a data\-first approach, you will take a strategic approach to delivering on customer and business outcomes.
**What You'll Be Doing**
* Drive key business outcomes including customer growth, streaming growth, retention, and satisfaction
* Define success metrics upfront and use data and experimentation to validate product impact
* Prioritize initiatives based on impact, confidence, and effort, balancing short\-term wins with long\-term strategy
* Build intuitive, artist\-first experiences that reduce friction while supporting advanced workflows
* Translate industry trends into new product opportunities for artists
* Own product strategy and roadmap from concept through launch and iteration
* Partner closely with engineering, design, analytics, marketing, and operations to deliver results
* Lead user research, competitive analysis, and market validation to inform decisions
* Navigate technical tradeoffs and execution details with engineering teams
* Design and run experiments (A/B tests, MVPs) to drive learning and continuous improvement
* Communicate product vision, progress, and outcomes to stakeholders across the organization
**Must\-Haves / Requirements**
* 7\+ years in product management, preferably in music technology or creator tools
* Track record of shipping products that drove measurable business outcomes
* Experience with both 0\-to\-1 product development and optimization of existing products
* Strong technical fluency and ability to collaborate effectively with engineering teams
* Proficiency with analytics tools and comfort working with data to drive decisions
* Fluency with AI product development, prompt engineering, and using AI tools for prototyping and workflow automation
* Experience designing and running experiments
* Ability to write clear product requirements and specifications
* Strong project management skills with ability to manage multiple concurrent workstreams</t>
        </is>
      </c>
    </row>
    <row r="71">
      <c r="A71" t="inlineStr">
        <is>
          <t>li-4361801302</t>
        </is>
      </c>
      <c r="B71" t="inlineStr">
        <is>
          <t>Product Manager Digital Marketplace</t>
        </is>
      </c>
      <c r="C71" t="inlineStr">
        <is>
          <t>FinDev Gateway</t>
        </is>
      </c>
      <c r="D71" t="inlineStr">
        <is>
          <t>linkedin</t>
        </is>
      </c>
      <c r="E71" t="inlineStr"/>
      <c r="F71" t="inlineStr"/>
      <c r="G71" t="inlineStr">
        <is>
          <t>America, IA</t>
        </is>
      </c>
      <c r="H71" t="inlineStr"/>
      <c r="I71" t="inlineStr">
        <is>
          <t>Job
 Product Manager Digital Marketplace
 Grameen America is launching a new in\-app digital marketplace to empower members to sell products and services to each other and, over time, to external customers. This initiative builds on member feedback and the Member Directory pilot, aiming to strengthen community connections and expand business opportunities for small and women\-owned enterprises. A successful candidate will be comfortable navigating small, cross\-functional teams towards an agreed MVP design to begin testing. They will be equally comfortable using their product management toolbox to elicit constructive feedback from Members, colleagues, partners and leadership, synthesize this quickly into requirements, prioritize the resulting work, and continuously engage in a cyclical process of ongoing improvement. Experience with mobile application development is a plus.
**Tasks And Responsibilities:**
* Own the short, medium, and long\-term roadmap for the “Sisterhood” Digital Marketplace, prioritizing features that drive member engagement and business growth.
* Collaborate with operations, engineering, and other teams to design, pilot, and launch the marketplace, ensuring alignment with member needs and organizational goals.
* Direct the release schedule, balancing operational and technical constraints to deliver regular updates and new features.
* Lead discovery with members and stakeholders to identify opportunities to generate volume on the platform and drive business revenue increases for member businesses.
* Translate feedback and insights into actionable requirements, guiding the development of MVP features and iterating based on user experience.
* Manage third\-party vendors through agile development cycles, ensuring timely delivery of high\-value features.
* Champion continuous improvement, optimizing marketplace functionality and expanding its reach to external customers.
* Incorporate learnings into future product design, adapting to evolving member needs and market opportunities.
* Serve as a partner and advocate for members, supporting their journey and business growth within the Grameen network.
* Flexibly manage your product portfolio as new initiatives arise.
**About This Opportunity**
 Learn More and Apply
 Employer
 Grameen America
 Location
 New York, NY \- United States
 Date Posted
 07 February 2026
 Closing Date
 30 March 2026
 Regions
 North America
 Countries
 United States of America
 Flexibility
 Home\-based work
**About This Organization**
 More content from this Organization
 View All Jobs
**Share a job from your organization.**
 Submit a Job
**About This Organization**
 More content from this Organization
 BULLETIN
 Learn about upcoming webinars, news and publications.
 Subscribe
 Latest from Our Blog
 View all blog posts
 Blog 28 January 2026
 As Digitalization Grows, Will Indonesia’s Agent Networks Survive?
 Agents form a crucial human bridge between the cash and digital economies for local communities.
 Rhifa Ayudhia, Suardi Ihsan , MSC Southeast Asia
 Blog 14 January 2026
 Pocket Banks: Nigeria's Mobile Money Journey to Financial Inclusion
 While mobile money usage has skyrocketed in Nigeria, barriers remain around education, identity and digital access. If these obstacles are overcome, mobile money can become a true catalyst for opportunity and resilience.
 Chukwuma Nwofor, PwC Nigeria
 Blog 18 December 2025
 FinDev Financial Inclusion Year in Review 2025
 What did 2025 mean for financial inclusion? We look back at the ideas, debates and developments that shaped the sector over the past year. From a deepened focus on financial health and resilience, to rapid progress in AI experimentation, to growing funding constraints, the trends we saw this year paint a picture of both progress and increasingly complex challenges.
 Abby Augusta \&amp; Valdete Berisha, FinDev Gateway</t>
        </is>
      </c>
    </row>
    <row r="72">
      <c r="A72" t="inlineStr">
        <is>
          <t>li-4361053093</t>
        </is>
      </c>
      <c r="B72" t="inlineStr">
        <is>
          <t>Product Manager</t>
        </is>
      </c>
      <c r="C72" t="inlineStr">
        <is>
          <t>Ramsey Solutions</t>
        </is>
      </c>
      <c r="D72" t="inlineStr">
        <is>
          <t>linkedin</t>
        </is>
      </c>
      <c r="E72" t="inlineStr"/>
      <c r="F72" t="inlineStr"/>
      <c r="G72" t="inlineStr">
        <is>
          <t>Nashville, TN</t>
        </is>
      </c>
      <c r="H72" t="inlineStr"/>
      <c r="I72" t="inlineStr">
        <is>
          <t>**Description**
**Team** 
 :RamseyTrusted
**Location** 
 :Franklin, TN—on\-site, relocation assistance available, flexible schedules available
**Salary** 
 :$88,000 \- $130,000/year\* \+ profit sharing \+ benefits
* Range depends on skill level and overall experience.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You’ll help build the technical backbone that powers our digital products and brings HOPE to millions of people every day. As a Technical Product Manager, you’ll partner with engineers, SETs, and cross\-functional leaders to shape the internal tools, APIs, and platform services that make our teams faster, more consistent, and more effective. You’ll bridge strategy and execution—rolling up your sleeves to solve complex problems, remove roadblocks, and make sure our technology scales with excellence and purpose.
**You’re Probably a Match If**
* You have 5\+ years of experience in a software environment—engineering, product, or related roles and have personally owned initiatives from problem identification through delivery in production.
* You have 2\+ years of experience managing product roadmaps, backlogs, and delivery using Agile methodologies (Scrum, Kanban), including deciding what not to build and why.
* You have 2\+ years of experience making and documenting trade\-offs across architecture, balancing speed, reliability, and long\-term platform leverage.
* You’re fluent in Agile principles—building discovery cards, epics, user stories, and acceptance criteria that actually move work forward, starting from unclear problems and shaping them into solvable work.
* You’re comfortable leading and influencing conversations about architecture, performance trade\-offs, cloud infrastructure, and integrations, even when there is no obvious right answer.
* You can translate technical details into clear, meaningful communication—whether you’re presenting to senior leadership or writing documentation that helps others succeed—and you take accountability for alignment, not just information sharing.
**What Winning Looks Like**
* You own and actively drive a focused, prioritized technical roadmap for internal tools, APIs, and platform services that empower engineering teams to deliver faster and better.
* You lead with clarity and partnership, helping engineers unblock challenges andmake explicit trade\-offs.
* You build shared services and abstractions that reduce duplication and unlock speed across multiple product teams, with adoption by engineers as a core success metric.
* You define and track SLAs, error budgets, and performance metrics that prove reliability and drive excellence, and you adjust strategy when the data shows friction or underuse.
* You deliver documentation, SDKs, and onboarding guides that make our internal tools easy to adopt and even easier to love, enabling teams to self\-serve without repeated clarification.
* You communicate boldly and clearly—helping leadership understand the “why” behind technical decisions, surfacing risks early, and influencing the future of our platform.
* You keep a steady feedback loop with engineers, continuously refining platform direction based on real usage, not assumptions.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73">
      <c r="A73" t="inlineStr">
        <is>
          <t>li-4370178636</t>
        </is>
      </c>
      <c r="B73" t="inlineStr">
        <is>
          <t>ERP Product Manager- Hybrid</t>
        </is>
      </c>
      <c r="C73" t="inlineStr">
        <is>
          <t>JS Consulting</t>
        </is>
      </c>
      <c r="D73" t="inlineStr">
        <is>
          <t>linkedin</t>
        </is>
      </c>
      <c r="E73" t="inlineStr"/>
      <c r="F73" t="inlineStr"/>
      <c r="G73" t="inlineStr">
        <is>
          <t>Plain City, OH</t>
        </is>
      </c>
      <c r="H73" t="inlineStr"/>
      <c r="I73" t="inlineStr">
        <is>
          <t>**Job Title\-** 
**ERP Product Manager**
**Project Location Plain City OH (NW of Columbus) 4 days onsite in a week**
**Duration\- Fulltime**
**Relocation Offered: Yes (will pay relocateion)**
**They were ready to extend an offer this week but then found out the Candidate (in Indiana) would NOT relo, not sure how that slipped through the cracks but it makes this a HIGH PRIORITY, the client is ready to buy!!! The Candidate (no relo) had a background in agriculture and livestock genetics companies. They really want to hire someone with similar background. Midwest US (Ohio Indiana etc) is huge in agriculture and livestock, that is the place to search with also similar weather, culture, and seasons.**
**Job Description\-:** 
**Need candidates that have background with agro or livestock companies**
 Our client is North America's largest organization of its kind \- a network of privately owned and controlled cooperatives providing genetic solutions, technology, and services to agricultural producers, both domestically and world\-wide. The company is an industry leader known for its commitment to excellence, innovation, and operational efficiency.
 With a focus on digital transformation and AI\-driven intelligence, the organization is modernizing core ERP systems and advancing its use of data analytics, automation, and predictive modeling to improve decision\-making across the business.
 We are seeking an Application Architect with deep expertise in ERP systems, enterprise software development, and AI integration. This senior\-level role requires a hands\-on technical leader who can design and implement scalable systems that leverage machine learning, automation, and advanced analytics to support operational efficiency.
 A leading producer\-focused organization is undergoing a multi\-year digital transformation initiative to modernize its ERP and operational systems. The ERP Product Manager will serve as the senior technical leader responsible for designing, modernizing, and integrating ERP, CRM, and production systems that support supply chain, genetics, and herd management operations.
 This role is ideal for a candidate who understands agricultural or production industry workflows such as livestock management, supply chain logistics, order fulfillment, or cooperative\-based data sharing and can architect intelligent, scalable systems that improve forecasting, traceability, and profitability.
 The ERP Product Analyst serves as the strategic liaison between business stakeholders and the IT organization, focusing specifically on the planning, analysis, configuration, enhancement, and support of the organization's Enterprise Resource Planning (ERP) platform. Leveraging deep knowledge of ERP modules, business processes, and software tools, the ERP Product Analyst ensures system capabilities are fully aligned with organizational needs and delivers maximum value to business users.
 Operating in an Agile environment, the ERP Product Analyst partners with business leaders, end users, and technical teams to define business requirements, optimize ERP workflows, document features, and manage work items across modules such as finance, supply chain, operations, procurement, and HR (depending on the organizational ERP footprint).
**What You'll Be Doing**
* Collaborate with business owners to define and refine the high\-level vision, objectives, and functional needs of ERP solutions.
* Build strong relationships with stakeholders and module owners to ensure system enhancements directly support business priorities.
* Lead requirements\-gathering workshops, process\-mapping sessions, and solution\-definition meetings for ERP functionality.
* Analyze and document current business processes, identifying opportunities for automation, workflow improvement, and standardization within the ERP system.
* Build and maintain a module\-level ERP roadmap, incorporating upcoming releases, process improvements, and business initiatives.
* Facilitate creation and prioritization of ERP backlog items such as configuration changes, enhancements, integrations, reports, and data updates.
* Use behavior\-driven development or similar techniques to produce clear, testable requirements for ERP enhancements.
* Serve as the business proxy during backlog grooming, sprint planning, review, and retrospective sessions.
* Collaborate with technical teams to validate functional specifications and ensure alignment with business needs.
* Support ERP configuration, testing, troubleshooting, and data validation throughout the development lifecycle.
* Coordinate cross\-functional User Acceptance Testing (UAT), including test case creation, execution oversight, and defect management.
* Conduct end\-user training and create supporting materials such as job aids, process diagrams, and release notes.
* Provide ongoing support for ERP modules, resolving issues and optimizing system usage.
* Monitor ERP releases and updates, assessing their impact and planning required testing or business communication.
* Recommend best practices, industry\-standard process improvements, and opportunities for leveraging ERP capabilities more effectively.
**Required Education And Skills**
* Bachelor's degree in Business, IT, Supply Chain, Finance, or related field\-or equivalent relevant experience.
* 5\+ years of experience in ERP analysis, ERP support, business analysis, product ownership, or related functions.
* Hands\-on experience with major ERP platforms (e.g., SAP, Oracle, Microsoft Dynamics, Infor, NetSuite, or similar).
* Strong analytical, problem\-solving, and process\-mapping skills.
* Excellent communication skills with the ability to translate technical concepts into business language.
* Experience with Agile methodologies, Azure DevOps (or similar tools), and software development lifecycle processes.
* Background in agriculture, manufacturing, supply chain, or finance a plus (depending on company context).
* mend planning, or automation tools.</t>
        </is>
      </c>
    </row>
    <row r="74">
      <c r="A74" t="inlineStr">
        <is>
          <t>li-4370170798</t>
        </is>
      </c>
      <c r="B74" t="inlineStr">
        <is>
          <t>Engineering Product Manager</t>
        </is>
      </c>
      <c r="C74" t="inlineStr">
        <is>
          <t>Cisco</t>
        </is>
      </c>
      <c r="D74" t="inlineStr">
        <is>
          <t>linkedin</t>
        </is>
      </c>
      <c r="E74" t="inlineStr"/>
      <c r="F74" t="inlineStr"/>
      <c r="G74" t="inlineStr">
        <is>
          <t>Durham, NC</t>
        </is>
      </c>
      <c r="H74" t="inlineStr"/>
      <c r="I74" t="inlineStr">
        <is>
          <t>**The Application Window Is Expected To Close On**
**Job posting may be removed earlier if the position is filled or if a sufficient number of applications are received** 
 .
 Designs, develops, and manages activities for a specific product or group of products or services from product definition and planning through production, release, and end of life. Serves as the central resource with design, process, manufacturing, test, quality, and marketing as the product(s) move to production and distribution. Involvement lasts throughout all stages of a product’s lifecycle including modifications, upgrades, and maintenance of the product or product line. Coordinates departmental or cross\-functional teams, focused on delivering new or upgrading existing products. What You’ll Do:
* Delivers on product strategy and plans for multiple product capabilities; may undertake some or all activities on a product roadmap
* Contributes to, and executes, on feature/capability level strategy spanning 6\-12 months with guidance
* Reviews multiple data sources (e.g., customer feedback, product dependencies, product performance) to develop prioritization plan
* Ensures prioritization plan informs development of short to medium term capability roadmap
* Understands clear themes and alignment between product capability roadmap and broader product strategy and goals
* Undertands indicators for making technical trade\-offs using success metrics/data measures
* Collects and summarizes product pain points, business challenges, and feature requirements from both interna and external customers
* Understands customer needs and evaluates product feedback
* Generates ideas to translate to positive product outcomes
* Works closely with all relevant cross\-functional teams to prepare a case for product changes by analyzing associated costs and benefits of changes in scope
* Participates and plays active learning role in community engagement events and forums (e.g., councils, coaching forums) Minimum Qualifications: Typically: Bachelors \+ 5 years of related experience, or Masters \+ 3 years of related experience, or PhD \+ 0 years of related experience Preferred Qualifications: Varies based on the team and business needs \| Preferred Qualifications are desired education, experience, and skills that are in addition to Minimum Qualifications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$113,900\.00 to $161,000\.00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$135,800\.00 \- $222,400\.00
**Non\-Metro New York State \&amp; Washington State**
 $122,000\.00 \- $197,900\.00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75">
      <c r="A75" t="inlineStr">
        <is>
          <t>li-4370177486</t>
        </is>
      </c>
      <c r="B75" t="inlineStr">
        <is>
          <t>Product Owner, Procure to Pay IT Products</t>
        </is>
      </c>
      <c r="C75" t="inlineStr">
        <is>
          <t>Inside Higher Ed</t>
        </is>
      </c>
      <c r="D75" t="inlineStr">
        <is>
          <t>linkedin</t>
        </is>
      </c>
      <c r="E75" t="inlineStr"/>
      <c r="F75" t="inlineStr"/>
      <c r="G75" t="inlineStr">
        <is>
          <t>Los Angeles, CA</t>
        </is>
      </c>
      <c r="H75" t="inlineStr"/>
      <c r="I75" t="inlineStr">
        <is>
          <t>Department Summary
 The Business Information Technology (BIT) team is dedicated to designing, developing, configuring, enhancing, optimizing, and maintaining innovative products and platforms that enable UCLA’s core business functions, including Web Technologies, Budget \&amp; Financial Management, Human Resources Information, Customer Relationship Management, and Collaboration, Productivity, \&amp; Workplace Products. In partnership with administrative stakeholders, BIT ensures that its solutions deliver exceptional functionality, quality, business value, user experience, and digital accessibility, meeting the diverse needs and expectations of the campus community. The BIT team drives ITS' cloud\-first strategy by reducing technical debt, leveraging cutting\-edge techniques, partnering with other departments and teams to accelerate releases through advanced automation and application lifecycle management, and fostering a culture of continuous improvement and innovation to ensure scalable, flexible solutions that meet UCLA's evolving demands. The Budget \&amp; Financial Management Products team conceives, configures, monitors, defines, tests, delivers, optimizes, and refines budget \&amp; financial management products and application technologies, including but not limited to the Financial System (FS) General Ledger Applications, financial ERP, and procure to pay products. This team also focuses on optimizing user experience, addressing digital accessibility needs, partnering with cross\-functional delivery teams to ensure products meet business and user requirements, and collaborating with business stakeholders to iteratively improve the products over time.
 Position Summary
 The Business Information Technology (BIT) team is dedicated to designing, developing, configuring, enhancing, optimizing, and maintaining innovative products and platforms that enable UCLA’s core business functions, including Web Technologies, Budget \&amp; Financial Management, Human Resources Information, Customer Relationship Management, and Collaboration, Productivity, \&amp; Workplace Products. In partnership with administrative stakeholders, BIT ensures that its solutions deliver exceptional functionality, quality, business value, user experience, and digital accessibility, meeting the diverse needs and expectations of the campus community. The BIT team drives ITS' cloud\-first strategy by reducing technical debt, leveraging cutting\-edge techniques, partnering with other departments and teams to accelerate releases through advanced automation and application lifecycle management, and fostering a culture of continuous improvement and innovation to ensure scalable, flexible solutions that meet UCLA's evolving demands. The Budget \&amp; Financial Management Products team conceives, configures, monitors, defines, tests, delivers, optimizes, and refines budget \&amp; financial management products and application technologies, including but not limited to the Financial System (FS) General Ledger Applications, financial ERP, and procure to pay products. This team also focuses on optimizing user experience, addressing digital accessibility needs, partnering with cross\-functional delivery teams to ensure products meet business and user requirements, and collaborating with business stakeholders to iteratively improve the products over time.
 The Product Owner, Procure to Pay IT Products will play a critical role in the development, implementation, and continuous improvement of Procure to Pay Products and services, through creating and supporting a product vision, roadmap, and backlog, while also ensuring that they align with the university's strategic objectives and meet the evolving needs of UCLA's students, faculty, and staff. They will partner on strategizing the sunsetting and archiving the Legacy Procure to Pay system. The Product Owner, Procure to Pay IT Products will conduct customer research and collaborate with business owners and key stakeholders across the university campus to develop and convey a distinct product vision. The Procure to Pay IT Products Product Owner will be responsible for driving innovation and excellence by working closely with cross\-functional teams, stakeholders, and users to define requirements, prioritize features, and deliver exceptional value. The Product Owner, Procure to Pay IT Products will positively impact UCLA's operations and culture by enabling University stakeholders to effectively leverage Procure to Pay products and applications. This team member will advance the University's mission by delivering exceptional information technology services comprehensively and consistently across faculty, staff, and students. This role will execute UCLA's vision while modeling UCLA's culture and values.
 Salary \&amp; Compensation
* 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**Qualifications**
* Experience in complex higher education environments, serving academic and administrative functions of a large public university. (Preferred)
* Advanced knowledge of Procure to Pay product development concepts, practices, standards, and processes. (Required)
* Proven ability to identify key issues critical to the organization's long\-range success of a desired product or service. (Required)
* Analytical mindset, with experience in data\-driven decision\-making and performance measurement. (Required)
* Proven track record of delivering successful Procure to Pay Products that meet user needs and drive value. (Required)
* Strong written and verbal communication skills and is able to communicate complex technical ideas to a diverse community of colleagues and stakeholders. Can relay technical information to audiences of technical and non\-technical stakeholders. (Required)
* Able to establish and advance positive working relationships and a strong rapport with a diverse community of colleagues including team members, stakeholders, and customers. (Required)
* Advanced organizational skills, ability to balance priorities, deliver concurrent projects to various stakeholders. Ability to work in a project\-based environment using project management practices. (Required)
* Advanced problem\-solving skills; ability to identify root problems and scope solutions based on knowledge of resources, timelines, vision and strategy. Seeks information from diverse sources to inform solutions. Demonstrated ability to make decisions with integrity. (Required)
* Able to participate in activities to advance an inclusive environment that values equity, diversity, inclusion and belonging. (Required)
* Thinks creatively and introduces innovations such as the incorporation of new technologies or processes. Thrives in an ever\-changing, fast\-paced environment. (Required)
 Education, Licenses, Certifications \&amp; Personal Affiliations
* Bachelor's Degree in one or more of the following fields: business administration, organization development, communication, or public administration, or related field, or equivalent combination of experience/training. (Required)
* Certified Scrum Product Owner (Preferred)
 Special Conditions for Employment
* The anticipated pay range for this position is $95,400\.00 \- $148,538\.00, annually; salary is dependent upon the skills and experience of the selected finalist.
 NOTE: This position REQUIRES that a RESUME and COVER LETTER be submitted in addition to the application. Please have these two files ready to upload when applying.
* Background Check: Continued employment is contingent upon the completion of a satisfactory background investigation.
* Live Scan Background Check: A Live Scan background check must be completed prior to the start of employment.
 Schedule
 8 a.m. to 5 p.m., Pacific Time, Monday\-Friday and/or variable based on operational needs
 Union/Policy Covered
 99\-Policy Covered
 Complete Position Description
 https://universityofcalifornia.marketpayjobs.com/ShowJob.aspx?EntityID\=38\&amp;jobcode\=TBD\_3916</t>
        </is>
      </c>
    </row>
    <row r="76">
      <c r="A76" t="inlineStr">
        <is>
          <t>li-4370185163</t>
        </is>
      </c>
      <c r="B76" t="inlineStr">
        <is>
          <t>Senior Manager, Product Owner Reservation Platform Transformation</t>
        </is>
      </c>
      <c r="C76" t="inlineStr">
        <is>
          <t>Hotels AI</t>
        </is>
      </c>
      <c r="D76" t="inlineStr">
        <is>
          <t>linkedin</t>
        </is>
      </c>
      <c r="E76" t="inlineStr"/>
      <c r="F76" t="inlineStr"/>
      <c r="G76" t="inlineStr">
        <is>
          <t>Bethesda, MD</t>
        </is>
      </c>
      <c r="H76" t="inlineStr"/>
      <c r="I76" t="inlineStr">
        <is>
          <t>**Description**
**JOB SUMMARY**
 The Senior Manager, Product Owner supports Marriott’s Reservation Platform by combining business insight and technical expertise in product development and hospitality operations. This role drives Marriott’s central reservation strategy for lodging and non\-lodging products, guiding product definition, system configuration, business rules, and governance. The manager collaborates cross\-functionally with internal teams and vendors, and serves as the subject matter expert for Distribution, including OTAs, GDSs, and third\-party channels. Responsibilities include managing user roles, system audits, and Sarbanes\-Oxley compliance. Success requires strong leadership in a matrixed environment, stakeholder engagement, and a proven ability to solve complex problems creatively.
**CANDIDATE PROFILE**
**Required**
**Education and Experience**
* Undergraduate degree or equivalent experience/certification
* 6\+ years of Reservations, Revenue Management, Sales, Distribution, Digital or Operations work experience
* Experience with Distribution Systems (3rd party OTAs, GDSs)
**Preferred**
* Experience identifying and analyzing alternative solutions to complex business requirements and providing guidance and advice preferred
* Experience with Agile and Scrum Methodology
* Experience as a Product Systems owner in the lodging/hospitality industry experience or a related discipline
* Familiar with reviewing and documenting detailed requirements
* Experience with Marriott reservations and revenue management related systems, such as MARSHA, PMSs, Group Housing Solutions, High Performance Pricing, One Yield
**CORE WORK ACTIVITIES**
* Subject Matter Expert on all CRS functional requirements with a deep understanding of the link to Marriott business processes
* Subject Matter Expert on the user roles application and authorization that supports the Reservation Platform, including system certification
* Maintains and communicates the User Role accessibility materials to support the Reservation Platform including Sarbanes\-Oxley governance in accordance with their policies and procedures
* Understands the impacts of the Reservation platform and any proposed changes affecting Revenue Management, Distribution, Reservations, Group Housing, Digital, Global Operations, Loyalty
* Provides recommendations to improve the effectiveness of the Reservation platform
* Reviews and provides input into the learning and development materials, ensuring they are clear and concise for the end user
* Provides regular reporting and maintains ongoing communications to the Reservation Platform team
* Reviews QA test plans and test cases and carry out extensive effective User Experience Testing documenting defects in the defined timelines
* Collaborates with cross\-organization stakeholders to align strategy
* Works in partnership with the Learning Development, Learning Delivery, and Commercial RM Strategy teams to ensure proper training content is developed, and sustained effectively
* Submits reports in a timely manner, ensuring delivery deadlines are met.
* Promotes the documenting of project progress accurately.
* Provides input and assistance to other teams regarding projects.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t>
        </is>
      </c>
    </row>
    <row r="77">
      <c r="A77" t="inlineStr">
        <is>
          <t>li-4370040622</t>
        </is>
      </c>
      <c r="B77" t="inlineStr">
        <is>
          <t>Product Manager</t>
        </is>
      </c>
      <c r="C77" t="inlineStr">
        <is>
          <t>Total Quality Logistics</t>
        </is>
      </c>
      <c r="D77" t="inlineStr">
        <is>
          <t>linkedin</t>
        </is>
      </c>
      <c r="E77" t="inlineStr"/>
      <c r="F77" t="inlineStr"/>
      <c r="G77" t="inlineStr">
        <is>
          <t>Cincinnati, OH</t>
        </is>
      </c>
      <c r="H77" t="inlineStr"/>
      <c r="I77" t="inlineStr">
        <is>
          <t>**About the role:** 
 As a Product Manager for TQL you will develop products that support TQL's overall strategy and goals. You will be responsible for defining product vision and strategy, managing objectives and key results, understanding and interpreting quantitative and qualitative product insights, and working closely with business partners to accelerate value delivery. 
**What’s in it for you:** 
* $68,000\- $110,000 base salary
* Advancement opportunities with aggressive and structure career paths
* A culture of continuous education and technical training with reimbursements available
* Hybrid work environment with the ability to work remotely 40 hours per month
* Comprehensive benefits package
	+ Health, dental and vision coverage
	+ 401(k) with company match
	+ Perks including employee discounts, financial wellness planning, tuition reimbursement and more
* **Certified Great Place to Work** 
 and voted a
 **2019\-2026 Computerworld Best Places to Work in IT**
**What you’ll be doing:** 
* Identify customer needs, opportunities, and pain points via market research, supported by ongoing engagement with internal and external customers
* Collaborate with business stakeholders to create and maintain focused and intentional Product roadmaps
* Conduct competitive analysis to ensure TQL's offerings are best in class
* Own the process to generate business cases supported by alignment to TQL’s strategic focus and quantified with thorough cost\-benefit analyses
* Utilize data visualization tools to generate novel insights of how users engage with and realize value from TQL products.
* Conduct usability tests to inform continuous development of TQL products
* Report to senior management on the financial performance of your Product portfolio
**What you need:** 
* Bachelor's Degree in related field or equivalent experience
* Product or project management experience extremely desirable
* Moderate to advanced proficiency in Tableau or PowerBI
* Thorough understanding of common transportation industry practices and procedures
* Exceptional writing and editing skills combined with strong presentation skills
* Impeccable organization skills
* Moderate to advanced proficiency in Microsoft Office Suite
* Committed to high quality outcomes
* Extreme ownership and accountability habits
**Where you'll be:** 
 4289 Ivy Pointe Blvd Cincinnati, OH 45245
*Employment visa sponsorship is unavailable for this position. Applicants requiring employment visa sponsorship now or in the future (e.g., F\-1 STEM OPT, H\-1B, TN, J1 etc.) will not be considered.*</t>
        </is>
      </c>
    </row>
    <row r="78">
      <c r="A78" t="inlineStr">
        <is>
          <t>li-4370033692</t>
        </is>
      </c>
      <c r="B78" t="inlineStr">
        <is>
          <t>Product Owner</t>
        </is>
      </c>
      <c r="C78" t="inlineStr">
        <is>
          <t>Jobs via Dice</t>
        </is>
      </c>
      <c r="D78" t="inlineStr">
        <is>
          <t>linkedin</t>
        </is>
      </c>
      <c r="E78" t="inlineStr"/>
      <c r="F78" t="inlineStr"/>
      <c r="G78" t="inlineStr">
        <is>
          <t>Honolulu, HI</t>
        </is>
      </c>
      <c r="H78" t="inlineStr"/>
      <c r="I78" t="inlineStr">
        <is>
          <t>**Description**
 TEKsystems is seeking a full\-time Business Analyst / Product Owner position at their Honolulu headquarters. They will assist with Human Resource software and application development and serve as the point of contact between company management, engineering, QA, and other business stakeholders. Additionally, they will oversee various business projects and will diagnose, troubleshoot, and resolve problems in a timely manner.
 We are looking for someone with a minimum of 3 years of experience as a business analyst or product owner for a cloud or enterprise software product. Basic skills in systems design or programming, along with strong problem\-solving, analytical, and critical thinking skills are essential.
 Candidates in this role will have the option for hybrid work after training. Apply today for immediate consideration!
**Responsibilities**
 Able to gather and understand business functionality from various stakeholders and translate them into system and application requirements.
 Work closely with the engineering and QA teams to ensure specifications and application requirements are met.
 Oversee multiple business projects and manage and prioritize a product backlog.
 Provide technical support from project inception to completion.
 Continually seek areas for process and product improvement and execute changes.
 Provide assistance and training to end users.
 Develop and understand project reporting requirements.
 Becoming a subject matter expert in the assigned domains.
 Understanding business needs and prioritizing them against overall goals set by the product team.
 Perform other duties as assigned.
**Skills**
 Minimum 3 years of related work experience including project management experience leading small to medium projects.
 Proficiency in system design.
 Applied knowledge of software development lifecycle (SDLC) and agile methodology.
 Experience in wireframing and prototyping.
 Background in HR, onboarding, or applicant tracking systems desirable.
 Bachelor's degree in business, management, or related field desirable.
**Job Type \&amp; Location**
 This is a Permanent position based out of Honolulu, HI.
**Pay And Benefits**
 The pay range for this position is $80000\.00 \- $90000\.00/yr.
 Once you qualify, you'll receive a host of amazing benefits, including: free medical insurance holiday and vacation pay a 401(k) plan with 6% match employee discounts on a variety of services and entertainment and many other outstanding perks
**Workplace Type**
 This is a fully onsite position in Honolulu,HI.
**Application Deadline**
 This position is anticipated to close on Feb 20,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79">
      <c r="A79" t="inlineStr">
        <is>
          <t>li-4370022963</t>
        </is>
      </c>
      <c r="B79" t="inlineStr">
        <is>
          <t>TikTok Shop - Logistics Experience Operations Program Manager</t>
        </is>
      </c>
      <c r="C79" t="inlineStr">
        <is>
          <t>TikTok</t>
        </is>
      </c>
      <c r="D79" t="inlineStr">
        <is>
          <t>linkedin</t>
        </is>
      </c>
      <c r="E79" t="inlineStr"/>
      <c r="F79" t="inlineStr"/>
      <c r="G79" t="inlineStr">
        <is>
          <t>Seattle, WA</t>
        </is>
      </c>
      <c r="H79" t="inlineStr"/>
      <c r="I79" t="inlineStr">
        <is>
          <t>**Responsibilities**
 Logistics Experience Operations team is dedicated to enhancing the end\-to\-end consumer logistics experience in our international e\-commerce business. With a strong emphasis on consumer experience metrics, the team leverages data\-driven insights, market research, and benchmarking to continuously optimize logistics operations and processes. By driving innovation in logistics models and solution design, the team ensures that every touchpoint in the consumer journey is seamless, efficient, and trustworthy.
 Responsibilities
 \- Partner with U.S. logistics teams to identify consumer pain points and deliver solutions that enhance the end\-to\-end logistics experience, in close collaboration with operations, product, and governance teams.
 \- Drive innovation in business models and product solutions for overseas markets to strengthen logistics capabilities, increase user conversion, and improve consumer satisfaction.
 \- Leverage data analysis to uncover insights, monitor key metrics, and continuously optimize logistics operations and processes.
 \- Translate market insights and benchmarking into actionable strategies, working with merchant and governance teams to refine policies and enhance the platform environment.
 \- Lead cross\-functional projects end\-to\-end: identify issues, propose and implement solutions, and ensure iterative improvements.
**Qualifications**
 Minimum Qualifications
 \- Bachelor’s degree or above, with 5\+ years of experience in platform logistics operations, strategic planning, or business analysis.
 \- Strong analytical and problem\-solving skills, with proven ability to translate data into actionable business solutions.
 \- Excellent communication, collaboration, and stakeholder management skills, with strong resilience.
 \- Customer\-oriented mindset with strong ownership, adaptability, and curiosity.
 Preferred Qualifications
 \- Prior experience in international e\-commerce logistics is a plus.
 \- Fast learner with demonstrated ability to adapt to evolving business needs.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$111467 \- $208578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80">
      <c r="A80" t="inlineStr">
        <is>
          <t>li-4368930010</t>
        </is>
      </c>
      <c r="B80" t="inlineStr">
        <is>
          <t>Senior Product Manager, Airtable</t>
        </is>
      </c>
      <c r="C80" t="inlineStr">
        <is>
          <t>Jobs via Dice</t>
        </is>
      </c>
      <c r="D80" t="inlineStr">
        <is>
          <t>linkedin</t>
        </is>
      </c>
      <c r="E80" t="inlineStr"/>
      <c r="F80" t="inlineStr"/>
      <c r="G80" t="inlineStr">
        <is>
          <t>San Francisco, CA</t>
        </is>
      </c>
      <c r="H80" t="inlineStr"/>
      <c r="I80" t="inlineStr">
        <is>
          <t>RESPONSIBILITIES:
 Kforce's client in San Francisco, CA is looking for a Product Manager.
 Overview:
 In this role, you will drive the strategy, design, and implementation of automation and workflow/process improvement initiatives to support operating goals across multiple business teams. You will work cross\-functionally with Merchandising, Creative, Product Development, Care Center, Wholesale, Product, and Technology teams across the enterprise. You will ensure workflow implementations and automations meet outcome expectations and will be responsible for training and developing process improvement proficiency for end\-users.
 Additional Context:
 The client is looking for someone who can drive streamline workflows through automation and establishing data governance for attribution. Automating web merchandising is part of that, as well as the creative asset generation (images) and associated attribution.
 Duties:
* Increase speed and efficiency of business workflows
* Lead, prioritize and coordinate the roadmap, process maps, data flows
* Own the analysis, requirement gathering, design, documentation, building, and implementation of Airtable functions to meet business needs
* Collaborate with business and technology teams to streamline complex business workflows
* Establish Center of Excellence for Airtable ensuring brand adoption of best practices
* Build Airtable apps to create new workflows, analyze data, and drive insights for leadership
* Design and drive integrations between Airtable and merchandising systems platforms
* Partner with project managers, engineers, and architects to deliver Airtable related projects
 REQUIREMENTS:
* 2\+ years of experience in related work experience in operations and process improvement
* Workflow Optimization: Experience defining and documenting new workflows, implementing those workflows, and operationalizing, supporting process improvement efforts
* Change Management: Experience with change management efforts and working with business partners to implement process improvement changes
* Experience with ecommerce, specifically around web merchandising and concepts like Product Information Management (PIM), Enterprise DAM (eDAM/Digital Asset Management), Taxonomy, Product Categorization
* Past life as a buyer, planner, merchandiser, sourcing role could add value to success in this role
* Strong expertise in change management, business workflows, and product catalog management is essential
* Strong understanding of workflow automation, data organization, and user adoption
* Demonstrated ability to translate business vision into tactical execution and deliver results
* The candidate should be outcome\-focused, possess a keen sense of ownership, and demonstrate effective communication skills across different audiences
* Strong professional business acumen
* Self\-motivated and able to work independently
* Ability to work collaboratively and influence others within a matrix environment
* Excellent organizational skills
* Ability to develop and foster constructive business relationships and gain their trust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81">
      <c r="A81" t="inlineStr">
        <is>
          <t>li-4369161276</t>
        </is>
      </c>
      <c r="B81" t="inlineStr">
        <is>
          <t>Product Manager - Asset Backed Financing</t>
        </is>
      </c>
      <c r="C81" t="inlineStr">
        <is>
          <t>Jobs via Dice</t>
        </is>
      </c>
      <c r="D81" t="inlineStr">
        <is>
          <t>linkedin</t>
        </is>
      </c>
      <c r="E81" t="inlineStr"/>
      <c r="F81" t="inlineStr"/>
      <c r="G81" t="inlineStr">
        <is>
          <t>New York, NY</t>
        </is>
      </c>
      <c r="H81" t="inlineStr"/>
      <c r="I81" t="inlineStr">
        <is>
          <t>RESPONSIBILITIES:
 Kforce has a client that is looking for a Product Manager \- Asset\-Based Finance Platforms in New York, NY.
 Summary:
 We are looking for an experienced Product Manager to lead the vision, strategy, and execution of technology platforms that support a global Asset\-Based Finance (ABF) investment business. This role centers on building modern, data\-driven tools that enhance portfolio management, deal modeling, risk assessment, and performance analytics across a wide range of structured finance and credit assets. You will partner closely with Investment, Risk, Operations, Legal, and Engineering teams to deliver scalable solutions used across the full investment lifecycle.
 Duties:
* Develop and own a multi\-year product strategy and roadmap for ABF technologies, ensuring alignment with global business objectives; Establish measurable goals and continuously refine priorities based on user feedback, evolving market dynamics, and organizational needs
* Lead and mentor a team of product managers responsible for building tools that support ABF investment workflows; Guide products from concept through delivery, promoting consistency and high\-quality user experience across regions
* Drive the creation of advanced analytics, dashboards, and reporting capabilities that enhance visibility into risk, exposures, and performance
* Collaborate with Engineering to define standardized metrics and build reliable, real\-time insights
* Cultivate strong relationships with stakeholders to gather requirements, integrate regulatory nuances, and ensure adoption of scalable solutions
* Oversee third\-party solution assessments and manage vendor relationships to guarantee high\-quality, cost\-effective platforms
* Champion a platform\-driven approach that supports interoperability, reuse, and seamless integration across investment and risk ecosystems
 REQUIREMENTS:
* Extensive experience (10\+ years) in product management, data analytics, investment technology, asset management, or related fields, with deep knowledge of Asset\-Based Finance products and workflows
* Expertise across multiple ABF asset types, including consumer credit, residential mortgages, structured credit, and distressed or non\-performing assets
* Hands\-on experience with structured deal modeling and analytics, including scenario analysis, cash flow forecasting, and waterfall structures
* Strong understanding of asset\-specific risk drivers such as delinquency, prepayment behavior, default timing, and recovery assumptions
* Track record of delivering intuitive, scalable tools for investment and risk teams, informed by strong user\-research and design practices
* Ability to communicate complex technical and financial concepts effectively to leadership and cross\-functional partners
* Experience partnering with engineering teams to design scalable data models, workflow automation, and architecture for structured finance processes
 Why This Role Stands Out:
* Opportunity to shape global platforms used across a major investment business
* High visibility with senior stakeholders across multiple disciplines
* Blend of strategic leadership, product innovation, and technical problem\-solving
* Impactful work supporting sophisticated analytics and investment decisions
* Chance to build and guide a specialized product team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82">
      <c r="A82" t="inlineStr">
        <is>
          <t>li-4281922258</t>
        </is>
      </c>
      <c r="B82" t="inlineStr">
        <is>
          <t>Deputy Program Manager – Aerospace</t>
        </is>
      </c>
      <c r="C82" t="inlineStr">
        <is>
          <t>Killeen Group</t>
        </is>
      </c>
      <c r="D82" t="inlineStr">
        <is>
          <t>linkedin</t>
        </is>
      </c>
      <c r="E82" t="inlineStr"/>
      <c r="F82" t="inlineStr"/>
      <c r="G82" t="inlineStr">
        <is>
          <t>Skagit County, WA</t>
        </is>
      </c>
      <c r="H82" t="inlineStr"/>
      <c r="I82" t="inlineStr">
        <is>
          <t>The Killeen Group is seeking a
 **Deputy Program Manager** 
 on behalf of a leading manufacturer in Skagit County, WA. This growing company provides
 **award\-winning service** 
 to the commercial aerospace, space and defense markets.
 The
 **Deputy Program Manager** 
 is a
 **key force** 
 behind the success of the engineering team—driving strategic initiatives, streamlining execution, and amplifying the impact of the Program Director.
 This high\-visibility role demands a sharp, proactive leader who thrives in complexity, anticipates challenges, and builds trusted partnerships across the organization. The ideal candidate will possess a deep understanding of engineering operations, organizational dynamics, and process optimization, ensuring seamless execution of key initiatives.
**Title:** 
 Deputy Program Manager
**Location(s):** 
 Onsite – Hamilton, WA
**Type:** 
 Salaried, Full\-time
**Salary:** 
 $125,000\-150,000/yr \+ Bonus
**Travel:** 
 On\-site with potential opportunities for off\-site
**Duties:** 
* Make informed decisions and resolve issues by exercising sound judgment and communicating critical outcomes to appropriate stakeholders, often acting on behalf of senior leadership
* Plan, coordinate, and facilitate meetings, conferences, and special events, handling logistics and preparing materials as needed
* Provide executive support with minimal guidance, managing priorities, scheduling, and delegating tasks when necessary
* Serve as the central coordination point across departments, ensuring effective collaboration and communication between executive leadership, department heads, and staff
* Handle sensitive information with discretion, professionalism, and strict confidentiality
* Represent the Program Director in external meetings, ensuring seamless alignment with organizational goals
* Undertake and manage special projects of varying sizes and complexities, ensuring they are completed on time and within scope
* Partner with executive leadership to develop and implement long\-term strategic plans, setting key performance indicators and monitoring progress toward business objectives
* Navigate complex organizational dynamics with diplomacy and strategic awareness, fostering open communication to build and maintain strong stakeholder relationships
* Perform additional responsibilities as required, recognizing that duties are not limited to the above\-listed functions
* Ensure the Program Director’s active involvement in key engineering decision\-making processes
* Act as a trusted advisor to the Program Director and executive leadership, providing insights and recommendations for workflow optimization, collaboration enhancement, and budget management based on a deep understanding of engineering and business operations Promote best practices in design for manufacturability and design for assembly
**Qualifications:** 
*Required:* 
* This position requires the ability to obtain a U.S. Secret Security Clearance (
 **U.S. Citizenship Required** 
 ). The Company will assist in gaining this access once employed. Special Access Program or other Government Access Requirements are mandatory for this position and requires candidate agreed to enter a Continuous Evaluation program.
* 10\+ years of relevant industry experience preferred, with strong leadership in engineering, manufacturing, or business operations
* Proven experience working directly with senior leadership, managing strategic initiatives, and influencing decision\-making
* Expertise in leading complex engineering or business projects, coordinating cross\-functional teams, and ensuring timely execution and stakeholder alignment
* Strong analytical and problem\-solving skills, with a proactive, inquisitive, and intuitive approach to challenges
* Advanced project management abilities, with demonstrated success in executing initiatives and meeting strategic objectives
* Strong leadership and interpersonal skills, with the ability to collaborate effectively and influence stakeholders at all levels
* Proven ability to manage confidential data and executive\-level discussions with professionalism and discretion
* Ability to thrive in a fast\-paced, dynamic environment, balancing multiple priorities with efficient and effective time management
* High level of integrity, professionalism, and discretion in handling confidential information
* Exceptional verbal and written communication skills in English, with experience presenting to executives, managing customer relations, and negotiating contracts
**Benefits:** 
* Medical, dental, and vision insurance with employer contribution
* Disability insurance as well as Life/AD\&amp;D insurance
* HSA (Health Savings Account) with employer contribution and FSA (Flexible Savings Account)
* 401k with employer matching
* Paid time off and paid holidays (including two floating holidays)
* Education reimbursement program
* Education reimbursement program available after 1\-year of service
**Next Steps:** 
 If selected and progressed, you will:
* Conduct a screening call with a Killeen Group recruiter
* Conduct 1\-3 interviews with hiring company</t>
        </is>
      </c>
    </row>
    <row r="83">
      <c r="A83" t="inlineStr">
        <is>
          <t>li-4370189582</t>
        </is>
      </c>
      <c r="B83" t="inlineStr">
        <is>
          <t>Senior Product Manager, Oncology</t>
        </is>
      </c>
      <c r="C83" t="inlineStr">
        <is>
          <t>Labcorp</t>
        </is>
      </c>
      <c r="D83" t="inlineStr">
        <is>
          <t>linkedin</t>
        </is>
      </c>
      <c r="E83" t="inlineStr"/>
      <c r="F83" t="inlineStr"/>
      <c r="G83" t="inlineStr">
        <is>
          <t>Burlington, NC</t>
        </is>
      </c>
      <c r="H83" t="inlineStr"/>
      <c r="I83" t="inlineStr">
        <is>
          <t>The Senior Product Manager is responsible for driving product strategy and managing tests and services within Labcorp's oncology portfolio with the aim of delivering highly differentiated tests to market with an optimal client ordering\-to\-reporting experience, addressing key customer needs and alignment with market trends, and achievement of key business objectives to drive growth.
 This individual will deeply collaborate with the Oncology Product Marketing and Customer Marketing teams, Science, Medical Affairs, Commercial Strategy, Market Access and RCM teams, among others, to ensure strategic insights and perspectives about the target customers and the market are brought in to enable development of successful and impactful go\-to\-market and retention strategies.
 The role requires a high level of collaboration across internal functions and externally with hospitals \&amp; health systems, oncologists, pathologists, and precision medicine thought leaders.
 The candidate must reside in New York (NY), California (CA), or North Carolina (NC), located near a Labcorp hub. Applicants who live within 35 miles of either the Burlington, NC or Durham, NC location will follow a hybrid schedule, which includes a minimum of three in\-office days per week at an assigned location—either Burlington or Durham—supporting both collaboration and flexibility.
**Responsibilities**
* Drive lifecycle strategy, product ownership and management of tests and services within the oncology portfolio, from initiation to sunset, and across various intended uses (biopharma service, laboratory\-developed tests or LDTs, kitted IVDs including supporting software), ensuring we deliver solutions that address the client's evolving needs, and drive customer satisfaction to promote loyalty
* Develops and executes multi\-year product strategy in partnership with other key stakeholders based on deep customer insights and understanding of market dynamics
+ Utilize standard marketing practices to develop comprehensive business cases to win investment in their portfolio (including portfolio management, marketing strategy, customer segmentation and targeting, reimbursement analysis, financial modeling, risk management, value proposition development, etc.).
+ Gather customer feedback and analyze product performance and portfolio KPIs to actively develop strategies for performance improvement, ecosystem and experience enhancement, margin expansion, and operational efficiencies
* Represent the voice of customers in the Product Lifecycle Committee; serves as the subject matter expert on market dynamics, client needs, workflows and ordering and reporting experience,
* Facilitate stakeholder alignment and buy\-in around key strategies (product evolution, pricing, ecosystem) to promote successful market adoption.
* Tracks business initiatives, forecasts performance of assigned product, tracks on\-market performance, and advises the senior leadership about relevant strategic actions to promote growth
* Key stakeholder in the development of launch strategies and commercialization plans, partnering with Product and Customer marketing in defining the go\-to\-market plans, with Science, Market Access, and Medical Affairs, to ensure development and delivery of evidence to support clinical utility and drive test coverage
* Build relationships with customers, thought leaders, trade associations, and industry players to facilitate engagement and promotion
**Education And Work Experience**
* B.S. Degree required; preferred degree(s): Molecular Biology, Life Sciences, or related degree
* 3\-5 years in the biotech/medtech/pharma/ diagnostic industry
* 3\+ years of managing centralized services and distributed (kitted) products, including supporting software, in the biotech/ medtech/ pharma industries
* 3\+ years managing projects or actively working on core teams
* Demonstrated success in developing and executing on product strategies and commercializing regulated products,
* Preferred advanced degree in molecular biology, bioinformatics or related field.
* Advanced degree (MS or PhD) in molecular biology, bioinformatics or related field preferred
* Experience working with regulated products is a must
**Skills And Competencies**
* Demonstrated ability to design, communicate and deliver compelling product strategies to service the diagnostic and biopharma markets and support products across the full lifecycle to deliver optimal customer experience
* Demonstrated expertise in developing centralized and distributed (kitted) solutions for oncology testing
* Deep knowledge of both the provider and biopharma segments
+ Behavioral and psychographic client profiles
+ Customer segmentation (by account type/ practice setting, by role, by specialization, etc)
+ Needs and decision drivers to optimize test adoption and utilization
* Deep understanding of the diagnostic and biopharma markets
+ US and ex\-US testing markets, market access and reimbursement dynamics
+ Testing access and support across the full continuum of care (for diagnostics) and across the therapeutic development pipeline (for biopharma)
* Strong technical background and understanding of technology platforms for molecular and pathology\-based testing
* Strong business acumen and analytical skills
* Strong understanding of the commercial/ sales process and selling into the provider and biopharma market
* Demonstrated expertise in collaborating and driving alignment and buy\-in across internal stakeholder functions and externally with hospitals \&amp; health systems, oncologists, pathologists, and precision medicine thought leaders.
**Application Window:** 
 Application window will close on February 16, 2026\.
**Pay Range** 
 $150,000 \- $160,000 annually plus annual bonus eligibility
 All job offers will be based on a candidate’s skills and prior relevant experience, applicable degrees/certifications, as well as internal equity and market data. The position is also eligible for an annual bonus under the Labcorp Bonus Plan. Bonuses are payable based on corporate and/or business segment performance and are subject to individual performance modifiers.
**Benefits:** 
 Employees regularly scheduled to work 20 or more hours per week are eligible for comprehensive benefits including: Medical, Dental, Vision, Life, STD/LTD, 401(k), Paid Time Off (PTO) or Flexible Time Off (FTO), Tuition Reimbursement and Employee Stock Purchase Plan. Casual, PRN \&amp; Part Time employees regularly scheduled to work less than 20 hours are eligible to participate in the 401(k) Plan only. Employees who are regularly scheduled to work a 7 on/7 off schedule are eligible to receive all the foregoing benefits except PTO or FTO. For more detailed information, please click here.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row>
    <row r="84">
      <c r="A84" t="inlineStr">
        <is>
          <t>li-4370181810</t>
        </is>
      </c>
      <c r="B84" t="inlineStr">
        <is>
          <t>Program Manager, Clinical Data Science</t>
        </is>
      </c>
      <c r="C84" t="inlineStr">
        <is>
          <t>ICON Strategic Solutions</t>
        </is>
      </c>
      <c r="D84" t="inlineStr">
        <is>
          <t>linkedin</t>
        </is>
      </c>
      <c r="E84" t="inlineStr"/>
      <c r="F84" t="inlineStr"/>
      <c r="G84" t="inlineStr"/>
      <c r="H84" t="inlineStr"/>
      <c r="I84" t="inlineStr">
        <is>
          <t>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Program Manager, Clinical Data Science to join our diverse and dynamic team. As a Program Manager in Clinical Data Science at ICON, you will play a crucial role in overseeing and coordinating data science initiatives within clinical programs. You will lead cross\-functional teams to ensure the successful execution of data\-driven projects, from data collection and analysis to the implementation of insights that drive clinical outcomes and operational efficiencies.
**What You Will Be Doing**
* Managing the end\-to\-end execution of clinical data science programs, including planning, resource allocation, and delivery of data science projects within scope, time, and budget constraints.
* Coordinating with data scientists, statisticians, clinical researchers, and other stakeholders to ensure alignment on project objectives, data requirements, and analytical approaches.
* Developing and maintaining program plans, timelines, and budgets, and monitoring progress to ensure timely and successful completion of data science initiatives.
* Providing strategic oversight and guidance on data science methodologies, ensuring that analyses are rigorous, valid, and aligned with clinical and regulatory standards.
* Communicating program status, insights, and outcomes to stakeholders, including executive leadership, and addressing any issues or risks that may impact program success.
**Your Profile**
* Bachelor’s degree in data science, statistics, clinical research, or a related field. Advanced degree and/or relevant certifications are preferred. Extensive experience in program management within the clinical data science or related domain.
* Strong background in data science methodologies, statistical analysis, and clinical research, with a track record of successfully managing complex data\-driven projects.
* Exceptional leadership skills with experience managing cross\-functional teams and collaborating with various departments to achieve program objectives.
* Proficiency in project management tools and techniques, with experience in risk management, budgeting, and resource planning.
* Excellent communication and interpersonal skills, with the ability to convey complex data insights clearly and build effective relationships with stakeholders at all levels.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 Various annual leave entitlements
* A range of health insurance offerings to suit you and your family’s needs.
* Competitive retirement planning offerings to maximize savings and plan with confidence for the years ahead.
* Global Employee Assistance Programme, LifeWorks, offering 24\-hour access to a global network of over 80,000 independent specialized professionals who are there to support you and your family’s well\-being.
* Life assurance
* Flexible country\-specific optional benefits, including childcare vouchers, bike purchase schemes, discounted gym memberships, subsidized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or submit a request here
 Interested in the role, but unsure if you meet all of the requirements? We would encourage you to apply regardless – there’s every chance you’re exactly what we’re looking for here at ICON whether it is for this or other roles.
 Are you a current ICON Employee? Please click here to apply</t>
        </is>
      </c>
    </row>
    <row r="85">
      <c r="A85" t="inlineStr">
        <is>
          <t>li-4370175617</t>
        </is>
      </c>
      <c r="B85" t="inlineStr">
        <is>
          <t>Program Manager</t>
        </is>
      </c>
      <c r="C85" t="inlineStr">
        <is>
          <t>Patriot Enterprises LLC</t>
        </is>
      </c>
      <c r="D85" t="inlineStr">
        <is>
          <t>linkedin</t>
        </is>
      </c>
      <c r="E85" t="inlineStr"/>
      <c r="F85" t="inlineStr"/>
      <c r="G85" t="inlineStr">
        <is>
          <t>Fort Knox, KY</t>
        </is>
      </c>
      <c r="H85" t="inlineStr"/>
      <c r="I85" t="inlineStr">
        <is>
          <t>**Description:** 
 Patriot Enterprises will provide transition assistance, information, training, counseling, and services to eligible Soldiers, spouses and families in support of the US Army's Transition Assistance Program (TAP).
**Duties And Responsibilities**
* Serve as Patriots authorized representative with full authority over day\-to\-day contract execution, workforce direction, and operational decision\-making.
* Provide centralized leadership for a large, geographically dispersed workforce, ensuring consistent performance, accountability, and service delivery across all supported locations.
* Establish and enforce standardized management, scheduling, and reporting processes to ensure mission coverage, staffing continuity, and compliance with contract requirements.
* Maintain routine and sustained coordination with the Government Contracting Officer's Representative (COR), and other government leadership to ensure alignment with performance expectations and timely resolution of issues.
* Act as the primary interface between Government stakeholders and contractor personnel for operational matters, performance discussions, and corrective actions.
* Monitor workforce performance using defined metrics and quality standards, implementing corrective actions, and continuous improvement initiatives as required.
* Ensure all positions are staffed with qualified personnel, including oversight of onboarding, credentialing, backfill, and surge support across multiple geographic locations.
* Manage staffing coverage during normal operations, Government closures, holidays, and contingency conditions to ensure uninterrupted mission support.
* Identify, assess, and mitigate operational and staffing risks, escalating issues appropriately and implementing preventive measures.
* Ensure contractor compliance with all contractual, security, and personnel requirements.
**Education And Experience**
* Bachelor's degree from an accredited institution in Business Administration, Management, Human Resources, Public Administration, or a related field.
* Minimum ten (10\) years of experience in program or contract management supporting in support of geographically dispersed programs
* Understanding and experience working within Army organizations at senior echelons with experience supporting / executing Army Transition Assistance programs is preferred.</t>
        </is>
      </c>
    </row>
    <row r="86">
      <c r="A86" t="inlineStr">
        <is>
          <t>li-4361456790</t>
        </is>
      </c>
      <c r="B86" t="inlineStr">
        <is>
          <t>VACANCY CONTROL PROGRAM MANAGER</t>
        </is>
      </c>
      <c r="C86" t="inlineStr">
        <is>
          <t>NYC Department of Social Services</t>
        </is>
      </c>
      <c r="D86" t="inlineStr">
        <is>
          <t>linkedin</t>
        </is>
      </c>
      <c r="E86" t="inlineStr"/>
      <c r="F86" t="inlineStr"/>
      <c r="G86" t="inlineStr">
        <is>
          <t>Manhattan, NY</t>
        </is>
      </c>
      <c r="H86" t="inlineStr"/>
      <c r="I86" t="inlineStr">
        <is>
          <t>APPLICANTS MUST BE PERMANENT IN THE PRINCIPAL ADMINISTRATIVE ASSOCIATE TITLE.
 The Human Resources Administration (HRA) is dedicated to fighting poverty and income inequality by providing New Yorkers in need with essential benefits such as Food Assistance and Emergency Rental Assistance. As the largest local social services agency in the country, HRA helps more than three million New Yorkers annually through the administration of more than 15 major public assistance programs.
 The Supportive Housing and Specialized Services Department provides access to supportive housing and services for NYC’s most vulnerable individuals and families (including some specialized programs involving APS services and survivors of DV) by partnering with community providers and other City Agencies to ensure maximum utilization of all supportive housing units \- over 38,000\. The department’s mission is to ensure that homeless and at risk of homeless households not only obtain safe, appropriate housing but also maintain long\-term stability through coordinated operational, administrative, and support services.
 The Human Resources Administration (HRA) Is Recruiting For One (1\) Principal Administrative Associate III To Function As a Vacancy Control Program Manager, Who Will
* Monitor the unit status of the roughly 20,000 supportive housing re\-rental units where HRA functions as the referral entity.
* Daily, collect information regarding pending vacancies, tenant move\-ins, move\-outs, apartment transfers and off\-line units.
* Confirm all pending vacancies for contracted portfolio in City’s Coordinated Assessment and Placement System (CAPS), coordinating with provider as needed.
* Serve as a liaison between Supportive Housing Providers and the Referral Unit to trouble shoot scheduling client interviews and assist with clarity of the housing interview request.
* Coordinate and evaluate various reports from CAPS to identify vacancies, review efficiency of processes and outcomes of the team.
* Hold regular supervision meetings with Vacancy Unit staff members.
* Coordinate and distribute the work of newly assigned Supportive Housing projects ready for re\-rental to the Vacancy staff.
* Assign vacancies to VCU staff, conduct the first level review of each vacancy, guides staff, provide technical assistance to housing providers, and work cooperatively with the Referral Team to ensure vacancies are cleared correctly and efficiently.
* Train Vacancy Unit staff in the use of CAPS and review staff and housing provider activity using CAPS and a variety of reports.
* Conduct/Participate in unit/staff meetings and represent the Vacancy Unit in meetings.
* Perform other administrative duties as required.
 PRINCIPAL ADMINISTRATIVE ASSOC \- 10124
**Minimum Qualifications**
* A baccalaureate degree from an accredited college and three years of satisfactory full\-time progressively responsible clerical/administrative experience, one year of which must have been in an administrative capacity or supervising staff performing clerical/administrative work of more than moderate difficulty; or
* An associate degree or 60 semester credits from an accredited college and four years of satisfactory full\-time progressively responsible clerical/administrative experience including one year of the administrative supervisory experience described in "1" above; or
* A four\-year high school diploma or its educational equivalent approved by a State's department of education or a recognized accrediting organization and five years of satisfactory full\-time progressively responsible clerical/administrative experience including one year of the administrative supervisory experience as described in "1" above;
* Education and/or experience equivalent to "1", "2", or "3" above. However, all candidates must possess the one year of administrative or supervisory experience as described in "1" above. Education above the high school level may be substituted for the general clerical/administrative experience (but not for the one year of administrative or supervisory experience described in "1" above) at a rate of 30 semester credits from an accredited college for 6 months of experience up to a maximum of 3½ years.
 55a Program
 This position is also open to qualified persons with a disability who are eligible for the 55\-a Program. Please indicate at the top of your resume and cover letter that you would like to be considered for the position through the 55\-a Program.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 $66,062\.00 – $75,971\.00</t>
        </is>
      </c>
    </row>
    <row r="87">
      <c r="A87" t="inlineStr">
        <is>
          <t>li-4361446748</t>
        </is>
      </c>
      <c r="B87" t="inlineStr">
        <is>
          <t>Program Manager II, AMPV Production</t>
        </is>
      </c>
      <c r="C87" t="inlineStr">
        <is>
          <t>BAE Systems, Inc.</t>
        </is>
      </c>
      <c r="D87" t="inlineStr">
        <is>
          <t>linkedin</t>
        </is>
      </c>
      <c r="E87" t="inlineStr"/>
      <c r="F87" t="inlineStr"/>
      <c r="G87" t="inlineStr">
        <is>
          <t>York, PA</t>
        </is>
      </c>
      <c r="H87" t="inlineStr"/>
      <c r="I87" t="inlineStr">
        <is>
          <t>**Job Description**
 BAE Systems is hiring a Program Manager (PM) for our Combat Mission Systems (CMS) business. This Program Manager II will be responsible for managing and delivering scope on our Armored Multi\-Purpose Vehicle (AMPV) Production program. The role reports directly to the AMPV Program Manager. This position will focus on various areas of production where you will work with a cross\-functional team to ensure the program meets schedule, operates within budget, and at the expected level of quality.
 Location/Schedule/Travel:
* This position will be based in York, Pennsylvania or Sterling Heights, MI.
* The role works on a 9/80 schedule where you will have every other Friday off
* This position will involve 25% of travel, based on business needs.
**Program Manager II Will Be Responsible For**
* Managing scope to achieve cost/profitability, schedule, and technical performance objectives
* Establishing and leading the matrixed team delivering the scope (engineering, quality, operations, supply chain, manufacturing, and/or others)
* Monitoring and controlling activities on current contracts including disciplined, effective change management
* Leading AMPV program’s organization, planning, program management, and change management according to BAE Systems’ Life Cycle Management (LCM) and Business Management System (BMS) processes
* Actively and effectively managing risks and opportunities
* Making timely decisions with sound judgment while complying with policies and procedures
* Continuously improving program performance including capturing, evaluating, and sharing lessons learned
* Meeting financial commitments for orders, sales, profit and cash flow
* Developing and executing program/project plans specifying goals, staffing, scheduling, identification of risks, contingency plans, and allocation of available resources
* Managing, understanding, and communicating program Earned Value Management metrics and processes
* Leading the development of capture plans and preparation of proposals in response to various customer requests
* Attract, motivate, and lead teams, from multiple sites and/or cultures, including industry partners and suppliers
* Lead and inspire diverse teams in a high tempo environment
**Required Education, Experience, \&amp; Skills**
* Bachelor’s Degree and 10 years of experience or equivalent experience
* Experience with some but not all aspects of program management including schedule, estimating, cost estimating, earned value management, production planning, and proposal/capture management.
* Experience in People Management/Leadership, leading and managing multi\-disciplined project teams
* Experience in Program Scope Management and Cost Estimating, including Estimate to Complete (ETC) and Estimate at Completion (EAC) processes
* Ability to support new business capture, including proposal and ECP incorporation
* Ability to build strong relationships and effectively communicate (verbally and in writing) at all levels within the customer community
* Ability to attract, motivate, lead, and inspire diverse teams
* Demonstrated excellent communications skills, both oral and written
* Demonstrated ability to act independently within established guidelines.
* Experience in managing technical baseline and contract changes.
* Demonstrated ability to engage cross\-functional teams to understand program requirements and deliver required products on time.
* Demonstrated ability to work with personnel in the following areas to plan and execute programs: contracts, engineering, finance, facilities, logistics, material planning, supply chain, quality, and USG agencies including DCMA, US Army, and Program Management – Mounted Armored Vehicles (PM MAV).
* Ability to prioritize, multi\-task, and delegate.
* Highly proficient with Microsoft suite, excellent written and verbal skill, proficient communicator, and problem\-solving skills.
**Preferred Education, Experience, \&amp; Skills**
* Association with organizations for project management (e.g. Project Management Professional (PMP) Certification or similar).
* Broad knowledge of Finance, Operations, Manufacturing, Program/Project Management, and General Management.
* Experience in Combat Vehicles development, qualification, production, and/or sustainment programs a plus
* Experience in the application of Earned Value Management System, Master Planning Techniques (IMP/IMS), and Subcontract Management
* Experience with US Army Programs management.
* Knowledge of Military Operations and Government Procurement System.
* Bachelor’s degree in engineering or technical field a plus
* Graduate Degree in Business (MBA) a plus
**Pay Information**
 Full\-Time Salary Range: $136000 \- $231200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Platforms \&amp; Services**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The Platforms \&amp; Services (P\&amp;S) sector under BAE Systems, Inc does the big stuff: the armored combat vehicles, naval guns, missile launchers, and ship repair…just to name a few. Our employees take pride in the work they do and why they do it. They are on the front lines every day, building our products to protect the lives of those who serve. We may be biased, but we think P\&amp;S does some of the coolest work around, and we think you will too.</t>
        </is>
      </c>
    </row>
    <row r="88">
      <c r="A88" t="inlineStr">
        <is>
          <t>li-4370039831</t>
        </is>
      </c>
      <c r="B88" t="inlineStr">
        <is>
          <t>Program Manager, Enhanced Care Management (ECM)</t>
        </is>
      </c>
      <c r="C88" t="inlineStr">
        <is>
          <t>COPE Health Solutions</t>
        </is>
      </c>
      <c r="D88" t="inlineStr">
        <is>
          <t>linkedin</t>
        </is>
      </c>
      <c r="E88" t="inlineStr"/>
      <c r="F88" t="inlineStr"/>
      <c r="G88" t="inlineStr">
        <is>
          <t>Los Angeles, CA</t>
        </is>
      </c>
      <c r="H88" t="inlineStr"/>
      <c r="I88" t="inlineStr">
        <is>
          <t>**Description**
 The Enhanced Care Management (ECM) Program Manager, provides leadership and direction for the organization’s care management operations and services, aligning with the organization's mission, strategies, and objectives.
 FLSA Status
 Exempt
 Salary Range
 $70,304 \- $75,000
 Reports To
 Director of Operations
 Direct Reports
* Community Health Workers
* Patient Care Navigator
 Location
 Los Angeles, CA
 Travel
 Up to 80%
 Work Type
 Regular
 Schedule
 Full Time
**Position Description**
* Supervises the care management team.
* Leads the implementation of care management programs designed to address the needs of our patients, improve the quality and services for their care and ensure the appropriate utilization of services available to them.
* Implements plans and tools to meet organizational goals and objectives.
* Works closely with other departments to design, implement, and evaluate care management programs.
* Leads visible and complex projects focusing on performance improvement and transformation aimed at improving care management programs for the populations served
* Supports the development, implementation, and evaluation of effective pilots, programs and practices derived from market leading and evidence\-based research and performance outcomes.
* Ensures standardization and optimization of workflows of models of care that are being spread and scaled.
* Develops playbooks for care management models that are ready for spread and scale; Works closely with clinical and operational leaders across the continuum to perform patient risk stratification and identification for outreach
* Organizes and facilitates meetings with key stakeholders involved in the execution of care coordination/case management programs.
* Continuously evaluates market leading and evidence\-based research focused on care management programs.
* Works on design, implementation, and evaluation of IT solutions to support care management documentation and monitoring of efforts.
* Facilitates and leads a standardized and optimized deployment of an administrative case management tracking system/care management documentation
* Reports to the Director of Operations
* Performs miscellaneous job\-related duties as assigned
**Competencies**
* Ability to use independent judgment and to manage and impart confidential information.
* Ability to analyze and solve problems; requires details, data and facts that must be analyzed and challenged prior to making decisions
* Strong communication and interpersonal skills.
* Ability to clearly communicate medical information to professional practitioners and/or the public.
* Excellent organization, prioritization, follow up, analytical and time management skills with ability to handle multiple priorities and deadlines.
* Good interpersonal skills, sense of urgency, being proactive and ownership for one’s work.
* Dependable, with strong work ethic and extremely high degree personal integrity.
* Ability to deal with multiple interruptions on a continual basis that must be met with a friendly exchange with others.
* Ability to develop, implement and guide the team to new approaches to improve processes, procedures, or the general work environment.
* Ability to review critical issues, effectively solve problems and create action plans
**Position Expectations**
* Be committed to the mission of COPE Health Solutions ECM Program.
* Behave in a professional manner and consistently demonstrate and promote the values of respect, honesty, and dignity for the patient, families, and all members of the health care team.
* Committed to the constant pursuit of excellence and teamwork in improving the care of the patient and families in the community.
* Be punctual for scheduled work and use time appropriately.
* Perform duties in a conscientious, cooperative manner.
* Perform required amount of work in a timely fashion with a minimum of errors.
* Be neat and maintain a professional appearance.
* Maintain confidentiality and protect the program by abiding by laws and principles related to confidentiality; keep information concerning Program Operations, patients and employees confidential.
**Qualifications**
* Valid California Driver’s License
* Bachelor’s and/or master’s degree in a health\-related field is preferred
* 3 \+ years of supervisor/leadership experience
* Experience in acute inpatient, rehabilitation, sub\-acute, skilled facility, home care, ambulatory care management, or managed health plan.
* Experience working in a multi\-cultural setting.
* Willing to learn and understand a variety of different cultures, perspectives, and norms.
* Experience working in a community\-based setting for at least 1 to 2 years preferred.
* Basic computer skills required; electronic medical record (EMR) experience preferred.
* Understand the community served, community connectedness.
* Good communication skills, such as listening well, and using language appropriately.
* Ability and willingness to provide emotional support, encouragement, and motivation to patients.
**Benefits**
 As a firm passionate about health care, we’re deeply committed to the health and wellness of our own team members. We offer comprehensive, affordable insurance plans for our team and their families, and a host of other unique benefits, such as a yearly stipend for wellness\-related activities, and a paid parental leave program. You can learn more about our benefits offerings here: https://copehealthsolutions.com/careers/why\-cope\-health\-solutions/.
**What We Do**
 COPE Health Solutions is a national mission\-driven consulting firm that partners with health systems and payor clients. We provide our clients with the tools, services and advice they need to thrive in the current complex and uncertain pluralistic payment environment and achieve visionary, organizationally relevant results. Our firm has expertise in all aspects of population health, strategy, delivery system development, payment systems reform, workforce development and population health management support services, including peerless analytics and performance improvement. We are driven by our passion to help transform health care delivery, align financial incentives to support population health management and build the workforce needed as health care moves to value\-based care.
 In partnership with the Keck Graduate Institute, the COPE Health Scholar Services provide pre\-health students and careerists looking to make a transition to health care with hands\-on, experiential education opportunities. Scholars are carefully selected, well\-trained and placed in clinical and administrative areas within hospitals and ambulatory care centers, where they are integrated into and assist the health care clinical or administrative team. The COPE Health Scholars Programs is a unique opportunity for students and those considering a career transition to bridge the gap between academic training and real life, as well as to gain specific training for non\-licensed job roles.
**To Apply**
 To apply for this position, or to view all available positions, visit us at https://copehealthsolutions.com/careers/open\-positions/.</t>
        </is>
      </c>
    </row>
    <row r="89">
      <c r="A89" t="inlineStr">
        <is>
          <t>li-4370180852</t>
        </is>
      </c>
      <c r="B89" t="inlineStr">
        <is>
          <t>Product Manager</t>
        </is>
      </c>
      <c r="C89" t="inlineStr">
        <is>
          <t>Kredete Labs</t>
        </is>
      </c>
      <c r="D89" t="inlineStr">
        <is>
          <t>linkedin</t>
        </is>
      </c>
      <c r="E89">
        <f>HYPERLINK("https://www.linkedin.com/jobs/view/4370180852", "https://www.linkedin.com/jobs/view/4370180852")</f>
        <v/>
      </c>
      <c r="F89" t="inlineStr"/>
      <c r="G89" t="inlineStr">
        <is>
          <t>New York, NY</t>
        </is>
      </c>
      <c r="H89" t="inlineStr"/>
      <c r="I89" t="inlineStr">
        <is>
          <t>**Kredete Labs \| New York, NY \| On\-site** 
 We're building the complete operating system for businesses; One platform. Banking, cards, payments, crypto, AI agents, CRM, HRIS, collaboration—everything.
 This is a technical PM role. You should be comfortable reading code, writing SQL, and understanding system architecture. You'll also do growth work: onboarding, activation, customer acquisition.
**What you'll do:** 
* Define what to build each 2\-week sprint (ruthless prioritization)
* Write technical specs using Claude (engineers execute from your specs)
* Talk to customers: interviews, demos, feedback sessions
* Own growth: onboarding flows, activation metrics, retention
* Analyze data: product analytics, usage patterns, churn
* Make build vs. buy decisions with engineering
* Launch planning, pricing, positioning
**Who you are:** 
* 2\-3 years PM experience (fintech or B2B SaaS)
* Technical: can read code, write SQL, understand APIs
* Have shipped products from 0→1
* Comfortable talking to customers (not just internal stakeholders)
* Use Claude for specs, research, analysis
* Excited to do growth work (not just product definition)
* Can work in ambiguity and move fast</t>
        </is>
      </c>
    </row>
    <row r="90">
      <c r="A90" t="inlineStr">
        <is>
          <t>li-4370188796</t>
        </is>
      </c>
      <c r="B90" t="inlineStr">
        <is>
          <t>Entry Level Product Manager: 2026</t>
        </is>
      </c>
      <c r="C90" t="inlineStr">
        <is>
          <t>Lensa</t>
        </is>
      </c>
      <c r="D90" t="inlineStr">
        <is>
          <t>linkedin</t>
        </is>
      </c>
      <c r="E90">
        <f>HYPERLINK("https://www.linkedin.com/jobs/view/4370188796", "https://www.linkedin.com/jobs/view/4370188796")</f>
        <v/>
      </c>
      <c r="F90" t="inlineStr"/>
      <c r="G90" t="inlineStr">
        <is>
          <t>San Jose, CA</t>
        </is>
      </c>
      <c r="H90" t="inlineStr"/>
      <c r="I9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Product Managers play a pivotal role in shaping offerings that leverage artificial intelligence, machine learning, and data analytics to solve complex business challenges. IBM follows a structured product lifecycle management process, integrating agile methodologies, data\-informed decision\-making, and cross\-functional collaboration. Product Managers work across engineering, design, data science, and go\-to\-market teams to deliver innovative, secure, and scalable AI\-powered solutions.
**Your Role And Responsibilities**
 The responsibilities of a Product Manager include:
* Define and drive product strategy for AI and data\-centric offerings, aligning with business goals and user needs.
* Collaborate with cross\-functional teams including data scientists, engineers, designers, and stakeholders to deliver high\-quality features and models.
* Translate complex technical capabilities (e.g., ML models, data pipelines, APIs) into clear product requirements and user stories.
* Prioritize product backlog using data\-driven frameworks and ensure alignment with roadmap and KPIs.
* Facilitate ethical AI practices by integrating fairness, transparency, and compliance into product development.
* Monitor product performance using analytics tools and user feedback to iterate and improve continuously.
* Communicate product vision, strategy, and progress to internal and external stakeholders, including executives and customers.
* Champion user experience and usability in AI interfaces, ensuring intuitive and trustworthy interactions.
**Required Technical And Professional Expertise**
* Strong product management fundamentals: roadmap planning, backlog grooming, stakeholder alignment, and go\-to\-market execution.
* Understanding of AI/ML concepts, data lifecycle, and model deployment practices.
* Experience with Agile methodologies, including sprint planning, retrospectives, and iterative delivery.
* Proficiency in product analytics tools and data visualization platforms.
* Strong communication and storytelling skills to translate technical insights into business value.
* Ability to manage dependencies across teams and anticipate risks in product delivery.
**Preferred Technical And Professional Experience**
* Experience with enterprise AI products or platforms
* Exposure to AI ethics frameworks and responsible AI practices.
* Comfortable working with global teams across time zones and cultures.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91">
      <c r="A91" t="inlineStr">
        <is>
          <t>li-4361763974</t>
        </is>
      </c>
      <c r="B91" t="inlineStr">
        <is>
          <t>Product Manager</t>
        </is>
      </c>
      <c r="C91" t="inlineStr">
        <is>
          <t>ChatGPT Jobs</t>
        </is>
      </c>
      <c r="D91" t="inlineStr">
        <is>
          <t>linkedin</t>
        </is>
      </c>
      <c r="E91">
        <f>HYPERLINK("https://www.linkedin.com/jobs/view/4361763974", "https://www.linkedin.com/jobs/view/4361763974")</f>
        <v/>
      </c>
      <c r="F91" t="inlineStr"/>
      <c r="G91" t="inlineStr"/>
      <c r="H91" t="inlineStr"/>
      <c r="I91" t="inlineStr">
        <is>
          <t>**Job Description**
 Product Manager \| US \| Remote
 Grafana Labs
 Remote
 $143\.76K \- $172\.51K/yr
**Other**
 Posted 22 hours ago
**Job Description**
 This is a fully remote position and we're considering candidates in the US.
**About Product Management**
 As a Product Manager at Grafana Labs, you'll develop a vision and strategy for your product domain. You will own your product's roadmap, collateral, and market research, and you will collaborate with Grafana leadership on fine\-tuning your product's goals. You will be the primary advocate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UX to GTM. You are a facilitator who ensures the free flow of information across these teams and are expected to be technically proficient when representing our products to our customers.
**The Opportunity**
 As a Product Manager for AI, you'll be involved with everything related to our AI offerings, including helping drive the roadmap of our Grafana Assistant ecosystem. You'll get to the bottom of what customers want and challenge us on what we should build next.
 You'll work across Grafana's R\&amp;D and GTM orgs to deliver AI products and marketing messages. You will develop a deep understanding of how to apply AI to address customer problems in observability. And you'll help shape Grafana Labs AI vision.
**What You'll Be Doing**
* Partnering with our senior AI PM to define and own AI features end\-to\-end
* Working closely with our product marketing and sales teams to shape our AI messaging and support large commercial deals
* Understanding competitors, working with partners and staying on top of the broader AI market
* Being a hands\-on builder: prototyping, building, and shipping AI features end\-to\-end with our engineering team
* Partnering with our data function to analyze large amounts at scale about our product, usage patterns and commercials
* Empathizing with customer problems in order to collect user needs, requirements, and pain points
* Curating and properly representing user feedback to Engineering, while providing evidence to support tradeoffs and priorities
* Using your deep product expertise to make decisions about our go\-to\-market strategies, pricing, packaging, licensing, and tiering
**What Makes You a Great Fit**
* Excellent written and verbal communication
* Strong product sense and curiosity about AI, including demonstrated evidence such as AI projects, blog posts and community contributions
* 2 years of product experience or equivalent experience in a related role with ownership of a feature or project
* Comfortable with basic data analysis (SQL, spreadsheets) and able to interpret experiment results
* Familiarity with large language models (LLMs), prompt engineering, or experience using open\-source models
**Bonus Points**
* Experience using or building observability products and/or developer tools, either internally as an SRE or for external customer
 In the United States, the base compensation range for this role is $143,759 \- $172,511\.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t>
        </is>
      </c>
    </row>
    <row r="92">
      <c r="A92" t="inlineStr">
        <is>
          <t>li-4370303299</t>
        </is>
      </c>
      <c r="B92" t="inlineStr">
        <is>
          <t>Product Manager</t>
        </is>
      </c>
      <c r="C92" t="inlineStr">
        <is>
          <t>Lensa</t>
        </is>
      </c>
      <c r="D92" t="inlineStr">
        <is>
          <t>linkedin</t>
        </is>
      </c>
      <c r="E92">
        <f>HYPERLINK("https://www.linkedin.com/jobs/view/4370303299", "https://www.linkedin.com/jobs/view/4370303299")</f>
        <v/>
      </c>
      <c r="F92" t="inlineStr"/>
      <c r="G92" t="inlineStr">
        <is>
          <t>Bellevue, WA</t>
        </is>
      </c>
      <c r="H92" t="inlineStr"/>
      <c r="I9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Product Managers who value moving quickly.
**Required Skills**
 Product Manager Responsibilities:
* Be responsible for driving one or more projects within a product area. Define success metrics, prioritize product problems and identify the best solutions to achieve the overall goals
* Work with the cross\-functional team to develop a roadmap, drive progress against milestones and resolve blockers, whilst maintaining team health
* Gather and analyze user research, product insights and market analysis to inform product decisions
* Coordinate effectively across all functions relevant to your product area, aligning and influencing roadmaps where appropriate
* Communicate clearly upwards and sideways on product plans and progress
**Minimum Qualifications**
 Minimum Qualifications:
* 3\+ years product management or related industry experience
* Bachelor's degree (or relevant degree equivalent): STEM subject ideal but not essential (Computer Science, Engineering, Information Systems, Analytics, Mathematics, Physics, Applied Sciences)
* Experience working with a cross\-functional product team on key product projects: Crafting product mission and strategy, defining product requirements, and driving the team to achieve key milestones and goals
* Proven experience to have an impact on the product outcomes and improve the effectiveness of a product team
* Extensive understanding to analyze data and deploy it to make the right decisions for a product
* Experience using a mixture of approaches to understand requirements from users and identifying the appropriate product solution
* Experience leading and motivating a product team
* Clear and concise communication
**Public Compensation**
 $114,000/year to $172,000/year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93">
      <c r="A93" t="inlineStr">
        <is>
          <t>li-4370191702</t>
        </is>
      </c>
      <c r="B93" t="inlineStr">
        <is>
          <t>Group Product Manager, Intuit AI Platform</t>
        </is>
      </c>
      <c r="C93" t="inlineStr">
        <is>
          <t>Lensa</t>
        </is>
      </c>
      <c r="D93" t="inlineStr">
        <is>
          <t>linkedin</t>
        </is>
      </c>
      <c r="E93">
        <f>HYPERLINK("https://www.linkedin.com/jobs/view/4370191702", "https://www.linkedin.com/jobs/view/4370191702")</f>
        <v/>
      </c>
      <c r="F93">
        <f>HYPERLINK("https://lensa.com/cgw/fbffbdc592054da9b27ddd72d3b3089atjo1?jpsi=directemployers&amp;publisher_preference=easier_apply&amp;utm_campaign=Other%20Management%20Occupations&amp;utm_medium=slot&amp;utm_source=linkedin&amp;utm_term=jse&amp;urlHash=pnXc", "https://lensa.com/cgw/fbffbdc592054da9b27ddd72d3b3089atjo1?jpsi=directemployers&amp;publisher_preference=easier_apply&amp;utm_campaign=Other%20Management%20Occupations&amp;utm_medium=slot&amp;utm_source=linkedin&amp;utm_term=jse&amp;urlHash=pnXc")</f>
        <v/>
      </c>
      <c r="G93" t="inlineStr">
        <is>
          <t>San Diego, CA</t>
        </is>
      </c>
      <c r="H93" t="inlineStr"/>
      <c r="I9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Intuit. Clicking "Apply Now" or "Read more" on Lensa redirects you to the job board/employer site. Any information collected there is subject to their terms and privacy notice.
**Overview**
 Come join the PDX Product Team as a Head of AI Platform Product Management at Intuit. The AI Platform team in PDX is responsible for providing development teams (including data scientists, ML engineers, data analysts, software engineers, and product managers) across Intuit the means to build, train, deploy, experiment and innovate with AI and Generative AI technologies, delivering high impact AI native product experiences and and features that delight our customers and transform the industry.
 We are looking for a highly technical product management leader to shape the future of AI Platform capabilities that democratize AI development for classically trained AI experts and virtually every development team across Intuit. You will play a crucial role in accelerating access to the latest AI and Generative AI technologies for our development teams, ensuring the optimal balance of AI development velocity and quality. You will work with organizations across Intuit to understand their use cases, developer persona, and drive the transformation of AI native product development from not only product (developer tooling), but also people and process perspectives.
 In this role, you will lead a team of seasoned AI Platform product managers, covering the end to end AI model and AI application development lifecycle, including front\-end development interface, MLOPs, ML Observability, and various back\-end capabilities.
**Responsibilities**
* Define the vision, strategy, roadmap, objective, key results and success metrics for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 Represent Intuit in engagement with AI Platform industry leaders, bringing in the latest AI breakthroughs that are suitable to be adopted by Intuit.
* Hire and develop the AI Platform product management team.
**Qualifications**
* 12\+ years of product management or equivalent experience (e.g. Data
* Scientist Manager, Engineer Manager) for technical platform products in a fast
* paced, rapidly evolving environment, with 5\+ years in people management roles.
* Extensive experience working and innovating on a centralized AI/ML Platform supporting diverse applications and developers.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Experience leading and raising the bar of product management teams.
* Familiarity with AI/ML model development lifecycle. Familiarity with Intuit’s product offerings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(https://www.intuit.com/careers/benefits/full\-time\-employees/) ).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$237,500\- 321,500
 Southern California: $242,057\- 290,000
 EOE AA M/F/Vet/Disability. Intuit will consider for employment qualified applicants with criminal histories in a manner consistent with requirements of local law.
 If you have questions about this posting, please contact support@lensa.com</t>
        </is>
      </c>
    </row>
    <row r="94">
      <c r="A94" t="inlineStr">
        <is>
          <t>li-4370196581</t>
        </is>
      </c>
      <c r="B94" t="inlineStr">
        <is>
          <t>Product Manager</t>
        </is>
      </c>
      <c r="C94" t="inlineStr">
        <is>
          <t>Lensa</t>
        </is>
      </c>
      <c r="D94" t="inlineStr">
        <is>
          <t>linkedin</t>
        </is>
      </c>
      <c r="E94">
        <f>HYPERLINK("https://www.linkedin.com/jobs/view/4370196581", "https://www.linkedin.com/jobs/view/4370196581")</f>
        <v/>
      </c>
      <c r="F94" t="inlineStr"/>
      <c r="G94" t="inlineStr">
        <is>
          <t>Stamford, CT</t>
        </is>
      </c>
      <c r="H94" t="inlineStr"/>
      <c r="I9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TEKsystems. Clicking "Apply Now" or "Read more" on Lensa redirects you to the job board/employer site. Any information collected there is subject to their terms and privacy notice.
**Description**
 The Product Manager is responsible for managing one or more highly complex digital experience products. The Product Manager evaluates customer, business and market needs to identify new capabilities and features to enhance the experience and meet company goals.
**Responsibilities**
* Defines and communicates the product vision and goals
* Aligns cross\-functional teams with the product goals
* Creates, defines, refines and prioritizes the product feature intake and backlog to align with product roadmap
* Defines feature requirements and oversees the execution of projects to meet timelines
* Manages relationships with internal and external customers and stakeholders
* Understands and communicates business goals of features and capabilities
* Identifies team risks and dependencies and communicates impacts and proposals
* Prepares and/or presents and/or participates in product planning ceremonies including Product syncs, System Demos and Quarterly Planning
* Establishes KPIs and OKRs for the product
* Monitors product metrics to meet or exceed KPI goals
* Collects and analyzes customer feedback
* Develops user personas and use cases to understand the end users needs
* Creates user journey maps to illustrate the goals and desired outcomes for various customer types and scenarios
* Manages and supports Product Owner(s) in creating effective delivery teams
* Works with Product Owner(s) to explore customer needs and business opportunities
**Core Skills**
* Ability to analyze data to identify risks and opportunities
* Understanding of technical aspects of the product and development cycle
* Ability to create and communicate a product vision, roadmap and strategy
* Risk management and prioritization
* Market research
* User research
* Identify risks and dependencies
* Data analytics and metrics
* UI/UX
* Understanding of Agile principles and ability to apply to delivery team
* Basic understanding of technologies that support the product
* Understand technical implications of design and development decisions
 Job Type \&amp; Location
 This is a Contract position based out of Stamford, CT.
 Pay and Benefits
 The pay range for this position is $70\.00 \- $77\.00/hr.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Stamford,CT.
 Application Deadline
 This position is anticipated to close on Feb 17,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
 If you have questions about this posting, please contact support@lensa.com</t>
        </is>
      </c>
    </row>
    <row r="95">
      <c r="A95" t="inlineStr">
        <is>
          <t>li-4361801194</t>
        </is>
      </c>
      <c r="B95" t="inlineStr">
        <is>
          <t>Lead Product Manager</t>
        </is>
      </c>
      <c r="C95" t="inlineStr">
        <is>
          <t>ChatGPT Jobs</t>
        </is>
      </c>
      <c r="D95" t="inlineStr">
        <is>
          <t>linkedin</t>
        </is>
      </c>
      <c r="E95">
        <f>HYPERLINK("https://www.linkedin.com/jobs/view/4361801194", "https://www.linkedin.com/jobs/view/4361801194")</f>
        <v/>
      </c>
      <c r="F95" t="inlineStr"/>
      <c r="G95" t="inlineStr">
        <is>
          <t>New York, NY</t>
        </is>
      </c>
      <c r="H95" t="inlineStr"/>
      <c r="I95" t="inlineStr">
        <is>
          <t>**Job Description**
 Lead Product Manager
**Company:** 
 CD Baby
**Location:** 
 Los Angeles, CA (On\-site, Remote)
**Salary:** 
 $150K \- $175K/yr
**Type:** 
 Full\-time
**Benefits:** 
 Medical, Dental, Vision, Life, Retirement, PTO
**Posted:** 
 13 hours ago
**Job Description**
 CD Baby is looking for a Lead Product Manager to deliver a best\-in\-class experience for artists that drives critical business objectives.
*This hybrid role can be based in our Los Angeles (preferably), or New York City location. Also, open to remote/flexible locations where permitted.*
**The Role**
 This is a high\-impact role, joining during a major product transformation – as CD Baby moves from legacy systems to scalable infrastructure and a modern experience that leverages innovative technology Downtown Music. In this role, you will thrive on solving complex, ambiguous problems in music distribution and artist services. Leveraging a data\-first approach, you will take a strategic approach to delivering on customer and business outcomes.
**What You'll Be Doing**
* Drive key business outcomes including customer growth, streaming growth, retention, and satisfaction
* Define success metrics upfront and use data and experimentation to validate product impact
* Prioritize initiatives based on impact, confidence, and effort, balancing short\-term wins with long\-term strategy
* Build intuitive, artist\-first experiences that reduce friction while supporting advanced workflows
* Translate industry trends into new product opportunities for artists
* Own product strategy and roadmap from concept through launch and iteration
* Partner closely with engineering, design, analytics, marketing, and operations to deliver results
* Lead user research, competitive analysis, and market validation to inform decisions
* Navigate technical tradeoffs and execution details with engineering teams
* Design and run experiments (A/B tests, MVPs) to drive learning and continuous improvement
* Communicate product vision, progress, and outcomes to stakeholders across the organization
**Must\-Haves / Requirements**
* 7\+ years in product management, preferably in music technology or creator tools
* Track record of shipping products that drove measurable business outcomes
* Experience with both 0\-to\-1 product development and optimization of existing products
* Strong technical fluency and ability to collaborate effectively with engineering teams
* Proficiency with analytics tools and comfort working with data to drive decisions
* Fluency with AI product development, prompt engineering, and using AI tools for prototyping and workflow automation
* Experience designing and running experiments
* Ability to write clear product requirements and specifications
* Strong project management skills with ability to manage multiple concurrent workstreams</t>
        </is>
      </c>
    </row>
    <row r="96">
      <c r="A96" t="inlineStr">
        <is>
          <t>li-4361152550</t>
        </is>
      </c>
      <c r="B96" t="inlineStr">
        <is>
          <t>Principal Product Manager, Search Platform</t>
        </is>
      </c>
      <c r="C96" t="inlineStr">
        <is>
          <t>Moveworks</t>
        </is>
      </c>
      <c r="D96" t="inlineStr">
        <is>
          <t>linkedin</t>
        </is>
      </c>
      <c r="E96">
        <f>HYPERLINK("https://www.linkedin.com/jobs/view/4361152550", "https://www.linkedin.com/jobs/view/4361152550")</f>
        <v/>
      </c>
      <c r="F96">
        <f>HYPERLINK("https://www.moveworks.com/us/en/company/careers/position?gh_jid=8194533002&amp;gh_src=690c36f92us&amp;urlHash=XSE-", "https://www.moveworks.com/us/en/company/careers/position?gh_jid=8194533002&amp;gh_src=690c36f92us&amp;urlHash=XSE-")</f>
        <v/>
      </c>
      <c r="G96" t="inlineStr">
        <is>
          <t>Mountain View, CA</t>
        </is>
      </c>
      <c r="H96" t="inlineStr"/>
      <c r="I96" t="inlineStr">
        <is>
          <t>Location: In Office \- Mountain View, CA
 At Moveworks, we’re building the most advanced enterprise AI platform in the world — combining generative LLMs, agentic reasoning, enterprise search, and natural conversation into one cohesive product experience. As a Principal Product Manager, you’ll play a key role in shaping the future of our Enterprise Search product and search platform.
 This is a high\-impact role for a technical and strategic product manager who can partner cross\-functionally to build foundational capabilities that solve real business problems with AI.
**What You Will Do:**
* Lead the development of search platform and infrastructure that enables Moveworks Search to scale to billions of documents, while building advanced capabilities for evaluating product performance and search quality.
* Partner closely with other PMs, ML, engineering, and UX to identify critical platform needs to ship delightful and performant AI\-powered products.
* Translate ambiguous problems and user feedback into clear product specs and success metrics that guide engineering execution.
* Stay ahead of the curve on AI trends and research, turning cutting\-edge developments into strategic product bets and differentiated features.
* Develop scalable platform capabilities to power internal teams and customer\-facing applications alike.
* Build alignment across cross\-functional partners by clearly communicating product vision, roadmaps, and outcomes.
**What You Bring to the Table:**
* End\-to\-end product management experience (5\+ years) owning technically complex, high\-impact products — ideally with building platforms for machine learning or generative AI products. Bonus points for having launched features that delivered measurable impact by solving real user problems with AI.
* Deep familiarity with machine learning concepts and a track record of working closely with ML engineers, particularly in areas such as natural language understanding, semantic search, conversational AI, agentic workflows, and speech technologies.
* Understanding of real\-time ML performance requirements (e.g., latency, accuracy, relevance) and the ability to make informed tradeoffs to optimize for user experience and business goals.
* Strong technical acumen, including previous experience as a software or ML engineer, or a technical degree (B.S. or M.S. in CS or related field), enabling you to dive deep on system architecture, APIs, and infrastructure\-level decisions.
* Proven success shipping enterprise\-grade products to large user bases — including developing rollout strategies, customer feedback loops, and go\-to\-market coordination for features that scale to hundreds of thousands or millions of users.
* Exceptional written and verbal communication skills — from clear and structured PRDs to compelling product narratives. Bonus points for communicating vision and outcomes through blog posts, talks, or webinars.
* Sharp analytical and problem\-solving abilities, with a demonstrated ability to simplify complexity, make decisions amid ambiguity, and use available data to drive clarity and outcomes.
* Demonstrated strength in cross\-functional collaboration — aligning engineering, design, data science, marketing, and customer teams around a shared product vision.
* A balanced approach to strategy and execution: able to think long\-term while consistently delivering high\-impact work in the near term. You lead with both empathy and urgency.
* Startup DNA — you thrive in fast\-paced environments, are energized by ambiguity, and naturally bring structure, prioritization, and momentum to everything you touch.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97">
      <c r="A97" t="inlineStr">
        <is>
          <t>li-4361801302</t>
        </is>
      </c>
      <c r="B97" t="inlineStr">
        <is>
          <t>Product Manager Digital Marketplace</t>
        </is>
      </c>
      <c r="C97" t="inlineStr">
        <is>
          <t>FinDev Gateway</t>
        </is>
      </c>
      <c r="D97" t="inlineStr">
        <is>
          <t>linkedin</t>
        </is>
      </c>
      <c r="E97">
        <f>HYPERLINK("https://www.linkedin.com/jobs/view/4361801302", "https://www.linkedin.com/jobs/view/4361801302")</f>
        <v/>
      </c>
      <c r="F97" t="inlineStr"/>
      <c r="G97" t="inlineStr">
        <is>
          <t>America, IA</t>
        </is>
      </c>
      <c r="H97" t="inlineStr"/>
      <c r="I97" t="inlineStr">
        <is>
          <t>Job
 Product Manager Digital Marketplace
 Grameen America is launching a new in\-app digital marketplace to empower members to sell products and services to each other and, over time, to external customers. This initiative builds on member feedback and the Member Directory pilot, aiming to strengthen community connections and expand business opportunities for small and women\-owned enterprises. A successful candidate will be comfortable navigating small, cross\-functional teams towards an agreed MVP design to begin testing. They will be equally comfortable using their product management toolbox to elicit constructive feedback from Members, colleagues, partners and leadership, synthesize this quickly into requirements, prioritize the resulting work, and continuously engage in a cyclical process of ongoing improvement. Experience with mobile application development is a plus.
**Tasks And Responsibilities:**
* Own the short, medium, and long\-term roadmap for the “Sisterhood” Digital Marketplace, prioritizing features that drive member engagement and business growth.
* Collaborate with operations, engineering, and other teams to design, pilot, and launch the marketplace, ensuring alignment with member needs and organizational goals.
* Direct the release schedule, balancing operational and technical constraints to deliver regular updates and new features.
* Lead discovery with members and stakeholders to identify opportunities to generate volume on the platform and drive business revenue increases for member businesses.
* Translate feedback and insights into actionable requirements, guiding the development of MVP features and iterating based on user experience.
* Manage third\-party vendors through agile development cycles, ensuring timely delivery of high\-value features.
* Champion continuous improvement, optimizing marketplace functionality and expanding its reach to external customers.
* Incorporate learnings into future product design, adapting to evolving member needs and market opportunities.
* Serve as a partner and advocate for members, supporting their journey and business growth within the Grameen network.
* Flexibly manage your product portfolio as new initiatives arise.
**About This Opportunity**
 Learn More and Apply
 Employer
 Grameen America
 Location
 New York, NY \- United States
 Date Posted
 07 February 2026
 Closing Date
 30 March 2026
 Regions
 North America
 Countries
 United States of America
 Flexibility
 Home\-based work
**About This Organization**
 More content from this Organization
 View All Jobs
**Share a job from your organization.**
 Submit a Job
**About This Organization**
 More content from this Organization
 BULLETIN
 Learn about upcoming webinars, news and publications.
 Subscribe
 Latest from Our Blog
 View all blog posts
 Blog 28 January 2026
 As Digitalization Grows, Will Indonesia’s Agent Networks Survive?
 Agents form a crucial human bridge between the cash and digital economies for local communities.
 Rhifa Ayudhia, Suardi Ihsan , MSC Southeast Asia
 Blog 14 January 2026
 Pocket Banks: Nigeria's Mobile Money Journey to Financial Inclusion
 While mobile money usage has skyrocketed in Nigeria, barriers remain around education, identity and digital access. If these obstacles are overcome, mobile money can become a true catalyst for opportunity and resilience.
 Chukwuma Nwofor, PwC Nigeria
 Blog 18 December 2025
 FinDev Financial Inclusion Year in Review 2025
 What did 2025 mean for financial inclusion? We look back at the ideas, debates and developments that shaped the sector over the past year. From a deepened focus on financial health and resilience, to rapid progress in AI experimentation, to growing funding constraints, the trends we saw this year paint a picture of both progress and increasingly complex challenges.
 Abby Augusta \&amp; Valdete Berisha, FinDev Gateway</t>
        </is>
      </c>
    </row>
    <row r="98">
      <c r="A98" t="inlineStr">
        <is>
          <t>li-4370302376</t>
        </is>
      </c>
      <c r="B98" t="inlineStr">
        <is>
          <t>Product Manager, Healthcare SaaS - Patient Support (Remote)</t>
        </is>
      </c>
      <c r="C98" t="inlineStr">
        <is>
          <t>Lensa</t>
        </is>
      </c>
      <c r="D98" t="inlineStr">
        <is>
          <t>linkedin</t>
        </is>
      </c>
      <c r="E98">
        <f>HYPERLINK("https://www.linkedin.com/jobs/view/4370302376", "https://www.linkedin.com/jobs/view/4370302376")</f>
        <v/>
      </c>
      <c r="F98">
        <f>HYPERLINK("https://lensa.com/cgw/0fd6a70fdccb4cbaacef4d562e3ccc77tjo1?jpsi=directemployers&amp;publisher_preference=easier_apply&amp;utm_campaign=Other%20Management%20Occupations&amp;utm_medium=slot&amp;utm_source=linkedin&amp;utm_term=jse&amp;urlHash=TO_9", "https://lensa.com/cgw/0fd6a70fdccb4cbaacef4d562e3ccc77tjo1?jpsi=directemployers&amp;publisher_preference=easier_apply&amp;utm_campaign=Other%20Management%20Occupations&amp;utm_medium=slot&amp;utm_source=linkedin&amp;utm_term=jse&amp;urlHash=TO_9")</f>
        <v/>
      </c>
      <c r="G98" t="inlineStr"/>
      <c r="H98" t="inlineStr"/>
      <c r="I9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AssistRx. Clicking "Apply Now" or "Read more" on Lensa redirects you to the job board/employer site. Any information collected there is subject to their terms and privacy notice.
 AssistRx is a leading healthcare technology company dedicated to accelerating patient access to life\-changing therapies. Through our premier patient solutions platform and advanced technology ecosystem, we partner with pharmaceutical manufacturers, specialty pharmacies, and healthcare providers to simplify the patient journey and eliminate barriers to treatment.
 Our suite of solutions—including iAssist®, Hub Lite™, Prior Authorization, Benefits Verification, Copay Support, specialty pharmacy integrations, and digital engagement tools—empowers patients to start and stay on therapy faster.
 At AssistRx, we blend technology, talent, and compassion to drive better healthcare outcomes for the patients and brands we serve.
 We are seeking a strategic, customer\-centric, and execution\-focused Product Manager to lead the evolution of our patient support program (PSP) solutions for pharmaceutical and biotech clients. This role sits at the intersection of patient experience, technology, and commercial strategy—driving offerings such as field\-based nurse support, reimbursement assistance, specialty pharmacy coordination, patient education, data workflows, and digital engagement tools (apps, portals, messaging workflows, and more).
 You will own product strategy, roadmap development, and cross\-functional execution to improve patient access, adherence, satisfaction, and program outcomes, while ensuring alignment with brand strategy, compliance requirements, and client expectations.
 Key ResponsibilitiesProduct Strategy \&amp; Vision
* Develop and execute a clear product roadmap for PSP\-related capabilities—including services, data workflows, and digital engagement tools.
* Align product initiatives with evolving client needs, regulatory requirements, and market trends in patient access and support services.
 Customer \&amp; Market Insight
* Partner with commercial teams, clients, and operations to deeply understand PSP workflows, pain points, and success metrics.
* Conduct competitive intelligence and market analysis to support product differentiation and value\-driven positioning.
 Cross\-Functional Leadership
* Collaborate with engineering, UX/UI, data science, operations, and clinical teams to deliver scalable, secure, and intuitive product features.
* Work closely with legal, compliance, and privacy stakeholders to ensure adherence to HIPAA, GDPR, and industry\-specific regulatory standards.
 Lifecycle Ownership
* Own the full product lifecycle—from ideation and requirements definition through development, launch, and ongoing optimization.
* Monitor product performance, adoption, patient outcomes, and client satisfaction to drive continuous innovation.
 Client Engagement \&amp; Enablement
* Support client onboarding and implementation by translating business requirements into product configurations and enhancements.
* Serve as the product subject matter expert during client meetings, workshops, and advisory discussions.
 Product Development Execution
* Work effectively within Agile/Scrum teams, contributing to sprint planning, backlog prioritization, and iterative roadmap delivery.
* Write clear, concise user stories, acceptance criteria, and business requirements that translate complex needs into action.
* Utilize product management tools (Jira, Confluence, Aha!, Productboard) to manage roadmaps, documentation, and communication.
**Requirements**
* Bachelor’s degree in life sciences, business, data analytics, or related field.
* 5\+ years of product management experience in B2B SaaS, healthcare technology, or tech\-enabled services.
* Experience in life sciences, healthcare delivery, pharmaceutical services, or patient support programs.
* Familiarity with PSP workflows: hub services, copay programs, prior authorization, benefits investigations, nurse support.
* Strong understanding of data privacy, compliance, and interoperability standards (HIPAA, HL7, FHIR, GDPR).
* Demonstrated success working in Agile/Scrum environments.
* Excellent communication, stakeholder engagement, and analytical skills.
**Preferred**
* Master’s degree in business, life sciences, healthcare administration, or related field.
* Experience working with pharmaceutical manufacturers, hub providers, or specialty pharmacies.
* Exposure to digital health tools (patient portals, apps, engagement platforms).
* Knowledge of EMR/EHR integrations, claims data, and real\-world evidence (RWE).
* Experience creating outcomes dashboards or patient journey analytics.
* Experience supporting AI\-driven workflows or automation tools.
* Consulting or client\-facing implementation experience.
**Benefits**
* Supportive, progressive, fast\-paced environment
* Competitive pay structure
* Matching 401(k) with immediate vesting
* Medical, dental, vision, life, \&amp; short\-term disability insurance
* Opportunity to impact patient outcomes through data\-driven healthcare technology.
* Collaborative and mission\-driven culture that values innovation and continuous learning.
* Access to cutting\-edge cloud technologies and modern data engineering tools.
* Competitive compensation, comprehensive benefits, and career growth opportunities
 AssistRx, Inc. is proud to be an Equal Opportunity Employer. All qualified applicants will receive consideration without regard to race, religion, color, sex (including pregnancy, gender identity, and sexual orientation), parental status, national origin, age, disability, family medical history or genetic information, political affiliation, military service, or other non\-merit based factors, or any other protected categories protected by federal, state, or local laws.
 All offers of employment with AssistRx are conditional based on the successful completion of a pre\-employment background check.
 In compliance with federal law, all persons hired will be required to verify identity and eligibility to work in the United States and to complete the required employment eligibility verification document form upon hire. Sponsorship and/or work authorization is not available for this position.
 AssistRx does not accept unsolicited resumes from search firms or any other vendor services. Any unsolicited resumes will be considered property of AssistRx and no fee will be paid in the event of a hire
 If you have questions about this posting, please contact support@lensa.com</t>
        </is>
      </c>
    </row>
    <row r="99">
      <c r="A99" t="inlineStr">
        <is>
          <t>li-4370310041</t>
        </is>
      </c>
      <c r="B99" t="inlineStr">
        <is>
          <t>Remote Senior Product Manager</t>
        </is>
      </c>
      <c r="C99" t="inlineStr">
        <is>
          <t>Jobgether</t>
        </is>
      </c>
      <c r="D99" t="inlineStr">
        <is>
          <t>linkedin</t>
        </is>
      </c>
      <c r="E99">
        <f>HYPERLINK("https://www.linkedin.com/jobs/view/4370310041", "https://www.linkedin.com/jobs/view/4370310041")</f>
        <v/>
      </c>
      <c r="F99">
        <f>HYPERLINK("https://jobs.lever.co/jobgether/9b969ddd-5124-4b33-84d4-b37160daf9ec/apply?source=LinkedIn&amp;urlHash=T20L", "https://jobs.lever.co/jobgether/9b969ddd-5124-4b33-84d4-b37160daf9ec/apply?source=LinkedIn&amp;urlHash=T20L")</f>
        <v/>
      </c>
      <c r="G99" t="inlineStr">
        <is>
          <t>Iowa, United States</t>
        </is>
      </c>
      <c r="H99" t="inlineStr"/>
      <c r="I99" t="inlineStr">
        <is>
          <t>This position is posted by Jobgether on behalf of a partner company. We are currently looking for a Product Management Manager \- REMOTE. In this role, you will be at the forefront of driving business value through effective product management. You will lead a cross\-functional team to inspire innovative solutions that meet market needs. Your expertise will help in creating a seamless shopping experience for customers and associates alike, ensuring product delivery aligns with strategic goals. Your role will require close collaboration with developers and designers, guiding them towards achieving exceptional results. You will be instrumental in shaping the product vision and strategy to elevate customer satisfaction and operational efficiency.
**Accountabilities**
* Oversee product strategy and alignment across teams
* Conduct in\-depth business reviews with stakeholders
* Translate user needs into actionable product goals
* Create epics for product vision and features
* Drive analytics to measure product performance
* Facilitate regular updates to leadership on product progress
* Mentor and develop a world\-class product management team
* Remove obstacles to ensure efficient product delivery
**Requirements**
* 5\-7 years of experience in product management
* Familiarity with agile methodologies and modern software practices
* Ability to manage multiple products in a fast\-paced environment
* Strong communication and influencing skills across all levels
* Experience in user research and testing
* Proficiency in analytics to measure product value
* Experience in guiding junior team members
* Effective at balancing stakeholder needs and expectations
**Benefits**
* Flexible remote working environment
* Professional development and mentorship opportunities
* Opportunity to lead and inspire a diverse team
* Collaborative work culture
* Health and wellness benefits
* Competitive compensation packages
* Supportive leadership and resources for innovation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0">
      <c r="A100" t="inlineStr">
        <is>
          <t>li-4370193760</t>
        </is>
      </c>
      <c r="B100" t="inlineStr">
        <is>
          <t>Lead Product Manager - REMOTE</t>
        </is>
      </c>
      <c r="C100" t="inlineStr">
        <is>
          <t>Jobgether</t>
        </is>
      </c>
      <c r="D100" t="inlineStr">
        <is>
          <t>linkedin</t>
        </is>
      </c>
      <c r="E100">
        <f>HYPERLINK("https://www.linkedin.com/jobs/view/4370193760", "https://www.linkedin.com/jobs/view/4370193760")</f>
        <v/>
      </c>
      <c r="F100" t="inlineStr"/>
      <c r="G100" t="inlineStr">
        <is>
          <t>Connecticut, United States</t>
        </is>
      </c>
      <c r="H100" t="inlineStr"/>
      <c r="I100" t="inlineStr">
        <is>
          <t>This position is posted by Jobgether on behalf of a partner company. We are currently looking for a Head of Product \- REMOTE. In this pivotal role, you will lead a collaborative product team dedicated to empowering veterinarians to enhance patient care. Your contributions will significantly shape the user experience for veterinary professionals, promoting better relationships with pet owners through streamlined processes. This position requires strategic oversight of a multi\-product portfolio and influences critical business outcomes through data\-driven insights. You'll be instrumental in systemizing veterinary services in an evolving industry. If you have a passion for pet health and impactful leadership capabilities, this role may be ideal for you.
**Accountabilities**
* Lead the generation and execution of a hypothesis\- and data\-informed prioritized roadmap across vet\-facing B2B products.
* Manage a team of 4 product managers.
* Define successful product outcomes with measurable objectives and key results; create accountability against goals.
* Communicate crisply and concisely, demonstrating strong storytelling and narrative writing skills.
* Develop innovative strategies to enhance the veterinary experience through automation and integration.
* Leverage controlled experiments and user insights to make data\-informed decisions.
* Create strong cross\-functional relationships especially with sales teams to influence positive outcomes.
**Requirements**
* BS/BA with an emphasis in technology, IT or Operations.
* 5\+ years of extensive product management experience, ideally in B2B product management in animal health.
* Experience building multi\-product platforms with a veterinary focus.
* 3\+ years of experience leading teams of product managers, including managing senior team members.
**Benefits**
* Competitive pay and benefits including medical, vision, dental, and life insurance.
* Employee Assistance Program.
* Pet insurance and Virtual vet care.
* PTO, Holidays, Floating Holidays, and Volunteer Day.
* Retirement Savings Plan (401k/RRSP) with employer matching.
* Paid parental leave.
* Flexible scheduling and remote work options.
* Opportunity to join Associate Resource Groups and participate in fun company events.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1">
      <c r="A101" t="inlineStr">
        <is>
          <t>li-4370310042</t>
        </is>
      </c>
      <c r="B101" t="inlineStr">
        <is>
          <t>Remote Product Manager - REMOTE</t>
        </is>
      </c>
      <c r="C101" t="inlineStr">
        <is>
          <t>Jobgether</t>
        </is>
      </c>
      <c r="D101" t="inlineStr">
        <is>
          <t>linkedin</t>
        </is>
      </c>
      <c r="E101">
        <f>HYPERLINK("https://www.linkedin.com/jobs/view/4370310042", "https://www.linkedin.com/jobs/view/4370310042")</f>
        <v/>
      </c>
      <c r="F101">
        <f>HYPERLINK("https://jobs.lever.co/jobgether/4dd4102f-0005-4de2-9c0b-0177359ca2c4/apply?source=LinkedIn&amp;urlHash=ScLa", "https://jobs.lever.co/jobgether/4dd4102f-0005-4de2-9c0b-0177359ca2c4/apply?source=LinkedIn&amp;urlHash=ScLa")</f>
        <v/>
      </c>
      <c r="G101" t="inlineStr">
        <is>
          <t>Delaware, United States</t>
        </is>
      </c>
      <c r="H101" t="inlineStr"/>
      <c r="I101" t="inlineStr">
        <is>
          <t>This position is posted by Jobgether on behalf of a partner company. We are currently looking for a Product Management Manager \- REMOTE. In this role, you will be at the forefront of driving business value through effective product management. You will lead a cross\-functional team to inspire innovative solutions that meet market needs. Your expertise will help in creating a seamless shopping experience for customers and associates alike, ensuring product delivery aligns with strategic goals. Your role will require close collaboration with developers and designers, guiding them towards achieving exceptional results. You will be instrumental in shaping the product vision and strategy to elevate customer satisfaction and operational efficiency.
**Accountabilities**
* Oversee product strategy and alignment across teams
* Conduct in\-depth business reviews with stakeholders
* Translate user needs into actionable product goals
* Create epics for product vision and features
* Drive analytics to measure product performance
* Facilitate regular updates to leadership on product progress
* Mentor and develop a world\-class product management team
* Remove obstacles to ensure efficient product delivery
**Requirements**
* 5\-7 years of experience in product management
* Familiarity with agile methodologies and modern software practices
* Ability to manage multiple products in a fast\-paced environment
* Strong communication and influencing skills across all levels
* Experience in user research and testing
* Proficiency in analytics to measure product value
* Experience in guiding junior team members
* Effective at balancing stakeholder needs and expectations
**Benefits**
* Flexible remote working environment
* Professional development and mentorship opportunities
* Opportunity to lead and inspire a diverse team
* Collaborative work culture
* Health and wellness benefits
* Competitive compensation packages
* Supportive leadership and resources for innovation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2">
      <c r="A102" t="inlineStr">
        <is>
          <t>li-4370302578</t>
        </is>
      </c>
      <c r="B102" t="inlineStr">
        <is>
          <t>Payments Product Manager - REMOTE</t>
        </is>
      </c>
      <c r="C102" t="inlineStr">
        <is>
          <t>Jobgether</t>
        </is>
      </c>
      <c r="D102" t="inlineStr">
        <is>
          <t>linkedin</t>
        </is>
      </c>
      <c r="E102">
        <f>HYPERLINK("https://www.linkedin.com/jobs/view/4370302578", "https://www.linkedin.com/jobs/view/4370302578")</f>
        <v/>
      </c>
      <c r="F102" t="inlineStr"/>
      <c r="G102" t="inlineStr">
        <is>
          <t>Kentucky, United States</t>
        </is>
      </c>
      <c r="H102" t="inlineStr"/>
      <c r="I102" t="inlineStr">
        <is>
          <t>This position is posted by Jobgether on behalf of a partner company. We are currently looking for a Product Management Manager \- REMOTE. In this role, you will be at the forefront of driving business value through effective product management. You will lead a cross\-functional team to inspire innovative solutions that meet market needs. Your expertise will help in creating a seamless shopping experience for customers and associates alike, ensuring product delivery aligns with strategic goals. Your role will require close collaboration with developers and designers, guiding them towards achieving exceptional results. You will be instrumental in shaping the product vision and strategy to elevate customer satisfaction and operational efficiency.
**Accountabilities**
* Oversee product strategy and alignment across teams
* Conduct in\-depth business reviews with stakeholders
* Translate user needs into actionable product goals
* Create epics for product vision and features
* Drive analytics to measure product performance
* Facilitate regular updates to leadership on product progress
* Mentor and develop a world\-class product management team
* Remove obstacles to ensure efficient product delivery
**Requirements**
* 5\-7 years of experience in product management
* Familiarity with agile methodologies and modern software practices
* Ability to manage multiple products in a fast\-paced environment
* Strong communication and influencing skills across all levels
* Experience in user research and testing
* Proficiency in analytics to measure product value
* Experience in guiding junior team members
* Effective at balancing stakeholder needs and expectations
**Benefits**
* Flexible remote working environment
* Professional development and mentorship opportunities
* Opportunity to lead and inspire a diverse team
* Collaborative work culture
* Health and wellness benefits
* Competitive compensation packages
* Supportive leadership and resources for innovation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3">
      <c r="A103" t="inlineStr">
        <is>
          <t>li-4370196533</t>
        </is>
      </c>
      <c r="B103" t="inlineStr">
        <is>
          <t>Product Manager, Healthcare SaaS - Patient Support (Remote)</t>
        </is>
      </c>
      <c r="C103" t="inlineStr">
        <is>
          <t>Lensa</t>
        </is>
      </c>
      <c r="D103" t="inlineStr">
        <is>
          <t>linkedin</t>
        </is>
      </c>
      <c r="E103">
        <f>HYPERLINK("https://www.linkedin.com/jobs/view/4370196533", "https://www.linkedin.com/jobs/view/4370196533")</f>
        <v/>
      </c>
      <c r="F103" t="inlineStr"/>
      <c r="G103" t="inlineStr">
        <is>
          <t>Orlando, FL</t>
        </is>
      </c>
      <c r="H103" t="inlineStr"/>
      <c r="I10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AssistRx. Clicking "Apply Now" or "Read more" on Lensa redirects you to the job board/employer site. Any information collected there is subject to their terms and privacy notice.
 AssistRx is a leading healthcare technology company dedicated to accelerating patient access to life\-changing therapies. Through our premier patient solutions platform and advanced technology ecosystem, we partner with pharmaceutical manufacturers, specialty pharmacies, and healthcare providers to simplify the patient journey and eliminate barriers to treatment.
 Our suite of solutions—including iAssist®, Hub Lite™, Prior Authorization, Benefits Verification, Copay Support, specialty pharmacy integrations, and digital engagement tools—empowers patients to start and stay on therapy faster.
 At AssistRx, we blend technology, talent, and compassion to drive better healthcare outcomes for the patients and brands we serve.
 We are seeking a strategic, customer\-centric, and execution\-focused Product Manager to lead the evolution of our patient support program (PSP) solutions for pharmaceutical and biotech clients. This role sits at the intersection of patient experience, technology, and commercial strategy—driving offerings such as field\-based nurse support, reimbursement assistance, specialty pharmacy coordination, patient education, data workflows, and digital engagement tools (apps, portals, messaging workflows, and more).
 You will own product strategy, roadmap development, and cross\-functional execution to improve patient access, adherence, satisfaction, and program outcomes, while ensuring alignment with brand strategy, compliance requirements, and client expectations.
 Key ResponsibilitiesProduct Strategy \&amp; Vision
* Develop and execute a clear product roadmap for PSP\-related capabilities—including services, data workflows, and digital engagement tools.
* Align product initiatives with evolving client needs, regulatory requirements, and market trends in patient access and support services.
 Customer \&amp; Market Insight
* Partner with commercial teams, clients, and operations to deeply understand PSP workflows, pain points, and success metrics.
* Conduct competitive intelligence and market analysis to support product differentiation and value\-driven positioning.
 Cross\-Functional Leadership
* Collaborate with engineering, UX/UI, data science, operations, and clinical teams to deliver scalable, secure, and intuitive product features.
* Work closely with legal, compliance, and privacy stakeholders to ensure adherence to HIPAA, GDPR, and industry\-specific regulatory standards.
 Lifecycle Ownership
* Own the full product lifecycle—from ideation and requirements definition through development, launch, and ongoing optimization.
* Monitor product performance, adoption, patient outcomes, and client satisfaction to drive continuous innovation.
 Client Engagement \&amp; Enablement
* Support client onboarding and implementation by translating business requirements into product configurations and enhancements.
* Serve as the product subject matter expert during client meetings, workshops, and advisory discussions.
 Product Development Execution
* Work effectively within Agile/Scrum teams, contributing to sprint planning, backlog prioritization, and iterative roadmap delivery.
* Write clear, concise user stories, acceptance criteria, and business requirements that translate complex needs into action.
* Utilize product management tools (Jira, Confluence, Aha!, Productboard) to manage roadmaps, documentation, and communication.
**Requirements**
* Bachelor’s degree in life sciences, business, data analytics, or related field.
* 5\+ years of product management experience in B2B SaaS, healthcare technology, or tech\-enabled services.
* Experience in life sciences, healthcare delivery, pharmaceutical services, or patient support programs.
* Familiarity with PSP workflows: hub services, copay programs, prior authorization, benefits investigations, nurse support.
* Strong understanding of data privacy, compliance, and interoperability standards (HIPAA, HL7, FHIR, GDPR).
* Demonstrated success working in Agile/Scrum environments.
* Excellent communication, stakeholder engagement, and analytical skills.
**Preferred**
* Master’s degree in business, life sciences, healthcare administration, or related field.
* Experience working with pharmaceutical manufacturers, hub providers, or specialty pharmacies.
* Exposure to digital health tools (patient portals, apps, engagement platforms).
* Knowledge of EMR/EHR integrations, claims data, and real\-world evidence (RWE).
* Experience creating outcomes dashboards or patient journey analytics.
* Experience supporting AI\-driven workflows or automation tools.
* Consulting or client\-facing implementation experience.
**Benefits**
* Supportive, progressive, fast\-paced environment
* Competitive pay structure
* Matching 401(k) with immediate vesting
* Medical, dental, vision, life, \&amp; short\-term disability insurance
* Opportunity to impact patient outcomes through data\-driven healthcare technology.
* Collaborative and mission\-driven culture that values innovation and continuous learning.
* Access to cutting\-edge cloud technologies and modern data engineering tools.
* Competitive compensation, comprehensive benefits, and career growth opportunities
 AssistRx, Inc. is proud to be an Equal Opportunity Employer. All qualified applicants will receive consideration without regard to race, religion, color, sex (including pregnancy, gender identity, and sexual orientation), parental status, national origin, age, disability, family medical history or genetic information, political affiliation, military service, or other non\-merit based factors, or any other protected categories protected by federal, state, or local laws.
 All offers of employment with AssistRx are conditional based on the successful completion of a pre\-employment background check.
 In compliance with federal law, all persons hired will be required to verify identity and eligibility to work in the United States and to complete the required employment eligibility verification document form upon hire. Sponsorship and/or work authorization is not available for this position.
 AssistRx does not accept unsolicited resumes from search firms or any other vendor services. Any unsolicited resumes will be considered property of AssistRx and no fee will be paid in the event of a hire
 If you have questions about this posting, please contact support@lensa.com</t>
        </is>
      </c>
    </row>
    <row r="104">
      <c r="A104" t="inlineStr">
        <is>
          <t>li-4370311033</t>
        </is>
      </c>
      <c r="B104" t="inlineStr">
        <is>
          <t>Sr. Payments Product Manager (Remote)</t>
        </is>
      </c>
      <c r="C104" t="inlineStr">
        <is>
          <t>Jobgether</t>
        </is>
      </c>
      <c r="D104" t="inlineStr">
        <is>
          <t>linkedin</t>
        </is>
      </c>
      <c r="E104">
        <f>HYPERLINK("https://www.linkedin.com/jobs/view/4370311033", "https://www.linkedin.com/jobs/view/4370311033")</f>
        <v/>
      </c>
      <c r="F104" t="inlineStr"/>
      <c r="G104" t="inlineStr">
        <is>
          <t>Minnesota, United States</t>
        </is>
      </c>
      <c r="H104" t="inlineStr"/>
      <c r="I104" t="inlineStr">
        <is>
          <t>This position is posted by Jobgether on behalf of a partner company. We are currently looking for a Product Management Manager \- REMOTE. In this role, you will be at the forefront of driving business value through effective product management. You will lead a cross\-functional team to inspire innovative solutions that meet market needs. Your expertise will help in creating a seamless shopping experience for customers and associates alike, ensuring product delivery aligns with strategic goals. Your role will require close collaboration with developers and designers, guiding them towards achieving exceptional results. You will be instrumental in shaping the product vision and strategy to elevate customer satisfaction and operational efficiency.
**Accountabilities**
* Oversee product strategy and alignment across teams
* Conduct in\-depth business reviews with stakeholders
* Translate user needs into actionable product goals
* Create epics for product vision and features
* Drive analytics to measure product performance
* Facilitate regular updates to leadership on product progress
* Mentor and develop a world\-class product management team
* Remove obstacles to ensure efficient product delivery
**Requirements**
* 5\-7 years of experience in product management
* Familiarity with agile methodologies and modern software practices
* Ability to manage multiple products in a fast\-paced environment
* Strong communication and influencing skills across all levels
* Experience in user research and testing
* Proficiency in analytics to measure product value
* Experience in guiding junior team members
* Effective at balancing stakeholder needs and expectations
**Benefits**
* Flexible remote working environment
* Professional development and mentorship opportunities
* Opportunity to lead and inspire a diverse team
* Collaborative work culture
* Health and wellness benefits
* Competitive compensation packages
* Supportive leadership and resources for innovation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5">
      <c r="A105" t="inlineStr">
        <is>
          <t>li-4361053093</t>
        </is>
      </c>
      <c r="B105" t="inlineStr">
        <is>
          <t>Product Manager</t>
        </is>
      </c>
      <c r="C105" t="inlineStr">
        <is>
          <t>Ramsey Solutions</t>
        </is>
      </c>
      <c r="D105" t="inlineStr">
        <is>
          <t>linkedin</t>
        </is>
      </c>
      <c r="E105">
        <f>HYPERLINK("https://www.linkedin.com/jobs/view/4361053093", "https://www.linkedin.com/jobs/view/4361053093")</f>
        <v/>
      </c>
      <c r="F105">
        <f>HYPERLINK("https://careers.ramseysolutions.com/jobs/17048309-technical-product-manager?tm_job=17366&amp;tm_event=view&amp;tm_company=13331&amp;bid=56&amp;urlHash=hjY1", "https://careers.ramseysolutions.com/jobs/17048309-technical-product-manager?tm_job=17366&amp;tm_event=view&amp;tm_company=13331&amp;bid=56&amp;urlHash=hjY1")</f>
        <v/>
      </c>
      <c r="G105" t="inlineStr">
        <is>
          <t>Nashville, TN</t>
        </is>
      </c>
      <c r="H105" t="inlineStr"/>
      <c r="I105" t="inlineStr">
        <is>
          <t>**Description**
**Team** 
 :RamseyTrusted
**Location** 
 :Franklin, TN—on\-site, relocation assistance available, flexible schedules available
**Salary** 
 :$88,000 \- $130,000/year\* \+ profit sharing \+ benefits
* Range depends on skill level and overall experience.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You’ll help build the technical backbone that powers our digital products and brings HOPE to millions of people every day. As a Technical Product Manager, you’ll partner with engineers, SETs, and cross\-functional leaders to shape the internal tools, APIs, and platform services that make our teams faster, more consistent, and more effective. You’ll bridge strategy and execution—rolling up your sleeves to solve complex problems, remove roadblocks, and make sure our technology scales with excellence and purpose.
**You’re Probably a Match If**
* You have 5\+ years of experience in a software environment—engineering, product, or related roles and have personally owned initiatives from problem identification through delivery in production.
* You have 2\+ years of experience managing product roadmaps, backlogs, and delivery using Agile methodologies (Scrum, Kanban), including deciding what not to build and why.
* You have 2\+ years of experience making and documenting trade\-offs across architecture, balancing speed, reliability, and long\-term platform leverage.
* You’re fluent in Agile principles—building discovery cards, epics, user stories, and acceptance criteria that actually move work forward, starting from unclear problems and shaping them into solvable work.
* You’re comfortable leading and influencing conversations about architecture, performance trade\-offs, cloud infrastructure, and integrations, even when there is no obvious right answer.
* You can translate technical details into clear, meaningful communication—whether you’re presenting to senior leadership or writing documentation that helps others succeed—and you take accountability for alignment, not just information sharing.
**What Winning Looks Like**
* You own and actively drive a focused, prioritized technical roadmap for internal tools, APIs, and platform services that empower engineering teams to deliver faster and better.
* You lead with clarity and partnership, helping engineers unblock challenges andmake explicit trade\-offs.
* You build shared services and abstractions that reduce duplication and unlock speed across multiple product teams, with adoption by engineers as a core success metric.
* You define and track SLAs, error budgets, and performance metrics that prove reliability and drive excellence, and you adjust strategy when the data shows friction or underuse.
* You deliver documentation, SDKs, and onboarding guides that make our internal tools easy to adopt and even easier to love, enabling teams to self\-serve without repeated clarification.
* You communicate boldly and clearly—helping leadership understand the “why” behind technical decisions, surfacing risks early, and influencing the future of our platform.
* You keep a steady feedback loop with engineers, continuously refining platform direction based on real usage, not assumptions.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106">
      <c r="A106" t="inlineStr">
        <is>
          <t>li-4370302570</t>
        </is>
      </c>
      <c r="B106" t="inlineStr">
        <is>
          <t>Remote Senior Payments Product Manager</t>
        </is>
      </c>
      <c r="C106" t="inlineStr">
        <is>
          <t>Jobgether</t>
        </is>
      </c>
      <c r="D106" t="inlineStr">
        <is>
          <t>linkedin</t>
        </is>
      </c>
      <c r="E106">
        <f>HYPERLINK("https://www.linkedin.com/jobs/view/4370302570", "https://www.linkedin.com/jobs/view/4370302570")</f>
        <v/>
      </c>
      <c r="F106" t="inlineStr"/>
      <c r="G106" t="inlineStr">
        <is>
          <t>Massachusetts, United States</t>
        </is>
      </c>
      <c r="H106" t="inlineStr"/>
      <c r="I106" t="inlineStr">
        <is>
          <t>This position is posted by Jobgether on behalf of a partner company. We are currently looking for a Product Management Manager \- REMOTE. In this role, you will be at the forefront of driving business value through effective product management. You will lead a cross\-functional team to inspire innovative solutions that meet market needs. Your expertise will help in creating a seamless shopping experience for customers and associates alike, ensuring product delivery aligns with strategic goals. Your role will require close collaboration with developers and designers, guiding them towards achieving exceptional results. You will be instrumental in shaping the product vision and strategy to elevate customer satisfaction and operational efficiency.
**Accountabilities**
* Oversee product strategy and alignment across teams
* Conduct in\-depth business reviews with stakeholders
* Translate user needs into actionable product goals
* Create epics for product vision and features
* Drive analytics to measure product performance
* Facilitate regular updates to leadership on product progress
* Mentor and develop a world\-class product management team
* Remove obstacles to ensure efficient product delivery
**Requirements**
* 5\-7 years of experience in product management
* Familiarity with agile methodologies and modern software practices
* Ability to manage multiple products in a fast\-paced environment
* Strong communication and influencing skills across all levels
* Experience in user research and testing
* Proficiency in analytics to measure product value
* Experience in guiding junior team members
* Effective at balancing stakeholder needs and expectations
**Benefits**
* Flexible remote working environment
* Professional development and mentorship opportunities
* Opportunity to lead and inspire a diverse team
* Collaborative work culture
* Health and wellness benefits
* Competitive compensation packages
* Supportive leadership and resources for innovation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7">
      <c r="A107" t="inlineStr">
        <is>
          <t>li-4370190889</t>
        </is>
      </c>
      <c r="B107" t="inlineStr">
        <is>
          <t>Product Manager - REMOTE</t>
        </is>
      </c>
      <c r="C107" t="inlineStr">
        <is>
          <t>Jobgether</t>
        </is>
      </c>
      <c r="D107" t="inlineStr">
        <is>
          <t>linkedin</t>
        </is>
      </c>
      <c r="E107">
        <f>HYPERLINK("https://www.linkedin.com/jobs/view/4370190889", "https://www.linkedin.com/jobs/view/4370190889")</f>
        <v/>
      </c>
      <c r="F107">
        <f>HYPERLINK("https://jobs.lever.co/jobgether/95a2bbb3-7a79-40d4-9886-25aba137be4c/apply?source=LinkedIn&amp;urlHash=qkEV", "https://jobs.lever.co/jobgether/95a2bbb3-7a79-40d4-9886-25aba137be4c/apply?source=LinkedIn&amp;urlHash=qkEV")</f>
        <v/>
      </c>
      <c r="G107" t="inlineStr">
        <is>
          <t>Illinois, United States</t>
        </is>
      </c>
      <c r="H107" t="inlineStr"/>
      <c r="I107" t="inlineStr">
        <is>
          <t>This position is posted by Jobgether on behalf of a partner company. We are currently looking for a Product Management Manager \- REMOTE. In this role, you will be at the forefront of driving business value through effective product management. You will lead a cross\-functional team to inspire innovative solutions that meet market needs. Your expertise will help in creating a seamless shopping experience for customers and associates alike, ensuring product delivery aligns with strategic goals. Your role will require close collaboration with developers and designers, guiding them towards achieving exceptional results. You will be instrumental in shaping the product vision and strategy to elevate customer satisfaction and operational efficiency.
**Accountabilities**
* Oversee product strategy and alignment across teams
* Conduct in\-depth business reviews with stakeholders
* Translate user needs into actionable product goals
* Create epics for product vision and features
* Drive analytics to measure product performance
* Facilitate regular updates to leadership on product progress
* Mentor and develop a world\-class product management team
* Remove obstacles to ensure efficient product delivery
**Requirements**
* 5\-7 years of experience in product management
* Familiarity with agile methodologies and modern software practices
* Ability to manage multiple products in a fast\-paced environment
* Strong communication and influencing skills across all levels
* Experience in user research and testing
* Proficiency in analytics to measure product value
* Experience in guiding junior team members
* Effective at balancing stakeholder needs and expectations
**Benefits**
* Flexible remote working environment
* Professional development and mentorship opportunities
* Opportunity to lead and inspire a diverse team
* Collaborative work culture
* Health and wellness benefits
* Competitive compensation packages
* Supportive leadership and resources for innovation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8">
      <c r="A108" t="inlineStr">
        <is>
          <t>li-4370191843</t>
        </is>
      </c>
      <c r="B108" t="inlineStr">
        <is>
          <t>Remote Veterinary Product Manager</t>
        </is>
      </c>
      <c r="C108" t="inlineStr">
        <is>
          <t>Jobgether</t>
        </is>
      </c>
      <c r="D108" t="inlineStr">
        <is>
          <t>linkedin</t>
        </is>
      </c>
      <c r="E108">
        <f>HYPERLINK("https://www.linkedin.com/jobs/view/4370191843", "https://www.linkedin.com/jobs/view/4370191843")</f>
        <v/>
      </c>
      <c r="F108">
        <f>HYPERLINK("https://jobs.lever.co/jobgether/2bc3d8b6-dd03-49f2-9f28-b23cddae9f97/apply?source=LinkedIn&amp;urlHash=klMx", "https://jobs.lever.co/jobgether/2bc3d8b6-dd03-49f2-9f28-b23cddae9f97/apply?source=LinkedIn&amp;urlHash=klMx")</f>
        <v/>
      </c>
      <c r="G108" t="inlineStr">
        <is>
          <t>Illinois, United States</t>
        </is>
      </c>
      <c r="H108" t="inlineStr"/>
      <c r="I108" t="inlineStr">
        <is>
          <t>This position is posted by Jobgether on behalf of a partner company. We are currently looking for a Head of Product \- REMOTE. In this pivotal role, you will lead a collaborative product team dedicated to empowering veterinarians to enhance patient care. Your contributions will significantly shape the user experience for veterinary professionals, promoting better relationships with pet owners through streamlined processes. This position requires strategic oversight of a multi\-product portfolio and influences critical business outcomes through data\-driven insights. You'll be instrumental in systemizing veterinary services in an evolving industry. If you have a passion for pet health and impactful leadership capabilities, this role may be ideal for you.
**Accountabilities**
* Lead the generation and execution of a hypothesis\- and data\-informed prioritized roadmap across vet\-facing B2B products.
* Manage a team of 4 product managers.
* Define successful product outcomes with measurable objectives and key results; create accountability against goals.
* Communicate crisply and concisely, demonstrating strong storytelling and narrative writing skills.
* Develop innovative strategies to enhance the veterinary experience through automation and integration.
* Leverage controlled experiments and user insights to make data\-informed decisions.
* Create strong cross\-functional relationships especially with sales teams to influence positive outcomes.
**Requirements**
* BS/BA with an emphasis in technology, IT or Operations.
* 5\+ years of extensive product management experience, ideally in B2B product management in animal health.
* Experience building multi\-product platforms with a veterinary focus.
* 3\+ years of experience leading teams of product managers, including managing senior team members.
**Benefits**
* Competitive pay and benefits including medical, vision, dental, and life insurance.
* Employee Assistance Program.
* Pet insurance and Virtual vet care.
* PTO, Holidays, Floating Holidays, and Volunteer Day.
* Retirement Savings Plan (401k/RRSP) with employer matching.
* Paid parental leave.
* Flexible scheduling and remote work options.
* Opportunity to join Associate Resource Groups and participate in fun company events.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9">
      <c r="A109" t="inlineStr">
        <is>
          <t>li-4370300665</t>
        </is>
      </c>
      <c r="B109" t="inlineStr">
        <is>
          <t>Digital Product Manager Lead</t>
        </is>
      </c>
      <c r="C109" t="inlineStr">
        <is>
          <t>Elevance Health</t>
        </is>
      </c>
      <c r="D109" t="inlineStr">
        <is>
          <t>linkedin</t>
        </is>
      </c>
      <c r="E109">
        <f>HYPERLINK("https://www.linkedin.com/jobs/view/4370300665", "https://www.linkedin.com/jobs/view/4370300665")</f>
        <v/>
      </c>
      <c r="F109">
        <f>HYPERLINK("https://www.chicagocareersite.com/job.asp?id=3155570460&amp;aff=52EFF1C4-FB9D-4BBB-9F72-E231CF9CFD29&amp;urlHash=jXhr", "https://www.chicagocareersite.com/job.asp?id=3155570460&amp;aff=52EFF1C4-FB9D-4BBB-9F72-E231CF9CFD29&amp;urlHash=jXhr")</f>
        <v/>
      </c>
      <c r="G109" t="inlineStr">
        <is>
          <t>Chicago, IL</t>
        </is>
      </c>
      <c r="H109" t="inlineStr"/>
      <c r="I109" t="inlineStr">
        <is>
          <t>**Location:**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Ideal candidates will be able to report to one of our Pulse Point locations in Atlanta, GA, Indianapolis, IN, Norfolk, VA, Chicago, IL or New York, NY.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The
 **Digital Product Manager Lead** 
 is responsible for providing day to day leadership of digital product management associates and initiatives.
**How You Will Make An Impact**
* Assesses digital impacts of initiatives, prioritize work team activities and addresses execution obstacles.
* Oversees product delivery.
* Communicates status, priorities, strategies, and success metrics to constituencies including management and other team members including but not limited to IT and business stakeholders.
* Organizes and facilitates standard agile operating processes including research planning, capability needs, product roadmaps, release communication, and budget management.
* Ensures initiatives meet stated business goals and solutions are delivered with quality.
* Ensures the organization meets its performance goals and that there is alignment across the execution teams, escalating and resolving issues impacting delivery.
**Minimum Requirements**
 Requires a BA/BS degree and a minimum of 7 years of related experience; or any combination of education and experience, which would provide an equivalent background.
**Preferred Skills, Capabilities And Experiences**
* Experience with Sprint planning and delivery/execution highly preferred.
* Experience using data mining tools and techniques and leveraging communications/collaboration tools highly preferred.
* Scaled Agile experience highly preferred.
* Exposure to correspondence highly preferred.
* Healthcare industry digital product experience highly preferred.
* Experience driving provider engagement initiatives highly preferred.
* Experience working with internal and external clients preferred.
 For candidates working in person or virtually in the below location(s), the salary\* range for this specific position is $134,112 to $219,456
 Locations: Chicago, IL, New York,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110">
      <c r="A110" t="inlineStr">
        <is>
          <t>li-4370311148</t>
        </is>
      </c>
      <c r="B110" t="inlineStr">
        <is>
          <t>Digital Product Manager Lead</t>
        </is>
      </c>
      <c r="C110" t="inlineStr">
        <is>
          <t>Elevance Health</t>
        </is>
      </c>
      <c r="D110" t="inlineStr">
        <is>
          <t>linkedin</t>
        </is>
      </c>
      <c r="E110">
        <f>HYPERLINK("https://www.linkedin.com/jobs/view/4370311148", "https://www.linkedin.com/jobs/view/4370311148")</f>
        <v/>
      </c>
      <c r="F110">
        <f>HYPERLINK("https://www.businessworkforce.com/job.asp?id=3155581452&amp;aff=52EFF1C4-FB9D-4BBB-9F72-E231CF9CFD29&amp;urlHash=ow2v", "https://www.businessworkforce.com/job.asp?id=3155581452&amp;aff=52EFF1C4-FB9D-4BBB-9F72-E231CF9CFD29&amp;urlHash=ow2v")</f>
        <v/>
      </c>
      <c r="G110" t="inlineStr">
        <is>
          <t>Norfolk, VA</t>
        </is>
      </c>
      <c r="H110" t="inlineStr"/>
      <c r="I110" t="inlineStr">
        <is>
          <t>**Location:**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Ideal candidates will be able to report to one of our Pulse Point locations in Atlanta, GA, Indianapolis, IN, Norfolk, VA, Chicago, IL or New York, NY.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The
 **Digital Product Manager Lead** 
 is responsible for providing day to day leadership of digital product management associates and initiatives.
**How You Will Make An Impact**
* Assesses digital impacts of initiatives, prioritize work team activities and addresses execution obstacles.
* Oversees product delivery.
* Communicates status, priorities, strategies, and success metrics to constituencies including management and other team members including but not limited to IT and business stakeholders.
* Organizes and facilitates standard agile operating processes including research planning, capability needs, product roadmaps, release communication, and budget management.
* Ensures initiatives meet stated business goals and solutions are delivered with quality.
* Ensures the organization meets its performance goals and that there is alignment across the execution teams, escalating and resolving issues impacting delivery.
**Minimum Requirements**
 Requires a BA/BS degree and a minimum of 7 years of related experience; or any combination of education and experience, which would provide an equivalent background.
**Preferred Skills, Capabilities And Experiences**
* Experience with Sprint planning and delivery/execution highly preferred.
* Experience using data mining tools and techniques and leveraging communications/collaboration tools highly preferred.
* Scaled Agile experience highly preferred.
* Exposure to correspondence highly preferred.
* Healthcare industry digital product experience highly preferred.
* Experience driving provider engagement initiatives highly preferred.
* Experience working with internal and external clients preferred.
 For candidates working in person or virtually in the below location(s), the salary\* range for this specific position is $134,112 to $219,456
 Locations: Chicago, IL, New York,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111">
      <c r="A111" t="inlineStr">
        <is>
          <t>li-4370040622</t>
        </is>
      </c>
      <c r="B111" t="inlineStr">
        <is>
          <t>Product Manager</t>
        </is>
      </c>
      <c r="C111" t="inlineStr">
        <is>
          <t>Total Quality Logistics</t>
        </is>
      </c>
      <c r="D111" t="inlineStr">
        <is>
          <t>linkedin</t>
        </is>
      </c>
      <c r="E111">
        <f>HYPERLINK("https://www.linkedin.com/jobs/view/4370040622", "https://www.linkedin.com/jobs/view/4370040622")</f>
        <v/>
      </c>
      <c r="F111" t="inlineStr"/>
      <c r="G111" t="inlineStr">
        <is>
          <t>Cincinnati, OH</t>
        </is>
      </c>
      <c r="H111" t="inlineStr"/>
      <c r="I111" t="inlineStr">
        <is>
          <t>**About the role:** 
 As a Product Manager for TQL you will develop products that support TQL's overall strategy and goals. You will be responsible for defining product vision and strategy, managing objectives and key results, understanding and interpreting quantitative and qualitative product insights, and working closely with business partners to accelerate value delivery. 
**What’s in it for you:** 
* $68,000\- $110,000 base salary
* Advancement opportunities with aggressive and structure career paths
* A culture of continuous education and technical training with reimbursements available
* Hybrid work environment with the ability to work remotely 40 hours per month
* Comprehensive benefits package
	+ Health, dental and vision coverage
	+ 401(k) with company match
	+ Perks including employee discounts, financial wellness planning, tuition reimbursement and more
* **Certified Great Place to Work** 
 and voted a
 **2019\-2026 Computerworld Best Places to Work in IT**
**What you’ll be doing:** 
* Identify customer needs, opportunities, and pain points via market research, supported by ongoing engagement with internal and external customers
* Collaborate with business stakeholders to create and maintain focused and intentional Product roadmaps
* Conduct competitive analysis to ensure TQL's offerings are best in class
* Own the process to generate business cases supported by alignment to TQL’s strategic focus and quantified with thorough cost\-benefit analyses
* Utilize data visualization tools to generate novel insights of how users engage with and realize value from TQL products.
* Conduct usability tests to inform continuous development of TQL products
* Report to senior management on the financial performance of your Product portfolio
**What you need:** 
* Bachelor's Degree in related field or equivalent experience
* Product or project management experience extremely desirable
* Moderate to advanced proficiency in Tableau or PowerBI
* Thorough understanding of common transportation industry practices and procedures
* Exceptional writing and editing skills combined with strong presentation skills
* Impeccable organization skills
* Moderate to advanced proficiency in Microsoft Office Suite
* Committed to high quality outcomes
* Extreme ownership and accountability habits
**Where you'll be:** 
 4289 Ivy Pointe Blvd Cincinnati, OH 45245
*Employment visa sponsorship is unavailable for this position. Applicants requiring employment visa sponsorship now or in the future (e.g., F\-1 STEM OPT, H\-1B, TN, J1 etc.) will not be considered.*</t>
        </is>
      </c>
    </row>
    <row r="112">
      <c r="A112" t="inlineStr">
        <is>
          <t>li-4370302662</t>
        </is>
      </c>
      <c r="B112" t="inlineStr">
        <is>
          <t>Digital Product Manager Lead</t>
        </is>
      </c>
      <c r="C112" t="inlineStr">
        <is>
          <t>Elevance Health</t>
        </is>
      </c>
      <c r="D112" t="inlineStr">
        <is>
          <t>linkedin</t>
        </is>
      </c>
      <c r="E112">
        <f>HYPERLINK("https://www.linkedin.com/jobs/view/4370302662", "https://www.linkedin.com/jobs/view/4370302662")</f>
        <v/>
      </c>
      <c r="F112">
        <f>HYPERLINK("https://www.indianapolisgigs.com/job.asp?id=3155602403&amp;aff=52EFF1C4-FB9D-4BBB-9F72-E231CF9CFD29&amp;urlHash=9E1y", "https://www.indianapolisgigs.com/job.asp?id=3155602403&amp;aff=52EFF1C4-FB9D-4BBB-9F72-E231CF9CFD29&amp;urlHash=9E1y")</f>
        <v/>
      </c>
      <c r="G112" t="inlineStr">
        <is>
          <t>Indianapolis, IN</t>
        </is>
      </c>
      <c r="H112" t="inlineStr"/>
      <c r="I112" t="inlineStr">
        <is>
          <t>**Location:**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Ideal candidates will be able to report to one of our Pulse Point locations in Atlanta, GA, Indianapolis, IN, Norfolk, VA, Chicago, IL or New York, NY.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The
 **Digital Product Manager Lead** 
 is responsible for providing day to day leadership of digital product management associates and initiatives.
**How You Will Make An Impact**
* Assesses digital impacts of initiatives, prioritize work team activities and addresses execution obstacles.
* Oversees product delivery.
* Communicates status, priorities, strategies, and success metrics to constituencies including management and other team members including but not limited to IT and business stakeholders.
* Organizes and facilitates standard agile operating processes including research planning, capability needs, product roadmaps, release communication, and budget management.
* Ensures initiatives meet stated business goals and solutions are delivered with quality.
* Ensures the organization meets its performance goals and that there is alignment across the execution teams, escalating and resolving issues impacting delivery.
**Minimum Requirements**
 Requires a BA/BS degree and a minimum of 7 years of related experience; or any combination of education and experience, which would provide an equivalent background.
**Preferred Skills, Capabilities And Experiences**
* Experience with Sprint planning and delivery/execution highly preferred.
* Experience using data mining tools and techniques and leveraging communications/collaboration tools highly preferred.
* Scaled Agile experience highly preferred.
* Exposure to correspondence highly preferred.
* Healthcare industry digital product experience highly preferred.
* Experience driving provider engagement initiatives highly preferred.
* Experience working with internal and external clients preferred.
 For candidates working in person or virtually in the below location(s), the salary\* range for this specific position is $134,112 to $219,456
 Locations: Chicago, IL, New York,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113">
      <c r="A113" t="inlineStr">
        <is>
          <t>li-4370193047</t>
        </is>
      </c>
      <c r="B113" t="inlineStr">
        <is>
          <t>Program Manager, Clinical Data Science</t>
        </is>
      </c>
      <c r="C113" t="inlineStr">
        <is>
          <t>Nextrials, Inc.</t>
        </is>
      </c>
      <c r="D113" t="inlineStr">
        <is>
          <t>linkedin</t>
        </is>
      </c>
      <c r="E113">
        <f>HYPERLINK("https://www.linkedin.com/jobs/view/4370193047", "https://www.linkedin.com/jobs/view/4370193047")</f>
        <v/>
      </c>
      <c r="F113">
        <f>HYPERLINK("https://careers.iconplc.com/job/program-manager-clinical-data-science-in-us-blue-bell-icon-jid-48187&amp;urlHash=YCp_", "https://careers.iconplc.com/job/program-manager-clinical-data-science-in-us-blue-bell-icon-jid-48187&amp;urlHash=YCp_")</f>
        <v/>
      </c>
      <c r="G113" t="inlineStr">
        <is>
          <t>Blue Bell, PA</t>
        </is>
      </c>
      <c r="H113" t="inlineStr"/>
      <c r="I113" t="inlineStr">
        <is>
          <t>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Program Manager, Clinical Data Science to join our diverse and dynamic team. As a Program Manager in Clinical Data Science at ICON, you will play a crucial role in overseeing and coordinating data science initiatives within clinical programs. You will lead cross\-functional teams to ensure the successful execution of data\-driven projects, from data collection and analysis to the implementation of insights that drive clinical outcomes and operational efficiencies.
**What You Will Be Doing**
* Managing the end\-to\-end execution of clinical data science programs, including planning, resource allocation, and delivery of data science projects within scope, time, and budget constraints.
* Coordinating with data scientists, statisticians, clinical researchers, and other stakeholders to ensure alignment on project objectives, data requirements, and analytical approaches.
* Developing and maintaining program plans, timelines, and budgets, and monitoring progress to ensure timely and successful completion of data science initiatives.
* Providing strategic oversight and guidance on data science methodologies, ensuring that analyses are rigorous, valid, and aligned with clinical and regulatory standards.
* Communicating program status, insights, and outcomes to stakeholders, including executive leadership, and addressing any issues or risks that may impact program success.
**Your Profile**
* Bachelor’s degree in data science, statistics, clinical research, or a related field. Advanced degree and/or relevant certifications are preferred. Extensive experience in program management within the clinical data science or related domain.
* Strong background in data science methodologies, statistical analysis, and clinical research, with a track record of successfully managing complex data\-driven projects.
* Exceptional leadership skills with experience managing cross\-functional teams and collaborating with various departments to achieve program objectives.
* Proficiency in project management tools and techniques, with experience in risk management, budgeting, and resource planning.
* Excellent communication and interpersonal skills, with the ability to convey complex data insights clearly and build effective relationships with stakeholders at all levels.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 Various annual leave entitlements
* A range of health insurance offerings to suit you and your family’s needs.
* Competitive retirement planning offerings to maximize savings and plan with confidence for the years ahead.
* Global Employee Assistance Programme, LifeWorks, offering 24\-hour access to a global network of over 80,000 independent specialized professionals who are there to support you and your family’s well\-being.
* Life assurance
* Flexible country\-specific optional benefits, including childcare vouchers, bike purchase schemes, discounted gym memberships, subsidized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or submit a request here
 Interested in the role, but unsure if you meet all of the requirements? We would encourage you to apply regardless – there’s every chance you’re exactly what we’re looking for here at ICON whether it is for this or other roles.
 Are you a current ICON Employee? Please click here to apply</t>
        </is>
      </c>
    </row>
    <row r="114">
      <c r="A114" t="inlineStr">
        <is>
          <t>li-4353663532</t>
        </is>
      </c>
      <c r="B114" t="inlineStr">
        <is>
          <t>Senior Customer Master Data Product Owner</t>
        </is>
      </c>
      <c r="C114" t="inlineStr">
        <is>
          <t>NetApp</t>
        </is>
      </c>
      <c r="D114" t="inlineStr">
        <is>
          <t>linkedin</t>
        </is>
      </c>
      <c r="E114">
        <f>HYPERLINK("https://www.linkedin.com/jobs/view/4353663532", "https://www.linkedin.com/jobs/view/4353663532")</f>
        <v/>
      </c>
      <c r="F114" t="inlineStr"/>
      <c r="G114" t="inlineStr">
        <is>
          <t>Morrisville, NC</t>
        </is>
      </c>
      <c r="H114" t="inlineStr"/>
      <c r="I114"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NetApp, Inc. is seeking a highly motivated individual to join our Enterprise Data \&amp; Analytics (EDA) team as a Customer Master Data Product owner. This position will play a critical role in driving the success of our Customer and Contact related applications, products and services by collaborating with cross\-functional teams to deliver high\-quality solutions that meet business needs and align with both industry best practices and internal standards.
 Job Requirements
* Business Analysis: Analyze processes and data, making recommendations for improvements based on industry trends and professional business knowledge.
* Product Roadmap Management: Collaborate with stakeholders and Product/Enterprise Architects to define and maintain the product roadmaps for each of the applications, platforms and technologies part of the portfolio, ensuring alignment with business and IT goals and objectives.
* Requirement Intake \&amp; Grooming: Working closely with business and IT stakeholders, gather and refine requirements, ensuring they are well\-documented and aligned with the overall product vision. Responsible for managing backlog prioritization.
* Solution \&amp; Architecture: Partner with Enterprise, product architects, and other technical teams to verify design and solutions meet business requirements and IT roadmaps.
* Delivery: Ownership of release planning, definition of major project milestones, and overall delivery execution. Ensure that deliverables meet the required quality and align with established standards and committed timelines.
* Communication: Perform regular and consistent communication with business and IT stakeholders, providing regular updates on project status, risks, and issues. Align with other Product owners to ensure best practices and consistency across domains is achieved.
* Support/Product Stability: Engage in incident management, ensuring timely resolution of issues and continuous improvement of product stability and performance.
* Data Quality / Governance: Collaborate with Data Governance team members to monitor and improve data quality with the associated domains/applications. Perform implementation and overall ownership of data model and associated documentation / Metadata.
* Documentation: Maintain current product documentation including functional specifications, solution designs, data models, as built diagrams, integration diagrams, data integration mappings etc.
**Qualifications**
* Bachelor's degree in Computer Science, Information Technology, or a related field
* Over 2 years of prior experience as a Product Owner or similar role in a data\-driven environment
* Hands\-on Involvement with vendor Customer / Company Master Data solutions and concepts ( Oracle Fusion Applications preferred )
* Strong understanding of delivery lifecycle and agile methodologies
* Must be self\-motivated, team oriented and possess strong communication and interpersonal skills
* Strong problem\-solving and analytical skills
* Experience with SQL, relational databases, and working with large complex data set
* Familiarity with data governance, data quality and compliance standards
* Detailed involvement with BI / Reporting tools; Power BI, Oracle BI Publisher, and Oracle OTBI prefered
 Compensation:
 The target salary range for this position is 136,000 \- 202,400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115">
      <c r="A115" t="inlineStr">
        <is>
          <t>li-4370196742</t>
        </is>
      </c>
      <c r="B115" t="inlineStr">
        <is>
          <t>Senior Veterinary Product Manager (Remote)</t>
        </is>
      </c>
      <c r="C115" t="inlineStr">
        <is>
          <t>Jobgether</t>
        </is>
      </c>
      <c r="D115" t="inlineStr">
        <is>
          <t>linkedin</t>
        </is>
      </c>
      <c r="E115">
        <f>HYPERLINK("https://www.linkedin.com/jobs/view/4370196742", "https://www.linkedin.com/jobs/view/4370196742")</f>
        <v/>
      </c>
      <c r="F115">
        <f>HYPERLINK("https://jobs.lever.co/jobgether/5b92e5dc-f99f-41e4-9558-7089e6d9465f/apply?source=LinkedIn&amp;urlHash=PT3p", "https://jobs.lever.co/jobgether/5b92e5dc-f99f-41e4-9558-7089e6d9465f/apply?source=LinkedIn&amp;urlHash=PT3p")</f>
        <v/>
      </c>
      <c r="G115" t="inlineStr">
        <is>
          <t>Kentucky, United States</t>
        </is>
      </c>
      <c r="H115" t="inlineStr"/>
      <c r="I115" t="inlineStr">
        <is>
          <t>This position is posted by Jobgether on behalf of a partner company. We are currently looking for a Head of Product \- REMOTE. In this pivotal role, you will lead a collaborative product team dedicated to empowering veterinarians to enhance patient care. Your contributions will significantly shape the user experience for veterinary professionals, promoting better relationships with pet owners through streamlined processes. This position requires strategic oversight of a multi\-product portfolio and influences critical business outcomes through data\-driven insights. You'll be instrumental in systemizing veterinary services in an evolving industry. If you have a passion for pet health and impactful leadership capabilities, this role may be ideal for you.
**Accountabilities**
* Lead the generation and execution of a hypothesis\- and data\-informed prioritized roadmap across vet\-facing B2B products.
* Manage a team of 4 product managers.
* Define successful product outcomes with measurable objectives and key results; create accountability against goals.
* Communicate crisply and concisely, demonstrating strong storytelling and narrative writing skills.
* Develop innovative strategies to enhance the veterinary experience through automation and integration.
* Leverage controlled experiments and user insights to make data\-informed decisions.
* Create strong cross\-functional relationships especially with sales teams to influence positive outcomes.
**Requirements**
* BS/BA with an emphasis in technology, IT or Operations.
* 5\+ years of extensive product management experience, ideally in B2B product management in animal health.
* Experience building multi\-product platforms with a veterinary focus.
* 3\+ years of experience leading teams of product managers, including managing senior team members.
**Benefits**
* Competitive pay and benefits including medical, vision, dental, and life insurance.
* Employee Assistance Program.
* Pet insurance and Virtual vet care.
* PTO, Holidays, Floating Holidays, and Volunteer Day.
* Retirement Savings Plan (401k/RRSP) with employer matching.
* Paid parental leave.
* Flexible scheduling and remote work options.
* Opportunity to join Associate Resource Groups and participate in fun company events.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6">
      <c r="A116" t="inlineStr">
        <is>
          <t>li-4361409089</t>
        </is>
      </c>
      <c r="B116" t="inlineStr">
        <is>
          <t>Principal Product Manager - Performance Solutions Delivery Architecture</t>
        </is>
      </c>
      <c r="C116" t="inlineStr">
        <is>
          <t>FactSet</t>
        </is>
      </c>
      <c r="D116" t="inlineStr">
        <is>
          <t>linkedin</t>
        </is>
      </c>
      <c r="E116">
        <f>HYPERLINK("https://www.linkedin.com/jobs/view/4361409089", "https://www.linkedin.com/jobs/view/4361409089")</f>
        <v/>
      </c>
      <c r="F116" t="inlineStr"/>
      <c r="G116" t="inlineStr"/>
      <c r="H116" t="inlineStr"/>
      <c r="I116"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17">
      <c r="A117" t="inlineStr">
        <is>
          <t>li-4370191675</t>
        </is>
      </c>
      <c r="B117" t="inlineStr">
        <is>
          <t>Sr Technical Program Manager - Remote</t>
        </is>
      </c>
      <c r="C117" t="inlineStr">
        <is>
          <t>Lensa</t>
        </is>
      </c>
      <c r="D117" t="inlineStr">
        <is>
          <t>linkedin</t>
        </is>
      </c>
      <c r="E117">
        <f>HYPERLINK("https://www.linkedin.com/jobs/view/4370191675", "https://www.linkedin.com/jobs/view/4370191675")</f>
        <v/>
      </c>
      <c r="F117">
        <f>HYPERLINK("https://lensa.com/cgw/2db0b5c225464d28a71bcda858390495tjo1?jpsi=directemployers_no_redirect&amp;publisher_preference=easier_apply&amp;utm_campaign=Top%20Executives&amp;utm_medium=slot&amp;utm_source=linkedin&amp;utm_term=jse&amp;urlHash=M8Ko", "https://lensa.com/cgw/2db0b5c225464d28a71bcda858390495tjo1?jpsi=directemployers_no_redirect&amp;publisher_preference=easier_apply&amp;utm_campaign=Top%20Executives&amp;utm_medium=slot&amp;utm_source=linkedin&amp;utm_term=jse&amp;urlHash=M8Ko")</f>
        <v/>
      </c>
      <c r="G117" t="inlineStr">
        <is>
          <t>Columbus, OH</t>
        </is>
      </c>
      <c r="H117" t="inlineStr"/>
      <c r="I11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SitusAMC. Clicking "Apply Now" or "Read more" on Lensa redirects you to the job board/employer site. Any information collected there is subject to their terms and privacy notice.
 SitusAMC is where the best and most passionate people come to transform our client's businesses and their own careers. Whether you're a real estate veteran, a passionate technologist, or looking to get your start, join us as we work together to realize opportunities for everyone, we proudly serve.
 At SitusAMC, we are looking to match your unique experience with one of our amazing careers, so that we can help you realize your potential and career growth within the Real Estate Industry. If you are someone who can be yourself, advocate for others, stay nimble, dream big, own every outcome, and think global but act local \- come join our team!
 This position will be responsible for leading a capability to deliver software that provides exceptional business value to users.
**Essential Job Functions**
* Team Empowerment, Support, and Improvement
* Supervise, mentor and support Technical Program Managers \&amp; Scrum Masters
* Support and guide Technical Program Managers \&amp; Scrum Masters in the development and adherence of best practices and procedures
* Ensure Technical Program Managers \&amp; Scrum Masters are properly facilitating team ceremonies
* Facilitate Portfolio\-level team ceremonies and remove any roadblocks to the team's work.
* Assist the team in making informed decisions by providing relevant information and facilitating discussions.
* Ensure that decisions align with priorities at all levels of the portfolio or capability.
* Foster collaboration between different functional areas within the organization, ensuring that dependencies are identified and managed effectively. Dependencies should be mitigated, owned and resolved.
* Help the portfolio or capability teams adapt to evolving circumstances and stay focused on team goals.
* Ensure team goals and deliverables are aligned with strategic initiatives and Scorecard objectives
* Encourage a culture of continuous improvement by facilitating retrospectives and feedback sessions.
* Tooling, Metrics and Automation
* Manage Azure DevOps boards to maintain established structure and processes.
* Analyze data and create possible solutions to improve portfolio or capability performance.
* Ensure monthly metrics are captured on a defined cadence and relevant insights are surfaced to inform improvements, unblock teams and highlight successes or challenges.
* Own driving accountability through metrics data, understand performance indicators and leverage data proactively to lead teams to success or mitigate risks.
* Review the performance indicators/metrics of the teams under your portfolio or capability and assist with determining solutions for improvement.
* Ensure release planning activities are completed with the delivery teams as performed by capability teams. Advocate for the use of automation to streamline repetitive tasks and improve overall efficiency.
* Resource Management
* Manage resource allocation, ensuring that team members have the necessary tools, skills, and support to perform their tasks effectively.
* Identify and address potential resource constraints or bottlenecks.
* Report on resource utilization and manage capacity of the portfolio or capability.
* Project Planning and Coordination
* Collaborate with stakeholders to define project goals, scope, and timelines, ensuring initiatives are aligned with strategic business objectives and focused on delivering measurable value.
* Respond to changes in project scope, priorities, or requirements by adjusting plans and priorities accordingly.
* Coordinate activities among team members and other relevant stakeholders.
* Act as a liaison between the technical delivery teams and other stakeholders, ensuring clear and transparent communication.
* Provide regular Portfolio Roadmap tracking and communication including updates on project/development progress, milestones, release commitments, and potential challenges to stakeholders.
* Identify and assess project risks, working with the team to develop mitigation plans.
* Proactively address issues and obstacles that may impact product delivery.
* Technology Governance
* Partner with business and technology leadership to create and implement processes for managing and tracking software development teams.
* Work across business lines (CRE, RRE, Corporate) to standardize processes and drive the implementation and adherence of the Technology System of Delivery (SoD).
* Suggest, analyze and implement improvements to the SoD.
* Partner with Data and Analytics staff to create metrics and reports that support the portfolio and capability teams.
* Create and maintain a repository for storage and communication of standard processes and procedures in SharePoint.
* Other activities as may be assigned by your manager
**Qualifications/ Requirements**
* Bachelor's degree or equivalent from four\-year College or technical school or equivalent combination of education and experience.
* Minimum of 8\+ years of industry and/or relevant experience, typically with 2\+ years in an AVP level role or external equivalent.
* Prior experience with Scrum/Agile methodologies with enterprise\-level application development projects. Agile certifications a plus: PMI\-ACP, CSM, SAFe
* Experience overseeing multi\-function project teams with at least 10\-15 team members including Developers, Business Analyst, and QA personnel.
* Experience using Azure DevOps (preferred) or Jira for managing work tasks.
* Experience with Microsoft Office Suite.
* Experience with a Project Portfolio Management (PPM) tool is a plus.
* Experience directly managing staff.
* Experience working remotely and household setup conducive to remote work.
* Solid understanding of software development life cycle models and extensive knowledge of both agile and traditional project management principles and practices.
 Note: This job description is not intended to be all inclusive or exclusive. At any time, employees may perform other related duties as required to meet the ongoing needs of the organization and participate in additional trainings. SitusAMC does not accept unsolicited resumes from staffing agencies, search firms or any third parties. Any unsolicited resume submitted to SitusAMC in any manner will be considered SitusAMC property, and SitusAMC will not pay a fee for any placement resulting from the receipt of an unsolicited resume.
 The annual full time base salary range for this role is
 $110,000\.00 \- $140,000\.00
 Specific compensation is determined through interviews and a review of relevant education, experience, training, skills, geographic location and alignment with market data. Additionally, certain positions may be eligible to receive a discretionary bonus as determined by bonus program guidelines, position eligibility and SitusAMC Senior Management approval. SitusAMC offers PTO and paid holidays, the terms of which are set forth in the program policies. All full time employees also are eligible to participate in various benefit plans, including medical, dental, vision, life, disability insurance and 401K; in each case in accordance with the terms of the applicable plans.
 Pay Transparency Nondiscrimination Provision (https://go.situsamc.com/rs/962\-QMP\-613/images/pay\-transp\_%20English\_formattedESQA508c.pdf?version\=0\)
 SitusAMC is an Equal Opportunity Employer. Qualified applicants will receive consideration for employment without regard to race, color, religion, age, sex, national origin, disability, genetics, protected veteran status, sexual orientation, gender identity or expression, or any other characteristic protected by federal, state, or local laws.
 Know Your Rights, Workplace Discrimination is Illegal (https://www.eeoc.gov/sites/default/files/2023\-06/22\-088\_EEOC\_KnowYourRights6\.12ScreenRdr.pdf)
 If you have questions about this posting, please contact support@lensa.com</t>
        </is>
      </c>
    </row>
    <row r="118">
      <c r="A118" t="inlineStr">
        <is>
          <t>li-4370194589</t>
        </is>
      </c>
      <c r="B118" t="inlineStr">
        <is>
          <t>Senior Technical Program Manager, MarTech</t>
        </is>
      </c>
      <c r="C118" t="inlineStr">
        <is>
          <t>Lensa</t>
        </is>
      </c>
      <c r="D118" t="inlineStr">
        <is>
          <t>linkedin</t>
        </is>
      </c>
      <c r="E118">
        <f>HYPERLINK("https://www.linkedin.com/jobs/view/4370194589", "https://www.linkedin.com/jobs/view/4370194589")</f>
        <v/>
      </c>
      <c r="F118">
        <f>HYPERLINK("https://lensa.com/cgw/93e36a8232f04278948292411fb20d9ctjo1?jpsi=directemployers_no_redirect&amp;publisher_preference=easier_apply&amp;utm_campaign=Top%20Executives&amp;utm_medium=slot&amp;utm_source=linkedin&amp;utm_term=jse&amp;urlHash=V_Nv", "https://lensa.com/cgw/93e36a8232f04278948292411fb20d9ctjo1?jpsi=directemployers_no_redirect&amp;publisher_preference=easier_apply&amp;utm_campaign=Top%20Executives&amp;utm_medium=slot&amp;utm_source=linkedin&amp;utm_term=jse&amp;urlHash=V_Nv")</f>
        <v/>
      </c>
      <c r="G118" t="inlineStr">
        <is>
          <t>Frisco, TX</t>
        </is>
      </c>
      <c r="H118" t="inlineStr"/>
      <c r="I11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McAfee. Clicking "Apply Now" or "Read more" on Lensa redirects you to the job board/employer site. Any information collected there is subject to their terms and privacy notice.
**Role Overview**
 As McAfee continues to evolve into a consumer\-centric business, Technical Program Managers play a pivotal role in driving key Product and Engineering initiatives towards successful launches. This Senior Technical Program Manager will be an important member of our eCommerce Technical Program Management team supporting new AI driven features and product launches. You will report to the Director, Technical Program Management, eCommerce.
 This is a Hybrid position based in The United States. Candidates must be within a commutable distance to either our San Jose, CA, or Frisco, TX, offices. You will be required to come onsite from time to time for meetings to collaborate with executives and other team members. We are only considering candidates who are within a commutable distance to our locations and are not offering relocation at this time.
**About The Role**
* Own and drive Marketing Technology (MarTech) related eCommerce portfolio and critical programs.
* Oversee the entire MarTech platform, segmentation, messaging functionality, conversion metrics, user experience, and integration with other systems like email, sms, customer data platform, segmentation and decision\-making architecture.
* Manage issues and risks, create mitigation plans, escalate to appropriate stakeholders and produce program reports for executive leadership.
* Ability to tackle complex challenges, think critically, work cross\-functionally, and deliver innovative solutions.
* Conduct and mandate thorough testing to ensure the MarTech platform functions correctly and to identify potential issues before launch.
* Partner with engineering, UX, product and business leaders to help better prioritize and execute on AI based product, platform, and marketing strategy.
* Work with engineering, analytics, product management to define key performance Indicators to analyze marketing platform success.
* Experience managing programs with geographically dispersed teams.
* Oversee multi\-channel and multi focus initiatives across the consumer organization.
* Manage third party requirements and interfaces with third party stakeholders, as necessary.
* Interface regularly with global and geo marketing teams to coordinate marketing campaigns and bring visibility to internal stakeholders.
* Provide guidance and mentoring to junior team members.
**About You**
* 9\+ years of technical project or program management experience in driving consumer\-centric applications with at least 5 years driving product launches for eCommerce products.
* 5\+ years of experience using project/portfolio management tools such as ClickUp, Atlassian JIRA, Confluence, VersionOne, Asana, Monday.com or Smartsheets.
* Leverages AI tools to be a force multiplier to execution.
* Must have experience in planning, organizing, and executing projects related to messaging and MarTech platforms.
* Must have experience analyzing data and being able to identify areas for improvement in the platform
* Experience with Adobe eCommerce Suite, Adobe Target, Adobe Analytics, Adobe Experience Manager, Adobe Experience Platform, Adobe Campaign Standard.
* Strong technical orientation and solid understanding of Product Development Life Cycle (PDLC).
* Proven track record of managing large\-scale, complex technical efforts.
* Strong negotiation, communication and conflict management skills with the ability to articulate concepts and rationale to stakeholders at all levels of the organization.
* Experience working with multiple global time zones.
**Company Overview**
 McAfee is a leader in personal security for consumers. Focused on protecting people, not just devices, McAfee consumer solutions adapt to users' needs in an always online world, empowering them to live securely through integrated, intuitive solutions that protects their families and communities with the right security at the right moment.
**Company Benefits And Perks**
 We work hard to embrace diversity and inclusion and encourage everyone at McAfee to bring their authentic selves to work every day. We're proud to be Great Place to Work® Certified in 10 countries, a reflection of the supportive, empowering environment we've built where people feel seen, valued, and energized to reach their full potential and thrive.
 We offer a variety of social programs, flexible work hours and family\-friendly benefits to all of our employees.
* Bonus Program
* Pension and Retirement Plans
* Medical, Dental and Vision Coverage
* Paid Time Off
* Paid Parental Leave
*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
 If you have questions about this posting, please contact support@lensa.com</t>
        </is>
      </c>
    </row>
    <row r="119">
      <c r="A119" t="inlineStr">
        <is>
          <t>li-4370190733</t>
        </is>
      </c>
      <c r="B119" t="inlineStr">
        <is>
          <t>Senior Technical Program Manager</t>
        </is>
      </c>
      <c r="C119" t="inlineStr">
        <is>
          <t>Lensa</t>
        </is>
      </c>
      <c r="D119" t="inlineStr">
        <is>
          <t>linkedin</t>
        </is>
      </c>
      <c r="E119">
        <f>HYPERLINK("https://www.linkedin.com/jobs/view/4370190733", "https://www.linkedin.com/jobs/view/4370190733")</f>
        <v/>
      </c>
      <c r="F119" t="inlineStr"/>
      <c r="G119" t="inlineStr">
        <is>
          <t>Redmond, WA</t>
        </is>
      </c>
      <c r="H119" t="inlineStr"/>
      <c r="I11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Microsoft Corporation. Clicking "Apply Now" or "Read more" on Lensa redirects you to the job board/employer site. Any information collected there is subject to their terms and privacy notice.
**Overview**
 Cloud Operations \+ Innovation (CO\+I) is the engine that powers Microsoft's core cloud platforms and services that millions of people use every day. With more than 95% of Fortune 500 business on Azure, 180 million using Office 365, and millions using other services \- all running on Microsoft's cloud infrastructure. CO\+I designs, builds and operates the foundation upon which Microsoft's mission to empower every person and organization comes to life. In doing so, we create life\-changing innovations that impact billions of lives around the world. You can help us achieve our mission.
 Within CO\+I, the Product and Services Optimization Team is responsible for supporting optimization initiatives across a portfolio of tools and processes around datacenter critical environments. As a Senior Business Program Manager, you will play a critical role in ensuring optimization initiatives are successfully deployed into our datacenter operations teams. Your deep project and change management pay knowledge will be instrumental in assisting the organization achieve it's goals.
 A successful candidate will: have excellent communication skills, will de detailed oriented, have cross group organizational skills, demonstrate empathy, have well developed analytical and problem\-solving capabilities, experience enabling action from data, have a passion to automate processes and thrive on operational support, remain resilient and constructive when faced with changes, and quickly adapt to changes.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**Responsibilities:**
 We are looking for someone with great project and change management skills who is passionate about process improvement, will drive actionable insights across complex business, and will identify and resolve critical problems for our stakeholders.
* Manages initiative release readiness and deployment activities as well as risks and challenges that impact release scope, quality, and schedules.
* Works with cross\-functional (e.g., Operations, Product Teams, Engineering, Finance) stakeholders to test and deploy complex programs with minimal coaching.
* Produces collateral (e.g., proposals, strategy walking deck, internal and external pitch content) to incorporate stakeholder needs and ensure the business objectives are met.
* Communicates clearly on the benefits of the program, the release plan and communicates the program status and risk to relevant stakeholders and holds them accountable for following the established schedule, risk mitigation plans, and processes.
* Trusted Advisor \- Provide direction and guidance to internal stakeholders answering related questions or issues, while demonstrating a positive attitude.
* Utilizes direction and strategy from leadership regarding business area of expertise to help create and execute plans that shift current priorities to new organizational initiatives and objectives, and influences others to change behavior accordingly.
* Defines vision and strategy for change, broad and specific impact, and the flow of communication to the organization
* Ensures buy in and adoption of the new program or change by others in the organization.
* Embody our culture and values
**Qualifications**
 Required/minimum qualifications
 Bachelor's Degree AND 2\+ years experience in engineering, product/technical program management, data analysis, or product development OR equivalent experience.
 1\+ year(s) of experience managing cross\-functional and/or cross\-team projects.
**Additional Or Preferred Qualifications**
 Bachelor's Degree AND 5\+ years experience engineering, product/technical program management, data analysis, or product development OR equivalent experience.
 4\+ years of experience managing cross\-functional and/or cross\-team projects.
 1\+ year(s) of experience reading and/or writing code (e.g., sample documentation, product demos).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Technical Program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(https://careers.microsoft.com/v2/global/en/accessibility.html)
 If you have questions about this posting, please contact support@lensa.com</t>
        </is>
      </c>
    </row>
    <row r="120">
      <c r="A120" t="inlineStr">
        <is>
          <t>li-4370301589</t>
        </is>
      </c>
      <c r="B120" t="inlineStr">
        <is>
          <t>ELM Launch Program Manager, Early Lifecycle Management</t>
        </is>
      </c>
      <c r="C120" t="inlineStr">
        <is>
          <t>Amazon</t>
        </is>
      </c>
      <c r="D120" t="inlineStr">
        <is>
          <t>linkedin</t>
        </is>
      </c>
      <c r="E120">
        <f>HYPERLINK("https://www.linkedin.com/jobs/view/4370301589", "https://www.linkedin.com/jobs/view/4370301589")</f>
        <v/>
      </c>
      <c r="F120" t="inlineStr"/>
      <c r="G120" t="inlineStr">
        <is>
          <t>Santa Monica, CA</t>
        </is>
      </c>
      <c r="H120" t="inlineStr"/>
      <c r="I120" t="inlineStr">
        <is>
          <t>**Description**
 Join Reliability Maintenance and Engineering (RME) Early Lifecycle Management (ELM) as a Launch Program Manager. The Amazon fulfillment network consists of many different site types to meet the customer expectations. Small delivery stations bring packages to customers homes daily while large complex fulfillment centers utilize various technologies to store, package, and ship customer orders. The RME ELM team is responsible to ensure all site types and local RME teams are setup to successfully maintain buildings during operations.
 We are looking for a Sr. ELM Launch Program Manager with a strong delivery record and proven ability to own and execute multiple projects simultaneously.
 Key job responsibilities
 This role requires working across multiple Amazon business organizations, in addition to vendors and third party contractors. The Sr. ELM Launch Program Manager will be responsible for influencing and driving critical path tasks with partners to maintain launch timelines. You will be on\-site representing RME ELM, coordinating training, and onsite launch execution during the launch, reporting back to internal and Customer stakeholders through established reporting structures. This position involves regular communication with customer and RME leadership teams on status, risks, and change control.
 The ideal candidate is customer\-focused, a natural problem solver, and a great communicator, both in verbal and written form. You have a consistent track record of successful project delivery under tight deadlines in an ambiguous environment. This role requires a high level of ownership over the launch process.
 Since this is a launch role, a minimum of 50% travel is required to effectively provide oversite for projects.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5\+ years of industrial engineer, operations engineer, manufacturing engineer, or project engineer in a manufacturing environment experience
* Bachelor's degree
**Preferred Qualifications**
* Knowledge of AutoCAD, VBA, and SQL at the intermediate level
* Experience working with and managing third party vendors
* Experience with Six Sigma, lean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\- 76,600\.00 \- 114,900\.00 USD annually
 USA, CA, Santa Monica \- 76,600\.00 \- 114,900\.00 USD annually
 USA, GA, Atlanta \- 76,600\.00 \- 114,900\.00 USD annually
 USA, IL, Chicago \- 76,600\.00 \- 114,900\.00 USD annually
 USA, MA, Boston \- 76,600\.00 \- 114,900\.00 USD annually
 USA, TN, Nashville \- 68,900\.00 \- 103,400\.00 USD annually
 USA, TX, Austin \- 76,600\.00 \- 114,900\.00 USD annually
 USA, TX, Houston \- 76,600\.00 \- 114,900\.00 USD annually
 USA, TX, Irving \- 76,600\.00 \- 114,900\.00 USD annually
 USA, VA, Arlington \- 76,600\.00 \- 114,900\.00 USD annually
**Company** 
 \- Amazon.com Services LLC
 Job ID: A3176501</t>
        </is>
      </c>
    </row>
    <row r="121">
      <c r="A121" t="inlineStr">
        <is>
          <t>li-4370303294</t>
        </is>
      </c>
      <c r="B121" t="inlineStr">
        <is>
          <t>Principal Technical Program Manager</t>
        </is>
      </c>
      <c r="C121" t="inlineStr">
        <is>
          <t>Lensa</t>
        </is>
      </c>
      <c r="D121" t="inlineStr">
        <is>
          <t>linkedin</t>
        </is>
      </c>
      <c r="E121">
        <f>HYPERLINK("https://www.linkedin.com/jobs/view/4370303294", "https://www.linkedin.com/jobs/view/4370303294")</f>
        <v/>
      </c>
      <c r="F121" t="inlineStr"/>
      <c r="G121" t="inlineStr">
        <is>
          <t>Whippany, NJ</t>
        </is>
      </c>
      <c r="H121" t="inlineStr"/>
      <c r="I12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Bayer Corporation. Clicking "Apply Now" or "Read more" on Lensa redirects you to the job board/employer site. Any information collected there is subject to their terms and privacy notice.
 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**Principal Technical Program Manager**
 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As Bayer Crop Science's digital farming arm, we advance regenerative agriculture and technology breakthroughs using the latest agronomic science, data science, engineering, and real\-world farming experience. With groundbreaking technologies like Climate FieldView and our ForGround regenerative agriculture platform, our team is a part of some of the most important advancements in agriculture.
 We are seeking a Principal Technical Program Manager to work within the Scaled Agile framework as a servant leader, ensuring that we focus on the customer and maximize flow. This role champions Lean\-Agile principles and coaches for relentless improvement within the Agile Program Management hub and our delivery units as a technical program manager and Release Train Engineer.
 The ideal candidate possesses a deep background in agile frameworks and methodology, coupled with outstanding technical program management and leadership abilities.
**Your Tasks And Responsibilities**
 The primary responsibilities of this role are to:
* Support the Director of Engineering Program Management in strategic execution and process optimization, evolving the maturity of data\-driven insights, tracking, and decision\-making
* Own and drive our most technically challenging program and project execution across Bayer Crop Science and Digital Farming Solutions, including acting as a Release Train Engineer within our Scaled Agile framework
* Apply technical and business acumen to collaborate with cross\-functional business and technology stakeholders to define and develop solutions in the agriculture space
* Influence continuous improvement of tools, frameworks, and methodologies used by APMO members and our stakeholders
* Expertly facilitate solution\-scale meetings and drive change management at all levels across the company
* Contribute to the APMO technical community hub, including refining agile coaching practices, contractor oversight, and peer mentoring
* Design and grow programmatic training and continuing education on SAFe and Lean\-Agile practices and principles to grow our culture and competency
* Lead confidently and mentor other leaders while operating in uncertainty, influencing others to create order and motivation within ambiguity and churn
* Partner with leaders and teams across DFS, building credibility and buy\-in to drive measurable improvements in flow and business agility
**Who You Are**
 Bayer seeks an incumbent who possesses the following:
**Required**
* 8\+ years experience leading engineering programs
* BS degree in technical field or equivalent experience
* Strong experience leading adoption and continuous improvement within an agile framework, leveraging Lean\-Agile practices and principles
* Proven track record of leading delivery excellence and designing business processes to address structural or systematic inefficiencies
* Experience in system/platform design concepts, architecture, UX design, services, APIs, and other technologies
* Experience leading multiple engineering programs concurrently
**Preferred**
* MBA or equivalent professional experience
* 8\+ years of experience as Release Train Engineer or Solution Train Engineer in environments delivering enterprise software at scale.
 Employees can expect to be paid a salary of approximately $150k\-220k. Additional compensation may include a bonus or incentive program (if relevant).  Additional benefits include health care, vision, dental, retirement, PTO, sick leave, etc..  This salary (or salary range) is merely an estimate and may vary based on an applicant’s location, market data/ranges, an applicant’s skills and prior relevant experience, certain degrees and certifications, and other relevant factors.
 This posting will be available for application until at least 10/3/25\.
**YOUR APPLICATION**
 Bayer offers a wide variety of competitive compensation and benefits programs. If you meet the requirements of this unique opportunity, and want to impact our mission Science for a better life,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Bayer is an E\-Verify Employer.
**Location:** 
 United States : Residence Based : Residence Based \|\| United States : Illinois : Chicago \|\| United States : Missouri : Creve Coeur \|\| United States : Washington : Seattle
**Division:** 
 Crop Science
**Reference Code:** 
 853162
**Contact Us**
**Email:** 
 hrop\_usa@bayer.com
 If you have questions about this posting, please contact support@lensa.com</t>
        </is>
      </c>
    </row>
    <row r="122">
      <c r="A122" t="inlineStr">
        <is>
          <t>li-4370039831</t>
        </is>
      </c>
      <c r="B122" t="inlineStr">
        <is>
          <t>Program Manager, Enhanced Care Management (ECM)</t>
        </is>
      </c>
      <c r="C122" t="inlineStr">
        <is>
          <t>COPE Health Solutions</t>
        </is>
      </c>
      <c r="D122" t="inlineStr">
        <is>
          <t>linkedin</t>
        </is>
      </c>
      <c r="E122">
        <f>HYPERLINK("https://www.linkedin.com/jobs/view/4370039831", "https://www.linkedin.com/jobs/view/4370039831")</f>
        <v/>
      </c>
      <c r="F122" t="inlineStr"/>
      <c r="G122" t="inlineStr">
        <is>
          <t>Los Angeles, CA</t>
        </is>
      </c>
      <c r="H122" t="inlineStr"/>
      <c r="I122" t="inlineStr">
        <is>
          <t>**Description**
 The Enhanced Care Management (ECM) Program Manager, provides leadership and direction for the organization’s care management operations and services, aligning with the organization's mission, strategies, and objectives.
 FLSA Status
 Exempt
 Salary Range
 $70,304 \- $75,000
 Reports To
 Director of Operations
 Direct Reports
* Community Health Workers
* Patient Care Navigator
 Location
 Los Angeles, CA
 Travel
 Up to 80%
 Work Type
 Regular
 Schedule
 Full Time
**Position Description**
* Supervises the care management team.
* Leads the implementation of care management programs designed to address the needs of our patients, improve the quality and services for their care and ensure the appropriate utilization of services available to them.
* Implements plans and tools to meet organizational goals and objectives.
* Works closely with other departments to design, implement, and evaluate care management programs.
* Leads visible and complex projects focusing on performance improvement and transformation aimed at improving care management programs for the populations served
* Supports the development, implementation, and evaluation of effective pilots, programs and practices derived from market leading and evidence\-based research and performance outcomes.
* Ensures standardization and optimization of workflows of models of care that are being spread and scaled.
* Develops playbooks for care management models that are ready for spread and scale; Works closely with clinical and operational leaders across the continuum to perform patient risk stratification and identification for outreach
* Organizes and facilitates meetings with key stakeholders involved in the execution of care coordination/case management programs.
* Continuously evaluates market leading and evidence\-based research focused on care management programs.
* Works on design, implementation, and evaluation of IT solutions to support care management documentation and monitoring of efforts.
* Facilitates and leads a standardized and optimized deployment of an administrative case management tracking system/care management documentation
* Reports to the Director of Operations
* Performs miscellaneous job\-related duties as assigned
**Competencies**
* Ability to use independent judgment and to manage and impart confidential information.
* Ability to analyze and solve problems; requires details, data and facts that must be analyzed and challenged prior to making decisions
* Strong communication and interpersonal skills.
* Ability to clearly communicate medical information to professional practitioners and/or the public.
* Excellent organization, prioritization, follow up, analytical and time management skills with ability to handle multiple priorities and deadlines.
* Good interpersonal skills, sense of urgency, being proactive and ownership for one’s work.
* Dependable, with strong work ethic and extremely high degree personal integrity.
* Ability to deal with multiple interruptions on a continual basis that must be met with a friendly exchange with others.
* Ability to develop, implement and guide the team to new approaches to improve processes, procedures, or the general work environment.
* Ability to review critical issues, effectively solve problems and create action plans
**Position Expectations**
* Be committed to the mission of COPE Health Solutions ECM Program.
* Behave in a professional manner and consistently demonstrate and promote the values of respect, honesty, and dignity for the patient, families, and all members of the health care team.
* Committed to the constant pursuit of excellence and teamwork in improving the care of the patient and families in the community.
* Be punctual for scheduled work and use time appropriately.
* Perform duties in a conscientious, cooperative manner.
* Perform required amount of work in a timely fashion with a minimum of errors.
* Be neat and maintain a professional appearance.
* Maintain confidentiality and protect the program by abiding by laws and principles related to confidentiality; keep information concerning Program Operations, patients and employees confidential.
**Qualifications**
* Valid California Driver’s License
* Bachelor’s and/or master’s degree in a health\-related field is preferred
* 3 \+ years of supervisor/leadership experience
* Experience in acute inpatient, rehabilitation, sub\-acute, skilled facility, home care, ambulatory care management, or managed health plan.
* Experience working in a multi\-cultural setting.
* Willing to learn and understand a variety of different cultures, perspectives, and norms.
* Experience working in a community\-based setting for at least 1 to 2 years preferred.
* Basic computer skills required; electronic medical record (EMR) experience preferred.
* Understand the community served, community connectedness.
* Good communication skills, such as listening well, and using language appropriately.
* Ability and willingness to provide emotional support, encouragement, and motivation to patients.
**Benefits**
 As a firm passionate about health care, we’re deeply committed to the health and wellness of our own team members. We offer comprehensive, affordable insurance plans for our team and their families, and a host of other unique benefits, such as a yearly stipend for wellness\-related activities, and a paid parental leave program. You can learn more about our benefits offerings here: https://copehealthsolutions.com/careers/why\-cope\-health\-solutions/.
**What We Do**
 COPE Health Solutions is a national mission\-driven consulting firm that partners with health systems and payor clients. We provide our clients with the tools, services and advice they need to thrive in the current complex and uncertain pluralistic payment environment and achieve visionary, organizationally relevant results. Our firm has expertise in all aspects of population health, strategy, delivery system development, payment systems reform, workforce development and population health management support services, including peerless analytics and performance improvement. We are driven by our passion to help transform health care delivery, align financial incentives to support population health management and build the workforce needed as health care moves to value\-based care.
 In partnership with the Keck Graduate Institute, the COPE Health Scholar Services provide pre\-health students and careerists looking to make a transition to health care with hands\-on, experiential education opportunities. Scholars are carefully selected, well\-trained and placed in clinical and administrative areas within hospitals and ambulatory care centers, where they are integrated into and assist the health care clinical or administrative team. The COPE Health Scholars Programs is a unique opportunity for students and those considering a career transition to bridge the gap between academic training and real life, as well as to gain specific training for non\-licensed job roles.
**To Apply**
 To apply for this position, or to view all available positions, visit us at https://copehealthsolutions.com/careers/open\-positions/.</t>
        </is>
      </c>
    </row>
    <row r="123">
      <c r="A123" t="inlineStr">
        <is>
          <t>li-4369440028</t>
        </is>
      </c>
      <c r="B123" t="inlineStr">
        <is>
          <t>Senior Program Manager</t>
        </is>
      </c>
      <c r="C123" t="inlineStr">
        <is>
          <t>CACI International Inc</t>
        </is>
      </c>
      <c r="D123" t="inlineStr">
        <is>
          <t>linkedin</t>
        </is>
      </c>
      <c r="E123">
        <f>HYPERLINK("https://www.linkedin.com/jobs/view/4369440028", "https://www.linkedin.com/jobs/view/4369440028")</f>
        <v/>
      </c>
      <c r="F123">
        <f>HYPERLINK("https://careers.caci.com/global/en/job/CACIGLOBAL321825EXTERNALENGLOBAL/Senior-Program-Manager?utm_source=linkedin&amp;utm_medium=phenom-feeds&amp;urlHash=HrpN", "https://careers.caci.com/global/en/job/CACIGLOBAL321825EXTERNALENGLOBAL/Senior-Program-Manager?utm_source=linkedin&amp;utm_medium=phenom-feeds&amp;urlHash=HrpN")</f>
        <v/>
      </c>
      <c r="G123" t="inlineStr">
        <is>
          <t>Orlando, FL</t>
        </is>
      </c>
      <c r="H123" t="inlineStr"/>
      <c r="I123" t="inlineStr">
        <is>
          <t>Job Title: Senior Program Manager
 Job Category: Project and Program Management
 Time Type: Full time
 Minimum Clearance Required to Start: None
 Employee Type: Regular
 Percentage of Travel Required: Up to 10%
 Type of Travel: Continental US
 \* \* \*
**The Opportunity**
**CACI is looking for a Senior Program Manager to join our Spectrum Superiority (S2\) Line of Business, supporting our Optical \&amp; Photonic Systems team \-\- we are expanding! The position will require a candidate with strong optical and/or electronics manufacturing experience and a passion to lead complex optical manufacturing programs. Our systems include high\-speed electro\-optics, fiber optics, and high\-power lasers, that provide high\-speed data communication across space and from space to ground, including links as far as 250 million miles away. Do you have a passion for leading teams building and delivering complex electro\-optical systems to precise standards? Apply now and join the team**
**Responsibilities**
**You will be responsible for leading one or more large Photonics programs, working with development teams to formulate, propose, capture, and execute new Photonics production programs. Problems faced are frequently complex and require broad\-based solutions that impact areas outside of immediate responsibility.**
* The Sr. Program Manager is responsible for program decisions, schedule, and Profit \&amp; Loss for the programs.
* The Sr. Program Manager for this position will be the primary interface to customers that are extremely technical, and the ability to effectively communicate complex technical ideas with the support of the technical and manufacturing team, will be critical to success.
* This position will also require the ability to implement evolving programmatic, production, and quality best practices within the team, and the ability to communicate with and influence executive leadership.
* The position will require interfacing with technical development teams and working together to Design For Manufacturing (DFM), and transition to high volume production.
**A part of the role also includes participation in the Photonics organization’s development of tactical and long\-term strategic growth plans. A successful person in this role would contribute to improvement of entire processes or systems within the programs and the organization, leveraging on personal past experiences and in\-depth understanding of manufacturing program management best practices that improve our competitive position in the marketplace.**
**Qualifications**
*Required:*
* Bachelor’s or Master’s degree in an engineering, science, manufacturing, or business discipline.
* Seven or more years of experience in a Program Management or other technical leadership role with a focus on the manufacture of highly complex optical and/or electronic products.
* Thorough understanding of and experience in PM principles and best practices, including scheduling, budget control, and risk management.
* Experience in successfully taking an electronics or optical system from an integrated product development process into volume manufacturing.
* Proficiency with Microsoft Project or other scheduling tool
* Exemplary verbal/written communication skills required for interactions with all levels of personnel within the organization, as well as vendors, suppliers, customers, etc.
* Experience working on DoD or other similar Government programs
* Experience managing programs to EVMS standards.
* Experience managing programs over $25M in contract value.
**Desired**
* Active Secret or above clearance is highly desired
* Experience in a Program Management or other technical leadership role that involved the development of hardware deliverables that specifically included lasers, fiber optics, opto\-electronics, or other photonic technology
* PMP certification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$108,900 \- $239,500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24">
      <c r="A124" t="inlineStr">
        <is>
          <t>li-4361446748</t>
        </is>
      </c>
      <c r="B124" t="inlineStr">
        <is>
          <t>Program Manager II, AMPV Production</t>
        </is>
      </c>
      <c r="C124" t="inlineStr">
        <is>
          <t>BAE Systems, Inc.</t>
        </is>
      </c>
      <c r="D124" t="inlineStr">
        <is>
          <t>linkedin</t>
        </is>
      </c>
      <c r="E124">
        <f>HYPERLINK("https://www.linkedin.com/jobs/view/4361446748", "https://www.linkedin.com/jobs/view/4361446748")</f>
        <v/>
      </c>
      <c r="F124" t="inlineStr"/>
      <c r="G124" t="inlineStr">
        <is>
          <t>York, PA</t>
        </is>
      </c>
      <c r="H124" t="inlineStr"/>
      <c r="I124" t="inlineStr">
        <is>
          <t>**Job Description**
 BAE Systems is hiring a Program Manager (PM) for our Combat Mission Systems (CMS) business. This Program Manager II will be responsible for managing and delivering scope on our Armored Multi\-Purpose Vehicle (AMPV) Production program. The role reports directly to the AMPV Program Manager. This position will focus on various areas of production where you will work with a cross\-functional team to ensure the program meets schedule, operates within budget, and at the expected level of quality.
 Location/Schedule/Travel:
* This position will be based in York, Pennsylvania or Sterling Heights, MI.
* The role works on a 9/80 schedule where you will have every other Friday off
* This position will involve 25% of travel, based on business needs.
**Program Manager II Will Be Responsible For**
* Managing scope to achieve cost/profitability, schedule, and technical performance objectives
* Establishing and leading the matrixed team delivering the scope (engineering, quality, operations, supply chain, manufacturing, and/or others)
* Monitoring and controlling activities on current contracts including disciplined, effective change management
* Leading AMPV program’s organization, planning, program management, and change management according to BAE Systems’ Life Cycle Management (LCM) and Business Management System (BMS) processes
* Actively and effectively managing risks and opportunities
* Making timely decisions with sound judgment while complying with policies and procedures
* Continuously improving program performance including capturing, evaluating, and sharing lessons learned
* Meeting financial commitments for orders, sales, profit and cash flow
* Developing and executing program/project plans specifying goals, staffing, scheduling, identification of risks, contingency plans, and allocation of available resources
* Managing, understanding, and communicating program Earned Value Management metrics and processes
* Leading the development of capture plans and preparation of proposals in response to various customer requests
* Attract, motivate, and lead teams, from multiple sites and/or cultures, including industry partners and suppliers
* Lead and inspire diverse teams in a high tempo environment
**Required Education, Experience, \&amp; Skills**
* Bachelor’s Degree and 10 years of experience or equivalent experience
* Experience with some but not all aspects of program management including schedule, estimating, cost estimating, earned value management, production planning, and proposal/capture management.
* Experience in People Management/Leadership, leading and managing multi\-disciplined project teams
* Experience in Program Scope Management and Cost Estimating, including Estimate to Complete (ETC) and Estimate at Completion (EAC) processes
* Ability to support new business capture, including proposal and ECP incorporation
* Ability to build strong relationships and effectively communicate (verbally and in writing) at all levels within the customer community
* Ability to attract, motivate, lead, and inspire diverse teams
* Demonstrated excellent communications skills, both oral and written
* Demonstrated ability to act independently within established guidelines.
* Experience in managing technical baseline and contract changes.
* Demonstrated ability to engage cross\-functional teams to understand program requirements and deliver required products on time.
* Demonstrated ability to work with personnel in the following areas to plan and execute programs: contracts, engineering, finance, facilities, logistics, material planning, supply chain, quality, and USG agencies including DCMA, US Army, and Program Management – Mounted Armored Vehicles (PM MAV).
* Ability to prioritize, multi\-task, and delegate.
* Highly proficient with Microsoft suite, excellent written and verbal skill, proficient communicator, and problem\-solving skills.
**Preferred Education, Experience, \&amp; Skills**
* Association with organizations for project management (e.g. Project Management Professional (PMP) Certification or similar).
* Broad knowledge of Finance, Operations, Manufacturing, Program/Project Management, and General Management.
* Experience in Combat Vehicles development, qualification, production, and/or sustainment programs a plus
* Experience in the application of Earned Value Management System, Master Planning Techniques (IMP/IMS), and Subcontract Management
* Experience with US Army Programs management.
* Knowledge of Military Operations and Government Procurement System.
* Bachelor’s degree in engineering or technical field a plus
* Graduate Degree in Business (MBA) a plus
**Pay Information**
 Full\-Time Salary Range: $136000 \- $231200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Platforms \&amp; Services**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The Platforms \&amp; Services (P\&amp;S) sector under BAE Systems, Inc does the big stuff: the armored combat vehicles, naval guns, missile launchers, and ship repair…just to name a few. Our employees take pride in the work they do and why they do it. They are on the front lines every day, building our products to protect the lives of those who serve. We may be biased, but we think P\&amp;S does some of the coolest work around, and we think you will too.</t>
        </is>
      </c>
    </row>
    <row r="125">
      <c r="A125" t="inlineStr">
        <is>
          <t>li-4370188851</t>
        </is>
      </c>
      <c r="B125" t="inlineStr">
        <is>
          <t>Communications Program Manager</t>
        </is>
      </c>
      <c r="C125" t="inlineStr">
        <is>
          <t>Lensa</t>
        </is>
      </c>
      <c r="D125" t="inlineStr">
        <is>
          <t>linkedin</t>
        </is>
      </c>
      <c r="E125">
        <f>HYPERLINK("https://www.linkedin.com/jobs/view/4370188851", "https://www.linkedin.com/jobs/view/4370188851")</f>
        <v/>
      </c>
      <c r="F125">
        <f>HYPERLINK("https://lensa.com/cgw/4dcdeedd6c764795af55ba8c709fabc6tjo1?jpsi=directemployers_no_redirect&amp;publisher_preference=easier_apply&amp;utm_campaign=Advertising%2C%20Marketing%2C%20Promotions%2C%20Public%20Relations%2C%20and%20Sales%20Managers&amp;utm_medium=slot&amp;utm_source=linkedin&amp;utm_term=jse&amp;urlHash=fitC", "https://lensa.com/cgw/4dcdeedd6c764795af55ba8c709fabc6tjo1?jpsi=directemployers_no_redirect&amp;publisher_preference=easier_apply&amp;utm_campaign=Advertising%2C%20Marketing%2C%20Promotions%2C%20Public%20Relations%2C%20and%20Sales%20Managers&amp;utm_medium=slot&amp;utm_source=linkedin&amp;utm_term=jse&amp;urlHash=fitC")</f>
        <v/>
      </c>
      <c r="G125" t="inlineStr">
        <is>
          <t>Irvine, CA</t>
        </is>
      </c>
      <c r="H125" t="inlineStr"/>
      <c r="I12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Reyes Holdings. Clicking "Apply Now" or "Read more" on Lensa redirects you to the job board/employer site. Any information collected there is subject to their terms and privacy notice.
 Join the leading beverage provider, Reyes Coca\-Cola Bottling!
* Benefits: Medical, Dental, Vision, 401K Match, PTO, Education Reimbursement
* Salary: $99,440 \- $135,000 plus annual target bonus
 If you enjoy our products, you'll really enjoy being a part of our team!
**Position Responsibilities**
* Develop and implement external and internal communications programming for the business and ensure consistent corporate image /company brand is communicated and maintained across all internal and external outlets
* Aid in the development, coordination, and implementation of comprehensive external and internal verbal, visual and written communication practices
* Support the communication needs of the business and its leaders, by driving and executing various communication initiatives and programs
* Manage the day\-to\-day execution of employee communications, attend meetings and events, gather data, and create communications to disseminate information to employees and stakeholders, as appropriate
* Oversee and manage the company intranet, including reviewing, editing, and publishing company news, announcements, and ongoing content generation
* Support organizational initiatives by creating communications and other promotional tactics to distribute information to employees and stakeholders inclusive of change management plans
* Any other duties as assigned
**Required Education And Experience**
* Bachelor's Degree and 5 plus years of related experience, or High School Diploma/General Education Degree and 8 plus years of related experience.
* Experience with electronic communications (intranet, video, social media).
* Proficiency in MS Office suite including Word, Excel and PowerPoint
**Preferred Education And Experience**
* Strong knowledge of food and beverage distribution industry and trends.
* Experience with SharePoint.
* Experience with content design.
**Benefits**
 At the Reyes Family of Businesses, our Total Rewards Strategy prioritizes the holistic well\-being of our employees. This position offers a comprehensive benefits package that includes Medical, Dental, Vision coverage, Paid Time Off, Retirement Benefits, and complimentary Health Screenings.
 Equal Opportunity Employee \&amp; Physical Demands
 Reyes Holdings and its businesses are equal opportunity employers. Company policy prohibits discrimination and harassment against any applicant or employee based on race, color, religion, sex, pregnancy or pregnancy\-related medical conditions, marital status, sexual orientation, gender identity or expression, age, national origin, citizenship, disability, genetic information, military or veteran status, or any other basis protected by applicable law. In addition, the Company is committed to providing reasonable accommodation to applicants and employees in accordance with applicable law. Requests for accommodation should be directed to your point of contact in the Talent Acquisition or Human Resources departments.
 Background Check and Drug Screening
 Offers of employment are contingent upon successful completion of a background check and drug screening.
 Pay Transparency
 Our compensation philosophy embraces diverse factors for fair pay decisions, valuing skills, experience, and the needs of our business. Moreover, this role may have the opportunity to participate in a discretionary incentive program, subject to program rules.
 All qualified applicants will receive consideration for employment without regard to race, color, religion, sex, sexual orientation and gender identity, national origin, disability, or protected veteran status. Drug Free Workplace.
 If you have questions about this posting, please contact support@lensa.com</t>
        </is>
      </c>
    </row>
    <row r="126">
      <c r="A126" t="inlineStr">
        <is>
          <t>li-4370189973</t>
        </is>
      </c>
      <c r="B126" t="inlineStr">
        <is>
          <t>Pharmacist Program Manager - CarelonRx</t>
        </is>
      </c>
      <c r="C126" t="inlineStr">
        <is>
          <t>Elevance Health</t>
        </is>
      </c>
      <c r="D126" t="inlineStr">
        <is>
          <t>linkedin</t>
        </is>
      </c>
      <c r="E126">
        <f>HYPERLINK("https://www.linkedin.com/jobs/view/4370189973", "https://www.linkedin.com/jobs/view/4370189973")</f>
        <v/>
      </c>
      <c r="F126" t="inlineStr"/>
      <c r="G126" t="inlineStr">
        <is>
          <t>Atlanta, GA</t>
        </is>
      </c>
      <c r="H126" t="inlineStr"/>
      <c r="I126" t="inlineStr">
        <is>
          <t>**Location:** 
 The ideal candidate will live in the state of
 **Kentucky, Indiana, Ohio, or Georgia** 
 .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*Please note that per our policy on hybrid/virtual work, candidates not within a reasonable commuting distance from the posting location(s) will not be considered for employment, unless an accommodation is granted as required by law.*
 A proud member of the Elevance Health family of companies,
 **CarelonRx** 
 (formerly IngenioRx) leverages the power of new technologies and a strong, clinical\-first lens, to deliver member\-centered, lasting pharmacy care.
 The
 **Pharmacist Program Manager** 
 will be responsible for serving as the primary contact for a specific pharmacy program which may be assigned by geographic location, business unit, or functional area.
**How You Will Make An Impact**
* Manages both internal and external stakeholder communications for assigned area
* Ensures the proper reaction to and resolution of issues concerning the pharmacy benefit program
* Acts as a support resource for the sales team regarding efforts to improve the performance of the pharmacy benefit for existing accounts
**Minimum Requirements**
* Requires BA/BS in Pharmacy and a minimum of 2 years of managed care pharmacy experience; or any combination of education and experience, which would provide an equivalent background.
* Current valid active unrestricted state(s) RPH license required
**Preferred Skills, Capabilities, And Experiences**
* Knowledge of current health care and managed care pharmacy practices strongly preferred
* Professional designation preferred
* External\-facing experience with clients and/or brokers preferred
* Ability to travel frequently in alignment with our sales and account management teams.
 For candidates working in person or virtually in the below location(s), the salary\* range for this specific position is $127,120 to $190,680
 Locations: Cleveland, OH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paid time off, stock,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127">
      <c r="A127" t="inlineStr">
        <is>
          <t>li-4370179790</t>
        </is>
      </c>
      <c r="B127" t="inlineStr">
        <is>
          <t>Drug Diversion Prevention and Compliance Program Manager</t>
        </is>
      </c>
      <c r="C127" t="inlineStr">
        <is>
          <t>Beth Israel Lahey Health</t>
        </is>
      </c>
      <c r="D127" t="inlineStr">
        <is>
          <t>linkedin</t>
        </is>
      </c>
      <c r="E127">
        <f>HYPERLINK("https://www.linkedin.com/jobs/view/4370179790", "https://www.linkedin.com/jobs/view/4370179790")</f>
        <v/>
      </c>
      <c r="F127" t="inlineStr"/>
      <c r="G127" t="inlineStr">
        <is>
          <t>Westwood, MA</t>
        </is>
      </c>
      <c r="H127" t="inlineStr"/>
      <c r="I127" t="inlineStr">
        <is>
          <t>**When you join the growing BILH team, you're not just taking a job, you’re making a difference in people’s lives.**
 Under the direction of the BILH Pharmacy Assistant Vice President, Regulatory and Compliance, the Drug Diversion Prevention and Regulatory Compliance Program Manager leads system\-wide implementation and optimization of diversion analytics software and regulatory compliance initiatives across the Beth Israel Lahey Health (BILH) System. This role works collaboratively with the BILH Controlled Substance Oversight Committee and hospital compliance teams to identify ways to standardize best practices and reduce risk by leveraging reporting tools and technology to prevent, detect, investigate and mitigate drug diversion and compliance risk. Responsibilities include designing and executing audits, educating site\-level coordinators on regulatory updates and partnering with compliance and risk management teams to improve medication safety and maintain high compliance standards throughout the BILH System.
**Job Description**
**Primary Responsibilities:**
- Leads system\-wide implementation, optimization and ongoing enhancement of drug diversion analytics software while optimizing use of diversion analytics technology to improve diversion detection and response
- System\-wide regulatory oversight of pharmacy compliance programs, ensuring adherence to federal, state and local laws and regulations
- Establishes and maintains a quality assurance program that supports continuous improvement and ensures effectiveness of controlled substance surveillance programs and pharmacy regulatory compliance programs.
- Monitors compliance with use of drug diversion analytics platform and reports out to BILH Controlled Substance Oversight Committee
- Supports local oversight committees as a liaison to drive clear communication and operational alignment
- Collaborates with entity leaders in responding to suspected diversion incidents and serves as point of contact to help with data analytics reports generation for diversion investigations
- Develops and oversees an audit program and monitoring activities to ensure compliance and identify areas of risk. Communicates, monitors and analyzes data and reports pharmacy non\-compliance
- Provides ongoing education to diversion coordinators at the sites and supports the development and delivery of compliance training and diversion prevention programs including onboarding and annual education
- Conducts quarterly regulatory compliance visits to pharmacy sites to assess compliance and identify areas of potential non\-compliance and areas for implementation of best practice
- Leads and performs diversion risk rounds at BILH sites to proactively identify high risk activities and support staff education, and promote best practices in controlled substance management
- Identifies compliance gaps and areas of risk and supports changes to enhance effectiveness of controlled substance surveillance and regulatory adherence
- Ensures that required internal and external regulatory reporting occurs as required following each diversion event in a timely and accurate manner
- Participates and leads multidisciplinary committees and workgroups as appropriate. Participates in meetings, serves and leads committees related to improvement and standardization of diversion prevention and surveillance and pharmacy regulatory compliance
 Supports system adherence and compliance to USP (Pharmaceutical Compounding – Sterile Preparations) and USP (Hazardous Drugs – Handling in Healthcare Settings)
 - Updates guidelines, policies, standard operating procedures, and training materials to reflect current practice and regulatory requirements
- Maintains current knowledge of DEA, FDA, MA Department of Public Health, MA Board of Pharmacy, Joint Commission and EPA regulations related to controlled substances and compliance with internal policies and procedures
- Manages assigned compliance related and diversion prevention related projects with site leaders and key stakeholders to meet system goals
- Performs other duties as assigned
**Required Qualifications**
* High School diploma or GED required.
* Bachelor’s Degree preferred.
* Massachusetts registered pharmacy technician license required
* Certified Pharmacy Technician (CPHT) required
* At least 3 years of work experience in hospital pharmacy is required.
* 1\-3 years related work experience required in controlled substances handling processes and/or controlled substance analytics.
* Knowledge of controlled substances surveillance and management systems and techniques; federal and state regulatory compliance requirements; and auditing techniques.
* Advanced skills with Microsoft applications which may include Outlook, Word, Excel, PowerPoint or Access and other web\-based applications. May produce complex documents, perform analysis, and maintain
* Ability to develop strong relationships with diverse groups of professionals (physicians, nurses, administration, etc.)
**Preferred Qualifications**
* Advanced Certification in Controlled Substances Diversion Prevention
* Advanced Certification in Regulatory Compliance
* Certification in Investigative Techniques
**Competencies**
* Decision Making: Ability to make decisions that are guided by general instructions and practices requiring some interpretation. May make recommendations for solving problems of moderate complexity and importance.
* Problem Solving: Ability to address problems that are varied requiring analysis or interpretation of the situation using direct observation, knowledge and skills based on general precedents.
* Independence of Action: Ability to set goals and determines how to accomplish defined results with some guidelines. Manager/Director provides broad guidance and overall direction.
* Written Communications: Ability to communicate clearly and effectively in written English with internal and external customers.
* Oral Communications: Ability to comprehend and converse in English to communicate effectively with medical center staff, patients, families and external customers.
* Knowledge: Ability to demonstrate full working knowledge of standard concepts, practices, procedures and policies with the ability to use them in varied situations.
* Team Work: Ability to act as a team leader for small projects or work groups, creating a collaborative and respectful team environment and improving workflows. Results may impact the operations of one or more departments.
* Customer Service: Ability to provide a high level of customer service to patients, visitors, staff and external customers in a professional, service\-oriented, respectful manner using skills in active listening and problem solving. Ability to remain calm in stressful situations.
**Social/Environmental Requirements**
* Work requires close attention to task for work to be accurately completed. Intermittent breaks during the work day do not compromise the work.
* Work is varied every day and the employee needs to be adaptable to respond to these changes and use independent judgment and manage priorities.
* Potential exposure to adverse environmental conditions
* Daily: No substantial exposure to adverse environmental conditions
* Health Care Status: NHCW: No patient contact. Health Care Worker Status may vary by department.
**Sensory Requirements**
 Close work (paperwork, visual examination), Color vision/perception, Visual clarity \&lt;3 feet, Conversation, Monitoring Equipment, Telephone.
**Physical Requirements**
* Sedentary work: Exerting up to 10 pounds of force occasionally in carrying, lifting, pushing, pulling objects. Sitting most of the time, with walking and standing required only occasionally.
* The job requires frequent sitting. Keyboard use. There may be occasional walking, standing.
**Pay Range**
 $88,000\.00 USD \- $117,000\.00 USD
 The pay range listed for this position is the annual base salary range the organization reasonably and in good faith expects to pay for this position at this time. Actual compensation is determined based on several factors, that may include seniority, education, training, relevant experience, relevant certifications, geography of work location, job responsibilities, or other applicable factors permissible by law.
 As a health care organization, we have a responsibility to do everything in our power to care for and protect our patients, our colleagues and our communities. Beth Israel Lahey Health requires that all staff be vaccinated against influenza (flu) as a condition of employment.
 More than 35,000 people working together. Nurses, doctors, technicians, therapists, researchers, teachers and more, making a difference in patients' lives. Your skill and compassion can make us even stronger.
 Equal Opportunity Employer/Veterans/Disabled</t>
        </is>
      </c>
    </row>
    <row r="128">
      <c r="A128" t="inlineStr">
        <is>
          <t>li-4370193861</t>
        </is>
      </c>
      <c r="B128" t="inlineStr">
        <is>
          <t>Marine Corp Training Program Manager (5533)</t>
        </is>
      </c>
      <c r="C128" t="inlineStr">
        <is>
          <t>Three Saints Bay, LLC</t>
        </is>
      </c>
      <c r="D128" t="inlineStr">
        <is>
          <t>linkedin</t>
        </is>
      </c>
      <c r="E128">
        <f>HYPERLINK("https://www.linkedin.com/jobs/view/4370193861", "https://www.linkedin.com/jobs/view/4370193861")</f>
        <v/>
      </c>
      <c r="F128">
        <f>HYPERLINK("https://www.businessworkforce.com/job.asp?id=3155581582&amp;aff=52EFF1C4-FB9D-4BBB-9F72-E231CF9CFD29&amp;urlHash=KF9I", "https://www.businessworkforce.com/job.asp?id=3155581582&amp;aff=52EFF1C4-FB9D-4BBB-9F72-E231CF9CFD29&amp;urlHash=KF9I")</f>
        <v/>
      </c>
      <c r="G128" t="inlineStr">
        <is>
          <t>Quantico, VA</t>
        </is>
      </c>
      <c r="H128" t="inlineStr"/>
      <c r="I128" t="inlineStr">
        <is>
          <t>Location
 **Quantico, VA**
 Job Code
 **5533**
 \# of Openings
 **1**
 Apply Now (https://phg.tbe.taleo.net/phg01/ats/careers/v2/applyRequisition?org\=GATEWAYVENT\&amp;cws\=55\&amp;rid\=5533\)
 Ocean Bay, a subsidiary of Three Saints Bay, LLC, and a Federal Government Contractor industry leader, is seeking a Marine Corp Training Program Manager inQuantico, VA.
**Position Requirements**
* U.S. Citizenship
* Must have a bachelor's degree in business
* 10\+ years specialized experience with Marine Corp proposal writing running training program
* 10\+ Years running a training Program
* Must have past or present Marine Corp service
* 10\+ years program management experience and two (2\) years of specialized experience in reviewing and processing BIs on applicants, employees, and contractors within the limits of agency designated authority.
* The PM shall be responsible for the overall coordination and implementation of the contract services with the COR/ACOR or TPOC.
* The Contractor's technical proposal shall indicate who the proposed PM will be and include a resume for this individual.
* The PM must be available at Contractor award.
**Security Requirements**
* Background check
* Top Secret Clearance
* Applicants selected will be subject to a Government background investigation and must meet eligibility and suitability requirements.
* Must be a US Citizen with the ability to obtain a US Government security clearance.
* Successful Pass of Background Investigation, Drug Screening and Credit Check
**Position is located in Q** 
**uantico, VA**
**Apply online at:** 
 https://phg.tbe.taleo.net/phg01/ats/careers/v2/viewRequisition?org\=GATEWAYVENT\&amp;cws\=46\&amp;rid\=5533
 VEVRAA Federal Contractor
 Three Saints Bay, LLC and its subsidiaries offer a diverse,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Equal Opportunity Employer. We invite resumes from all interested parties without regard to race, color, religion, creed, gender, national origin, age, genetic information, marital or veteran status, disability, or any other category protected by federal, state, or local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2026-02-08T02:44:42Z</dcterms:created>
  <dcterms:modified xsi:type="dcterms:W3CDTF">2026-02-08T02:44:42Z</dcterms:modified>
</cp:coreProperties>
</file>