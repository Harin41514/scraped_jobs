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35"/>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in-5bc2447bdf7acbda</t>
        </is>
      </c>
      <c r="B2" t="inlineStr">
        <is>
          <t>Sr. Applied Scientist, Amazon Ads</t>
        </is>
      </c>
      <c r="C2" t="inlineStr">
        <is>
          <t>Amazon.com</t>
        </is>
      </c>
      <c r="D2" t="inlineStr">
        <is>
          <t>indeed</t>
        </is>
      </c>
      <c r="E2" t="inlineStr"/>
      <c r="F2" t="inlineStr"/>
      <c r="G2" t="inlineStr">
        <is>
          <t>Santa Monica, CA, US</t>
        </is>
      </c>
      <c r="H2" s="2" t="n">
        <v>45998</v>
      </c>
      <c r="I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
      <c r="A3" t="inlineStr">
        <is>
          <t>in-f0707192c58770dd</t>
        </is>
      </c>
      <c r="B3" t="inlineStr">
        <is>
          <t>Sr. Applied Scientist, Amazon Ads</t>
        </is>
      </c>
      <c r="C3" t="inlineStr">
        <is>
          <t>Amazon.com</t>
        </is>
      </c>
      <c r="D3" t="inlineStr">
        <is>
          <t>indeed</t>
        </is>
      </c>
      <c r="E3" t="inlineStr"/>
      <c r="F3" t="inlineStr"/>
      <c r="G3" t="inlineStr">
        <is>
          <t>Boston, MA, US</t>
        </is>
      </c>
      <c r="H3" s="2" t="n">
        <v>45998</v>
      </c>
      <c r="I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
      <c r="A4" t="inlineStr">
        <is>
          <t>in-2534025937600ef0</t>
        </is>
      </c>
      <c r="B4" t="inlineStr">
        <is>
          <t>Sr. Applied Scientist, Amazon Ads</t>
        </is>
      </c>
      <c r="C4" t="inlineStr">
        <is>
          <t>Amazon.com</t>
        </is>
      </c>
      <c r="D4" t="inlineStr">
        <is>
          <t>indeed</t>
        </is>
      </c>
      <c r="E4" t="inlineStr"/>
      <c r="F4" t="inlineStr"/>
      <c r="G4" t="inlineStr">
        <is>
          <t>Corvallis, OR, US</t>
        </is>
      </c>
      <c r="H4" s="2" t="n">
        <v>45998</v>
      </c>
      <c r="I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
      <c r="A5" t="inlineStr">
        <is>
          <t>in-d31f88b08bfa8fa6</t>
        </is>
      </c>
      <c r="B5" t="inlineStr">
        <is>
          <t>Sr. Applied Scientist, Amazon Ads</t>
        </is>
      </c>
      <c r="C5" t="inlineStr">
        <is>
          <t>Amazon.com</t>
        </is>
      </c>
      <c r="D5" t="inlineStr">
        <is>
          <t>indeed</t>
        </is>
      </c>
      <c r="E5" t="inlineStr"/>
      <c r="F5" t="inlineStr"/>
      <c r="G5" t="inlineStr">
        <is>
          <t>New York, NY, US</t>
        </is>
      </c>
      <c r="H5" s="2" t="n">
        <v>45998</v>
      </c>
      <c r="I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6">
      <c r="A6" t="inlineStr">
        <is>
          <t>in-93cb50bb6df7c5c2</t>
        </is>
      </c>
      <c r="B6" t="inlineStr">
        <is>
          <t>Sr. Applied Scientist, Amazon Ads</t>
        </is>
      </c>
      <c r="C6" t="inlineStr">
        <is>
          <t>Amazon.com</t>
        </is>
      </c>
      <c r="D6" t="inlineStr">
        <is>
          <t>indeed</t>
        </is>
      </c>
      <c r="E6" t="inlineStr"/>
      <c r="F6" t="inlineStr"/>
      <c r="G6" t="inlineStr">
        <is>
          <t>Tukwila, WA, US</t>
        </is>
      </c>
      <c r="H6" s="2" t="n">
        <v>45998</v>
      </c>
      <c r="I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7">
      <c r="A7" t="inlineStr">
        <is>
          <t>in-0b41ab35727193fa</t>
        </is>
      </c>
      <c r="B7" t="inlineStr">
        <is>
          <t>Sr. Applied Scientist, Amazon Ads</t>
        </is>
      </c>
      <c r="C7" t="inlineStr">
        <is>
          <t>Amazon.com</t>
        </is>
      </c>
      <c r="D7" t="inlineStr">
        <is>
          <t>indeed</t>
        </is>
      </c>
      <c r="E7" t="inlineStr"/>
      <c r="F7" t="inlineStr"/>
      <c r="G7" t="inlineStr">
        <is>
          <t>Palo Alto, CA, US</t>
        </is>
      </c>
      <c r="H7" s="2" t="n">
        <v>45998</v>
      </c>
      <c r="I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
      <c r="A8" t="inlineStr">
        <is>
          <t>in-78fefaef719e28f8</t>
        </is>
      </c>
      <c r="B8" t="inlineStr">
        <is>
          <t>Sr. Applied Scientist, Amazon Ads</t>
        </is>
      </c>
      <c r="C8" t="inlineStr">
        <is>
          <t>Amazon.com</t>
        </is>
      </c>
      <c r="D8" t="inlineStr">
        <is>
          <t>indeed</t>
        </is>
      </c>
      <c r="E8" t="inlineStr"/>
      <c r="F8" t="inlineStr"/>
      <c r="G8" t="inlineStr">
        <is>
          <t>Sunnyvale, CA, US</t>
        </is>
      </c>
      <c r="H8" s="2" t="n">
        <v>45998</v>
      </c>
      <c r="I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
      <c r="A9" t="inlineStr">
        <is>
          <t>in-28e4d7f2906d8a85</t>
        </is>
      </c>
      <c r="B9" t="inlineStr">
        <is>
          <t>Sr. Applied Scientist, Amazon Ads</t>
        </is>
      </c>
      <c r="C9" t="inlineStr">
        <is>
          <t>Amazon.com</t>
        </is>
      </c>
      <c r="D9" t="inlineStr">
        <is>
          <t>indeed</t>
        </is>
      </c>
      <c r="E9" t="inlineStr"/>
      <c r="F9" t="inlineStr"/>
      <c r="G9" t="inlineStr">
        <is>
          <t>Boulder, CO, US</t>
        </is>
      </c>
      <c r="H9" s="2" t="n">
        <v>45998</v>
      </c>
      <c r="I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0">
      <c r="A10" t="inlineStr">
        <is>
          <t>in-1e43fa853f91c6ae</t>
        </is>
      </c>
      <c r="B10" t="inlineStr">
        <is>
          <t>Sr. Applied Scientist, Amazon Ads</t>
        </is>
      </c>
      <c r="C10" t="inlineStr">
        <is>
          <t>Amazon.com</t>
        </is>
      </c>
      <c r="D10" t="inlineStr">
        <is>
          <t>indeed</t>
        </is>
      </c>
      <c r="E10" t="inlineStr"/>
      <c r="F10" t="inlineStr"/>
      <c r="G10" t="inlineStr">
        <is>
          <t>Seattle, WA, US</t>
        </is>
      </c>
      <c r="H10" s="2" t="n">
        <v>45998</v>
      </c>
      <c r="I1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1">
      <c r="A11" t="inlineStr">
        <is>
          <t>in-16a7f98ff28595ce</t>
        </is>
      </c>
      <c r="B11" t="inlineStr">
        <is>
          <t>Applied Scientist II, Prime Video - Personalization and Discovery Science, Personalization and Discovery Science</t>
        </is>
      </c>
      <c r="C11" t="inlineStr">
        <is>
          <t>Amazon.com</t>
        </is>
      </c>
      <c r="D11" t="inlineStr">
        <is>
          <t>indeed</t>
        </is>
      </c>
      <c r="E11" t="inlineStr"/>
      <c r="F11" t="inlineStr"/>
      <c r="G11" t="inlineStr">
        <is>
          <t>New York, NY, US</t>
        </is>
      </c>
      <c r="H11" s="2" t="n">
        <v>45930</v>
      </c>
      <c r="I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in-ef220584b79cf0a6</t>
        </is>
      </c>
      <c r="B12" t="inlineStr">
        <is>
          <t>Applied Scientist II, Prime Video - Personalization and Discovery Science, Personalization and Discovery Science</t>
        </is>
      </c>
      <c r="C12" t="inlineStr">
        <is>
          <t>Amazon.com</t>
        </is>
      </c>
      <c r="D12" t="inlineStr">
        <is>
          <t>indeed</t>
        </is>
      </c>
      <c r="E12" t="inlineStr"/>
      <c r="F12" t="inlineStr"/>
      <c r="G12" t="inlineStr">
        <is>
          <t>Sunnyvale, CA, US</t>
        </is>
      </c>
      <c r="H12" s="2" t="n">
        <v>45930</v>
      </c>
      <c r="I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in-0d50294fdfefe215</t>
        </is>
      </c>
      <c r="B13" t="inlineStr">
        <is>
          <t>Applied Scientist II, Prime Video - Personalization and Discovery Science, Personalization and Discovery Science</t>
        </is>
      </c>
      <c r="C13" t="inlineStr">
        <is>
          <t>Amazon.com</t>
        </is>
      </c>
      <c r="D13" t="inlineStr">
        <is>
          <t>indeed</t>
        </is>
      </c>
      <c r="E13" t="inlineStr"/>
      <c r="F13" t="inlineStr"/>
      <c r="G13" t="inlineStr">
        <is>
          <t>Seattle, WA, US</t>
        </is>
      </c>
      <c r="H13" s="2" t="n">
        <v>45930</v>
      </c>
      <c r="I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in-6c84b619efdec4b4</t>
        </is>
      </c>
      <c r="B14" t="inlineStr">
        <is>
          <t>Sr. Applied Scientist, Prime Video - Personalization and Discovery Science</t>
        </is>
      </c>
      <c r="C14" t="inlineStr">
        <is>
          <t>Amazon.com</t>
        </is>
      </c>
      <c r="D14" t="inlineStr">
        <is>
          <t>indeed</t>
        </is>
      </c>
      <c r="E14" t="inlineStr"/>
      <c r="F14" t="inlineStr"/>
      <c r="G14" t="inlineStr">
        <is>
          <t>New York, NY, US</t>
        </is>
      </c>
      <c r="H14" s="2" t="n">
        <v>45881</v>
      </c>
      <c r="I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in-43f18e6748d29cec</t>
        </is>
      </c>
      <c r="B15" t="inlineStr">
        <is>
          <t>Applied Scientist II, Prime Video - Personalization and Discovery Science</t>
        </is>
      </c>
      <c r="C15" t="inlineStr">
        <is>
          <t>Amazon.com</t>
        </is>
      </c>
      <c r="D15" t="inlineStr">
        <is>
          <t>indeed</t>
        </is>
      </c>
      <c r="E15" t="inlineStr"/>
      <c r="F15" t="inlineStr"/>
      <c r="G15" t="inlineStr">
        <is>
          <t>Sunnyvale, CA, US</t>
        </is>
      </c>
      <c r="H15" s="2" t="n">
        <v>45881</v>
      </c>
      <c r="I1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in-20bd14f6f4c349db</t>
        </is>
      </c>
      <c r="B16" t="inlineStr">
        <is>
          <t>Applied Scientist II, Prime Video - Personalization and Discovery Science</t>
        </is>
      </c>
      <c r="C16" t="inlineStr">
        <is>
          <t>Amazon.com</t>
        </is>
      </c>
      <c r="D16" t="inlineStr">
        <is>
          <t>indeed</t>
        </is>
      </c>
      <c r="E16" t="inlineStr"/>
      <c r="F16" t="inlineStr"/>
      <c r="G16" t="inlineStr">
        <is>
          <t>Seattle, WA, US</t>
        </is>
      </c>
      <c r="H16" s="2" t="n">
        <v>45881</v>
      </c>
      <c r="I1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in-4733abb789838f35</t>
        </is>
      </c>
      <c r="B17" t="inlineStr">
        <is>
          <t>Applied Scientist II, Prime Video - Personalization and Discovery Science</t>
        </is>
      </c>
      <c r="C17" t="inlineStr">
        <is>
          <t>Amazon.com</t>
        </is>
      </c>
      <c r="D17" t="inlineStr">
        <is>
          <t>indeed</t>
        </is>
      </c>
      <c r="E17" t="inlineStr"/>
      <c r="F17" t="inlineStr"/>
      <c r="G17" t="inlineStr">
        <is>
          <t>New York, NY, US</t>
        </is>
      </c>
      <c r="H17" s="2" t="n">
        <v>45881</v>
      </c>
      <c r="I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in-498515a1e9d82d81</t>
        </is>
      </c>
      <c r="B18" t="inlineStr">
        <is>
          <t>Sr. Applied Scientist, Prime Video - Personalization and Discovery Science</t>
        </is>
      </c>
      <c r="C18" t="inlineStr">
        <is>
          <t>Amazon.com</t>
        </is>
      </c>
      <c r="D18" t="inlineStr">
        <is>
          <t>indeed</t>
        </is>
      </c>
      <c r="E18" t="inlineStr"/>
      <c r="F18" t="inlineStr"/>
      <c r="G18" t="inlineStr">
        <is>
          <t>Sunnyvale, CA, US</t>
        </is>
      </c>
      <c r="H18" s="2" t="n">
        <v>45881</v>
      </c>
      <c r="I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in-8057534d5762eb07</t>
        </is>
      </c>
      <c r="B19" t="inlineStr">
        <is>
          <t>Sr. Applied Scientist, Prime Video - Personalization and Discovery Science</t>
        </is>
      </c>
      <c r="C19" t="inlineStr">
        <is>
          <t>Amazon.com</t>
        </is>
      </c>
      <c r="D19" t="inlineStr">
        <is>
          <t>indeed</t>
        </is>
      </c>
      <c r="E19" t="inlineStr"/>
      <c r="F19" t="inlineStr"/>
      <c r="G19" t="inlineStr">
        <is>
          <t>Seattle, WA, US</t>
        </is>
      </c>
      <c r="H19" s="2" t="n">
        <v>45881</v>
      </c>
      <c r="I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in-d662fda9a9ae118a</t>
        </is>
      </c>
      <c r="B20" t="inlineStr">
        <is>
          <t>Applied Scientist, Prime Video - Personalization and Discovery Science</t>
        </is>
      </c>
      <c r="C20" t="inlineStr">
        <is>
          <t>Amazon.com</t>
        </is>
      </c>
      <c r="D20" t="inlineStr">
        <is>
          <t>indeed</t>
        </is>
      </c>
      <c r="E20" t="inlineStr"/>
      <c r="F20" t="inlineStr"/>
      <c r="G20" t="inlineStr">
        <is>
          <t>New York, NY, US</t>
        </is>
      </c>
      <c r="H20" s="2" t="n">
        <v>45845</v>
      </c>
      <c r="I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in-d6b77c26dc35413b</t>
        </is>
      </c>
      <c r="B21" t="inlineStr">
        <is>
          <t>Applied Scientist, Prime Video - Personalization and Discovery Science</t>
        </is>
      </c>
      <c r="C21" t="inlineStr">
        <is>
          <t>Amazon.com</t>
        </is>
      </c>
      <c r="D21" t="inlineStr">
        <is>
          <t>indeed</t>
        </is>
      </c>
      <c r="E21" t="inlineStr"/>
      <c r="F21" t="inlineStr"/>
      <c r="G21" t="inlineStr">
        <is>
          <t>Sunnyvale, CA, US</t>
        </is>
      </c>
      <c r="H21" s="2" t="n">
        <v>45845</v>
      </c>
      <c r="I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in-0bbca68b48968324</t>
        </is>
      </c>
      <c r="B22" t="inlineStr">
        <is>
          <t>Applied Scientist, Prime Video - Personalization and Discovery Science</t>
        </is>
      </c>
      <c r="C22" t="inlineStr">
        <is>
          <t>Amazon.com</t>
        </is>
      </c>
      <c r="D22" t="inlineStr">
        <is>
          <t>indeed</t>
        </is>
      </c>
      <c r="E22" t="inlineStr"/>
      <c r="F22" t="inlineStr"/>
      <c r="G22" t="inlineStr">
        <is>
          <t>Seattle, WA, US</t>
        </is>
      </c>
      <c r="H22" s="2" t="n">
        <v>45845</v>
      </c>
      <c r="I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in-18153d9bfe612162</t>
        </is>
      </c>
      <c r="B23" t="inlineStr">
        <is>
          <t>Sr. Machine Learning Engineer</t>
        </is>
      </c>
      <c r="C23" t="inlineStr">
        <is>
          <t>Apple</t>
        </is>
      </c>
      <c r="D23" t="inlineStr">
        <is>
          <t>indeed</t>
        </is>
      </c>
      <c r="E23" t="inlineStr"/>
      <c r="F23" t="inlineStr"/>
      <c r="G23" t="inlineStr">
        <is>
          <t>Santa Clara, CA, US</t>
        </is>
      </c>
      <c r="H23" s="2" t="n">
        <v>46059</v>
      </c>
      <c r="I23" t="inlineStr">
        <is>
          <t>Are you interested in enhancing the capabilities of Siri and Apple products to benefit our users? The Siri and Information Intelligence team is revolutionizing how hundreds of millions of people utilize their devices to access information. As an Applied ML team, we are pushing the boundaries to provide our users with the utmost optimal direct, secure, and privacy\-preserving experiences, simultaneously delivering Apple\-level design and aesthetics through generative AI techniques.  
Our team comprises a diverse range of backgrounds, including applied machine learning engineers with a focus on ML and LLM, and experienced distributed systems engineers. As such, we are seeking candidates with applied machine learning experience and strong software engineering skills.  
**Description**  
Leverage and enhance the latest advancements in machine learning and software engineering to effectively contribute to the successful delivery of generative experiences.  
Develop world\-class evaluation techniques to ensure the accurate measurement and calibration of model responses.  
Collaborate with diverse teams, including infrastructure, quality, data, product, and design, to develop innovative features and contribute to the creation of an exceptional search experience for our end\-users.  
Mentor aspiring applied scientists and engineers to broaden their horizons and amplify their impact. Contribute to the formation of a world\-class team!  
**Preferred Qualifications**  
Masters or PhD in the area of Computer Science or equivalent, or a related  
Knowledge and prior experience with some deep learning and GenAI frameworks are desired.  
Building machine\-learned models for search relevance ranking query understanding and questioning  
Prior experience in consumer facing product is desired  
**Minimum Qualifications**  
Bachelors in Computer Science, Artificial Intelligence, Machine Learning, Information Retrieval, Data Science or related field or equivalent work experience  
6\+ years of industry related experience, working in collaborative environments  
Experience with using: PyTorch, TensorFlow, or JAX for training and deploying deep learning models  
Understanding product requirements then translating them into modeling tasks and engineering tasks  
Proficient in at least two programming languages such as: C/C\+\+, Go, Python, Java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$212,000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24">
      <c r="A24" t="inlineStr">
        <is>
          <t>in-82524419afbcc909</t>
        </is>
      </c>
      <c r="B24" t="inlineStr">
        <is>
          <t>Applied Scientist, Safety ML</t>
        </is>
      </c>
      <c r="C24" t="inlineStr">
        <is>
          <t>Amazon.com</t>
        </is>
      </c>
      <c r="D24" t="inlineStr">
        <is>
          <t>indeed</t>
        </is>
      </c>
      <c r="E24" t="inlineStr"/>
      <c r="F24" t="inlineStr"/>
      <c r="G24" t="inlineStr">
        <is>
          <t>Seattle, WA, US</t>
        </is>
      </c>
      <c r="H24" s="2" t="n">
        <v>46037</v>
      </c>
      <c r="I2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25">
      <c r="A25" t="inlineStr">
        <is>
          <t>in-c1c1e0eb0e16e46a</t>
        </is>
      </c>
      <c r="B25" t="inlineStr">
        <is>
          <t>Applied Scientist, Safety ML</t>
        </is>
      </c>
      <c r="C25" t="inlineStr">
        <is>
          <t>Amazon.com</t>
        </is>
      </c>
      <c r="D25" t="inlineStr">
        <is>
          <t>indeed</t>
        </is>
      </c>
      <c r="E25" t="inlineStr"/>
      <c r="F25" t="inlineStr"/>
      <c r="G25" t="inlineStr">
        <is>
          <t>San Francisco, CA, US</t>
        </is>
      </c>
      <c r="H25" s="2" t="n">
        <v>46037</v>
      </c>
      <c r="I2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26">
      <c r="A26" t="inlineStr">
        <is>
          <t>in-20ae37f2da4c6a3a</t>
        </is>
      </c>
      <c r="B26" t="inlineStr">
        <is>
          <t>Applied Scientist, LLM Code Agents, Kiro Science</t>
        </is>
      </c>
      <c r="C26" t="inlineStr">
        <is>
          <t>Amazon.com</t>
        </is>
      </c>
      <c r="D26" t="inlineStr">
        <is>
          <t>indeed</t>
        </is>
      </c>
      <c r="E26" t="inlineStr"/>
      <c r="F26" t="inlineStr"/>
      <c r="G26" t="inlineStr">
        <is>
          <t>Santa Clara, CA, US</t>
        </is>
      </c>
      <c r="H26" s="2" t="n">
        <v>46035</v>
      </c>
      <c r="I26"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27">
      <c r="A27" t="inlineStr">
        <is>
          <t>in-1eacaeecd03cb8b7</t>
        </is>
      </c>
      <c r="B27" t="inlineStr">
        <is>
          <t>Applied Scientist, LLM Code Agents, Kiro Science</t>
        </is>
      </c>
      <c r="C27" t="inlineStr">
        <is>
          <t>Amazon.com</t>
        </is>
      </c>
      <c r="D27" t="inlineStr">
        <is>
          <t>indeed</t>
        </is>
      </c>
      <c r="E27" t="inlineStr"/>
      <c r="F27" t="inlineStr"/>
      <c r="G27" t="inlineStr">
        <is>
          <t>Seattle, WA, US</t>
        </is>
      </c>
      <c r="H27" s="2" t="n">
        <v>46035</v>
      </c>
      <c r="I27"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28">
      <c r="A28" t="inlineStr">
        <is>
          <t>in-06b6390d45312c9b</t>
        </is>
      </c>
      <c r="B28" t="inlineStr">
        <is>
          <t>Sr Applied Scientist, AWS Proactive Security</t>
        </is>
      </c>
      <c r="C28" t="inlineStr">
        <is>
          <t>Amazon.com</t>
        </is>
      </c>
      <c r="D28" t="inlineStr">
        <is>
          <t>indeed</t>
        </is>
      </c>
      <c r="E28" t="inlineStr"/>
      <c r="F28" t="inlineStr"/>
      <c r="G28" t="inlineStr">
        <is>
          <t>Herndon, VA, US</t>
        </is>
      </c>
      <c r="H28" s="2" t="n">
        <v>46030</v>
      </c>
      <c r="I28"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29">
      <c r="A29" t="inlineStr">
        <is>
          <t>in-4833079f457ea726</t>
        </is>
      </c>
      <c r="B29" t="inlineStr">
        <is>
          <t>Sr Applied Scientist, AWS Proactive Security</t>
        </is>
      </c>
      <c r="C29" t="inlineStr">
        <is>
          <t>Amazon.com</t>
        </is>
      </c>
      <c r="D29" t="inlineStr">
        <is>
          <t>indeed</t>
        </is>
      </c>
      <c r="E29" t="inlineStr"/>
      <c r="F29" t="inlineStr"/>
      <c r="G29" t="inlineStr">
        <is>
          <t>Sunnyvale, CA, US</t>
        </is>
      </c>
      <c r="H29" s="2" t="n">
        <v>46030</v>
      </c>
      <c r="I29"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30">
      <c r="A30" t="inlineStr">
        <is>
          <t>in-910c883fd4927666</t>
        </is>
      </c>
      <c r="B30" t="inlineStr">
        <is>
          <t>Sr Applied Scientist, AWS Proactive Security</t>
        </is>
      </c>
      <c r="C30" t="inlineStr">
        <is>
          <t>Amazon.com</t>
        </is>
      </c>
      <c r="D30" t="inlineStr">
        <is>
          <t>indeed</t>
        </is>
      </c>
      <c r="E30" t="inlineStr"/>
      <c r="F30" t="inlineStr"/>
      <c r="G30" t="inlineStr">
        <is>
          <t>Arlington, VA, US</t>
        </is>
      </c>
      <c r="H30" s="2" t="n">
        <v>46030</v>
      </c>
      <c r="I30"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31">
      <c r="A31" t="inlineStr">
        <is>
          <t>in-a45d6b8e642fab9d</t>
        </is>
      </c>
      <c r="B31" t="inlineStr">
        <is>
          <t>Applied Scientist, Last Mile Delivery Automation</t>
        </is>
      </c>
      <c r="C31" t="inlineStr">
        <is>
          <t>Amazon.com</t>
        </is>
      </c>
      <c r="D31" t="inlineStr">
        <is>
          <t>indeed</t>
        </is>
      </c>
      <c r="E31" t="inlineStr"/>
      <c r="F31" t="inlineStr"/>
      <c r="G31" t="inlineStr">
        <is>
          <t>Bellevue, WA, US</t>
        </is>
      </c>
      <c r="H31" s="2" t="n">
        <v>46026</v>
      </c>
      <c r="I31"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in-bf7b07c8b2dbd24f</t>
        </is>
      </c>
      <c r="B32" t="inlineStr">
        <is>
          <t>Applied Scientist, Last Mile Delivery Automation</t>
        </is>
      </c>
      <c r="C32" t="inlineStr">
        <is>
          <t>Amazon.com</t>
        </is>
      </c>
      <c r="D32" t="inlineStr">
        <is>
          <t>indeed</t>
        </is>
      </c>
      <c r="E32" t="inlineStr"/>
      <c r="F32" t="inlineStr"/>
      <c r="G32" t="inlineStr">
        <is>
          <t>Santa Clara, CA, US</t>
        </is>
      </c>
      <c r="H32" s="2" t="n">
        <v>46026</v>
      </c>
      <c r="I32"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in-35da3b994e37a137</t>
        </is>
      </c>
      <c r="B33" t="inlineStr">
        <is>
          <t>Senior Applied Scientist, Distributed SQL</t>
        </is>
      </c>
      <c r="C33" t="inlineStr">
        <is>
          <t>Amazon Web Services</t>
        </is>
      </c>
      <c r="D33" t="inlineStr">
        <is>
          <t>indeed</t>
        </is>
      </c>
      <c r="E33" t="inlineStr"/>
      <c r="F33" t="inlineStr"/>
      <c r="G33" t="inlineStr">
        <is>
          <t>Seattle, WA, US</t>
        </is>
      </c>
      <c r="H33" s="2" t="n">
        <v>46012</v>
      </c>
      <c r="I33"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34">
      <c r="A34" t="inlineStr">
        <is>
          <t>in-8f2c07a11ee32a5c</t>
        </is>
      </c>
      <c r="B34" t="inlineStr">
        <is>
          <t>Senior Applied Scientist, Distributed SQL</t>
        </is>
      </c>
      <c r="C34" t="inlineStr">
        <is>
          <t>Amazon Web Services</t>
        </is>
      </c>
      <c r="D34" t="inlineStr">
        <is>
          <t>indeed</t>
        </is>
      </c>
      <c r="E34" t="inlineStr"/>
      <c r="F34" t="inlineStr"/>
      <c r="G34" t="inlineStr">
        <is>
          <t>East Palo Alto, CA, US</t>
        </is>
      </c>
      <c r="H34" s="2" t="n">
        <v>46012</v>
      </c>
      <c r="I34"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35">
      <c r="A35" t="inlineStr">
        <is>
          <t>in-5ed028ddb4e09140</t>
        </is>
      </c>
      <c r="B35" t="inlineStr">
        <is>
          <t>Applied Scientist, GenAI Evaluation Media</t>
        </is>
      </c>
      <c r="C35" t="inlineStr">
        <is>
          <t>Amazon.com</t>
        </is>
      </c>
      <c r="D35" t="inlineStr">
        <is>
          <t>indeed</t>
        </is>
      </c>
      <c r="E35" t="inlineStr"/>
      <c r="F35" t="inlineStr"/>
      <c r="G35" t="inlineStr">
        <is>
          <t>New York, NY, US</t>
        </is>
      </c>
      <c r="H35" s="2" t="n">
        <v>46006</v>
      </c>
      <c r="I35" t="inlineStr">
        <is>
          <t>**DESCRIPTION**
---------------
We are seeking an Applied Scientist to join our Generate AI Visual Media \- Core Experiences Science team. This organization drives significant business value by revolutionizing how customers interact with product imagery and videos across Amazon. Working at the intersection of Computer Vision and Generative AI, you will help customers make confident purchase decisions through optimized visual content. Our goal is to transform shopping into a personalized journey of inspiration, discovery, and evaluation by helping customers evaluate how products will fit and flatter their unique self before they ship. In this role, you will be responsible for building scalable computer vision and machine learning (CVML) models, and automating their application and expansion to power customer\-facing features.  
We are seeking domain expertise specifically in 3D Generative AI and Inverse Rendering. Relevant topics include Neural Fields, Implicit 3D Representations, NeRFs, Differentiable Rendering/Simulation, and Physically Based Rendering (PBR) Materials. We expect strong expertise at the intersection of Computer Graphics, Computer Vision, and Deep Learning. An inclination towards Generative AI, such as GANs, VQ\-VAE/GAN, and Diffusion Models, is essential. Additionally, experience in application\-specific domains such as Neural Avatars, Parametric Body Models, and Differentiable Rendering/Simulation will be highly advantageous.  
Key job responsibilities  
* Explore, collect, and process data
* Frame and transform ambiguous business challenges into science hypotheses. Design and implement offline and online experiments to evaluate them
* Develop prototypes to test new concepts/proposals for models and algorithms
* Design and build automated, scalable pipelines to train and deploy ML models
**BASIC QUALIFICATIONS**
------------------------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developing and implementing deep learning algorithms, particularly with respect to computer vision algorithms
* Experience in patents or publications at top\-tier peer\-reviewed conferences or journals
* Experience with popular deep learning frameworks such as Tensor Flow and PyTorch.
* Usage of generative AI tools to enhance workflow efficiency, with a willingness to learn effective prompting and evaluation practices.
* Ability to recognize opportunities where generative AI could enhance products, workflows, or customer experiences.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36">
      <c r="A36" t="inlineStr">
        <is>
          <t>in-52766b8e87e68805</t>
        </is>
      </c>
      <c r="B36" t="inlineStr">
        <is>
          <t>Applied Scientist, GenAI Evaluation Media</t>
        </is>
      </c>
      <c r="C36" t="inlineStr">
        <is>
          <t>Amazon.com</t>
        </is>
      </c>
      <c r="D36" t="inlineStr">
        <is>
          <t>indeed</t>
        </is>
      </c>
      <c r="E36" t="inlineStr"/>
      <c r="F36" t="inlineStr"/>
      <c r="G36" t="inlineStr">
        <is>
          <t>Sunnyvale, CA, US</t>
        </is>
      </c>
      <c r="H36" s="2" t="n">
        <v>46006</v>
      </c>
      <c r="I36" t="inlineStr">
        <is>
          <t>**DESCRIPTION**
---------------
We are seeking an Applied Scientist to join our Generate AI Visual Media \- Core Experiences Science team. This organization drives significant business value by revolutionizing how customers interact with product imagery and videos across Amazon. Working at the intersection of Computer Vision and Generative AI, you will help customers make confident purchase decisions through optimized visual content. Our goal is to transform shopping into a personalized journey of inspiration, discovery, and evaluation by helping customers evaluate how products will fit and flatter their unique self before they ship. In this role, you will be responsible for building scalable computer vision and machine learning (CVML) models, and automating their application and expansion to power customer\-facing features.  
We are seeking domain expertise specifically in 3D Generative AI and Inverse Rendering. Relevant topics include Neural Fields, Implicit 3D Representations, NeRFs, Differentiable Rendering/Simulation, and Physically Based Rendering (PBR) Materials. We expect strong expertise at the intersection of Computer Graphics, Computer Vision, and Deep Learning. An inclination towards Generative AI, such as GANs, VQ\-VAE/GAN, and Diffusion Models, is essential. Additionally, experience in application\-specific domains such as Neural Avatars, Parametric Body Models, and Differentiable Rendering/Simulation will be highly advantageous.  
Key job responsibilities  
* Explore, collect, and process data
* Frame and transform ambiguous business challenges into science hypotheses. Design and implement offline and online experiments to evaluate them
* Develop prototypes to test new concepts/proposals for models and algorithms
* Design and build automated, scalable pipelines to train and deploy ML models
**BASIC QUALIFICATIONS**
------------------------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developing and implementing deep learning algorithms, particularly with respect to computer vision algorithms
* Experience in patents or publications at top\-tier peer\-reviewed conferences or journals
* Experience with popular deep learning frameworks such as Tensor Flow and PyTorch.
* Usage of generative AI tools to enhance workflow efficiency, with a willingness to learn effective prompting and evaluation practices.
* Ability to recognize opportunities where generative AI could enhance products, workflows, or customer experiences.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37">
      <c r="A37" t="inlineStr">
        <is>
          <t>in-78f9d7cf1e8f37e2</t>
        </is>
      </c>
      <c r="B37" t="inlineStr">
        <is>
          <t>Applied Scientist, GenAI Evaluation Media</t>
        </is>
      </c>
      <c r="C37" t="inlineStr">
        <is>
          <t>Amazon.com</t>
        </is>
      </c>
      <c r="D37" t="inlineStr">
        <is>
          <t>indeed</t>
        </is>
      </c>
      <c r="E37" t="inlineStr"/>
      <c r="F37" t="inlineStr"/>
      <c r="G37" t="inlineStr">
        <is>
          <t>Seattle, WA, US</t>
        </is>
      </c>
      <c r="H37" s="2" t="n">
        <v>46006</v>
      </c>
      <c r="I37" t="inlineStr">
        <is>
          <t>**DESCRIPTION**
---------------
We are seeking an Applied Scientist to join our Generate AI Visual Media \- Core Experiences Science team. This organization drives significant business value by revolutionizing how customers interact with product imagery and videos across Amazon. Working at the intersection of Computer Vision and Generative AI, you will help customers make confident purchase decisions through optimized visual content. Our goal is to transform shopping into a personalized journey of inspiration, discovery, and evaluation by helping customers evaluate how products will fit and flatter their unique self before they ship. In this role, you will be responsible for building scalable computer vision and machine learning (CVML) models, and automating their application and expansion to power customer\-facing features.  
We are seeking domain expertise specifically in 3D Generative AI and Inverse Rendering. Relevant topics include Neural Fields, Implicit 3D Representations, NeRFs, Differentiable Rendering/Simulation, and Physically Based Rendering (PBR) Materials. We expect strong expertise at the intersection of Computer Graphics, Computer Vision, and Deep Learning. An inclination towards Generative AI, such as GANs, VQ\-VAE/GAN, and Diffusion Models, is essential. Additionally, experience in application\-specific domains such as Neural Avatars, Parametric Body Models, and Differentiable Rendering/Simulation will be highly advantageous.  
Key job responsibilities  
* Explore, collect, and process data
* Frame and transform ambiguous business challenges into science hypotheses. Design and implement offline and online experiments to evaluate them
* Develop prototypes to test new concepts/proposals for models and algorithms
* Design and build automated, scalable pipelines to train and deploy ML models
**BASIC QUALIFICATIONS**
------------------------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developing and implementing deep learning algorithms, particularly with respect to computer vision algorithms
* Experience in patents or publications at top\-tier peer\-reviewed conferences or journals
* Experience with popular deep learning frameworks such as Tensor Flow and PyTorch.
* Usage of generative AI tools to enhance workflow efficiency, with a willingness to learn effective prompting and evaluation practices.
* Ability to recognize opportunities where generative AI could enhance products, workflows, or customer experiences.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38">
      <c r="A38" t="inlineStr">
        <is>
          <t>in-27b0575ff58e2acc</t>
        </is>
      </c>
      <c r="B38" t="inlineStr">
        <is>
          <t>Principal Applied Scientist, Kiro Science</t>
        </is>
      </c>
      <c r="C38" t="inlineStr">
        <is>
          <t>Amazon Web Services</t>
        </is>
      </c>
      <c r="D38" t="inlineStr">
        <is>
          <t>indeed</t>
        </is>
      </c>
      <c r="E38" t="inlineStr"/>
      <c r="F38" t="inlineStr"/>
      <c r="G38" t="inlineStr">
        <is>
          <t>Santa Clara, CA, US</t>
        </is>
      </c>
      <c r="H38" s="2" t="n">
        <v>45999</v>
      </c>
      <c r="I38"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39">
      <c r="A39" t="inlineStr">
        <is>
          <t>in-2770c1cb30cbbfac</t>
        </is>
      </c>
      <c r="B39" t="inlineStr">
        <is>
          <t>Principal Applied Scientist, Kiro Science</t>
        </is>
      </c>
      <c r="C39" t="inlineStr">
        <is>
          <t>Amazon Web Services</t>
        </is>
      </c>
      <c r="D39" t="inlineStr">
        <is>
          <t>indeed</t>
        </is>
      </c>
      <c r="E39" t="inlineStr"/>
      <c r="F39" t="inlineStr"/>
      <c r="G39" t="inlineStr">
        <is>
          <t>New York, NY, US</t>
        </is>
      </c>
      <c r="H39" s="2" t="n">
        <v>45999</v>
      </c>
      <c r="I39"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40">
      <c r="A40" t="inlineStr">
        <is>
          <t>in-6777008d878474f3</t>
        </is>
      </c>
      <c r="B40" t="inlineStr">
        <is>
          <t>Sr. Applied Scientist, Amazon Ads</t>
        </is>
      </c>
      <c r="C40" t="inlineStr">
        <is>
          <t>Amazon.com</t>
        </is>
      </c>
      <c r="D40" t="inlineStr">
        <is>
          <t>indeed</t>
        </is>
      </c>
      <c r="E40" t="inlineStr"/>
      <c r="F40" t="inlineStr"/>
      <c r="G40" t="inlineStr">
        <is>
          <t>Brooklyn, NY, US</t>
        </is>
      </c>
      <c r="H40" s="2" t="n">
        <v>45998</v>
      </c>
      <c r="I4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1">
      <c r="A41" t="inlineStr">
        <is>
          <t>in-7d5603c5652bdf26</t>
        </is>
      </c>
      <c r="B41" t="inlineStr">
        <is>
          <t>Sr. Machine Learning Engineer, AGIF | Finetuning</t>
        </is>
      </c>
      <c r="C41" t="inlineStr">
        <is>
          <t>Amazon.com</t>
        </is>
      </c>
      <c r="D41" t="inlineStr">
        <is>
          <t>indeed</t>
        </is>
      </c>
      <c r="E41" t="inlineStr"/>
      <c r="F41" t="inlineStr"/>
      <c r="G41" t="inlineStr">
        <is>
          <t>Bellevue, WA, US</t>
        </is>
      </c>
      <c r="H41" s="2" t="n">
        <v>45984</v>
      </c>
      <c r="I41"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in-6e66a519e83b1a5d</t>
        </is>
      </c>
      <c r="B42" t="inlineStr">
        <is>
          <t>Sr. Machine Learning Engineer, AGIF | Finetuning</t>
        </is>
      </c>
      <c r="C42" t="inlineStr">
        <is>
          <t>Amazon.com</t>
        </is>
      </c>
      <c r="D42" t="inlineStr">
        <is>
          <t>indeed</t>
        </is>
      </c>
      <c r="E42" t="inlineStr"/>
      <c r="F42" t="inlineStr"/>
      <c r="G42" t="inlineStr">
        <is>
          <t>Sunnyvale, CA, US</t>
        </is>
      </c>
      <c r="H42" s="2" t="n">
        <v>45984</v>
      </c>
      <c r="I42"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in-8c91596d80c63027</t>
        </is>
      </c>
      <c r="B43" t="inlineStr">
        <is>
          <t>Sr. Machine Learning Engineer, AGIF | Finetuning</t>
        </is>
      </c>
      <c r="C43" t="inlineStr">
        <is>
          <t>Amazon.com</t>
        </is>
      </c>
      <c r="D43" t="inlineStr">
        <is>
          <t>indeed</t>
        </is>
      </c>
      <c r="E43" t="inlineStr"/>
      <c r="F43" t="inlineStr"/>
      <c r="G43" t="inlineStr">
        <is>
          <t>New York, NY, US</t>
        </is>
      </c>
      <c r="H43" s="2" t="n">
        <v>45984</v>
      </c>
      <c r="I43"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in-90f4020ee1a6ee44</t>
        </is>
      </c>
      <c r="B44" t="inlineStr">
        <is>
          <t>Principal Applied Scientist, Sponsored Products and Brands</t>
        </is>
      </c>
      <c r="C44" t="inlineStr">
        <is>
          <t>Amazon.com</t>
        </is>
      </c>
      <c r="D44" t="inlineStr">
        <is>
          <t>indeed</t>
        </is>
      </c>
      <c r="E44" t="inlineStr"/>
      <c r="F44" t="inlineStr"/>
      <c r="G44" t="inlineStr">
        <is>
          <t>Seattle, WA, US</t>
        </is>
      </c>
      <c r="H44" s="2" t="n">
        <v>45979</v>
      </c>
      <c r="I44"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in-8cd648bf156ea281</t>
        </is>
      </c>
      <c r="B45" t="inlineStr">
        <is>
          <t>Principal Applied Scientist, Sponsored Products and Brands</t>
        </is>
      </c>
      <c r="C45" t="inlineStr">
        <is>
          <t>Amazon.com</t>
        </is>
      </c>
      <c r="D45" t="inlineStr">
        <is>
          <t>indeed</t>
        </is>
      </c>
      <c r="E45" t="inlineStr"/>
      <c r="F45" t="inlineStr"/>
      <c r="G45" t="inlineStr">
        <is>
          <t>New York, NY, US</t>
        </is>
      </c>
      <c r="H45" s="2" t="n">
        <v>45979</v>
      </c>
      <c r="I45"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in-52d1b82af0c51d98</t>
        </is>
      </c>
      <c r="B46" t="inlineStr">
        <is>
          <t>Applied Scientist, Personalization, DTx Science</t>
        </is>
      </c>
      <c r="C46" t="inlineStr">
        <is>
          <t>Amazon.com</t>
        </is>
      </c>
      <c r="D46" t="inlineStr">
        <is>
          <t>indeed</t>
        </is>
      </c>
      <c r="E46" t="inlineStr"/>
      <c r="F46" t="inlineStr"/>
      <c r="G46" t="inlineStr">
        <is>
          <t>Seattle, WA, US</t>
        </is>
      </c>
      <c r="H46" s="2" t="n">
        <v>45979</v>
      </c>
      <c r="I46"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47">
      <c r="A47" t="inlineStr">
        <is>
          <t>in-ebc80d1a1a53791c</t>
        </is>
      </c>
      <c r="B47" t="inlineStr">
        <is>
          <t>Applied Scientist, Personalization, DTx Science</t>
        </is>
      </c>
      <c r="C47" t="inlineStr">
        <is>
          <t>Amazon.com</t>
        </is>
      </c>
      <c r="D47" t="inlineStr">
        <is>
          <t>indeed</t>
        </is>
      </c>
      <c r="E47" t="inlineStr"/>
      <c r="F47" t="inlineStr"/>
      <c r="G47" t="inlineStr">
        <is>
          <t>New York, NY, US</t>
        </is>
      </c>
      <c r="H47" s="2" t="n">
        <v>45979</v>
      </c>
      <c r="I47"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48">
      <c r="A48" t="inlineStr">
        <is>
          <t>in-72ab7fce5d78cb26</t>
        </is>
      </c>
      <c r="B48" t="inlineStr">
        <is>
          <t>Senior Applied Scientist, Sponsored Products and Brands</t>
        </is>
      </c>
      <c r="C48" t="inlineStr">
        <is>
          <t>Amazon.com</t>
        </is>
      </c>
      <c r="D48" t="inlineStr">
        <is>
          <t>indeed</t>
        </is>
      </c>
      <c r="E48" t="inlineStr"/>
      <c r="F48" t="inlineStr"/>
      <c r="G48" t="inlineStr">
        <is>
          <t>New York, NY, US</t>
        </is>
      </c>
      <c r="H48" s="2" t="n">
        <v>45979</v>
      </c>
      <c r="I48"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49">
      <c r="A49" t="inlineStr">
        <is>
          <t>in-fbdb9ff442738437</t>
        </is>
      </c>
      <c r="B49" t="inlineStr">
        <is>
          <t>Senior Applied Scientist, Sponsored Products and Brands</t>
        </is>
      </c>
      <c r="C49" t="inlineStr">
        <is>
          <t>Amazon.com</t>
        </is>
      </c>
      <c r="D49" t="inlineStr">
        <is>
          <t>indeed</t>
        </is>
      </c>
      <c r="E49" t="inlineStr"/>
      <c r="F49" t="inlineStr"/>
      <c r="G49" t="inlineStr">
        <is>
          <t>Seattle, WA, US</t>
        </is>
      </c>
      <c r="H49" s="2" t="n">
        <v>45979</v>
      </c>
      <c r="I49"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50">
      <c r="A50" t="inlineStr">
        <is>
          <t>in-5b4780b20cd6abb5</t>
        </is>
      </c>
      <c r="B50" t="inlineStr">
        <is>
          <t>Principal Applied Scientist, Amazon AGI</t>
        </is>
      </c>
      <c r="C50" t="inlineStr">
        <is>
          <t>Amazon.com</t>
        </is>
      </c>
      <c r="D50" t="inlineStr">
        <is>
          <t>indeed</t>
        </is>
      </c>
      <c r="E50" t="inlineStr"/>
      <c r="F50" t="inlineStr"/>
      <c r="G50" t="inlineStr">
        <is>
          <t>San Francisco, CA, US</t>
        </is>
      </c>
      <c r="H50" s="2" t="n">
        <v>45964</v>
      </c>
      <c r="I50"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in-484e6fcc249fc1c8</t>
        </is>
      </c>
      <c r="B51" t="inlineStr">
        <is>
          <t>Principal Applied Scientist, Amazon AGI</t>
        </is>
      </c>
      <c r="C51" t="inlineStr">
        <is>
          <t>Amazon.com</t>
        </is>
      </c>
      <c r="D51" t="inlineStr">
        <is>
          <t>indeed</t>
        </is>
      </c>
      <c r="E51" t="inlineStr"/>
      <c r="F51" t="inlineStr"/>
      <c r="G51" t="inlineStr">
        <is>
          <t>Boston, MA, US</t>
        </is>
      </c>
      <c r="H51" s="2" t="n">
        <v>45964</v>
      </c>
      <c r="I51"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in-82c66b8e1b2581af</t>
        </is>
      </c>
      <c r="B52" t="inlineStr">
        <is>
          <t>Applied Scientist, AWS Agentic AI</t>
        </is>
      </c>
      <c r="C52" t="inlineStr">
        <is>
          <t>Amazon Web Services</t>
        </is>
      </c>
      <c r="D52" t="inlineStr">
        <is>
          <t>indeed</t>
        </is>
      </c>
      <c r="E52" t="inlineStr"/>
      <c r="F52" t="inlineStr"/>
      <c r="G52" t="inlineStr">
        <is>
          <t>New York, NY, US</t>
        </is>
      </c>
      <c r="H52" s="2" t="n">
        <v>45962</v>
      </c>
      <c r="I52"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in-ef1948d263d638ec</t>
        </is>
      </c>
      <c r="B53" t="inlineStr">
        <is>
          <t>Applied Scientist, AWS Agentic AI</t>
        </is>
      </c>
      <c r="C53" t="inlineStr">
        <is>
          <t>Amazon Web Services</t>
        </is>
      </c>
      <c r="D53" t="inlineStr">
        <is>
          <t>indeed</t>
        </is>
      </c>
      <c r="E53" t="inlineStr"/>
      <c r="F53" t="inlineStr"/>
      <c r="G53" t="inlineStr">
        <is>
          <t>Seattle, WA, US</t>
        </is>
      </c>
      <c r="H53" s="2" t="n">
        <v>45962</v>
      </c>
      <c r="I53"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in-e54ab16c4e16112a</t>
        </is>
      </c>
      <c r="B54" t="inlineStr">
        <is>
          <t>Applied Scientist, AWS Agentic AI</t>
        </is>
      </c>
      <c r="C54" t="inlineStr">
        <is>
          <t>Amazon Web Services</t>
        </is>
      </c>
      <c r="D54" t="inlineStr">
        <is>
          <t>indeed</t>
        </is>
      </c>
      <c r="E54" t="inlineStr"/>
      <c r="F54" t="inlineStr"/>
      <c r="G54" t="inlineStr">
        <is>
          <t>Santa Clara, CA, US</t>
        </is>
      </c>
      <c r="H54" s="2" t="n">
        <v>45962</v>
      </c>
      <c r="I54"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in-6ccb9fffe7bbd0ad</t>
        </is>
      </c>
      <c r="B55" t="inlineStr">
        <is>
          <t>Applied Scientist, Prime Video - Content Understanding, Localization &amp; Enrichment Team</t>
        </is>
      </c>
      <c r="C55" t="inlineStr">
        <is>
          <t>Amazon.com</t>
        </is>
      </c>
      <c r="D55" t="inlineStr">
        <is>
          <t>indeed</t>
        </is>
      </c>
      <c r="E55" t="inlineStr"/>
      <c r="F55" t="inlineStr"/>
      <c r="G55" t="inlineStr">
        <is>
          <t>Seattle, WA, US</t>
        </is>
      </c>
      <c r="H55" s="2" t="n">
        <v>45943</v>
      </c>
      <c r="I5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56">
      <c r="A56" t="inlineStr">
        <is>
          <t>in-cf186ac043c8739c</t>
        </is>
      </c>
      <c r="B56" t="inlineStr">
        <is>
          <t>Applied Scientist, Prime Video - Content Understanding, Localization &amp; Enrichment Team</t>
        </is>
      </c>
      <c r="C56" t="inlineStr">
        <is>
          <t>Amazon.com</t>
        </is>
      </c>
      <c r="D56" t="inlineStr">
        <is>
          <t>indeed</t>
        </is>
      </c>
      <c r="E56" t="inlineStr"/>
      <c r="F56" t="inlineStr"/>
      <c r="G56" t="inlineStr">
        <is>
          <t>San Francisco, CA, US</t>
        </is>
      </c>
      <c r="H56" s="2" t="n">
        <v>45943</v>
      </c>
      <c r="I5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57">
      <c r="A57" t="inlineStr">
        <is>
          <t>in-b7b1ad66069c87ca</t>
        </is>
      </c>
      <c r="B57" t="inlineStr">
        <is>
          <t>Principal Applied Scientist, Advertiser Growth, Amazon Sponsored Products &amp; Brands</t>
        </is>
      </c>
      <c r="C57" t="inlineStr">
        <is>
          <t>Amazon.com</t>
        </is>
      </c>
      <c r="D57" t="inlineStr">
        <is>
          <t>indeed</t>
        </is>
      </c>
      <c r="E57" t="inlineStr"/>
      <c r="F57" t="inlineStr"/>
      <c r="G57" t="inlineStr">
        <is>
          <t>Seattle, WA, US</t>
        </is>
      </c>
      <c r="H57" s="2" t="n">
        <v>45942</v>
      </c>
      <c r="I57"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in-38db6093838f4cc5</t>
        </is>
      </c>
      <c r="B58" t="inlineStr">
        <is>
          <t>Principal Applied Scientist, Advertiser Growth, Amazon Sponsored Products &amp; Brands</t>
        </is>
      </c>
      <c r="C58" t="inlineStr">
        <is>
          <t>Amazon.com</t>
        </is>
      </c>
      <c r="D58" t="inlineStr">
        <is>
          <t>indeed</t>
        </is>
      </c>
      <c r="E58" t="inlineStr"/>
      <c r="F58" t="inlineStr"/>
      <c r="G58" t="inlineStr">
        <is>
          <t>New York, NY, US</t>
        </is>
      </c>
      <c r="H58" s="2" t="n">
        <v>45942</v>
      </c>
      <c r="I58"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in-e2b1bfc3e7e4d819</t>
        </is>
      </c>
      <c r="B59" t="inlineStr">
        <is>
          <t>Principal Applied Scientist, Advertiser Growth, Amazon Sponsored Products &amp; Brands</t>
        </is>
      </c>
      <c r="C59" t="inlineStr">
        <is>
          <t>Amazon.com</t>
        </is>
      </c>
      <c r="D59" t="inlineStr">
        <is>
          <t>indeed</t>
        </is>
      </c>
      <c r="E59" t="inlineStr"/>
      <c r="F59" t="inlineStr"/>
      <c r="G59" t="inlineStr">
        <is>
          <t>Palo Alto, CA, US</t>
        </is>
      </c>
      <c r="H59" s="2" t="n">
        <v>45942</v>
      </c>
      <c r="I59"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in-9125dd3e1b57a4cf</t>
        </is>
      </c>
      <c r="B60" t="inlineStr">
        <is>
          <t>Sr. Applied Scientist, SPB Advertiser Guidance</t>
        </is>
      </c>
      <c r="C60" t="inlineStr">
        <is>
          <t>Amazon.com</t>
        </is>
      </c>
      <c r="D60" t="inlineStr">
        <is>
          <t>indeed</t>
        </is>
      </c>
      <c r="E60" t="inlineStr"/>
      <c r="F60" t="inlineStr"/>
      <c r="G60" t="inlineStr">
        <is>
          <t>Seattle, WA, US</t>
        </is>
      </c>
      <c r="H60" s="2" t="n">
        <v>45939</v>
      </c>
      <c r="I6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in-fbba26e00bbedfb0</t>
        </is>
      </c>
      <c r="B61" t="inlineStr">
        <is>
          <t>Applied Scientist</t>
        </is>
      </c>
      <c r="C61" t="inlineStr">
        <is>
          <t>Amazon.com</t>
        </is>
      </c>
      <c r="D61" t="inlineStr">
        <is>
          <t>indeed</t>
        </is>
      </c>
      <c r="E61" t="inlineStr"/>
      <c r="F61" t="inlineStr"/>
      <c r="G61" t="inlineStr">
        <is>
          <t>Seattle, WA, US</t>
        </is>
      </c>
      <c r="H61" s="2" t="n">
        <v>45939</v>
      </c>
      <c r="I6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in-b9f380b00ac46d7b</t>
        </is>
      </c>
      <c r="B62" t="inlineStr">
        <is>
          <t>Applied Scientist</t>
        </is>
      </c>
      <c r="C62" t="inlineStr">
        <is>
          <t>Amazon.com</t>
        </is>
      </c>
      <c r="D62" t="inlineStr">
        <is>
          <t>indeed</t>
        </is>
      </c>
      <c r="E62" t="inlineStr"/>
      <c r="F62" t="inlineStr"/>
      <c r="G62" t="inlineStr">
        <is>
          <t>New York, NY, US</t>
        </is>
      </c>
      <c r="H62" s="2" t="n">
        <v>45939</v>
      </c>
      <c r="I6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in-5cfa863a93bad5c7</t>
        </is>
      </c>
      <c r="B63" t="inlineStr">
        <is>
          <t>Sr. Applied Scientist, SPB Advertiser Guidance</t>
        </is>
      </c>
      <c r="C63" t="inlineStr">
        <is>
          <t>Amazon.com</t>
        </is>
      </c>
      <c r="D63" t="inlineStr">
        <is>
          <t>indeed</t>
        </is>
      </c>
      <c r="E63" t="inlineStr"/>
      <c r="F63" t="inlineStr"/>
      <c r="G63" t="inlineStr">
        <is>
          <t>Palo Alto, CA, US</t>
        </is>
      </c>
      <c r="H63" s="2" t="n">
        <v>45939</v>
      </c>
      <c r="I63"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in-61c98751d08c2e29</t>
        </is>
      </c>
      <c r="B64" t="inlineStr">
        <is>
          <t>Sr. Applied Scientist, SPB Advertiser Guidance</t>
        </is>
      </c>
      <c r="C64" t="inlineStr">
        <is>
          <t>Amazon.com</t>
        </is>
      </c>
      <c r="D64" t="inlineStr">
        <is>
          <t>indeed</t>
        </is>
      </c>
      <c r="E64" t="inlineStr"/>
      <c r="F64" t="inlineStr"/>
      <c r="G64" t="inlineStr">
        <is>
          <t>New York, NY, US</t>
        </is>
      </c>
      <c r="H64" s="2" t="n">
        <v>45939</v>
      </c>
      <c r="I6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in-17c1b13a9cedecb9</t>
        </is>
      </c>
      <c r="B65" t="inlineStr">
        <is>
          <t>Applied Scientist</t>
        </is>
      </c>
      <c r="C65" t="inlineStr">
        <is>
          <t>Amazon.com</t>
        </is>
      </c>
      <c r="D65" t="inlineStr">
        <is>
          <t>indeed</t>
        </is>
      </c>
      <c r="E65" t="inlineStr"/>
      <c r="F65" t="inlineStr"/>
      <c r="G65" t="inlineStr">
        <is>
          <t>Palo Alto, CA, US</t>
        </is>
      </c>
      <c r="H65" s="2" t="n">
        <v>45939</v>
      </c>
      <c r="I6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in-66966565f32d7a19</t>
        </is>
      </c>
      <c r="B66" t="inlineStr">
        <is>
          <t>Applied Scientist, Workplace Health &amp; Safety</t>
        </is>
      </c>
      <c r="C66" t="inlineStr">
        <is>
          <t>Amazon.com</t>
        </is>
      </c>
      <c r="D66" t="inlineStr">
        <is>
          <t>indeed</t>
        </is>
      </c>
      <c r="E66" t="inlineStr"/>
      <c r="F66" t="inlineStr"/>
      <c r="G66" t="inlineStr">
        <is>
          <t>Bellevue, WA, US</t>
        </is>
      </c>
      <c r="H66" s="2" t="n">
        <v>45917</v>
      </c>
      <c r="I66"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in-3e0f58e1a977f09c</t>
        </is>
      </c>
      <c r="B67" t="inlineStr">
        <is>
          <t>Applied Scientist, Workplace Health &amp; Safety</t>
        </is>
      </c>
      <c r="C67" t="inlineStr">
        <is>
          <t>Amazon.com</t>
        </is>
      </c>
      <c r="D67" t="inlineStr">
        <is>
          <t>indeed</t>
        </is>
      </c>
      <c r="E67" t="inlineStr"/>
      <c r="F67" t="inlineStr"/>
      <c r="G67" t="inlineStr">
        <is>
          <t>Nashville, TN, US</t>
        </is>
      </c>
      <c r="H67" s="2" t="n">
        <v>45917</v>
      </c>
      <c r="I67"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in-b36f8aa9abc8a881</t>
        </is>
      </c>
      <c r="B68" t="inlineStr">
        <is>
          <t>Applied Scientist II, Creative X - RAPID</t>
        </is>
      </c>
      <c r="C68" t="inlineStr">
        <is>
          <t>Amazon.com</t>
        </is>
      </c>
      <c r="D68" t="inlineStr">
        <is>
          <t>indeed</t>
        </is>
      </c>
      <c r="E68" t="inlineStr"/>
      <c r="F68" t="inlineStr"/>
      <c r="G68" t="inlineStr">
        <is>
          <t>New York, NY, US</t>
        </is>
      </c>
      <c r="H68" s="2" t="n">
        <v>45908</v>
      </c>
      <c r="I68"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69">
      <c r="A69" t="inlineStr">
        <is>
          <t>in-f03159ac341c04bd</t>
        </is>
      </c>
      <c r="B69" t="inlineStr">
        <is>
          <t>Applied Scientist II, Creative X - RAPID</t>
        </is>
      </c>
      <c r="C69" t="inlineStr">
        <is>
          <t>Amazon.com</t>
        </is>
      </c>
      <c r="D69" t="inlineStr">
        <is>
          <t>indeed</t>
        </is>
      </c>
      <c r="E69" t="inlineStr"/>
      <c r="F69" t="inlineStr"/>
      <c r="G69" t="inlineStr">
        <is>
          <t>Seattle, WA, US</t>
        </is>
      </c>
      <c r="H69" s="2" t="n">
        <v>45908</v>
      </c>
      <c r="I69"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70">
      <c r="A70" t="inlineStr">
        <is>
          <t>in-e358e94ab9c62ba1</t>
        </is>
      </c>
      <c r="B70" t="inlineStr">
        <is>
          <t>Applied Scientist II, Prime Video , Personalization and Discovery Science</t>
        </is>
      </c>
      <c r="C70" t="inlineStr">
        <is>
          <t>Amazon.com</t>
        </is>
      </c>
      <c r="D70" t="inlineStr">
        <is>
          <t>indeed</t>
        </is>
      </c>
      <c r="E70" t="inlineStr"/>
      <c r="F70" t="inlineStr"/>
      <c r="G70" t="inlineStr">
        <is>
          <t>New York, NY, US</t>
        </is>
      </c>
      <c r="H70" s="2" t="n">
        <v>45886</v>
      </c>
      <c r="I7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71">
      <c r="A71" t="inlineStr">
        <is>
          <t>in-81f5c25efe4a12eb</t>
        </is>
      </c>
      <c r="B71" t="inlineStr">
        <is>
          <t>Applied Scientist II, Prime Video , Personalization and Discovery Science</t>
        </is>
      </c>
      <c r="C71" t="inlineStr">
        <is>
          <t>Amazon.com</t>
        </is>
      </c>
      <c r="D71" t="inlineStr">
        <is>
          <t>indeed</t>
        </is>
      </c>
      <c r="E71" t="inlineStr"/>
      <c r="F71" t="inlineStr"/>
      <c r="G71" t="inlineStr">
        <is>
          <t>Sunnyvale, CA, US</t>
        </is>
      </c>
      <c r="H71" s="2" t="n">
        <v>45886</v>
      </c>
      <c r="I7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72">
      <c r="A72" t="inlineStr">
        <is>
          <t>in-07d8ea5116142950</t>
        </is>
      </c>
      <c r="B72" t="inlineStr">
        <is>
          <t>Applied Scientist II, Prime Video , Personalization and Discovery Science</t>
        </is>
      </c>
      <c r="C72" t="inlineStr">
        <is>
          <t>Amazon.com</t>
        </is>
      </c>
      <c r="D72" t="inlineStr">
        <is>
          <t>indeed</t>
        </is>
      </c>
      <c r="E72" t="inlineStr"/>
      <c r="F72" t="inlineStr"/>
      <c r="G72" t="inlineStr">
        <is>
          <t>Seattle, WA, US</t>
        </is>
      </c>
      <c r="H72" s="2" t="n">
        <v>45886</v>
      </c>
      <c r="I7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73">
      <c r="A73" t="inlineStr">
        <is>
          <t>in-ff5b854ae404d69b</t>
        </is>
      </c>
      <c r="B73" t="inlineStr">
        <is>
          <t>Applied Scientist III, StoreGen</t>
        </is>
      </c>
      <c r="C73" t="inlineStr">
        <is>
          <t>Amazon.com</t>
        </is>
      </c>
      <c r="D73" t="inlineStr">
        <is>
          <t>indeed</t>
        </is>
      </c>
      <c r="E73" t="inlineStr"/>
      <c r="F73" t="inlineStr"/>
      <c r="G73" t="inlineStr">
        <is>
          <t>Seattle, WA, US</t>
        </is>
      </c>
      <c r="H73" s="2" t="n">
        <v>45868</v>
      </c>
      <c r="I73"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in-47b07346a271b9e9</t>
        </is>
      </c>
      <c r="B74" t="inlineStr">
        <is>
          <t>Applied Scientist III, StoreGen</t>
        </is>
      </c>
      <c r="C74" t="inlineStr">
        <is>
          <t>Amazon.com</t>
        </is>
      </c>
      <c r="D74" t="inlineStr">
        <is>
          <t>indeed</t>
        </is>
      </c>
      <c r="E74" t="inlineStr"/>
      <c r="F74" t="inlineStr"/>
      <c r="G74" t="inlineStr">
        <is>
          <t>Sunnyvale, CA, US</t>
        </is>
      </c>
      <c r="H74" s="2" t="n">
        <v>45868</v>
      </c>
      <c r="I74"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in-030de7be8c9c33e8</t>
        </is>
      </c>
      <c r="B75" t="inlineStr">
        <is>
          <t>Sr. Applied Scientist, Amazon Advertising</t>
        </is>
      </c>
      <c r="C75" t="inlineStr">
        <is>
          <t>Amazon.com</t>
        </is>
      </c>
      <c r="D75" t="inlineStr">
        <is>
          <t>indeed</t>
        </is>
      </c>
      <c r="E75" t="inlineStr"/>
      <c r="F75" t="inlineStr"/>
      <c r="G75" t="inlineStr">
        <is>
          <t>Palo Alto, CA, US</t>
        </is>
      </c>
      <c r="H75" s="2" t="n">
        <v>45851</v>
      </c>
      <c r="I7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in-8cf14450d58e429c</t>
        </is>
      </c>
      <c r="B76" t="inlineStr">
        <is>
          <t>Sr. Applied Scientist, Amazon Advertising</t>
        </is>
      </c>
      <c r="C76" t="inlineStr">
        <is>
          <t>Amazon.com</t>
        </is>
      </c>
      <c r="D76" t="inlineStr">
        <is>
          <t>indeed</t>
        </is>
      </c>
      <c r="E76" t="inlineStr"/>
      <c r="F76" t="inlineStr"/>
      <c r="G76" t="inlineStr">
        <is>
          <t>New York, NY, US</t>
        </is>
      </c>
      <c r="H76" s="2" t="n">
        <v>45851</v>
      </c>
      <c r="I7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in-c817a5466bc20de6</t>
        </is>
      </c>
      <c r="B77" t="inlineStr">
        <is>
          <t>Sr. Applied Scientist, Amazon Advertising</t>
        </is>
      </c>
      <c r="C77" t="inlineStr">
        <is>
          <t>Amazon.com</t>
        </is>
      </c>
      <c r="D77" t="inlineStr">
        <is>
          <t>indeed</t>
        </is>
      </c>
      <c r="E77" t="inlineStr"/>
      <c r="F77" t="inlineStr"/>
      <c r="G77" t="inlineStr">
        <is>
          <t>Arlington, VA, US</t>
        </is>
      </c>
      <c r="H77" s="2" t="n">
        <v>45851</v>
      </c>
      <c r="I7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in-9643af2b62bb1e58</t>
        </is>
      </c>
      <c r="B78" t="inlineStr">
        <is>
          <t>Sr. Applied Scientist, Amazon Advertising</t>
        </is>
      </c>
      <c r="C78" t="inlineStr">
        <is>
          <t>Amazon.com</t>
        </is>
      </c>
      <c r="D78" t="inlineStr">
        <is>
          <t>indeed</t>
        </is>
      </c>
      <c r="E78" t="inlineStr"/>
      <c r="F78" t="inlineStr"/>
      <c r="G78" t="inlineStr">
        <is>
          <t>Los Angeles, CA, US</t>
        </is>
      </c>
      <c r="H78" s="2" t="n">
        <v>45851</v>
      </c>
      <c r="I7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in-61a6b8f8aa6563e8</t>
        </is>
      </c>
      <c r="B79" t="inlineStr">
        <is>
          <t>Sr. Applied Scientist, Amazon Advertising</t>
        </is>
      </c>
      <c r="C79" t="inlineStr">
        <is>
          <t>Amazon.com</t>
        </is>
      </c>
      <c r="D79" t="inlineStr">
        <is>
          <t>indeed</t>
        </is>
      </c>
      <c r="E79" t="inlineStr"/>
      <c r="F79" t="inlineStr"/>
      <c r="G79" t="inlineStr">
        <is>
          <t>Simi Valley, CA, US</t>
        </is>
      </c>
      <c r="H79" s="2" t="n">
        <v>45851</v>
      </c>
      <c r="I7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in-4c86c0542df8e32c</t>
        </is>
      </c>
      <c r="B80" t="inlineStr">
        <is>
          <t>Sr. Applied Scientist, Amazon Advertising</t>
        </is>
      </c>
      <c r="C80" t="inlineStr">
        <is>
          <t>Amazon.com</t>
        </is>
      </c>
      <c r="D80" t="inlineStr">
        <is>
          <t>indeed</t>
        </is>
      </c>
      <c r="E80" t="inlineStr"/>
      <c r="F80" t="inlineStr"/>
      <c r="G80" t="inlineStr">
        <is>
          <t>Seattle, WA, US</t>
        </is>
      </c>
      <c r="H80" s="2" t="n">
        <v>45851</v>
      </c>
      <c r="I8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in-291020619f56163d</t>
        </is>
      </c>
      <c r="B81" t="inlineStr">
        <is>
          <t>Sr. Applied Scientist, Amazon Advertising</t>
        </is>
      </c>
      <c r="C81" t="inlineStr">
        <is>
          <t>Amazon.com</t>
        </is>
      </c>
      <c r="D81" t="inlineStr">
        <is>
          <t>indeed</t>
        </is>
      </c>
      <c r="E81" t="inlineStr"/>
      <c r="F81" t="inlineStr"/>
      <c r="G81" t="inlineStr">
        <is>
          <t>Austin, TX, US</t>
        </is>
      </c>
      <c r="H81" s="2" t="n">
        <v>45851</v>
      </c>
      <c r="I8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in-678b6375189d1bea</t>
        </is>
      </c>
      <c r="B82" t="inlineStr">
        <is>
          <t>Sr. Applied Scientist, Amazon Advertising</t>
        </is>
      </c>
      <c r="C82" t="inlineStr">
        <is>
          <t>Amazon.com</t>
        </is>
      </c>
      <c r="D82" t="inlineStr">
        <is>
          <t>indeed</t>
        </is>
      </c>
      <c r="E82" t="inlineStr"/>
      <c r="F82" t="inlineStr"/>
      <c r="G82" t="inlineStr">
        <is>
          <t>West Hollywood, CA, US</t>
        </is>
      </c>
      <c r="H82" s="2" t="n">
        <v>45851</v>
      </c>
      <c r="I8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in-f38f0a3d8f09680e</t>
        </is>
      </c>
      <c r="B83" t="inlineStr">
        <is>
          <t>Sr. Applied Scientist, Sales AI</t>
        </is>
      </c>
      <c r="C83" t="inlineStr">
        <is>
          <t>Amazon.com</t>
        </is>
      </c>
      <c r="D83" t="inlineStr">
        <is>
          <t>indeed</t>
        </is>
      </c>
      <c r="E83" t="inlineStr"/>
      <c r="F83" t="inlineStr"/>
      <c r="G83" t="inlineStr">
        <is>
          <t>New York, NY, US</t>
        </is>
      </c>
      <c r="H83" s="2" t="n">
        <v>45830</v>
      </c>
      <c r="I83"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in-2ccc16ac19efc76c</t>
        </is>
      </c>
      <c r="B84" t="inlineStr">
        <is>
          <t>Sr. Applied Scientist, Sales AI</t>
        </is>
      </c>
      <c r="C84" t="inlineStr">
        <is>
          <t>Amazon.com</t>
        </is>
      </c>
      <c r="D84" t="inlineStr">
        <is>
          <t>indeed</t>
        </is>
      </c>
      <c r="E84" t="inlineStr"/>
      <c r="F84" t="inlineStr"/>
      <c r="G84" t="inlineStr">
        <is>
          <t>Seattle, WA, US</t>
        </is>
      </c>
      <c r="H84" s="2" t="n">
        <v>45830</v>
      </c>
      <c r="I84"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in-5daabe3faaa60867</t>
        </is>
      </c>
      <c r="B85" t="inlineStr">
        <is>
          <t>Sr. Applied Scientist, Sales AI</t>
        </is>
      </c>
      <c r="C85" t="inlineStr">
        <is>
          <t>Amazon.com</t>
        </is>
      </c>
      <c r="D85" t="inlineStr">
        <is>
          <t>indeed</t>
        </is>
      </c>
      <c r="E85" t="inlineStr"/>
      <c r="F85" t="inlineStr"/>
      <c r="G85" t="inlineStr">
        <is>
          <t>Sunnyvale, CA, US</t>
        </is>
      </c>
      <c r="H85" s="2" t="n">
        <v>45830</v>
      </c>
      <c r="I85"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in-f10e6a11c04811c8</t>
        </is>
      </c>
      <c r="B86" t="inlineStr">
        <is>
          <t>Principal Applied Scientist, Delivery Foundation Model</t>
        </is>
      </c>
      <c r="C86" t="inlineStr">
        <is>
          <t>Amazon.com</t>
        </is>
      </c>
      <c r="D86" t="inlineStr">
        <is>
          <t>indeed</t>
        </is>
      </c>
      <c r="E86" t="inlineStr"/>
      <c r="F86" t="inlineStr"/>
      <c r="G86" t="inlineStr">
        <is>
          <t>Austin, TX, US</t>
        </is>
      </c>
      <c r="H86" s="2" t="n">
        <v>45810</v>
      </c>
      <c r="I8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in-e11dff06898c8984</t>
        </is>
      </c>
      <c r="B87" t="inlineStr">
        <is>
          <t>Principal Applied Scientist, Delivery Foundation Model</t>
        </is>
      </c>
      <c r="C87" t="inlineStr">
        <is>
          <t>Amazon.com</t>
        </is>
      </c>
      <c r="D87" t="inlineStr">
        <is>
          <t>indeed</t>
        </is>
      </c>
      <c r="E87" t="inlineStr"/>
      <c r="F87" t="inlineStr"/>
      <c r="G87" t="inlineStr">
        <is>
          <t>New York, NY, US</t>
        </is>
      </c>
      <c r="H87" s="2" t="n">
        <v>45810</v>
      </c>
      <c r="I8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in-456c8b0335e941b6</t>
        </is>
      </c>
      <c r="B88" t="inlineStr">
        <is>
          <t>Principal Applied Scientist, Delivery Foundation Model</t>
        </is>
      </c>
      <c r="C88" t="inlineStr">
        <is>
          <t>Amazon.com</t>
        </is>
      </c>
      <c r="D88" t="inlineStr">
        <is>
          <t>indeed</t>
        </is>
      </c>
      <c r="E88" t="inlineStr"/>
      <c r="F88" t="inlineStr"/>
      <c r="G88" t="inlineStr">
        <is>
          <t>Santa Clara, CA, US</t>
        </is>
      </c>
      <c r="H88" s="2" t="n">
        <v>45810</v>
      </c>
      <c r="I8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in-18b5022d3104a2b1</t>
        </is>
      </c>
      <c r="B89" t="inlineStr">
        <is>
          <t>Principal Applied Scientist, Delivery Foundation Model</t>
        </is>
      </c>
      <c r="C89" t="inlineStr">
        <is>
          <t>Amazon.com</t>
        </is>
      </c>
      <c r="D89" t="inlineStr">
        <is>
          <t>indeed</t>
        </is>
      </c>
      <c r="E89" t="inlineStr"/>
      <c r="F89" t="inlineStr"/>
      <c r="G89" t="inlineStr">
        <is>
          <t>Bellevue, WA, US</t>
        </is>
      </c>
      <c r="H89" s="2" t="n">
        <v>45810</v>
      </c>
      <c r="I8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in-ae0046d86d4c7b1e</t>
        </is>
      </c>
      <c r="B90" t="inlineStr">
        <is>
          <t>Senior Applied Scientist, Delivery Foundation Model</t>
        </is>
      </c>
      <c r="C90" t="inlineStr">
        <is>
          <t>Amazon.com</t>
        </is>
      </c>
      <c r="D90" t="inlineStr">
        <is>
          <t>indeed</t>
        </is>
      </c>
      <c r="E90" t="inlineStr"/>
      <c r="F90" t="inlineStr"/>
      <c r="G90" t="inlineStr">
        <is>
          <t>Santa Clara, CA, US</t>
        </is>
      </c>
      <c r="H90" s="2" t="n">
        <v>45806</v>
      </c>
      <c r="I9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in-eb20f56d8cd8cd3b</t>
        </is>
      </c>
      <c r="B91" t="inlineStr">
        <is>
          <t>Senior Applied Scientist, Delivery Foundation Model</t>
        </is>
      </c>
      <c r="C91" t="inlineStr">
        <is>
          <t>Amazon.com</t>
        </is>
      </c>
      <c r="D91" t="inlineStr">
        <is>
          <t>indeed</t>
        </is>
      </c>
      <c r="E91" t="inlineStr"/>
      <c r="F91" t="inlineStr"/>
      <c r="G91" t="inlineStr">
        <is>
          <t>New York, NY, US</t>
        </is>
      </c>
      <c r="H91" s="2" t="n">
        <v>45806</v>
      </c>
      <c r="I9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in-c0a26f50deca860e</t>
        </is>
      </c>
      <c r="B92" t="inlineStr">
        <is>
          <t>Senior Applied Scientist, Delivery Foundation Model</t>
        </is>
      </c>
      <c r="C92" t="inlineStr">
        <is>
          <t>Amazon.com</t>
        </is>
      </c>
      <c r="D92" t="inlineStr">
        <is>
          <t>indeed</t>
        </is>
      </c>
      <c r="E92" t="inlineStr"/>
      <c r="F92" t="inlineStr"/>
      <c r="G92" t="inlineStr">
        <is>
          <t>Bellevue, WA, US</t>
        </is>
      </c>
      <c r="H92" s="2" t="n">
        <v>45806</v>
      </c>
      <c r="I9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in-359196df60d7fb0f</t>
        </is>
      </c>
      <c r="B93" t="inlineStr">
        <is>
          <t>Principal Applied Scientist, Delivery Foundation Model</t>
        </is>
      </c>
      <c r="C93" t="inlineStr">
        <is>
          <t>Amazon.com</t>
        </is>
      </c>
      <c r="D93" t="inlineStr">
        <is>
          <t>indeed</t>
        </is>
      </c>
      <c r="E93" t="inlineStr"/>
      <c r="F93" t="inlineStr"/>
      <c r="G93" t="inlineStr">
        <is>
          <t>Santa Clara, CA, US</t>
        </is>
      </c>
      <c r="H93" s="2" t="n">
        <v>45757</v>
      </c>
      <c r="I9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in-e18168e51391f0d8</t>
        </is>
      </c>
      <c r="B94" t="inlineStr">
        <is>
          <t>Principal Applied Scientist, Delivery Foundation Model</t>
        </is>
      </c>
      <c r="C94" t="inlineStr">
        <is>
          <t>Amazon.com</t>
        </is>
      </c>
      <c r="D94" t="inlineStr">
        <is>
          <t>indeed</t>
        </is>
      </c>
      <c r="E94" t="inlineStr"/>
      <c r="F94" t="inlineStr"/>
      <c r="G94" t="inlineStr">
        <is>
          <t>New York, NY, US</t>
        </is>
      </c>
      <c r="H94" s="2" t="n">
        <v>45757</v>
      </c>
      <c r="I9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in-dcb5a0e001654b19</t>
        </is>
      </c>
      <c r="B95" t="inlineStr">
        <is>
          <t>Principal Applied Scientist, Delivery Foundation Model</t>
        </is>
      </c>
      <c r="C95" t="inlineStr">
        <is>
          <t>Amazon.com</t>
        </is>
      </c>
      <c r="D95" t="inlineStr">
        <is>
          <t>indeed</t>
        </is>
      </c>
      <c r="E95" t="inlineStr"/>
      <c r="F95" t="inlineStr"/>
      <c r="G95" t="inlineStr">
        <is>
          <t>Bellevue, WA, US</t>
        </is>
      </c>
      <c r="H95" s="2" t="n">
        <v>45757</v>
      </c>
      <c r="I9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in-c1e7ce48e0b485db</t>
        </is>
      </c>
      <c r="B96" t="inlineStr">
        <is>
          <t>Principal Applied Scientist, FAR (Frontier AI &amp; Robotics)</t>
        </is>
      </c>
      <c r="C96" t="inlineStr">
        <is>
          <t>Amazon.com</t>
        </is>
      </c>
      <c r="D96" t="inlineStr">
        <is>
          <t>indeed</t>
        </is>
      </c>
      <c r="E96" t="inlineStr"/>
      <c r="F96" t="inlineStr"/>
      <c r="G96" t="inlineStr">
        <is>
          <t>San Francisco, CA, US</t>
        </is>
      </c>
      <c r="H96" s="2" t="n">
        <v>45740</v>
      </c>
      <c r="I96"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in-66ad2cb921c7aada</t>
        </is>
      </c>
      <c r="B97" t="inlineStr">
        <is>
          <t>Principal Applied Scientist, FAR (Frontier AI &amp; Robotics)</t>
        </is>
      </c>
      <c r="C97" t="inlineStr">
        <is>
          <t>Amazon.com</t>
        </is>
      </c>
      <c r="D97" t="inlineStr">
        <is>
          <t>indeed</t>
        </is>
      </c>
      <c r="E97" t="inlineStr"/>
      <c r="F97" t="inlineStr"/>
      <c r="G97" t="inlineStr">
        <is>
          <t>Seattle, WA, US</t>
        </is>
      </c>
      <c r="H97" s="2" t="n">
        <v>45740</v>
      </c>
      <c r="I97"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in-d850bfb095de2be5</t>
        </is>
      </c>
      <c r="B98" t="inlineStr">
        <is>
          <t>AIML - Machine Learning Engineer, Foundation Models</t>
        </is>
      </c>
      <c r="C98" t="inlineStr">
        <is>
          <t>Apple</t>
        </is>
      </c>
      <c r="D98" t="inlineStr">
        <is>
          <t>indeed</t>
        </is>
      </c>
      <c r="E98" t="inlineStr"/>
      <c r="F98" t="inlineStr"/>
      <c r="G98" t="inlineStr">
        <is>
          <t>Cupertino, CA, US</t>
        </is>
      </c>
      <c r="H98" s="2" t="n">
        <v>46059</v>
      </c>
      <c r="I98" t="inlineStr">
        <is>
          <t>Apple is revolutionizing artificial intelligence by developing sophisticated foundation models that power intelligent features across our product ecosystem. We're seeking skilled Machine Learning Engineers to transform cutting\-edge research into scalable, production\-ready AI solutions.  
We are looking for engineers who are passionate about building systems that push the frontier of deep learning in terms of scaling, efficiency, and flexibility and delight millions of users in Apple products.  
**Description**  
Apple Foundation Model Team are a group of engineers and researchers responsible for building foundation models at Apple. We build infrastructure, datasets, and models with fundamental general capabilities such as understanding and generation of text, images, speech, videos, and other modalities and apply these models to Apple products. We are looking for MLEs who are passionate about developing algorithms, techniques, and systems that push the frontier of deep learning and delight billions of users with Apple products powered by foundation models. We are looking for an exceptional Machine Learning Engineer to design, develop, and deploy foundation models that drive intelligent features across Apple's product portfolio. You will bridge the gap between research and production, transforming advanced AI concepts into robust, performant systems that enhance user experiences.","responsibilities":"Design and implement scalable, reliable and high\-performance machine learning infrastructure for foundation models across text, image, speech, and multi\-modal domains  
Collaborate with other teams to productionize state\-of\-the\-art AI algorithms  
Optimize models for performance, efficiency, and on\-device intelligence  
Implement machine learning systems with stringent privacy and security requirements  
May also be required to manage a small team of engineers.  
**Preferred Qualifications**  
Experience with foundation models and large language models  
Background in multi\-modal AI systems  
Demonstrated ability to transform research prototypes into production systems  
Published research or significant contributions to open\-source ML projects  
Understanding of on\-device machine learning techniques  
**Minimum Qualifications**  
MS or PhD in Computer Science, Machine Learning, or related technical field  
Expert\-level programming skills in Python  
Proficiency in machine learning frameworks such as Jax, PyTorch, TensorFlow  
Strong background in: Distributed training, Model optimization, and Machine learning infrastructure  
Experience with large\-scale model training and deployment  
Familiarity with: Kubernetes, Docker, Cloud platforms (AWS, GCP, Azure)  
Distributed computing frameworks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99">
      <c r="A99" t="inlineStr">
        <is>
          <t>in-f2c2eb60301b629f</t>
        </is>
      </c>
      <c r="B99" t="inlineStr">
        <is>
          <t>Machine Learning Engineer</t>
        </is>
      </c>
      <c r="C99" t="inlineStr">
        <is>
          <t>BV Teck</t>
        </is>
      </c>
      <c r="D99" t="inlineStr">
        <is>
          <t>indeed</t>
        </is>
      </c>
      <c r="E99" t="inlineStr"/>
      <c r="F99" t="inlineStr"/>
      <c r="G99" t="inlineStr">
        <is>
          <t>Dallas, TX, US</t>
        </is>
      </c>
      <c r="H99" s="2" t="n">
        <v>46059</v>
      </c>
      <c r="I99" t="inlineStr">
        <is>
          <t>**Machine Learning Engineer**  
Bright Vision Technologies is a forward\-thinking software development company dedicated to building innovative solutions that help businesses automate and optimize their operations.  
We leverage cutting\-edge machine learning technologies to build scalable, reliable, and production\-grade intelligent systems. As we continue to grow, we’re looking for a skilled **Machine Learning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Machine Learning Engineer  
**Job Location:** Dallas, TX  
**Onsite/Hybrid:** Remote  
**FULL\-TIME ROLE WITH BRIGHT VISION**  
**Job Description:**  
**Environment:**  
Machine Learning, Python, TensorFlow, PyTorch, Scikit\-learn, Feature Engineering, Model Training \&amp; Evaluation, Model Deployment, RESTful APIs, Data Pipelines, SQL, NoSQL Databases, Cloud Platforms (AWS / Azure / GCP), Docker, Kubernetes, Linux, CI/CD pipelines, Git, Agile methodologies  
**BUT STRICTLY NO C2C/1099/3RD PARTY COMPANIES. ALL OUR ROLES ARE W2 AND NO 3RD PARTY BROKERING PLEASE.**  
For every role, a **coding test is required**, so apply only if you are **confident and technically strong**.  
We prefer **at least 3 to 5 years real time experience**.  
If you are a **Machine Learning Engineer** with the above skills and are looking for an **H\-1 B sponsorship** this year, please send your resume immediately to S**reedhar@bvteck.com**.  
we are committed to providing equal employment opportunities and fostering an inclusive work environment. We encourage applications from all qualified individuals regardless of race, ethnicity, religion, gender identity, sexual orientation, age, disability, or any other protected status. If you require accommodations during the recruitment process, please let us know.  
**Position offered by “No Fee agency.”**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7geJLmu02U</t>
        </is>
      </c>
    </row>
    <row r="100">
      <c r="A100" t="inlineStr">
        <is>
          <t>in-650b73fa7448a6ee</t>
        </is>
      </c>
      <c r="B100" t="inlineStr">
        <is>
          <t>AI Engineer</t>
        </is>
      </c>
      <c r="C100" t="inlineStr">
        <is>
          <t>BV Teck</t>
        </is>
      </c>
      <c r="D100" t="inlineStr">
        <is>
          <t>indeed</t>
        </is>
      </c>
      <c r="E100" t="inlineStr"/>
      <c r="F100" t="inlineStr"/>
      <c r="G100" t="inlineStr">
        <is>
          <t>Dallas, TX, US</t>
        </is>
      </c>
      <c r="H100" s="2" t="n">
        <v>46059</v>
      </c>
      <c r="I100" t="inlineStr">
        <is>
          <t>Bright Vision Technologies is a forward\-thinking software development company dedicated to building innovative solutions that help businesses automate and optimize their operations.  
We leverage cutting\-edge artificial intelligence technologies to build scalable, secure, and production\-grade intelligent systems. As we continue to grow, we’re looking for a skilled **AI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**Company:** Bright Vision Technologies ( www.bvteck.com )  
**Job Title:** AI Engineer  
**Job Location:** Dallas, TX  
**Onsite/Hybrid:** Remote  
**FULL\-TIME ROLE WITH BRIGHT VISION**  
**Environment:**  
Artificial Intelligence, Machine Learning, Python, TensorFlow, PyTorch, Scikit\-learn, Deep Learning, Model Training \&amp; Evaluation, Feature Engineering, Data Pipelines, RESTful APIs, Model Deployment, Cloud Platforms (AWS / Azure / GCP), Docker, Kubernetes, Linux, CI/CD pipelines, Git, Agile methodologies  
**BUT STRICTLY NO C2C/1099/3RD PARTY COMPANIES. ALL OUR ROLES ARE W2 AND NO 3RD PARTY BROKERING PLEASE.**  
For every role, a **coding test is required**, so apply only if you are **confident and technically strong**.  
We prefer **at least 3 to 5 years real time experience**.  
If you are an **AI Engineer** with the above skills and are looking for an **H\-1 B sponsorship** this year, please send your resume immediately to Sreedhar**@bvteck.com**.  
we are committed to providing equal employment opportunities and fostering an inclusive work environment. We encourage applications from all qualified individuals regardless of race, ethnicity, religion, gender identity, sexual orientation, age, disability, or any other protected status. If you require accommodations during the recruitment process, please let us know.  
**Position offered by “No Fee agency.”**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4cFkj23Crz</t>
        </is>
      </c>
    </row>
    <row r="101">
      <c r="A101" t="inlineStr">
        <is>
          <t>in-ffb05b7a1236ef95</t>
        </is>
      </c>
      <c r="B101" t="inlineStr">
        <is>
          <t>Data and Machine Learning Engineer - Vision Language Models, Data &amp; Machine Learning (DML)</t>
        </is>
      </c>
      <c r="C101" t="inlineStr">
        <is>
          <t>Amazon Web Services</t>
        </is>
      </c>
      <c r="D101" t="inlineStr">
        <is>
          <t>indeed</t>
        </is>
      </c>
      <c r="E101" t="inlineStr"/>
      <c r="F101" t="inlineStr"/>
      <c r="G101" t="inlineStr">
        <is>
          <t>Herndon, VA, US</t>
        </is>
      </c>
      <c r="H101" s="2" t="n">
        <v>46051</v>
      </c>
      <c r="I101"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Top Secret or above
**PREFERRED QUALIFICATIONS**
----------------------------
* Experience in a ML or data scientist role with a large technology company
* Experience working on multi\-team, cross\-disciplinary projects
* Master's degree or above in computer science, machine learning, engineering, or related fields
* Knowledge of Linux, PyTorch, and Git workflows for computer vision requirements
* Experience developing visual language models leveraging satellite imagery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02">
      <c r="A102" t="inlineStr">
        <is>
          <t>in-55bb32393f01640e</t>
        </is>
      </c>
      <c r="B102" t="inlineStr">
        <is>
          <t>Data and Machine Learning Engineer - Vision Language Models, Data &amp; Machine Learning (DML)</t>
        </is>
      </c>
      <c r="C102" t="inlineStr">
        <is>
          <t>Amazon Web Services</t>
        </is>
      </c>
      <c r="D102" t="inlineStr">
        <is>
          <t>indeed</t>
        </is>
      </c>
      <c r="E102" t="inlineStr"/>
      <c r="F102" t="inlineStr"/>
      <c r="G102" t="inlineStr">
        <is>
          <t>Arlington, VA, US</t>
        </is>
      </c>
      <c r="H102" s="2" t="n">
        <v>46051</v>
      </c>
      <c r="I102"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Top Secret or above
**PREFERRED QUALIFICATIONS**
----------------------------
* Experience in a ML or data scientist role with a large technology company
* Experience working on multi\-team, cross\-disciplinary projects
* Master's degree or above in computer science, machine learning, engineering, or related fields
* Knowledge of Linux, PyTorch, and Git workflows for computer vision requirements
* Experience developing visual language models leveraging satellite imagery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03">
      <c r="A103" t="inlineStr">
        <is>
          <t>in-cd77261a8a67a617</t>
        </is>
      </c>
      <c r="B103" t="inlineStr">
        <is>
          <t>Machine Learning Engineer, WWPS ProServe Data and Machine Learning</t>
        </is>
      </c>
      <c r="C103" t="inlineStr">
        <is>
          <t>Amazon Web Services</t>
        </is>
      </c>
      <c r="D103" t="inlineStr">
        <is>
          <t>indeed</t>
        </is>
      </c>
      <c r="E103" t="inlineStr"/>
      <c r="F103" t="inlineStr"/>
      <c r="G103" t="inlineStr">
        <is>
          <t>Arlington, VA, US</t>
        </is>
      </c>
      <c r="H103" s="2" t="n">
        <v>46044</v>
      </c>
      <c r="I103"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be a US Citizen and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in professional software engineering \&amp; best practices for the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04">
      <c r="A104" t="inlineStr">
        <is>
          <t>in-22c09a936bad6ed4</t>
        </is>
      </c>
      <c r="B104" t="inlineStr">
        <is>
          <t>Machine Learning Engineer, WWPS ProServe Data and Machine Learning</t>
        </is>
      </c>
      <c r="C104" t="inlineStr">
        <is>
          <t>Amazon Web Services</t>
        </is>
      </c>
      <c r="D104" t="inlineStr">
        <is>
          <t>indeed</t>
        </is>
      </c>
      <c r="E104" t="inlineStr"/>
      <c r="F104" t="inlineStr"/>
      <c r="G104" t="inlineStr">
        <is>
          <t>Herndon, VA, US</t>
        </is>
      </c>
      <c r="H104" s="2" t="n">
        <v>46044</v>
      </c>
      <c r="I104"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be a US Citizen and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in professional software engineering \&amp; best practices for the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05">
      <c r="A105" t="inlineStr">
        <is>
          <t>in-d5e2c349f621ffde</t>
        </is>
      </c>
      <c r="B105" t="inlineStr">
        <is>
          <t>Machine Learning Engineer, WWPS ProServe Data and Machine Learning</t>
        </is>
      </c>
      <c r="C105" t="inlineStr">
        <is>
          <t>Amazon Web Services</t>
        </is>
      </c>
      <c r="D105" t="inlineStr">
        <is>
          <t>indeed</t>
        </is>
      </c>
      <c r="E105" t="inlineStr"/>
      <c r="F105" t="inlineStr"/>
      <c r="G105" t="inlineStr">
        <is>
          <t>Herndon, VA, US</t>
        </is>
      </c>
      <c r="H105" s="2" t="n">
        <v>46043</v>
      </c>
      <c r="I105"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1\+ years of working with or evaluating AI systems experience
* Knowledge of professional software engineering \&amp; best practices for full software development life cycle, including coding standards, software architectures, code reviews, source control management, continuous deployments, testing, and operational excellence
* Experience in professional software engineering \&amp; best practices for the full software development life cycle, including coding standards, software architectures, code reviews, source control management, continuous deployments, testing, and operational excellence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06">
      <c r="A106" t="inlineStr">
        <is>
          <t>in-3d1ba075c7cbc0c6</t>
        </is>
      </c>
      <c r="B106" t="inlineStr">
        <is>
          <t>Machine Learning Engineer, WWPS ProServe Data and Machine Learning</t>
        </is>
      </c>
      <c r="C106" t="inlineStr">
        <is>
          <t>Amazon Web Services</t>
        </is>
      </c>
      <c r="D106" t="inlineStr">
        <is>
          <t>indeed</t>
        </is>
      </c>
      <c r="E106" t="inlineStr"/>
      <c r="F106" t="inlineStr"/>
      <c r="G106" t="inlineStr">
        <is>
          <t>Arlington, VA, US</t>
        </is>
      </c>
      <c r="H106" s="2" t="n">
        <v>46043</v>
      </c>
      <c r="I106"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1\+ years of working with or evaluating AI systems experience
* Knowledge of professional software engineering \&amp; best practices for full software development life cycle, including coding standards, software architectures, code reviews, source control management, continuous deployments, testing, and operational excellence
* Experience in professional software engineering \&amp; best practices for the full software development life cycle, including coding standards, software architectures, code reviews, source control management, continuous deployments, testing, and operational excellence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07">
      <c r="A107" t="inlineStr">
        <is>
          <t>in-54d6aaf8f480fe68</t>
        </is>
      </c>
      <c r="B107" t="inlineStr">
        <is>
          <t>Applied Scientist, Alexa Smart Home</t>
        </is>
      </c>
      <c r="C107" t="inlineStr">
        <is>
          <t>Amazon.com</t>
        </is>
      </c>
      <c r="D107" t="inlineStr">
        <is>
          <t>indeed</t>
        </is>
      </c>
      <c r="E107" t="inlineStr"/>
      <c r="F107" t="inlineStr"/>
      <c r="G107" t="inlineStr">
        <is>
          <t>Seattle, WA, US</t>
        </is>
      </c>
      <c r="H107" s="2" t="n">
        <v>46033</v>
      </c>
      <c r="I107"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08">
      <c r="A108" t="inlineStr">
        <is>
          <t>in-15753cb2222bb5ef</t>
        </is>
      </c>
      <c r="B108" t="inlineStr">
        <is>
          <t>Applied Scientist, Alexa Smart Home</t>
        </is>
      </c>
      <c r="C108" t="inlineStr">
        <is>
          <t>Amazon.com</t>
        </is>
      </c>
      <c r="D108" t="inlineStr">
        <is>
          <t>indeed</t>
        </is>
      </c>
      <c r="E108" t="inlineStr"/>
      <c r="F108" t="inlineStr"/>
      <c r="G108" t="inlineStr">
        <is>
          <t>Sunnyvale, CA, US</t>
        </is>
      </c>
      <c r="H108" s="2" t="n">
        <v>46033</v>
      </c>
      <c r="I108"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09">
      <c r="A109" t="inlineStr">
        <is>
          <t>in-2f3e9569e41bd018</t>
        </is>
      </c>
      <c r="B109" t="inlineStr">
        <is>
          <t>ML Engineer, GO-AI Technology &amp; Development Team</t>
        </is>
      </c>
      <c r="C109" t="inlineStr">
        <is>
          <t>Amazon.com</t>
        </is>
      </c>
      <c r="D109" t="inlineStr">
        <is>
          <t>indeed</t>
        </is>
      </c>
      <c r="E109" t="inlineStr"/>
      <c r="F109" t="inlineStr"/>
      <c r="G109" t="inlineStr">
        <is>
          <t>Seattle, WA, US</t>
        </is>
      </c>
      <c r="H109" s="2" t="n">
        <v>45998</v>
      </c>
      <c r="I109"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10">
      <c r="A110" t="inlineStr">
        <is>
          <t>in-5327683c9e863520</t>
        </is>
      </c>
      <c r="B110" t="inlineStr">
        <is>
          <t>ML Engineer, GO-AI Technology &amp; Development Team</t>
        </is>
      </c>
      <c r="C110" t="inlineStr">
        <is>
          <t>Amazon.com</t>
        </is>
      </c>
      <c r="D110" t="inlineStr">
        <is>
          <t>indeed</t>
        </is>
      </c>
      <c r="E110" t="inlineStr"/>
      <c r="F110" t="inlineStr"/>
      <c r="G110" t="inlineStr">
        <is>
          <t>Westborough, MA, US</t>
        </is>
      </c>
      <c r="H110" s="2" t="n">
        <v>45998</v>
      </c>
      <c r="I110"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11">
      <c r="A111" t="inlineStr">
        <is>
          <t>in-5857aae1fa4d822a</t>
        </is>
      </c>
      <c r="B111" t="inlineStr">
        <is>
          <t>ML Engineer, GO-AI Technology &amp; Development Team</t>
        </is>
      </c>
      <c r="C111" t="inlineStr">
        <is>
          <t>Amazon.com</t>
        </is>
      </c>
      <c r="D111" t="inlineStr">
        <is>
          <t>indeed</t>
        </is>
      </c>
      <c r="E111" t="inlineStr"/>
      <c r="F111" t="inlineStr"/>
      <c r="G111" t="inlineStr">
        <is>
          <t>Reading, MA, US</t>
        </is>
      </c>
      <c r="H111" s="2" t="n">
        <v>45998</v>
      </c>
      <c r="I111"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12">
      <c r="A112" t="inlineStr">
        <is>
          <t>in-1d13e5aff536ded2</t>
        </is>
      </c>
      <c r="B112" t="inlineStr">
        <is>
          <t>ML Engineer, GO-AI Technology &amp; Development Team</t>
        </is>
      </c>
      <c r="C112" t="inlineStr">
        <is>
          <t>Amazon.com</t>
        </is>
      </c>
      <c r="D112" t="inlineStr">
        <is>
          <t>indeed</t>
        </is>
      </c>
      <c r="E112" t="inlineStr"/>
      <c r="F112" t="inlineStr"/>
      <c r="G112" t="inlineStr">
        <is>
          <t>Boston, MA, US</t>
        </is>
      </c>
      <c r="H112" s="2" t="n">
        <v>45998</v>
      </c>
      <c r="I112"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13">
      <c r="A113" t="inlineStr">
        <is>
          <t>in-2803e3185a155060</t>
        </is>
      </c>
      <c r="B113" t="inlineStr">
        <is>
          <t>Sr. Applied Scientist, Amazon Ads</t>
        </is>
      </c>
      <c r="C113" t="inlineStr">
        <is>
          <t>Amazon.com</t>
        </is>
      </c>
      <c r="D113" t="inlineStr">
        <is>
          <t>indeed</t>
        </is>
      </c>
      <c r="E113" t="inlineStr"/>
      <c r="F113" t="inlineStr"/>
      <c r="G113" t="inlineStr">
        <is>
          <t>Palo Alto, CA, US</t>
        </is>
      </c>
      <c r="H113" s="2" t="n">
        <v>45998</v>
      </c>
      <c r="I11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14">
      <c r="A114" t="inlineStr">
        <is>
          <t>in-cbb93fcd2cc6ed93</t>
        </is>
      </c>
      <c r="B114" t="inlineStr">
        <is>
          <t>Sr. Applied Scientist, Amazon Ads</t>
        </is>
      </c>
      <c r="C114" t="inlineStr">
        <is>
          <t>Amazon.com</t>
        </is>
      </c>
      <c r="D114" t="inlineStr">
        <is>
          <t>indeed</t>
        </is>
      </c>
      <c r="E114" t="inlineStr"/>
      <c r="F114" t="inlineStr"/>
      <c r="G114" t="inlineStr">
        <is>
          <t>New York, NY, US</t>
        </is>
      </c>
      <c r="H114" s="2" t="n">
        <v>45998</v>
      </c>
      <c r="I11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15">
      <c r="A115" t="inlineStr">
        <is>
          <t>in-c79b557c19792172</t>
        </is>
      </c>
      <c r="B115" t="inlineStr">
        <is>
          <t>Sr. Applied Scientist, Amazon Ads</t>
        </is>
      </c>
      <c r="C115" t="inlineStr">
        <is>
          <t>Amazon.com</t>
        </is>
      </c>
      <c r="D115" t="inlineStr">
        <is>
          <t>indeed</t>
        </is>
      </c>
      <c r="E115" t="inlineStr"/>
      <c r="F115" t="inlineStr"/>
      <c r="G115" t="inlineStr">
        <is>
          <t>Boulder, CO, US</t>
        </is>
      </c>
      <c r="H115" s="2" t="n">
        <v>45998</v>
      </c>
      <c r="I11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16">
      <c r="A116" t="inlineStr">
        <is>
          <t>in-3f48c6fbd4a7eeba</t>
        </is>
      </c>
      <c r="B116" t="inlineStr">
        <is>
          <t>Sr. Applied Scientist, Amazon Ads</t>
        </is>
      </c>
      <c r="C116" t="inlineStr">
        <is>
          <t>Amazon.com</t>
        </is>
      </c>
      <c r="D116" t="inlineStr">
        <is>
          <t>indeed</t>
        </is>
      </c>
      <c r="E116" t="inlineStr"/>
      <c r="F116" t="inlineStr"/>
      <c r="G116" t="inlineStr">
        <is>
          <t>Sunnyvale, CA, US</t>
        </is>
      </c>
      <c r="H116" s="2" t="n">
        <v>45998</v>
      </c>
      <c r="I11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17">
      <c r="A117" t="inlineStr">
        <is>
          <t>in-4566b19d465fa009</t>
        </is>
      </c>
      <c r="B117" t="inlineStr">
        <is>
          <t>Sr. Applied Scientist, Amazon Ads</t>
        </is>
      </c>
      <c r="C117" t="inlineStr">
        <is>
          <t>Amazon.com</t>
        </is>
      </c>
      <c r="D117" t="inlineStr">
        <is>
          <t>indeed</t>
        </is>
      </c>
      <c r="E117" t="inlineStr"/>
      <c r="F117" t="inlineStr"/>
      <c r="G117" t="inlineStr">
        <is>
          <t>Brooklyn, NY, US</t>
        </is>
      </c>
      <c r="H117" s="2" t="n">
        <v>45998</v>
      </c>
      <c r="I11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18">
      <c r="A118" t="inlineStr">
        <is>
          <t>in-f8e2a2c002bc1bb4</t>
        </is>
      </c>
      <c r="B118" t="inlineStr">
        <is>
          <t>Sr. Applied Scientist, Amazon Ads</t>
        </is>
      </c>
      <c r="C118" t="inlineStr">
        <is>
          <t>Amazon.com</t>
        </is>
      </c>
      <c r="D118" t="inlineStr">
        <is>
          <t>indeed</t>
        </is>
      </c>
      <c r="E118" t="inlineStr"/>
      <c r="F118" t="inlineStr"/>
      <c r="G118" t="inlineStr">
        <is>
          <t>Santa Monica, CA, US</t>
        </is>
      </c>
      <c r="H118" s="2" t="n">
        <v>45998</v>
      </c>
      <c r="I11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19">
      <c r="A119" t="inlineStr">
        <is>
          <t>in-4059af29d4886f09</t>
        </is>
      </c>
      <c r="B119" t="inlineStr">
        <is>
          <t>Sr. Applied Scientist, Amazon Ads</t>
        </is>
      </c>
      <c r="C119" t="inlineStr">
        <is>
          <t>Amazon.com</t>
        </is>
      </c>
      <c r="D119" t="inlineStr">
        <is>
          <t>indeed</t>
        </is>
      </c>
      <c r="E119" t="inlineStr"/>
      <c r="F119" t="inlineStr"/>
      <c r="G119" t="inlineStr">
        <is>
          <t>Boston, MA, US</t>
        </is>
      </c>
      <c r="H119" s="2" t="n">
        <v>45998</v>
      </c>
      <c r="I11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20">
      <c r="A120" t="inlineStr">
        <is>
          <t>in-cb5219193fed20fb</t>
        </is>
      </c>
      <c r="B120" t="inlineStr">
        <is>
          <t>Sr. Applied Scientist, Amazon Ads</t>
        </is>
      </c>
      <c r="C120" t="inlineStr">
        <is>
          <t>Amazon.com</t>
        </is>
      </c>
      <c r="D120" t="inlineStr">
        <is>
          <t>indeed</t>
        </is>
      </c>
      <c r="E120" t="inlineStr"/>
      <c r="F120" t="inlineStr"/>
      <c r="G120" t="inlineStr">
        <is>
          <t>Tukwila, WA, US</t>
        </is>
      </c>
      <c r="H120" s="2" t="n">
        <v>45998</v>
      </c>
      <c r="I12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21">
      <c r="A121" t="inlineStr">
        <is>
          <t>in-890571f54424b726</t>
        </is>
      </c>
      <c r="B121" t="inlineStr">
        <is>
          <t>Sr. Applied Scientist, Amazon Ads</t>
        </is>
      </c>
      <c r="C121" t="inlineStr">
        <is>
          <t>Amazon.com</t>
        </is>
      </c>
      <c r="D121" t="inlineStr">
        <is>
          <t>indeed</t>
        </is>
      </c>
      <c r="E121" t="inlineStr"/>
      <c r="F121" t="inlineStr"/>
      <c r="G121" t="inlineStr">
        <is>
          <t>Corvallis, OR, US</t>
        </is>
      </c>
      <c r="H121" s="2" t="n">
        <v>45998</v>
      </c>
      <c r="I12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22">
      <c r="A122" t="inlineStr">
        <is>
          <t>in-4cc704380005ec96</t>
        </is>
      </c>
      <c r="B122" t="inlineStr">
        <is>
          <t>Sr. Applied Scientist, Amazon Ads</t>
        </is>
      </c>
      <c r="C122" t="inlineStr">
        <is>
          <t>Amazon.com</t>
        </is>
      </c>
      <c r="D122" t="inlineStr">
        <is>
          <t>indeed</t>
        </is>
      </c>
      <c r="E122" t="inlineStr"/>
      <c r="F122" t="inlineStr"/>
      <c r="G122" t="inlineStr">
        <is>
          <t>Seattle, WA, US</t>
        </is>
      </c>
      <c r="H122" s="2" t="n">
        <v>45998</v>
      </c>
      <c r="I12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23">
      <c r="A123" t="inlineStr">
        <is>
          <t>in-27131e10f15c6ba6</t>
        </is>
      </c>
      <c r="B123" t="inlineStr">
        <is>
          <t>Applied Scientist</t>
        </is>
      </c>
      <c r="C123" t="inlineStr">
        <is>
          <t>Amazon.com</t>
        </is>
      </c>
      <c r="D123" t="inlineStr">
        <is>
          <t>indeed</t>
        </is>
      </c>
      <c r="E123" t="inlineStr"/>
      <c r="F123" t="inlineStr"/>
      <c r="G123" t="inlineStr">
        <is>
          <t>Palo Alto, CA, US</t>
        </is>
      </c>
      <c r="H123" s="2" t="n">
        <v>45939</v>
      </c>
      <c r="I123"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in-ae2c2662188e7ce2</t>
        </is>
      </c>
      <c r="B124" t="inlineStr">
        <is>
          <t>Sr. Applied Scientist, SPB Advertiser Guidance</t>
        </is>
      </c>
      <c r="C124" t="inlineStr">
        <is>
          <t>Amazon.com</t>
        </is>
      </c>
      <c r="D124" t="inlineStr">
        <is>
          <t>indeed</t>
        </is>
      </c>
      <c r="E124" t="inlineStr"/>
      <c r="F124" t="inlineStr"/>
      <c r="G124" t="inlineStr">
        <is>
          <t>Seattle, WA, US</t>
        </is>
      </c>
      <c r="H124" s="2" t="n">
        <v>45939</v>
      </c>
      <c r="I12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in-2a58b4faa1450c8d</t>
        </is>
      </c>
      <c r="B125" t="inlineStr">
        <is>
          <t>Sr. Applied Scientist, SPB Advertiser Guidance</t>
        </is>
      </c>
      <c r="C125" t="inlineStr">
        <is>
          <t>Amazon.com</t>
        </is>
      </c>
      <c r="D125" t="inlineStr">
        <is>
          <t>indeed</t>
        </is>
      </c>
      <c r="E125" t="inlineStr"/>
      <c r="F125" t="inlineStr"/>
      <c r="G125" t="inlineStr">
        <is>
          <t>New York, NY, US</t>
        </is>
      </c>
      <c r="H125" s="2" t="n">
        <v>45939</v>
      </c>
      <c r="I12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in-aa4d293d69aeee80</t>
        </is>
      </c>
      <c r="B126" t="inlineStr">
        <is>
          <t>Applied Scientist</t>
        </is>
      </c>
      <c r="C126" t="inlineStr">
        <is>
          <t>Amazon.com</t>
        </is>
      </c>
      <c r="D126" t="inlineStr">
        <is>
          <t>indeed</t>
        </is>
      </c>
      <c r="E126" t="inlineStr"/>
      <c r="F126" t="inlineStr"/>
      <c r="G126" t="inlineStr">
        <is>
          <t>Seattle, WA, US</t>
        </is>
      </c>
      <c r="H126" s="2" t="n">
        <v>45939</v>
      </c>
      <c r="I12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in-ba7ae7f217adbb7b</t>
        </is>
      </c>
      <c r="B127" t="inlineStr">
        <is>
          <t>Sr. Applied Scientist, SPB Advertiser Guidance</t>
        </is>
      </c>
      <c r="C127" t="inlineStr">
        <is>
          <t>Amazon.com</t>
        </is>
      </c>
      <c r="D127" t="inlineStr">
        <is>
          <t>indeed</t>
        </is>
      </c>
      <c r="E127" t="inlineStr"/>
      <c r="F127" t="inlineStr"/>
      <c r="G127" t="inlineStr">
        <is>
          <t>Palo Alto, CA, US</t>
        </is>
      </c>
      <c r="H127" s="2" t="n">
        <v>45939</v>
      </c>
      <c r="I127"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in-eebf06e9287783c4</t>
        </is>
      </c>
      <c r="B128" t="inlineStr">
        <is>
          <t>Applied Scientist</t>
        </is>
      </c>
      <c r="C128" t="inlineStr">
        <is>
          <t>Amazon.com</t>
        </is>
      </c>
      <c r="D128" t="inlineStr">
        <is>
          <t>indeed</t>
        </is>
      </c>
      <c r="E128" t="inlineStr"/>
      <c r="F128" t="inlineStr"/>
      <c r="G128" t="inlineStr">
        <is>
          <t>New York, NY, US</t>
        </is>
      </c>
      <c r="H128" s="2" t="n">
        <v>45939</v>
      </c>
      <c r="I128"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in-32df7b29be47e1b8</t>
        </is>
      </c>
      <c r="B129" t="inlineStr">
        <is>
          <t>Applied Scientist II, Prime Video - Personalization and Discovery Science, Personalization and Discovery Science</t>
        </is>
      </c>
      <c r="C129" t="inlineStr">
        <is>
          <t>Amazon.com</t>
        </is>
      </c>
      <c r="D129" t="inlineStr">
        <is>
          <t>indeed</t>
        </is>
      </c>
      <c r="E129" t="inlineStr"/>
      <c r="F129" t="inlineStr"/>
      <c r="G129" t="inlineStr">
        <is>
          <t>Sunnyvale, CA, US</t>
        </is>
      </c>
      <c r="H129" s="2" t="n">
        <v>45930</v>
      </c>
      <c r="I1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in-457e02c27fdc5a23</t>
        </is>
      </c>
      <c r="B130" t="inlineStr">
        <is>
          <t>Applied Scientist II, Prime Video - Personalization and Discovery Science, Personalization and Discovery Science</t>
        </is>
      </c>
      <c r="C130" t="inlineStr">
        <is>
          <t>Amazon.com</t>
        </is>
      </c>
      <c r="D130" t="inlineStr">
        <is>
          <t>indeed</t>
        </is>
      </c>
      <c r="E130" t="inlineStr"/>
      <c r="F130" t="inlineStr"/>
      <c r="G130" t="inlineStr">
        <is>
          <t>New York, NY, US</t>
        </is>
      </c>
      <c r="H130" s="2" t="n">
        <v>45930</v>
      </c>
      <c r="I1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in-1331a41a83ab7c18</t>
        </is>
      </c>
      <c r="B131" t="inlineStr">
        <is>
          <t>Applied Scientist II, Prime Video - Personalization and Discovery Science, Personalization and Discovery Science</t>
        </is>
      </c>
      <c r="C131" t="inlineStr">
        <is>
          <t>Amazon.com</t>
        </is>
      </c>
      <c r="D131" t="inlineStr">
        <is>
          <t>indeed</t>
        </is>
      </c>
      <c r="E131" t="inlineStr"/>
      <c r="F131" t="inlineStr"/>
      <c r="G131" t="inlineStr">
        <is>
          <t>Seattle, WA, US</t>
        </is>
      </c>
      <c r="H131" s="2" t="n">
        <v>45930</v>
      </c>
      <c r="I1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in-e55f02b9dd044b79</t>
        </is>
      </c>
      <c r="B132" t="inlineStr">
        <is>
          <t>Sr. Applied Scientist, Prime Video - Personalization and Discovery Science</t>
        </is>
      </c>
      <c r="C132" t="inlineStr">
        <is>
          <t>Amazon.com</t>
        </is>
      </c>
      <c r="D132" t="inlineStr">
        <is>
          <t>indeed</t>
        </is>
      </c>
      <c r="E132" t="inlineStr"/>
      <c r="F132" t="inlineStr"/>
      <c r="G132" t="inlineStr">
        <is>
          <t>Seattle, WA, US</t>
        </is>
      </c>
      <c r="H132" s="2" t="n">
        <v>45881</v>
      </c>
      <c r="I1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in-223062ed274c2895</t>
        </is>
      </c>
      <c r="B133" t="inlineStr">
        <is>
          <t>Applied Scientist II, Prime Video - Personalization and Discovery Science</t>
        </is>
      </c>
      <c r="C133" t="inlineStr">
        <is>
          <t>Amazon.com</t>
        </is>
      </c>
      <c r="D133" t="inlineStr">
        <is>
          <t>indeed</t>
        </is>
      </c>
      <c r="E133" t="inlineStr"/>
      <c r="F133" t="inlineStr"/>
      <c r="G133" t="inlineStr">
        <is>
          <t>Seattle, WA, US</t>
        </is>
      </c>
      <c r="H133" s="2" t="n">
        <v>45881</v>
      </c>
      <c r="I1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in-6d4e4f3deb823739</t>
        </is>
      </c>
      <c r="B134" t="inlineStr">
        <is>
          <t>Applied Scientist II, Prime Video - Personalization and Discovery Science</t>
        </is>
      </c>
      <c r="C134" t="inlineStr">
        <is>
          <t>Amazon.com</t>
        </is>
      </c>
      <c r="D134" t="inlineStr">
        <is>
          <t>indeed</t>
        </is>
      </c>
      <c r="E134" t="inlineStr"/>
      <c r="F134" t="inlineStr"/>
      <c r="G134" t="inlineStr">
        <is>
          <t>New York, NY, US</t>
        </is>
      </c>
      <c r="H134" s="2" t="n">
        <v>45881</v>
      </c>
      <c r="I1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in-91ec594bf7ff4e3e</t>
        </is>
      </c>
      <c r="B135" t="inlineStr">
        <is>
          <t>Applied Scientist II, Prime Video - Personalization and Discovery Science</t>
        </is>
      </c>
      <c r="C135" t="inlineStr">
        <is>
          <t>Amazon.com</t>
        </is>
      </c>
      <c r="D135" t="inlineStr">
        <is>
          <t>indeed</t>
        </is>
      </c>
      <c r="E135" t="inlineStr"/>
      <c r="F135" t="inlineStr"/>
      <c r="G135" t="inlineStr">
        <is>
          <t>Sunnyvale, CA, US</t>
        </is>
      </c>
      <c r="H135" s="2" t="n">
        <v>45881</v>
      </c>
      <c r="I1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in-648196c048565e55</t>
        </is>
      </c>
      <c r="B136" t="inlineStr">
        <is>
          <t>Sr. Applied Scientist, Prime Video - Personalization and Discovery Science</t>
        </is>
      </c>
      <c r="C136" t="inlineStr">
        <is>
          <t>Amazon.com</t>
        </is>
      </c>
      <c r="D136" t="inlineStr">
        <is>
          <t>indeed</t>
        </is>
      </c>
      <c r="E136" t="inlineStr"/>
      <c r="F136" t="inlineStr"/>
      <c r="G136" t="inlineStr">
        <is>
          <t>New York, NY, US</t>
        </is>
      </c>
      <c r="H136" s="2" t="n">
        <v>45881</v>
      </c>
      <c r="I13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in-50a736e985c7705a</t>
        </is>
      </c>
      <c r="B137" t="inlineStr">
        <is>
          <t>Sr. Applied Scientist, Prime Video - Personalization and Discovery Science</t>
        </is>
      </c>
      <c r="C137" t="inlineStr">
        <is>
          <t>Amazon.com</t>
        </is>
      </c>
      <c r="D137" t="inlineStr">
        <is>
          <t>indeed</t>
        </is>
      </c>
      <c r="E137" t="inlineStr"/>
      <c r="F137" t="inlineStr"/>
      <c r="G137" t="inlineStr">
        <is>
          <t>Sunnyvale, CA, US</t>
        </is>
      </c>
      <c r="H137" s="2" t="n">
        <v>45881</v>
      </c>
      <c r="I13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in-8d7918f3594396e1</t>
        </is>
      </c>
      <c r="B138" t="inlineStr">
        <is>
          <t>Applied Scientist, Prime Video - Personalization and Discovery Science</t>
        </is>
      </c>
      <c r="C138" t="inlineStr">
        <is>
          <t>Amazon.com</t>
        </is>
      </c>
      <c r="D138" t="inlineStr">
        <is>
          <t>indeed</t>
        </is>
      </c>
      <c r="E138" t="inlineStr"/>
      <c r="F138" t="inlineStr"/>
      <c r="G138" t="inlineStr">
        <is>
          <t>Seattle, WA, US</t>
        </is>
      </c>
      <c r="H138" s="2" t="n">
        <v>45845</v>
      </c>
      <c r="I13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in-128d854b03499ef3</t>
        </is>
      </c>
      <c r="B139" t="inlineStr">
        <is>
          <t>Applied Scientist, Prime Video - Personalization and Discovery Science</t>
        </is>
      </c>
      <c r="C139" t="inlineStr">
        <is>
          <t>Amazon.com</t>
        </is>
      </c>
      <c r="D139" t="inlineStr">
        <is>
          <t>indeed</t>
        </is>
      </c>
      <c r="E139" t="inlineStr"/>
      <c r="F139" t="inlineStr"/>
      <c r="G139" t="inlineStr">
        <is>
          <t>New York, NY, US</t>
        </is>
      </c>
      <c r="H139" s="2" t="n">
        <v>45845</v>
      </c>
      <c r="I13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in-cf3eb383a38a1779</t>
        </is>
      </c>
      <c r="B140" t="inlineStr">
        <is>
          <t>Applied Scientist, Prime Video - Personalization and Discovery Science</t>
        </is>
      </c>
      <c r="C140" t="inlineStr">
        <is>
          <t>Amazon.com</t>
        </is>
      </c>
      <c r="D140" t="inlineStr">
        <is>
          <t>indeed</t>
        </is>
      </c>
      <c r="E140" t="inlineStr"/>
      <c r="F140" t="inlineStr"/>
      <c r="G140" t="inlineStr">
        <is>
          <t>Sunnyvale, CA, US</t>
        </is>
      </c>
      <c r="H140" s="2" t="n">
        <v>45845</v>
      </c>
      <c r="I1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in-9cf3391d1c7bdf50</t>
        </is>
      </c>
      <c r="B141" t="inlineStr">
        <is>
          <t>Applied Scientist II, Prime Video Personalization and Discovery Science</t>
        </is>
      </c>
      <c r="C141" t="inlineStr">
        <is>
          <t>Amazon.com</t>
        </is>
      </c>
      <c r="D141" t="inlineStr">
        <is>
          <t>indeed</t>
        </is>
      </c>
      <c r="E141" t="inlineStr"/>
      <c r="F141" t="inlineStr"/>
      <c r="G141" t="inlineStr">
        <is>
          <t>Seattle, WA, US</t>
        </is>
      </c>
      <c r="H141" s="2" t="n">
        <v>46038</v>
      </c>
      <c r="I1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42">
      <c r="A142" t="inlineStr">
        <is>
          <t>in-4809e5bb3cdef0be</t>
        </is>
      </c>
      <c r="B142" t="inlineStr">
        <is>
          <t>Applied Scientist II, Prime Video Personalization and Discovery Science</t>
        </is>
      </c>
      <c r="C142" t="inlineStr">
        <is>
          <t>Amazon.com</t>
        </is>
      </c>
      <c r="D142" t="inlineStr">
        <is>
          <t>indeed</t>
        </is>
      </c>
      <c r="E142" t="inlineStr"/>
      <c r="F142" t="inlineStr"/>
      <c r="G142" t="inlineStr">
        <is>
          <t>Sunnyvale, CA, US</t>
        </is>
      </c>
      <c r="H142" s="2" t="n">
        <v>46038</v>
      </c>
      <c r="I1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43">
      <c r="A143" t="inlineStr">
        <is>
          <t>in-d3b35237aea58f25</t>
        </is>
      </c>
      <c r="B143" t="inlineStr">
        <is>
          <t>Applied Scientist, Safety ML</t>
        </is>
      </c>
      <c r="C143" t="inlineStr">
        <is>
          <t>Amazon.com</t>
        </is>
      </c>
      <c r="D143" t="inlineStr">
        <is>
          <t>indeed</t>
        </is>
      </c>
      <c r="E143" t="inlineStr"/>
      <c r="F143" t="inlineStr"/>
      <c r="G143" t="inlineStr">
        <is>
          <t>San Francisco, CA, US</t>
        </is>
      </c>
      <c r="H143" s="2" t="n">
        <v>46037</v>
      </c>
      <c r="I14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144">
      <c r="A144" t="inlineStr">
        <is>
          <t>in-8cfe096b8ac0fbb9</t>
        </is>
      </c>
      <c r="B144" t="inlineStr">
        <is>
          <t>Applied Scientist, Safety ML</t>
        </is>
      </c>
      <c r="C144" t="inlineStr">
        <is>
          <t>Amazon.com</t>
        </is>
      </c>
      <c r="D144" t="inlineStr">
        <is>
          <t>indeed</t>
        </is>
      </c>
      <c r="E144" t="inlineStr"/>
      <c r="F144" t="inlineStr"/>
      <c r="G144" t="inlineStr">
        <is>
          <t>Seattle, WA, US</t>
        </is>
      </c>
      <c r="H144" s="2" t="n">
        <v>46037</v>
      </c>
      <c r="I14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145">
      <c r="A145" t="inlineStr">
        <is>
          <t>in-6b117500cf397088</t>
        </is>
      </c>
      <c r="B145" t="inlineStr">
        <is>
          <t>Applied Scientist, LLM Code Agents, Kiro Science</t>
        </is>
      </c>
      <c r="C145" t="inlineStr">
        <is>
          <t>Amazon.com</t>
        </is>
      </c>
      <c r="D145" t="inlineStr">
        <is>
          <t>indeed</t>
        </is>
      </c>
      <c r="E145" t="inlineStr"/>
      <c r="F145" t="inlineStr"/>
      <c r="G145" t="inlineStr">
        <is>
          <t>Seattle, WA, US</t>
        </is>
      </c>
      <c r="H145" s="2" t="n">
        <v>46035</v>
      </c>
      <c r="I145"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146">
      <c r="A146" t="inlineStr">
        <is>
          <t>in-016a25e8af0db865</t>
        </is>
      </c>
      <c r="B146" t="inlineStr">
        <is>
          <t>Applied Scientist, LLM Code Agents, Kiro Science</t>
        </is>
      </c>
      <c r="C146" t="inlineStr">
        <is>
          <t>Amazon.com</t>
        </is>
      </c>
      <c r="D146" t="inlineStr">
        <is>
          <t>indeed</t>
        </is>
      </c>
      <c r="E146" t="inlineStr"/>
      <c r="F146" t="inlineStr"/>
      <c r="G146" t="inlineStr">
        <is>
          <t>Santa Clara, CA, US</t>
        </is>
      </c>
      <c r="H146" s="2" t="n">
        <v>46035</v>
      </c>
      <c r="I146"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147">
      <c r="A147" t="inlineStr">
        <is>
          <t>in-9814fb408282980f</t>
        </is>
      </c>
      <c r="B147" t="inlineStr">
        <is>
          <t>Sr Applied Scientist, AWS Proactive Security</t>
        </is>
      </c>
      <c r="C147" t="inlineStr">
        <is>
          <t>Amazon.com</t>
        </is>
      </c>
      <c r="D147" t="inlineStr">
        <is>
          <t>indeed</t>
        </is>
      </c>
      <c r="E147" t="inlineStr"/>
      <c r="F147" t="inlineStr"/>
      <c r="G147" t="inlineStr">
        <is>
          <t>Arlington, VA, US</t>
        </is>
      </c>
      <c r="H147" s="2" t="n">
        <v>46030</v>
      </c>
      <c r="I147"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148">
      <c r="A148" t="inlineStr">
        <is>
          <t>in-969c1209b9ebcb44</t>
        </is>
      </c>
      <c r="B148" t="inlineStr">
        <is>
          <t>Sr Applied Scientist, AWS Proactive Security</t>
        </is>
      </c>
      <c r="C148" t="inlineStr">
        <is>
          <t>Amazon.com</t>
        </is>
      </c>
      <c r="D148" t="inlineStr">
        <is>
          <t>indeed</t>
        </is>
      </c>
      <c r="E148" t="inlineStr"/>
      <c r="F148" t="inlineStr"/>
      <c r="G148" t="inlineStr">
        <is>
          <t>Herndon, VA, US</t>
        </is>
      </c>
      <c r="H148" s="2" t="n">
        <v>46030</v>
      </c>
      <c r="I148"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149">
      <c r="A149" t="inlineStr">
        <is>
          <t>in-38462bfeedb9d9ef</t>
        </is>
      </c>
      <c r="B149" t="inlineStr">
        <is>
          <t>Sr Applied Scientist, AWS Proactive Security</t>
        </is>
      </c>
      <c r="C149" t="inlineStr">
        <is>
          <t>Amazon.com</t>
        </is>
      </c>
      <c r="D149" t="inlineStr">
        <is>
          <t>indeed</t>
        </is>
      </c>
      <c r="E149" t="inlineStr"/>
      <c r="F149" t="inlineStr"/>
      <c r="G149" t="inlineStr">
        <is>
          <t>Sunnyvale, CA, US</t>
        </is>
      </c>
      <c r="H149" s="2" t="n">
        <v>46030</v>
      </c>
      <c r="I149"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150">
      <c r="A150" t="inlineStr">
        <is>
          <t>in-89c0f13032ae5730</t>
        </is>
      </c>
      <c r="B150" t="inlineStr">
        <is>
          <t>Applied Scientist, Last Mile Delivery Automation</t>
        </is>
      </c>
      <c r="C150" t="inlineStr">
        <is>
          <t>Amazon.com</t>
        </is>
      </c>
      <c r="D150" t="inlineStr">
        <is>
          <t>indeed</t>
        </is>
      </c>
      <c r="E150" t="inlineStr"/>
      <c r="F150" t="inlineStr"/>
      <c r="G150" t="inlineStr">
        <is>
          <t>Santa Clara, CA, US</t>
        </is>
      </c>
      <c r="H150" s="2" t="n">
        <v>46026</v>
      </c>
      <c r="I150"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in-e251ded802cb518d</t>
        </is>
      </c>
      <c r="B151" t="inlineStr">
        <is>
          <t>Applied Scientist, Last Mile Delivery Automation</t>
        </is>
      </c>
      <c r="C151" t="inlineStr">
        <is>
          <t>Amazon.com</t>
        </is>
      </c>
      <c r="D151" t="inlineStr">
        <is>
          <t>indeed</t>
        </is>
      </c>
      <c r="E151" t="inlineStr"/>
      <c r="F151" t="inlineStr"/>
      <c r="G151" t="inlineStr">
        <is>
          <t>Bellevue, WA, US</t>
        </is>
      </c>
      <c r="H151" s="2" t="n">
        <v>46026</v>
      </c>
      <c r="I151"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in-79f45c9ff9631014</t>
        </is>
      </c>
      <c r="B152" t="inlineStr">
        <is>
          <t>Senior Applied Scientist, Distributed SQL</t>
        </is>
      </c>
      <c r="C152" t="inlineStr">
        <is>
          <t>Amazon Web Services</t>
        </is>
      </c>
      <c r="D152" t="inlineStr">
        <is>
          <t>indeed</t>
        </is>
      </c>
      <c r="E152" t="inlineStr"/>
      <c r="F152" t="inlineStr"/>
      <c r="G152" t="inlineStr">
        <is>
          <t>East Palo Alto, CA, US</t>
        </is>
      </c>
      <c r="H152" s="2" t="n">
        <v>46012</v>
      </c>
      <c r="I152"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153">
      <c r="A153" t="inlineStr">
        <is>
          <t>in-97c10a300f5eea6a</t>
        </is>
      </c>
      <c r="B153" t="inlineStr">
        <is>
          <t>Senior Applied Scientist, Distributed SQL</t>
        </is>
      </c>
      <c r="C153" t="inlineStr">
        <is>
          <t>Amazon Web Services</t>
        </is>
      </c>
      <c r="D153" t="inlineStr">
        <is>
          <t>indeed</t>
        </is>
      </c>
      <c r="E153" t="inlineStr"/>
      <c r="F153" t="inlineStr"/>
      <c r="G153" t="inlineStr">
        <is>
          <t>Seattle, WA, US</t>
        </is>
      </c>
      <c r="H153" s="2" t="n">
        <v>46012</v>
      </c>
      <c r="I153"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154">
      <c r="A154" t="inlineStr">
        <is>
          <t>in-170fc6780876383d</t>
        </is>
      </c>
      <c r="B154" t="inlineStr">
        <is>
          <t>Applied Scientist, GenAI Evaluation Media</t>
        </is>
      </c>
      <c r="C154" t="inlineStr">
        <is>
          <t>Amazon.com</t>
        </is>
      </c>
      <c r="D154" t="inlineStr">
        <is>
          <t>indeed</t>
        </is>
      </c>
      <c r="E154" t="inlineStr"/>
      <c r="F154" t="inlineStr"/>
      <c r="G154" t="inlineStr">
        <is>
          <t>Seattle, WA, US</t>
        </is>
      </c>
      <c r="H154" s="2" t="n">
        <v>46006</v>
      </c>
      <c r="I154" t="inlineStr">
        <is>
          <t>**DESCRIPTION**
---------------
We are seeking an Applied Scientist to join our Generate AI Visual Media \- Core Experiences Science team. This organization drives significant business value by revolutionizing how customers interact with product imagery and videos across Amazon. Working at the intersection of Computer Vision and Generative AI, you will help customers make confident purchase decisions through optimized visual content. Our goal is to transform shopping into a personalized journey of inspiration, discovery, and evaluation by helping customers evaluate how products will fit and flatter their unique self before they ship. In this role, you will be responsible for building scalable computer vision and machine learning (CVML) models, and automating their application and expansion to power customer\-facing features.  
We are seeking domain expertise specifically in 3D Generative AI and Inverse Rendering. Relevant topics include Neural Fields, Implicit 3D Representations, NeRFs, Differentiable Rendering/Simulation, and Physically Based Rendering (PBR) Materials. We expect strong expertise at the intersection of Computer Graphics, Computer Vision, and Deep Learning. An inclination towards Generative AI, such as GANs, VQ\-VAE/GAN, and Diffusion Models, is essential. Additionally, experience in application\-specific domains such as Neural Avatars, Parametric Body Models, and Differentiable Rendering/Simulation will be highly advantageous.  
Key job responsibilities  
* Explore, collect, and process data
* Frame and transform ambiguous business challenges into science hypotheses. Design and implement offline and online experiments to evaluate them
* Develop prototypes to test new concepts/proposals for models and algorithms
* Design and build automated, scalable pipelines to train and deploy ML models
**BASIC QUALIFICATIONS**
------------------------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developing and implementing deep learning algorithms, particularly with respect to computer vision algorithms
* Experience in patents or publications at top\-tier peer\-reviewed conferences or journals
* Experience with popular deep learning frameworks such as Tensor Flow and PyTorch.
* Usage of generative AI tools to enhance workflow efficiency, with a willingness to learn effective prompting and evaluation practices.
* Ability to recognize opportunities where generative AI could enhance products, workflows, or customer experiences.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55">
      <c r="A155" t="inlineStr">
        <is>
          <t>in-d6df0a458c064be2</t>
        </is>
      </c>
      <c r="B155" t="inlineStr">
        <is>
          <t>Applied Scientist, GenAI Evaluation Media</t>
        </is>
      </c>
      <c r="C155" t="inlineStr">
        <is>
          <t>Amazon.com</t>
        </is>
      </c>
      <c r="D155" t="inlineStr">
        <is>
          <t>indeed</t>
        </is>
      </c>
      <c r="E155" t="inlineStr"/>
      <c r="F155" t="inlineStr"/>
      <c r="G155" t="inlineStr">
        <is>
          <t>Sunnyvale, CA, US</t>
        </is>
      </c>
      <c r="H155" s="2" t="n">
        <v>46006</v>
      </c>
      <c r="I155" t="inlineStr">
        <is>
          <t>**DESCRIPTION**
---------------
We are seeking an Applied Scientist to join our Generate AI Visual Media \- Core Experiences Science team. This organization drives significant business value by revolutionizing how customers interact with product imagery and videos across Amazon. Working at the intersection of Computer Vision and Generative AI, you will help customers make confident purchase decisions through optimized visual content. Our goal is to transform shopping into a personalized journey of inspiration, discovery, and evaluation by helping customers evaluate how products will fit and flatter their unique self before they ship. In this role, you will be responsible for building scalable computer vision and machine learning (CVML) models, and automating their application and expansion to power customer\-facing features.  
We are seeking domain expertise specifically in 3D Generative AI and Inverse Rendering. Relevant topics include Neural Fields, Implicit 3D Representations, NeRFs, Differentiable Rendering/Simulation, and Physically Based Rendering (PBR) Materials. We expect strong expertise at the intersection of Computer Graphics, Computer Vision, and Deep Learning. An inclination towards Generative AI, such as GANs, VQ\-VAE/GAN, and Diffusion Models, is essential. Additionally, experience in application\-specific domains such as Neural Avatars, Parametric Body Models, and Differentiable Rendering/Simulation will be highly advantageous.  
Key job responsibilities  
* Explore, collect, and process data
* Frame and transform ambiguous business challenges into science hypotheses. Design and implement offline and online experiments to evaluate them
* Develop prototypes to test new concepts/proposals for models and algorithms
* Design and build automated, scalable pipelines to train and deploy ML models
**BASIC QUALIFICATIONS**
------------------------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developing and implementing deep learning algorithms, particularly with respect to computer vision algorithms
* Experience in patents or publications at top\-tier peer\-reviewed conferences or journals
* Experience with popular deep learning frameworks such as Tensor Flow and PyTorch.
* Usage of generative AI tools to enhance workflow efficiency, with a willingness to learn effective prompting and evaluation practices.
* Ability to recognize opportunities where generative AI could enhance products, workflows, or customer experiences.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56">
      <c r="A156" t="inlineStr">
        <is>
          <t>in-b1cf94f99f18ab60</t>
        </is>
      </c>
      <c r="B156" t="inlineStr">
        <is>
          <t>Applied Scientist, GenAI Evaluation Media</t>
        </is>
      </c>
      <c r="C156" t="inlineStr">
        <is>
          <t>Amazon.com</t>
        </is>
      </c>
      <c r="D156" t="inlineStr">
        <is>
          <t>indeed</t>
        </is>
      </c>
      <c r="E156" t="inlineStr"/>
      <c r="F156" t="inlineStr"/>
      <c r="G156" t="inlineStr">
        <is>
          <t>New York, NY, US</t>
        </is>
      </c>
      <c r="H156" s="2" t="n">
        <v>46006</v>
      </c>
      <c r="I156" t="inlineStr">
        <is>
          <t>**DESCRIPTION**
---------------
We are seeking an Applied Scientist to join our Generate AI Visual Media \- Core Experiences Science team. This organization drives significant business value by revolutionizing how customers interact with product imagery and videos across Amazon. Working at the intersection of Computer Vision and Generative AI, you will help customers make confident purchase decisions through optimized visual content. Our goal is to transform shopping into a personalized journey of inspiration, discovery, and evaluation by helping customers evaluate how products will fit and flatter their unique self before they ship. In this role, you will be responsible for building scalable computer vision and machine learning (CVML) models, and automating their application and expansion to power customer\-facing features.  
We are seeking domain expertise specifically in 3D Generative AI and Inverse Rendering. Relevant topics include Neural Fields, Implicit 3D Representations, NeRFs, Differentiable Rendering/Simulation, and Physically Based Rendering (PBR) Materials. We expect strong expertise at the intersection of Computer Graphics, Computer Vision, and Deep Learning. An inclination towards Generative AI, such as GANs, VQ\-VAE/GAN, and Diffusion Models, is essential. Additionally, experience in application\-specific domains such as Neural Avatars, Parametric Body Models, and Differentiable Rendering/Simulation will be highly advantageous.  
Key job responsibilities  
* Explore, collect, and process data
* Frame and transform ambiguous business challenges into science hypotheses. Design and implement offline and online experiments to evaluate them
* Develop prototypes to test new concepts/proposals for models and algorithms
* Design and build automated, scalable pipelines to train and deploy ML models
**BASIC QUALIFICATIONS**
------------------------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developing and implementing deep learning algorithms, particularly with respect to computer vision algorithms
* Experience in patents or publications at top\-tier peer\-reviewed conferences or journals
* Experience with popular deep learning frameworks such as Tensor Flow and PyTorch.
* Usage of generative AI tools to enhance workflow efficiency, with a willingness to learn effective prompting and evaluation practices.
* Ability to recognize opportunities where generative AI could enhance products, workflows, or customer experiences.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57">
      <c r="A157" t="inlineStr">
        <is>
          <t>in-3c40b29c48a733db</t>
        </is>
      </c>
      <c r="B157" t="inlineStr">
        <is>
          <t>Principal Applied Scientist, Kiro Science</t>
        </is>
      </c>
      <c r="C157" t="inlineStr">
        <is>
          <t>Amazon Web Services</t>
        </is>
      </c>
      <c r="D157" t="inlineStr">
        <is>
          <t>indeed</t>
        </is>
      </c>
      <c r="E157" t="inlineStr"/>
      <c r="F157" t="inlineStr"/>
      <c r="G157" t="inlineStr">
        <is>
          <t>Santa Clara, CA, US</t>
        </is>
      </c>
      <c r="H157" s="2" t="n">
        <v>45999</v>
      </c>
      <c r="I157"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158">
      <c r="A158" t="inlineStr">
        <is>
          <t>in-7dc96c2bab23f3ef</t>
        </is>
      </c>
      <c r="B158" t="inlineStr">
        <is>
          <t>Principal Applied Scientist, Kiro Science</t>
        </is>
      </c>
      <c r="C158" t="inlineStr">
        <is>
          <t>Amazon Web Services</t>
        </is>
      </c>
      <c r="D158" t="inlineStr">
        <is>
          <t>indeed</t>
        </is>
      </c>
      <c r="E158" t="inlineStr"/>
      <c r="F158" t="inlineStr"/>
      <c r="G158" t="inlineStr">
        <is>
          <t>New York, NY, US</t>
        </is>
      </c>
      <c r="H158" s="2" t="n">
        <v>45999</v>
      </c>
      <c r="I158"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159">
      <c r="A159" t="inlineStr">
        <is>
          <t>in-81d255ee3f3f311d</t>
        </is>
      </c>
      <c r="B159" t="inlineStr">
        <is>
          <t>Sr. Machine Learning Engineer, AGIF | Finetuning</t>
        </is>
      </c>
      <c r="C159" t="inlineStr">
        <is>
          <t>Amazon.com</t>
        </is>
      </c>
      <c r="D159" t="inlineStr">
        <is>
          <t>indeed</t>
        </is>
      </c>
      <c r="E159" t="inlineStr"/>
      <c r="F159" t="inlineStr"/>
      <c r="G159" t="inlineStr">
        <is>
          <t>Bellevue, WA, US</t>
        </is>
      </c>
      <c r="H159" s="2" t="n">
        <v>45984</v>
      </c>
      <c r="I159"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0">
      <c r="A160" t="inlineStr">
        <is>
          <t>in-d1ed0d67e7414d3f</t>
        </is>
      </c>
      <c r="B160" t="inlineStr">
        <is>
          <t>Sr. Machine Learning Engineer, AGIF | Finetuning</t>
        </is>
      </c>
      <c r="C160" t="inlineStr">
        <is>
          <t>Amazon.com</t>
        </is>
      </c>
      <c r="D160" t="inlineStr">
        <is>
          <t>indeed</t>
        </is>
      </c>
      <c r="E160" t="inlineStr"/>
      <c r="F160" t="inlineStr"/>
      <c r="G160" t="inlineStr">
        <is>
          <t>Sunnyvale, CA, US</t>
        </is>
      </c>
      <c r="H160" s="2" t="n">
        <v>45984</v>
      </c>
      <c r="I160"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1">
      <c r="A161" t="inlineStr">
        <is>
          <t>in-572287b9da696478</t>
        </is>
      </c>
      <c r="B161" t="inlineStr">
        <is>
          <t>Sr. Machine Learning Engineer, AGIF | Finetuning</t>
        </is>
      </c>
      <c r="C161" t="inlineStr">
        <is>
          <t>Amazon.com</t>
        </is>
      </c>
      <c r="D161" t="inlineStr">
        <is>
          <t>indeed</t>
        </is>
      </c>
      <c r="E161" t="inlineStr"/>
      <c r="F161" t="inlineStr"/>
      <c r="G161" t="inlineStr">
        <is>
          <t>New York, NY, US</t>
        </is>
      </c>
      <c r="H161" s="2" t="n">
        <v>45984</v>
      </c>
      <c r="I161"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2">
      <c r="A162" t="inlineStr">
        <is>
          <t>in-84889ae3903c3ecf</t>
        </is>
      </c>
      <c r="B162" t="inlineStr">
        <is>
          <t>Principal Applied Scientist, Sponsored Products and Brands</t>
        </is>
      </c>
      <c r="C162" t="inlineStr">
        <is>
          <t>Amazon.com</t>
        </is>
      </c>
      <c r="D162" t="inlineStr">
        <is>
          <t>indeed</t>
        </is>
      </c>
      <c r="E162" t="inlineStr"/>
      <c r="F162" t="inlineStr"/>
      <c r="G162" t="inlineStr">
        <is>
          <t>New York, NY, US</t>
        </is>
      </c>
      <c r="H162" s="2" t="n">
        <v>45979</v>
      </c>
      <c r="I162"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3">
      <c r="A163" t="inlineStr">
        <is>
          <t>in-5ab6f9795d805f1c</t>
        </is>
      </c>
      <c r="B163" t="inlineStr">
        <is>
          <t>Principal Applied Scientist, Sponsored Products and Brands</t>
        </is>
      </c>
      <c r="C163" t="inlineStr">
        <is>
          <t>Amazon.com</t>
        </is>
      </c>
      <c r="D163" t="inlineStr">
        <is>
          <t>indeed</t>
        </is>
      </c>
      <c r="E163" t="inlineStr"/>
      <c r="F163" t="inlineStr"/>
      <c r="G163" t="inlineStr">
        <is>
          <t>Seattle, WA, US</t>
        </is>
      </c>
      <c r="H163" s="2" t="n">
        <v>45979</v>
      </c>
      <c r="I163"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4">
      <c r="A164" t="inlineStr">
        <is>
          <t>in-1c909fae4b6788af</t>
        </is>
      </c>
      <c r="B164" t="inlineStr">
        <is>
          <t>Applied Scientist, Personalization, DTx Science</t>
        </is>
      </c>
      <c r="C164" t="inlineStr">
        <is>
          <t>Amazon.com</t>
        </is>
      </c>
      <c r="D164" t="inlineStr">
        <is>
          <t>indeed</t>
        </is>
      </c>
      <c r="E164" t="inlineStr"/>
      <c r="F164" t="inlineStr"/>
      <c r="G164" t="inlineStr">
        <is>
          <t>New York, NY, US</t>
        </is>
      </c>
      <c r="H164" s="2" t="n">
        <v>45979</v>
      </c>
      <c r="I164"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65">
      <c r="A165" t="inlineStr">
        <is>
          <t>in-9266f0187eaa8f8a</t>
        </is>
      </c>
      <c r="B165" t="inlineStr">
        <is>
          <t>Applied Scientist, Personalization, DTx Science</t>
        </is>
      </c>
      <c r="C165" t="inlineStr">
        <is>
          <t>Amazon.com</t>
        </is>
      </c>
      <c r="D165" t="inlineStr">
        <is>
          <t>indeed</t>
        </is>
      </c>
      <c r="E165" t="inlineStr"/>
      <c r="F165" t="inlineStr"/>
      <c r="G165" t="inlineStr">
        <is>
          <t>Seattle, WA, US</t>
        </is>
      </c>
      <c r="H165" s="2" t="n">
        <v>45979</v>
      </c>
      <c r="I165"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66">
      <c r="A166" t="inlineStr">
        <is>
          <t>in-ec7fac6e966d4b04</t>
        </is>
      </c>
      <c r="B166" t="inlineStr">
        <is>
          <t>Senior Applied Scientist, Sponsored Products and Brands</t>
        </is>
      </c>
      <c r="C166" t="inlineStr">
        <is>
          <t>Amazon.com</t>
        </is>
      </c>
      <c r="D166" t="inlineStr">
        <is>
          <t>indeed</t>
        </is>
      </c>
      <c r="E166" t="inlineStr"/>
      <c r="F166" t="inlineStr"/>
      <c r="G166" t="inlineStr">
        <is>
          <t>New York, NY, US</t>
        </is>
      </c>
      <c r="H166" s="2" t="n">
        <v>45979</v>
      </c>
      <c r="I166"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167">
      <c r="A167" t="inlineStr">
        <is>
          <t>in-5efcd95d119542b4</t>
        </is>
      </c>
      <c r="B167" t="inlineStr">
        <is>
          <t>Senior Applied Scientist, Sponsored Products and Brands</t>
        </is>
      </c>
      <c r="C167" t="inlineStr">
        <is>
          <t>Amazon.com</t>
        </is>
      </c>
      <c r="D167" t="inlineStr">
        <is>
          <t>indeed</t>
        </is>
      </c>
      <c r="E167" t="inlineStr"/>
      <c r="F167" t="inlineStr"/>
      <c r="G167" t="inlineStr">
        <is>
          <t>Seattle, WA, US</t>
        </is>
      </c>
      <c r="H167" s="2" t="n">
        <v>45979</v>
      </c>
      <c r="I167"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168">
      <c r="A168" t="inlineStr">
        <is>
          <t>in-64e0ebab2208d581</t>
        </is>
      </c>
      <c r="B168" t="inlineStr">
        <is>
          <t>Applied Scientist II, Prime Video Personalization and Discovery Science</t>
        </is>
      </c>
      <c r="C168" t="inlineStr">
        <is>
          <t>Amazon.com</t>
        </is>
      </c>
      <c r="D168" t="inlineStr">
        <is>
          <t>indeed</t>
        </is>
      </c>
      <c r="E168" t="inlineStr"/>
      <c r="F168" t="inlineStr"/>
      <c r="G168" t="inlineStr">
        <is>
          <t>Seattle, WA, US</t>
        </is>
      </c>
      <c r="H168" s="2" t="n">
        <v>45978</v>
      </c>
      <c r="I16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69">
      <c r="A169" t="inlineStr">
        <is>
          <t>in-2ae495a0e96c1d10</t>
        </is>
      </c>
      <c r="B169" t="inlineStr">
        <is>
          <t>Principal Applied Scientist, Amazon AGI</t>
        </is>
      </c>
      <c r="C169" t="inlineStr">
        <is>
          <t>Amazon.com</t>
        </is>
      </c>
      <c r="D169" t="inlineStr">
        <is>
          <t>indeed</t>
        </is>
      </c>
      <c r="E169" t="inlineStr"/>
      <c r="F169" t="inlineStr"/>
      <c r="G169" t="inlineStr">
        <is>
          <t>San Francisco, CA, US</t>
        </is>
      </c>
      <c r="H169" s="2" t="n">
        <v>45964</v>
      </c>
      <c r="I169"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0">
      <c r="A170" t="inlineStr">
        <is>
          <t>in-d02f1e94a6203263</t>
        </is>
      </c>
      <c r="B170" t="inlineStr">
        <is>
          <t>Principal Applied Scientist, Amazon AGI</t>
        </is>
      </c>
      <c r="C170" t="inlineStr">
        <is>
          <t>Amazon.com</t>
        </is>
      </c>
      <c r="D170" t="inlineStr">
        <is>
          <t>indeed</t>
        </is>
      </c>
      <c r="E170" t="inlineStr"/>
      <c r="F170" t="inlineStr"/>
      <c r="G170" t="inlineStr">
        <is>
          <t>Boston, MA, US</t>
        </is>
      </c>
      <c r="H170" s="2" t="n">
        <v>45964</v>
      </c>
      <c r="I170"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1">
      <c r="A171" t="inlineStr">
        <is>
          <t>in-c3dfa2056225bb5e</t>
        </is>
      </c>
      <c r="B171" t="inlineStr">
        <is>
          <t>Applied Scientist, AWS Agentic AI</t>
        </is>
      </c>
      <c r="C171" t="inlineStr">
        <is>
          <t>Amazon Web Services</t>
        </is>
      </c>
      <c r="D171" t="inlineStr">
        <is>
          <t>indeed</t>
        </is>
      </c>
      <c r="E171" t="inlineStr"/>
      <c r="F171" t="inlineStr"/>
      <c r="G171" t="inlineStr">
        <is>
          <t>Santa Clara, CA, US</t>
        </is>
      </c>
      <c r="H171" s="2" t="n">
        <v>45962</v>
      </c>
      <c r="I171"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2">
      <c r="A172" t="inlineStr">
        <is>
          <t>in-52c79c38b152934f</t>
        </is>
      </c>
      <c r="B172" t="inlineStr">
        <is>
          <t>Applied Scientist, AWS Agentic AI</t>
        </is>
      </c>
      <c r="C172" t="inlineStr">
        <is>
          <t>Amazon Web Services</t>
        </is>
      </c>
      <c r="D172" t="inlineStr">
        <is>
          <t>indeed</t>
        </is>
      </c>
      <c r="E172" t="inlineStr"/>
      <c r="F172" t="inlineStr"/>
      <c r="G172" t="inlineStr">
        <is>
          <t>Seattle, WA, US</t>
        </is>
      </c>
      <c r="H172" s="2" t="n">
        <v>45962</v>
      </c>
      <c r="I172"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3">
      <c r="A173" t="inlineStr">
        <is>
          <t>in-b86f5369b0b0a679</t>
        </is>
      </c>
      <c r="B173" t="inlineStr">
        <is>
          <t>Applied Scientist, AWS Agentic AI</t>
        </is>
      </c>
      <c r="C173" t="inlineStr">
        <is>
          <t>Amazon Web Services</t>
        </is>
      </c>
      <c r="D173" t="inlineStr">
        <is>
          <t>indeed</t>
        </is>
      </c>
      <c r="E173" t="inlineStr"/>
      <c r="F173" t="inlineStr"/>
      <c r="G173" t="inlineStr">
        <is>
          <t>New York, NY, US</t>
        </is>
      </c>
      <c r="H173" s="2" t="n">
        <v>45962</v>
      </c>
      <c r="I173"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4">
      <c r="A174" t="inlineStr">
        <is>
          <t>in-4183ee657fe8e02b</t>
        </is>
      </c>
      <c r="B174" t="inlineStr">
        <is>
          <t>Sr. Applied Scientist, Prime Video - Personalization and Discovery Science</t>
        </is>
      </c>
      <c r="C174" t="inlineStr">
        <is>
          <t>Amazon.com</t>
        </is>
      </c>
      <c r="D174" t="inlineStr">
        <is>
          <t>indeed</t>
        </is>
      </c>
      <c r="E174" t="inlineStr"/>
      <c r="F174" t="inlineStr"/>
      <c r="G174" t="inlineStr">
        <is>
          <t>Seattle, WA, US</t>
        </is>
      </c>
      <c r="H174" s="2" t="n">
        <v>45959</v>
      </c>
      <c r="I17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75">
      <c r="A175" t="inlineStr">
        <is>
          <t>in-c5b7e498a501a803</t>
        </is>
      </c>
      <c r="B175" t="inlineStr">
        <is>
          <t>Applied Scientist, Prime Video - Content Understanding, Localization &amp; Enrichment Team</t>
        </is>
      </c>
      <c r="C175" t="inlineStr">
        <is>
          <t>Amazon.com</t>
        </is>
      </c>
      <c r="D175" t="inlineStr">
        <is>
          <t>indeed</t>
        </is>
      </c>
      <c r="E175" t="inlineStr"/>
      <c r="F175" t="inlineStr"/>
      <c r="G175" t="inlineStr">
        <is>
          <t>San Francisco, CA, US</t>
        </is>
      </c>
      <c r="H175" s="2" t="n">
        <v>45943</v>
      </c>
      <c r="I17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176">
      <c r="A176" t="inlineStr">
        <is>
          <t>in-6a7817df57ab4f64</t>
        </is>
      </c>
      <c r="B176" t="inlineStr">
        <is>
          <t>Applied Scientist, Prime Video - Content Understanding, Localization &amp; Enrichment Team</t>
        </is>
      </c>
      <c r="C176" t="inlineStr">
        <is>
          <t>Amazon.com</t>
        </is>
      </c>
      <c r="D176" t="inlineStr">
        <is>
          <t>indeed</t>
        </is>
      </c>
      <c r="E176" t="inlineStr"/>
      <c r="F176" t="inlineStr"/>
      <c r="G176" t="inlineStr">
        <is>
          <t>Seattle, WA, US</t>
        </is>
      </c>
      <c r="H176" s="2" t="n">
        <v>45943</v>
      </c>
      <c r="I17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177">
      <c r="A177" t="inlineStr">
        <is>
          <t>in-721cb4c8be53364a</t>
        </is>
      </c>
      <c r="B177" t="inlineStr">
        <is>
          <t>Principal Applied Scientist, Advertiser Growth, Amazon Sponsored Products &amp; Brands</t>
        </is>
      </c>
      <c r="C177" t="inlineStr">
        <is>
          <t>Amazon.com</t>
        </is>
      </c>
      <c r="D177" t="inlineStr">
        <is>
          <t>indeed</t>
        </is>
      </c>
      <c r="E177" t="inlineStr"/>
      <c r="F177" t="inlineStr"/>
      <c r="G177" t="inlineStr">
        <is>
          <t>Palo Alto, CA, US</t>
        </is>
      </c>
      <c r="H177" s="2" t="n">
        <v>45942</v>
      </c>
      <c r="I177"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8">
      <c r="A178" t="inlineStr">
        <is>
          <t>in-879892fb36cfa4f1</t>
        </is>
      </c>
      <c r="B178" t="inlineStr">
        <is>
          <t>Principal Applied Scientist, Advertiser Growth, Amazon Sponsored Products &amp; Brands</t>
        </is>
      </c>
      <c r="C178" t="inlineStr">
        <is>
          <t>Amazon.com</t>
        </is>
      </c>
      <c r="D178" t="inlineStr">
        <is>
          <t>indeed</t>
        </is>
      </c>
      <c r="E178" t="inlineStr"/>
      <c r="F178" t="inlineStr"/>
      <c r="G178" t="inlineStr">
        <is>
          <t>New York, NY, US</t>
        </is>
      </c>
      <c r="H178" s="2" t="n">
        <v>45942</v>
      </c>
      <c r="I178"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9">
      <c r="A179" t="inlineStr">
        <is>
          <t>in-8f126273380105db</t>
        </is>
      </c>
      <c r="B179" t="inlineStr">
        <is>
          <t>Principal Applied Scientist, Advertiser Growth, Amazon Sponsored Products &amp; Brands</t>
        </is>
      </c>
      <c r="C179" t="inlineStr">
        <is>
          <t>Amazon.com</t>
        </is>
      </c>
      <c r="D179" t="inlineStr">
        <is>
          <t>indeed</t>
        </is>
      </c>
      <c r="E179" t="inlineStr"/>
      <c r="F179" t="inlineStr"/>
      <c r="G179" t="inlineStr">
        <is>
          <t>Seattle, WA, US</t>
        </is>
      </c>
      <c r="H179" s="2" t="n">
        <v>45942</v>
      </c>
      <c r="I179"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0">
      <c r="A180" t="inlineStr">
        <is>
          <t>in-e1b6c33ec12bcaac</t>
        </is>
      </c>
      <c r="B180" t="inlineStr">
        <is>
          <t>Applied Scientist, Workplace Health &amp; Safety</t>
        </is>
      </c>
      <c r="C180" t="inlineStr">
        <is>
          <t>Amazon.com</t>
        </is>
      </c>
      <c r="D180" t="inlineStr">
        <is>
          <t>indeed</t>
        </is>
      </c>
      <c r="E180" t="inlineStr"/>
      <c r="F180" t="inlineStr"/>
      <c r="G180" t="inlineStr">
        <is>
          <t>Bellevue, WA, US</t>
        </is>
      </c>
      <c r="H180" s="2" t="n">
        <v>45917</v>
      </c>
      <c r="I180"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1">
      <c r="A181" t="inlineStr">
        <is>
          <t>in-97db6225351dffe3</t>
        </is>
      </c>
      <c r="B181" t="inlineStr">
        <is>
          <t>Applied Scientist, Workplace Health &amp; Safety</t>
        </is>
      </c>
      <c r="C181" t="inlineStr">
        <is>
          <t>Amazon.com</t>
        </is>
      </c>
      <c r="D181" t="inlineStr">
        <is>
          <t>indeed</t>
        </is>
      </c>
      <c r="E181" t="inlineStr"/>
      <c r="F181" t="inlineStr"/>
      <c r="G181" t="inlineStr">
        <is>
          <t>Nashville, TN, US</t>
        </is>
      </c>
      <c r="H181" s="2" t="n">
        <v>45917</v>
      </c>
      <c r="I181"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2">
      <c r="A182" t="inlineStr">
        <is>
          <t>in-973dac5087257272</t>
        </is>
      </c>
      <c r="B182" t="inlineStr">
        <is>
          <t>Applied Scientist II, Creative X - RAPID</t>
        </is>
      </c>
      <c r="C182" t="inlineStr">
        <is>
          <t>Amazon.com</t>
        </is>
      </c>
      <c r="D182" t="inlineStr">
        <is>
          <t>indeed</t>
        </is>
      </c>
      <c r="E182" t="inlineStr"/>
      <c r="F182" t="inlineStr"/>
      <c r="G182" t="inlineStr">
        <is>
          <t>Seattle, WA, US</t>
        </is>
      </c>
      <c r="H182" s="2" t="n">
        <v>45908</v>
      </c>
      <c r="I182"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83">
      <c r="A183" t="inlineStr">
        <is>
          <t>in-86a56e5b23f58416</t>
        </is>
      </c>
      <c r="B183" t="inlineStr">
        <is>
          <t>Applied Scientist II, Creative X - RAPID</t>
        </is>
      </c>
      <c r="C183" t="inlineStr">
        <is>
          <t>Amazon.com</t>
        </is>
      </c>
      <c r="D183" t="inlineStr">
        <is>
          <t>indeed</t>
        </is>
      </c>
      <c r="E183" t="inlineStr"/>
      <c r="F183" t="inlineStr"/>
      <c r="G183" t="inlineStr">
        <is>
          <t>New York, NY, US</t>
        </is>
      </c>
      <c r="H183" s="2" t="n">
        <v>45908</v>
      </c>
      <c r="I183"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84">
      <c r="A184" t="inlineStr">
        <is>
          <t>in-903e03359640a8c4</t>
        </is>
      </c>
      <c r="B184" t="inlineStr">
        <is>
          <t>Applied Scientist II, Prime Video , Personalization and Discovery Science</t>
        </is>
      </c>
      <c r="C184" t="inlineStr">
        <is>
          <t>Amazon.com</t>
        </is>
      </c>
      <c r="D184" t="inlineStr">
        <is>
          <t>indeed</t>
        </is>
      </c>
      <c r="E184" t="inlineStr"/>
      <c r="F184" t="inlineStr"/>
      <c r="G184" t="inlineStr">
        <is>
          <t>Sunnyvale, CA, US</t>
        </is>
      </c>
      <c r="H184" s="2" t="n">
        <v>45886</v>
      </c>
      <c r="I1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185">
      <c r="A185" t="inlineStr">
        <is>
          <t>in-248ca94058ab0448</t>
        </is>
      </c>
      <c r="B185" t="inlineStr">
        <is>
          <t>Applied Scientist II, Prime Video , Personalization and Discovery Science</t>
        </is>
      </c>
      <c r="C185" t="inlineStr">
        <is>
          <t>Amazon.com</t>
        </is>
      </c>
      <c r="D185" t="inlineStr">
        <is>
          <t>indeed</t>
        </is>
      </c>
      <c r="E185" t="inlineStr"/>
      <c r="F185" t="inlineStr"/>
      <c r="G185" t="inlineStr">
        <is>
          <t>Seattle, WA, US</t>
        </is>
      </c>
      <c r="H185" s="2" t="n">
        <v>45886</v>
      </c>
      <c r="I18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186">
      <c r="A186" t="inlineStr">
        <is>
          <t>in-4240bf08572dc0b2</t>
        </is>
      </c>
      <c r="B186" t="inlineStr">
        <is>
          <t>Applied Scientist II, Prime Video , Personalization and Discovery Science</t>
        </is>
      </c>
      <c r="C186" t="inlineStr">
        <is>
          <t>Amazon.com</t>
        </is>
      </c>
      <c r="D186" t="inlineStr">
        <is>
          <t>indeed</t>
        </is>
      </c>
      <c r="E186" t="inlineStr"/>
      <c r="F186" t="inlineStr"/>
      <c r="G186" t="inlineStr">
        <is>
          <t>New York, NY, US</t>
        </is>
      </c>
      <c r="H186" s="2" t="n">
        <v>45886</v>
      </c>
      <c r="I18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187">
      <c r="A187" t="inlineStr">
        <is>
          <t>in-0bc9e81db084ebd2</t>
        </is>
      </c>
      <c r="B187" t="inlineStr">
        <is>
          <t>Applied Scientist III, StoreGen</t>
        </is>
      </c>
      <c r="C187" t="inlineStr">
        <is>
          <t>Amazon.com</t>
        </is>
      </c>
      <c r="D187" t="inlineStr">
        <is>
          <t>indeed</t>
        </is>
      </c>
      <c r="E187" t="inlineStr"/>
      <c r="F187" t="inlineStr"/>
      <c r="G187" t="inlineStr">
        <is>
          <t>Seattle, WA, US</t>
        </is>
      </c>
      <c r="H187" s="2" t="n">
        <v>45868</v>
      </c>
      <c r="I187"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8">
      <c r="A188" t="inlineStr">
        <is>
          <t>in-e30059887febb71f</t>
        </is>
      </c>
      <c r="B188" t="inlineStr">
        <is>
          <t>Applied Scientist III, StoreGen</t>
        </is>
      </c>
      <c r="C188" t="inlineStr">
        <is>
          <t>Amazon.com</t>
        </is>
      </c>
      <c r="D188" t="inlineStr">
        <is>
          <t>indeed</t>
        </is>
      </c>
      <c r="E188" t="inlineStr"/>
      <c r="F188" t="inlineStr"/>
      <c r="G188" t="inlineStr">
        <is>
          <t>Sunnyvale, CA, US</t>
        </is>
      </c>
      <c r="H188" s="2" t="n">
        <v>45868</v>
      </c>
      <c r="I188"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9">
      <c r="A189" t="inlineStr">
        <is>
          <t>in-e44367136077a5b2</t>
        </is>
      </c>
      <c r="B189" t="inlineStr">
        <is>
          <t>Sr. Applied Scientist, Amazon Advertising</t>
        </is>
      </c>
      <c r="C189" t="inlineStr">
        <is>
          <t>Amazon.com</t>
        </is>
      </c>
      <c r="D189" t="inlineStr">
        <is>
          <t>indeed</t>
        </is>
      </c>
      <c r="E189" t="inlineStr"/>
      <c r="F189" t="inlineStr"/>
      <c r="G189" t="inlineStr">
        <is>
          <t>West Hollywood, CA, US</t>
        </is>
      </c>
      <c r="H189" s="2" t="n">
        <v>45851</v>
      </c>
      <c r="I18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0">
      <c r="A190" t="inlineStr">
        <is>
          <t>in-5dd7dc4183c77c78</t>
        </is>
      </c>
      <c r="B190" t="inlineStr">
        <is>
          <t>Sr. Applied Scientist, Amazon Advertising</t>
        </is>
      </c>
      <c r="C190" t="inlineStr">
        <is>
          <t>Amazon.com</t>
        </is>
      </c>
      <c r="D190" t="inlineStr">
        <is>
          <t>indeed</t>
        </is>
      </c>
      <c r="E190" t="inlineStr"/>
      <c r="F190" t="inlineStr"/>
      <c r="G190" t="inlineStr">
        <is>
          <t>Los Angeles, CA, US</t>
        </is>
      </c>
      <c r="H190" s="2" t="n">
        <v>45851</v>
      </c>
      <c r="I19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1">
      <c r="A191" t="inlineStr">
        <is>
          <t>in-10124824bc6c2c02</t>
        </is>
      </c>
      <c r="B191" t="inlineStr">
        <is>
          <t>Sr. Applied Scientist, Amazon Advertising</t>
        </is>
      </c>
      <c r="C191" t="inlineStr">
        <is>
          <t>Amazon.com</t>
        </is>
      </c>
      <c r="D191" t="inlineStr">
        <is>
          <t>indeed</t>
        </is>
      </c>
      <c r="E191" t="inlineStr"/>
      <c r="F191" t="inlineStr"/>
      <c r="G191" t="inlineStr">
        <is>
          <t>Seattle, WA, US</t>
        </is>
      </c>
      <c r="H191" s="2" t="n">
        <v>45851</v>
      </c>
      <c r="I19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2">
      <c r="A192" t="inlineStr">
        <is>
          <t>in-de12ffde64eb770a</t>
        </is>
      </c>
      <c r="B192" t="inlineStr">
        <is>
          <t>Sr. Applied Scientist, Amazon Advertising</t>
        </is>
      </c>
      <c r="C192" t="inlineStr">
        <is>
          <t>Amazon.com</t>
        </is>
      </c>
      <c r="D192" t="inlineStr">
        <is>
          <t>indeed</t>
        </is>
      </c>
      <c r="E192" t="inlineStr"/>
      <c r="F192" t="inlineStr"/>
      <c r="G192" t="inlineStr">
        <is>
          <t>Palo Alto, CA, US</t>
        </is>
      </c>
      <c r="H192" s="2" t="n">
        <v>45851</v>
      </c>
      <c r="I19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3">
      <c r="A193" t="inlineStr">
        <is>
          <t>in-0974070160d030e8</t>
        </is>
      </c>
      <c r="B193" t="inlineStr">
        <is>
          <t>Sr. Applied Scientist, Amazon Advertising</t>
        </is>
      </c>
      <c r="C193" t="inlineStr">
        <is>
          <t>Amazon.com</t>
        </is>
      </c>
      <c r="D193" t="inlineStr">
        <is>
          <t>indeed</t>
        </is>
      </c>
      <c r="E193" t="inlineStr"/>
      <c r="F193" t="inlineStr"/>
      <c r="G193" t="inlineStr">
        <is>
          <t>Simi Valley, CA, US</t>
        </is>
      </c>
      <c r="H193" s="2" t="n">
        <v>45851</v>
      </c>
      <c r="I19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4">
      <c r="A194" t="inlineStr">
        <is>
          <t>in-3cdf57191e0cb0a5</t>
        </is>
      </c>
      <c r="B194" t="inlineStr">
        <is>
          <t>Sr. Applied Scientist, Amazon Advertising</t>
        </is>
      </c>
      <c r="C194" t="inlineStr">
        <is>
          <t>Amazon.com</t>
        </is>
      </c>
      <c r="D194" t="inlineStr">
        <is>
          <t>indeed</t>
        </is>
      </c>
      <c r="E194" t="inlineStr"/>
      <c r="F194" t="inlineStr"/>
      <c r="G194" t="inlineStr">
        <is>
          <t>New York, NY, US</t>
        </is>
      </c>
      <c r="H194" s="2" t="n">
        <v>45851</v>
      </c>
      <c r="I19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5">
      <c r="A195" t="inlineStr">
        <is>
          <t>in-54a37de321383a55</t>
        </is>
      </c>
      <c r="B195" t="inlineStr">
        <is>
          <t>Sr. Applied Scientist, Amazon Advertising</t>
        </is>
      </c>
      <c r="C195" t="inlineStr">
        <is>
          <t>Amazon.com</t>
        </is>
      </c>
      <c r="D195" t="inlineStr">
        <is>
          <t>indeed</t>
        </is>
      </c>
      <c r="E195" t="inlineStr"/>
      <c r="F195" t="inlineStr"/>
      <c r="G195" t="inlineStr">
        <is>
          <t>Austin, TX, US</t>
        </is>
      </c>
      <c r="H195" s="2" t="n">
        <v>45851</v>
      </c>
      <c r="I19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6">
      <c r="A196" t="inlineStr">
        <is>
          <t>in-2190b3ac959be173</t>
        </is>
      </c>
      <c r="B196" t="inlineStr">
        <is>
          <t>Sr. Applied Scientist, Amazon Advertising</t>
        </is>
      </c>
      <c r="C196" t="inlineStr">
        <is>
          <t>Amazon.com</t>
        </is>
      </c>
      <c r="D196" t="inlineStr">
        <is>
          <t>indeed</t>
        </is>
      </c>
      <c r="E196" t="inlineStr"/>
      <c r="F196" t="inlineStr"/>
      <c r="G196" t="inlineStr">
        <is>
          <t>Arlington, VA, US</t>
        </is>
      </c>
      <c r="H196" s="2" t="n">
        <v>45851</v>
      </c>
      <c r="I19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7">
      <c r="A197" t="inlineStr">
        <is>
          <t>in-c86aeae744bb0297</t>
        </is>
      </c>
      <c r="B197" t="inlineStr">
        <is>
          <t>Sr. Applied Scientist, Sales AI</t>
        </is>
      </c>
      <c r="C197" t="inlineStr">
        <is>
          <t>Amazon.com</t>
        </is>
      </c>
      <c r="D197" t="inlineStr">
        <is>
          <t>indeed</t>
        </is>
      </c>
      <c r="E197" t="inlineStr"/>
      <c r="F197" t="inlineStr"/>
      <c r="G197" t="inlineStr">
        <is>
          <t>Sunnyvale, CA, US</t>
        </is>
      </c>
      <c r="H197" s="2" t="n">
        <v>45830</v>
      </c>
      <c r="I197"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8">
      <c r="A198" t="inlineStr">
        <is>
          <t>in-96a4bf02ab01cf12</t>
        </is>
      </c>
      <c r="B198" t="inlineStr">
        <is>
          <t>Sr. Applied Scientist, Sales AI</t>
        </is>
      </c>
      <c r="C198" t="inlineStr">
        <is>
          <t>Amazon.com</t>
        </is>
      </c>
      <c r="D198" t="inlineStr">
        <is>
          <t>indeed</t>
        </is>
      </c>
      <c r="E198" t="inlineStr"/>
      <c r="F198" t="inlineStr"/>
      <c r="G198" t="inlineStr">
        <is>
          <t>New York, NY, US</t>
        </is>
      </c>
      <c r="H198" s="2" t="n">
        <v>45830</v>
      </c>
      <c r="I198"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9">
      <c r="A199" t="inlineStr">
        <is>
          <t>in-99c3ecf76a4bb3cc</t>
        </is>
      </c>
      <c r="B199" t="inlineStr">
        <is>
          <t>Sr. Applied Scientist, Sales AI</t>
        </is>
      </c>
      <c r="C199" t="inlineStr">
        <is>
          <t>Amazon.com</t>
        </is>
      </c>
      <c r="D199" t="inlineStr">
        <is>
          <t>indeed</t>
        </is>
      </c>
      <c r="E199" t="inlineStr"/>
      <c r="F199" t="inlineStr"/>
      <c r="G199" t="inlineStr">
        <is>
          <t>Seattle, WA, US</t>
        </is>
      </c>
      <c r="H199" s="2" t="n">
        <v>45830</v>
      </c>
      <c r="I199"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0">
      <c r="A200" t="inlineStr">
        <is>
          <t>in-c9612b04746e1007</t>
        </is>
      </c>
      <c r="B200" t="inlineStr">
        <is>
          <t>Principal Applied Scientist, Delivery Foundation Model</t>
        </is>
      </c>
      <c r="C200" t="inlineStr">
        <is>
          <t>Amazon.com</t>
        </is>
      </c>
      <c r="D200" t="inlineStr">
        <is>
          <t>indeed</t>
        </is>
      </c>
      <c r="E200" t="inlineStr"/>
      <c r="F200" t="inlineStr"/>
      <c r="G200" t="inlineStr">
        <is>
          <t>Santa Clara, CA, US</t>
        </is>
      </c>
      <c r="H200" s="2" t="n">
        <v>45810</v>
      </c>
      <c r="I20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1">
      <c r="A201" t="inlineStr">
        <is>
          <t>in-571e9ad9a02732ed</t>
        </is>
      </c>
      <c r="B201" t="inlineStr">
        <is>
          <t>Principal Applied Scientist, Delivery Foundation Model</t>
        </is>
      </c>
      <c r="C201" t="inlineStr">
        <is>
          <t>Amazon.com</t>
        </is>
      </c>
      <c r="D201" t="inlineStr">
        <is>
          <t>indeed</t>
        </is>
      </c>
      <c r="E201" t="inlineStr"/>
      <c r="F201" t="inlineStr"/>
      <c r="G201" t="inlineStr">
        <is>
          <t>New York, NY, US</t>
        </is>
      </c>
      <c r="H201" s="2" t="n">
        <v>45810</v>
      </c>
      <c r="I20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2">
      <c r="A202" t="inlineStr">
        <is>
          <t>in-4fad2e4e8b39b843</t>
        </is>
      </c>
      <c r="B202" t="inlineStr">
        <is>
          <t>Principal Applied Scientist, Delivery Foundation Model</t>
        </is>
      </c>
      <c r="C202" t="inlineStr">
        <is>
          <t>Amazon.com</t>
        </is>
      </c>
      <c r="D202" t="inlineStr">
        <is>
          <t>indeed</t>
        </is>
      </c>
      <c r="E202" t="inlineStr"/>
      <c r="F202" t="inlineStr"/>
      <c r="G202" t="inlineStr">
        <is>
          <t>Austin, TX, US</t>
        </is>
      </c>
      <c r="H202" s="2" t="n">
        <v>45810</v>
      </c>
      <c r="I20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3">
      <c r="A203" t="inlineStr">
        <is>
          <t>in-f673e6854bcbc959</t>
        </is>
      </c>
      <c r="B203" t="inlineStr">
        <is>
          <t>Principal Applied Scientist, Delivery Foundation Model</t>
        </is>
      </c>
      <c r="C203" t="inlineStr">
        <is>
          <t>Amazon.com</t>
        </is>
      </c>
      <c r="D203" t="inlineStr">
        <is>
          <t>indeed</t>
        </is>
      </c>
      <c r="E203" t="inlineStr"/>
      <c r="F203" t="inlineStr"/>
      <c r="G203" t="inlineStr">
        <is>
          <t>Bellevue, WA, US</t>
        </is>
      </c>
      <c r="H203" s="2" t="n">
        <v>45810</v>
      </c>
      <c r="I20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4">
      <c r="A204" t="inlineStr">
        <is>
          <t>in-7f6924bfa73144d0</t>
        </is>
      </c>
      <c r="B204" t="inlineStr">
        <is>
          <t>Senior Applied Scientist, Delivery Foundation Model</t>
        </is>
      </c>
      <c r="C204" t="inlineStr">
        <is>
          <t>Amazon.com</t>
        </is>
      </c>
      <c r="D204" t="inlineStr">
        <is>
          <t>indeed</t>
        </is>
      </c>
      <c r="E204" t="inlineStr"/>
      <c r="F204" t="inlineStr"/>
      <c r="G204" t="inlineStr">
        <is>
          <t>New York, NY, US</t>
        </is>
      </c>
      <c r="H204" s="2" t="n">
        <v>45806</v>
      </c>
      <c r="I20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5">
      <c r="A205" t="inlineStr">
        <is>
          <t>in-128c622c34e4b309</t>
        </is>
      </c>
      <c r="B205" t="inlineStr">
        <is>
          <t>Senior Applied Scientist, Delivery Foundation Model</t>
        </is>
      </c>
      <c r="C205" t="inlineStr">
        <is>
          <t>Amazon.com</t>
        </is>
      </c>
      <c r="D205" t="inlineStr">
        <is>
          <t>indeed</t>
        </is>
      </c>
      <c r="E205" t="inlineStr"/>
      <c r="F205" t="inlineStr"/>
      <c r="G205" t="inlineStr">
        <is>
          <t>Santa Clara, CA, US</t>
        </is>
      </c>
      <c r="H205" s="2" t="n">
        <v>45806</v>
      </c>
      <c r="I20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6">
      <c r="A206" t="inlineStr">
        <is>
          <t>in-f5aa0cd1256c881e</t>
        </is>
      </c>
      <c r="B206" t="inlineStr">
        <is>
          <t>Senior Applied Scientist, Delivery Foundation Model</t>
        </is>
      </c>
      <c r="C206" t="inlineStr">
        <is>
          <t>Amazon.com</t>
        </is>
      </c>
      <c r="D206" t="inlineStr">
        <is>
          <t>indeed</t>
        </is>
      </c>
      <c r="E206" t="inlineStr"/>
      <c r="F206" t="inlineStr"/>
      <c r="G206" t="inlineStr">
        <is>
          <t>Bellevue, WA, US</t>
        </is>
      </c>
      <c r="H206" s="2" t="n">
        <v>45806</v>
      </c>
      <c r="I20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7">
      <c r="A207" t="inlineStr">
        <is>
          <t>in-38156efc177e8156</t>
        </is>
      </c>
      <c r="B207" t="inlineStr">
        <is>
          <t>Principal Applied Scientist, Delivery Foundation Model</t>
        </is>
      </c>
      <c r="C207" t="inlineStr">
        <is>
          <t>Amazon.com</t>
        </is>
      </c>
      <c r="D207" t="inlineStr">
        <is>
          <t>indeed</t>
        </is>
      </c>
      <c r="E207" t="inlineStr"/>
      <c r="F207" t="inlineStr"/>
      <c r="G207" t="inlineStr">
        <is>
          <t>Santa Clara, CA, US</t>
        </is>
      </c>
      <c r="H207" s="2" t="n">
        <v>45757</v>
      </c>
      <c r="I20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8">
      <c r="A208" t="inlineStr">
        <is>
          <t>in-9a59702be72369ee</t>
        </is>
      </c>
      <c r="B208" t="inlineStr">
        <is>
          <t>Principal Applied Scientist, Delivery Foundation Model</t>
        </is>
      </c>
      <c r="C208" t="inlineStr">
        <is>
          <t>Amazon.com</t>
        </is>
      </c>
      <c r="D208" t="inlineStr">
        <is>
          <t>indeed</t>
        </is>
      </c>
      <c r="E208" t="inlineStr"/>
      <c r="F208" t="inlineStr"/>
      <c r="G208" t="inlineStr">
        <is>
          <t>New York, NY, US</t>
        </is>
      </c>
      <c r="H208" s="2" t="n">
        <v>45757</v>
      </c>
      <c r="I20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9">
      <c r="A209" t="inlineStr">
        <is>
          <t>in-c624907617ba4ac4</t>
        </is>
      </c>
      <c r="B209" t="inlineStr">
        <is>
          <t>Principal Applied Scientist, Delivery Foundation Model</t>
        </is>
      </c>
      <c r="C209" t="inlineStr">
        <is>
          <t>Amazon.com</t>
        </is>
      </c>
      <c r="D209" t="inlineStr">
        <is>
          <t>indeed</t>
        </is>
      </c>
      <c r="E209" t="inlineStr"/>
      <c r="F209" t="inlineStr"/>
      <c r="G209" t="inlineStr">
        <is>
          <t>Bellevue, WA, US</t>
        </is>
      </c>
      <c r="H209" s="2" t="n">
        <v>45757</v>
      </c>
      <c r="I20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0">
      <c r="A210" t="inlineStr">
        <is>
          <t>in-3f697e604dc83e1b</t>
        </is>
      </c>
      <c r="B210" t="inlineStr">
        <is>
          <t>Principal Applied Scientist, FAR (Frontier AI &amp; Robotics)</t>
        </is>
      </c>
      <c r="C210" t="inlineStr">
        <is>
          <t>Amazon.com</t>
        </is>
      </c>
      <c r="D210" t="inlineStr">
        <is>
          <t>indeed</t>
        </is>
      </c>
      <c r="E210" t="inlineStr"/>
      <c r="F210" t="inlineStr"/>
      <c r="G210" t="inlineStr">
        <is>
          <t>Seattle, WA, US</t>
        </is>
      </c>
      <c r="H210" s="2" t="n">
        <v>45740</v>
      </c>
      <c r="I210"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1">
      <c r="A211" t="inlineStr">
        <is>
          <t>in-35e7c9e3bd274538</t>
        </is>
      </c>
      <c r="B211" t="inlineStr">
        <is>
          <t>Principal Applied Scientist, FAR (Frontier AI &amp; Robotics)</t>
        </is>
      </c>
      <c r="C211" t="inlineStr">
        <is>
          <t>Amazon.com</t>
        </is>
      </c>
      <c r="D211" t="inlineStr">
        <is>
          <t>indeed</t>
        </is>
      </c>
      <c r="E211" t="inlineStr"/>
      <c r="F211" t="inlineStr"/>
      <c r="G211" t="inlineStr">
        <is>
          <t>San Francisco, CA, US</t>
        </is>
      </c>
      <c r="H211" s="2" t="n">
        <v>45740</v>
      </c>
      <c r="I211"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2">
      <c r="A212" t="inlineStr">
        <is>
          <t>in-731a9fdfa0f5679e</t>
        </is>
      </c>
      <c r="B212" t="inlineStr">
        <is>
          <t>Senior ML/AI Engineering Manager, GenAI Experiences</t>
        </is>
      </c>
      <c r="C212" t="inlineStr">
        <is>
          <t>Adobe</t>
        </is>
      </c>
      <c r="D212" t="inlineStr">
        <is>
          <t>indeed</t>
        </is>
      </c>
      <c r="E212" t="inlineStr"/>
      <c r="F212" t="inlineStr"/>
      <c r="G212" t="inlineStr">
        <is>
          <t>San Jose, CA, US</t>
        </is>
      </c>
      <c r="H212" s="2" t="n">
        <v>46059</v>
      </c>
      <c r="I212"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Our GenAI Experiences Engineering team delivers customer\-facing AI capabilities across Adobe Experience Cloud . We operate with a startup mentality: rapid delivery of value, iterative learning, and scalable solutions that hold up in production.
As GenAI Experiences mature, we are expanding beyond reactive chat interactions into proactive, grounded, workflow\-aware intelligence across Experience Cloud. This role leads the ML/AI squad responsible for building the ML foundations and systems that make that shift possible.
The Opportunity
We are seeking an experienced Senior ML/AI Engineering Manager (M50\) to lead the Experience ML/AI squad within GenAI Experiences. This role owns delivery of the ML strategy that moves AI Assistant from a reactive experience (driven primarily by agents) to real\-time contextual intelligence, predictive workflow understanding, and safe natural\-language UI control across Experience Cloud.
This is a uniquely Experience\-focused ML/AI leadership role . We start from user outcomes—how products feel, work, and deliver value —and back into the right mix of ML techniques using UI context and user behavior/workflow signals to build proactive, grounded intelligence across Experience Cloud
This is intentionally scoped for a senior leader who operates beyond a single project or model. Success requires setting strategy and one\-year objectives , delegating across direct reports, and making complex tradeoffs where in\-depth knowledge of organizational goals and product constraints is required — consistent with M50 expectations.
You will partner closely with Product, Design, Application Engineering, and Agent/Orchestration counterparts to ensure ML systems are shippable, measurable, privacy\-conscious, and latency\-aware , and that they translate into durable product experiences rather than research prototypes.
Impact You’ll Make
In this role, you will directly influence Adobe’s ability to deliver differentiated GenAI experiences at scale by building the ML systems that unlock:
Real\-Time Contextual Intelligence \- instant page\-level insights on the edge
Predictive User Workflow Engine \- learning and predicting intent/next steps /insights over time and accounting for the broader multi\-application context
Natural Language Chat\-Based UI Control \- turning intent into safe, grounded agents to connect users to cross\-application functionality
You will also drive outcomes tied to the roadmap’s experience metrics (examples include engagement with surfaced insights, proactive recommendations, and defining specific benchmarks that align with both ML/AI quality \+user experience quality ).
**At this level, expectation is high leverage:** you shape outcomes across multiple roadmaps and teams by establishing the ML operating model, system ownership, and delivery rigor — not just optimizing within one model or one feature area.
What You’ll Own (ML Workstreams)
You will lead execution across six persistent ML workstreams (the organizational unit of delivery), ensuring clear ownership, cross\-team dependencies, and reusable ML foundations:
Page \&amp; UI Semantic Understanding and Manipulation
User Behavior, Intent \&amp; Workflow Analytics
Heterogeneous Object \&amp; Graph Modeling
NL Interaction with Cross Product New Services via Agents
Edge Inference \&amp; Model Optimization
Human\-in\-the\-Loop Control \&amp; Learning
Key Responsibilities
**Lead the ML/AI squad :** hire, mentor, and retain senior ML engineers; build a culture of applied rigor, startup style fast iteration, and measurable impact.
Set strategy and one\-year objectives for the Experience ML program, translating multi\-year vision into deliverable release plans and clear priorities aligned to product outcomes
Own end\-to\-end execution for ML systems powering GenAI Experiences across the three themes (real\-time contextual intelligence, predictive workflows, NL UI control).
**Operationalize ML Execution and Quality Standards :** establish standards for data readiness, evaluation, model quality, latency, privacy constraints, monitoring, and iteration loops so results reliably ship and improve.
Drive cross\-team tradeoffs and dependency management between ML workstreams and System Experience surfaces and UI Experience surfaces (where models must integrate into your peer teams ).
Scale impact by both with and without headcount\-only scaling ( improving operating models, tooling, automation, and reuse across roadmaps and workstreams ) .
**Remain hands\-on enough to unblock :** review strategic PRs/designs , guide technical choices, and help the team navigate tradeoffs (latency vs. quality, privacy vs. telemetry, offline vs. online inference).
Communicate with senior leadership (Sr. Director/VP partners) to drive alignment on workstreams, resourcing approach, and strategic tradeoffs
Qualifications
Experience building ML systems that modeling user behavior/workflows/data ( e.g. event streams, interfaces as data , page semantics ) and to infer intent and drive proactive UX — beyond traditional “system metrics/logs only” ML.
10\+ years of engineering experience with strong technical depth; experience shipping production systems that require high reliability and strong operational rigor.
6\+ years of engineering management experience, including leading senior engineers and/or managers; ability to set direction and delegate across complex domains consistent with high visibility scope.
Strong ML/AI/NL background sufficient to lead technical strategy and execution across: real\-time contextual modeling, workflow/behavior modeling, and grounded NL\-to\-action systems.
Proven ability to lead ambiguous, cross\-team initiatives, balancing speed, quality, privacy, and long\-term sustainability.
Excellent communication and influence skills across technical and non\-technical partners, including executive alignment on tradeoffs and investment.
Nice to Have
Experie nce with on\-device / edge ML constraints (latency, memory, privacy), and/or model optimization for client environments (the roadmap emphasizes client\-side models and “edge inference \&amp; optimization”).
Experience with knowledge graphs / heterogeneous modeling approaches for cross\-product grounding and reuse.
Experience building human\-in\-the\-loop systems (annotation, feedback, calibration, explainability, interruption management).
Experience building UI and user experience workflows
Bachelor's , Master’s, PhD in Machine Learning, Artificial Intelligence, Computer Science, Engineering, or related field
Our compensation reflects the cost of labor across several U.S. geographic markets, and we pay differently based on those defined markets. The U.S. pay range for this position is $178,900 \-\- $351,225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$242,600 \- $351,225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213">
      <c r="A213" t="inlineStr">
        <is>
          <t>in-287e4666c54a2c35</t>
        </is>
      </c>
      <c r="B213" t="inlineStr">
        <is>
          <t>Data and Machine Learning Engineer - Vision Language Models, Data &amp; Machine Learning (DML)</t>
        </is>
      </c>
      <c r="C213" t="inlineStr">
        <is>
          <t>Amazon Web Services</t>
        </is>
      </c>
      <c r="D213" t="inlineStr">
        <is>
          <t>indeed</t>
        </is>
      </c>
      <c r="E213" t="inlineStr"/>
      <c r="F213" t="inlineStr"/>
      <c r="G213" t="inlineStr">
        <is>
          <t>Arlington, VA, US</t>
        </is>
      </c>
      <c r="H213" s="2" t="n">
        <v>46051</v>
      </c>
      <c r="I213"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Top Secret or above
**PREFERRED QUALIFICATIONS**
----------------------------
* Experience in a ML or data scientist role with a large technology company
* Experience working on multi\-team, cross\-disciplinary projects
* Master's degree or above in computer science, machine learning, engineering, or related fields
* Knowledge of Linux, PyTorch, and Git workflows for computer vision requirements
* Experience developing visual language models leveraging satellite imagery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14">
      <c r="A214" t="inlineStr">
        <is>
          <t>in-b54b8e560ce2bcf1</t>
        </is>
      </c>
      <c r="B214" t="inlineStr">
        <is>
          <t>Data and Machine Learning Engineer - Vision Language Models, Data &amp; Machine Learning (DML)</t>
        </is>
      </c>
      <c r="C214" t="inlineStr">
        <is>
          <t>Amazon Web Services</t>
        </is>
      </c>
      <c r="D214" t="inlineStr">
        <is>
          <t>indeed</t>
        </is>
      </c>
      <c r="E214" t="inlineStr"/>
      <c r="F214" t="inlineStr"/>
      <c r="G214" t="inlineStr">
        <is>
          <t>Herndon, VA, US</t>
        </is>
      </c>
      <c r="H214" s="2" t="n">
        <v>46051</v>
      </c>
      <c r="I214"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Top Secret or above
**PREFERRED QUALIFICATIONS**
----------------------------
* Experience in a ML or data scientist role with a large technology company
* Experience working on multi\-team, cross\-disciplinary projects
* Master's degree or above in computer science, machine learning, engineering, or related fields
* Knowledge of Linux, PyTorch, and Git workflows for computer vision requirements
* Experience developing visual language models leveraging satellite imagery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15">
      <c r="A215" t="inlineStr">
        <is>
          <t>in-3ee5cd7a50656c5d</t>
        </is>
      </c>
      <c r="B215" t="inlineStr">
        <is>
          <t>Machine Learning Engineer, WWPS ProServe Data and Machine Learning</t>
        </is>
      </c>
      <c r="C215" t="inlineStr">
        <is>
          <t>Amazon Web Services</t>
        </is>
      </c>
      <c r="D215" t="inlineStr">
        <is>
          <t>indeed</t>
        </is>
      </c>
      <c r="E215" t="inlineStr"/>
      <c r="F215" t="inlineStr"/>
      <c r="G215" t="inlineStr">
        <is>
          <t>Arlington, VA, US</t>
        </is>
      </c>
      <c r="H215" s="2" t="n">
        <v>46044</v>
      </c>
      <c r="I215"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be a US Citizen and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in professional software engineering \&amp; best practices for the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16">
      <c r="A216" t="inlineStr">
        <is>
          <t>in-df8d81b57d3b0d9c</t>
        </is>
      </c>
      <c r="B216" t="inlineStr">
        <is>
          <t>Machine Learning Engineer, WWPS ProServe Data and Machine Learning</t>
        </is>
      </c>
      <c r="C216" t="inlineStr">
        <is>
          <t>Amazon Web Services</t>
        </is>
      </c>
      <c r="D216" t="inlineStr">
        <is>
          <t>indeed</t>
        </is>
      </c>
      <c r="E216" t="inlineStr"/>
      <c r="F216" t="inlineStr"/>
      <c r="G216" t="inlineStr">
        <is>
          <t>Herndon, VA, US</t>
        </is>
      </c>
      <c r="H216" s="2" t="n">
        <v>46044</v>
      </c>
      <c r="I216"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be a US Citizen and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in professional software engineering \&amp; best practices for the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17">
      <c r="A217" t="inlineStr">
        <is>
          <t>in-00c0e036832348a9</t>
        </is>
      </c>
      <c r="B217" t="inlineStr">
        <is>
          <t>Machine Learning Engineer, WWPS ProServe Data and Machine Learning</t>
        </is>
      </c>
      <c r="C217" t="inlineStr">
        <is>
          <t>Amazon Web Services</t>
        </is>
      </c>
      <c r="D217" t="inlineStr">
        <is>
          <t>indeed</t>
        </is>
      </c>
      <c r="E217" t="inlineStr"/>
      <c r="F217" t="inlineStr"/>
      <c r="G217" t="inlineStr">
        <is>
          <t>Arlington, VA, US</t>
        </is>
      </c>
      <c r="H217" s="2" t="n">
        <v>46043</v>
      </c>
      <c r="I217"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1\+ years of working with or evaluating AI systems experience
* Knowledge of professional software engineering \&amp; best practices for full software development life cycle, including coding standards, software architectures, code reviews, source control management, continuous deployments, testing, and operational excellence
* Experience in professional software engineering \&amp; best practices for the full software development life cycle, including coding standards, software architectures, code reviews, source control management, continuous deployments, testing, and operational excellence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18">
      <c r="A218" t="inlineStr">
        <is>
          <t>in-c6ff9a1af03cd552</t>
        </is>
      </c>
      <c r="B218" t="inlineStr">
        <is>
          <t>Machine Learning Engineer, WWPS ProServe Data and Machine Learning</t>
        </is>
      </c>
      <c r="C218" t="inlineStr">
        <is>
          <t>Amazon Web Services</t>
        </is>
      </c>
      <c r="D218" t="inlineStr">
        <is>
          <t>indeed</t>
        </is>
      </c>
      <c r="E218" t="inlineStr"/>
      <c r="F218" t="inlineStr"/>
      <c r="G218" t="inlineStr">
        <is>
          <t>Herndon, VA, US</t>
        </is>
      </c>
      <c r="H218" s="2" t="n">
        <v>46043</v>
      </c>
      <c r="I218"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1\+ years of working with or evaluating AI systems experience
* Knowledge of professional software engineering \&amp; best practices for full software development life cycle, including coding standards, software architectures, code reviews, source control management, continuous deployments, testing, and operational excellence
* Experience in professional software engineering \&amp; best practices for the full software development life cycle, including coding standards, software architectures, code reviews, source control management, continuous deployments, testing, and operational excellence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19">
      <c r="A219" t="inlineStr">
        <is>
          <t>in-f42216d2f243ed02</t>
        </is>
      </c>
      <c r="B219" t="inlineStr">
        <is>
          <t>Applied Scientist, Alexa Smart Home</t>
        </is>
      </c>
      <c r="C219" t="inlineStr">
        <is>
          <t>Amazon.com</t>
        </is>
      </c>
      <c r="D219" t="inlineStr">
        <is>
          <t>indeed</t>
        </is>
      </c>
      <c r="E219" t="inlineStr"/>
      <c r="F219" t="inlineStr"/>
      <c r="G219" t="inlineStr">
        <is>
          <t>Seattle, WA, US</t>
        </is>
      </c>
      <c r="H219" s="2" t="n">
        <v>46033</v>
      </c>
      <c r="I219"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20">
      <c r="A220" t="inlineStr">
        <is>
          <t>in-5ad23f9411dd47c7</t>
        </is>
      </c>
      <c r="B220" t="inlineStr">
        <is>
          <t>Applied Scientist, Alexa Smart Home</t>
        </is>
      </c>
      <c r="C220" t="inlineStr">
        <is>
          <t>Amazon.com</t>
        </is>
      </c>
      <c r="D220" t="inlineStr">
        <is>
          <t>indeed</t>
        </is>
      </c>
      <c r="E220" t="inlineStr"/>
      <c r="F220" t="inlineStr"/>
      <c r="G220" t="inlineStr">
        <is>
          <t>Sunnyvale, CA, US</t>
        </is>
      </c>
      <c r="H220" s="2" t="n">
        <v>46033</v>
      </c>
      <c r="I220"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21">
      <c r="A221" t="inlineStr">
        <is>
          <t>in-d1689ceb1e29bd03</t>
        </is>
      </c>
      <c r="B221" t="inlineStr">
        <is>
          <t>ML Engineer, GO-AI Technology &amp; Development Team</t>
        </is>
      </c>
      <c r="C221" t="inlineStr">
        <is>
          <t>Amazon.com</t>
        </is>
      </c>
      <c r="D221" t="inlineStr">
        <is>
          <t>indeed</t>
        </is>
      </c>
      <c r="E221" t="inlineStr"/>
      <c r="F221" t="inlineStr"/>
      <c r="G221" t="inlineStr">
        <is>
          <t>Boston, MA, US</t>
        </is>
      </c>
      <c r="H221" s="2" t="n">
        <v>45998</v>
      </c>
      <c r="I221"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222">
      <c r="A222" t="inlineStr">
        <is>
          <t>in-b0eec5abb90481f9</t>
        </is>
      </c>
      <c r="B222" t="inlineStr">
        <is>
          <t>ML Engineer, GO-AI Technology &amp; Development Team</t>
        </is>
      </c>
      <c r="C222" t="inlineStr">
        <is>
          <t>Amazon.com</t>
        </is>
      </c>
      <c r="D222" t="inlineStr">
        <is>
          <t>indeed</t>
        </is>
      </c>
      <c r="E222" t="inlineStr"/>
      <c r="F222" t="inlineStr"/>
      <c r="G222" t="inlineStr">
        <is>
          <t>Westborough, MA, US</t>
        </is>
      </c>
      <c r="H222" s="2" t="n">
        <v>45998</v>
      </c>
      <c r="I222"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223">
      <c r="A223" t="inlineStr">
        <is>
          <t>in-40e5e74163a5aa2d</t>
        </is>
      </c>
      <c r="B223" t="inlineStr">
        <is>
          <t>ML Engineer, GO-AI Technology &amp; Development Team</t>
        </is>
      </c>
      <c r="C223" t="inlineStr">
        <is>
          <t>Amazon.com</t>
        </is>
      </c>
      <c r="D223" t="inlineStr">
        <is>
          <t>indeed</t>
        </is>
      </c>
      <c r="E223" t="inlineStr"/>
      <c r="F223" t="inlineStr"/>
      <c r="G223" t="inlineStr">
        <is>
          <t>Seattle, WA, US</t>
        </is>
      </c>
      <c r="H223" s="2" t="n">
        <v>45998</v>
      </c>
      <c r="I223"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224">
      <c r="A224" t="inlineStr">
        <is>
          <t>in-e7f920c1287091ba</t>
        </is>
      </c>
      <c r="B224" t="inlineStr">
        <is>
          <t>ML Engineer, GO-AI Technology &amp; Development Team</t>
        </is>
      </c>
      <c r="C224" t="inlineStr">
        <is>
          <t>Amazon.com</t>
        </is>
      </c>
      <c r="D224" t="inlineStr">
        <is>
          <t>indeed</t>
        </is>
      </c>
      <c r="E224" t="inlineStr"/>
      <c r="F224" t="inlineStr"/>
      <c r="G224" t="inlineStr">
        <is>
          <t>Reading, MA, US</t>
        </is>
      </c>
      <c r="H224" s="2" t="n">
        <v>45998</v>
      </c>
      <c r="I224"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225">
      <c r="A225" t="inlineStr">
        <is>
          <t>in-2803e3185a155060</t>
        </is>
      </c>
      <c r="B225" t="inlineStr">
        <is>
          <t>Sr. Applied Scientist, Amazon Ads</t>
        </is>
      </c>
      <c r="C225" t="inlineStr">
        <is>
          <t>Amazon.com</t>
        </is>
      </c>
      <c r="D225" t="inlineStr">
        <is>
          <t>indeed</t>
        </is>
      </c>
      <c r="E225">
        <f>HYPERLINK("https://www.indeed.com/viewjob?jk=2803e3185a155060", "https://www.indeed.com/viewjob?jk=2803e3185a155060")</f>
        <v/>
      </c>
      <c r="F225">
        <f>HYPERLINK("https://www.amazon.jobs/jobs/3139328/sr-applied-scientist-amazon-ads?cmpid=DA_INAD200785B", "https://www.amazon.jobs/jobs/3139328/sr-applied-scientist-amazon-ads?cmpid=DA_INAD200785B")</f>
        <v/>
      </c>
      <c r="G225" t="inlineStr">
        <is>
          <t>Palo Alto, CA, US</t>
        </is>
      </c>
      <c r="H225" s="3" t="n">
        <v>45998</v>
      </c>
      <c r="I22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26">
      <c r="A226" t="inlineStr">
        <is>
          <t>in-cbb93fcd2cc6ed93</t>
        </is>
      </c>
      <c r="B226" t="inlineStr">
        <is>
          <t>Sr. Applied Scientist, Amazon Ads</t>
        </is>
      </c>
      <c r="C226" t="inlineStr">
        <is>
          <t>Amazon.com</t>
        </is>
      </c>
      <c r="D226" t="inlineStr">
        <is>
          <t>indeed</t>
        </is>
      </c>
      <c r="E226">
        <f>HYPERLINK("https://www.indeed.com/viewjob?jk=cbb93fcd2cc6ed93", "https://www.indeed.com/viewjob?jk=cbb93fcd2cc6ed93")</f>
        <v/>
      </c>
      <c r="F226">
        <f>HYPERLINK("https://www.amazon.jobs/jobs/3139328/sr-applied-scientist-amazon-ads?cmpid=DA_INAD200785B", "https://www.amazon.jobs/jobs/3139328/sr-applied-scientist-amazon-ads?cmpid=DA_INAD200785B")</f>
        <v/>
      </c>
      <c r="G226" t="inlineStr">
        <is>
          <t>New York, NY, US</t>
        </is>
      </c>
      <c r="H226" s="3" t="n">
        <v>45998</v>
      </c>
      <c r="I22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27">
      <c r="A227" t="inlineStr">
        <is>
          <t>in-c79b557c19792172</t>
        </is>
      </c>
      <c r="B227" t="inlineStr">
        <is>
          <t>Sr. Applied Scientist, Amazon Ads</t>
        </is>
      </c>
      <c r="C227" t="inlineStr">
        <is>
          <t>Amazon.com</t>
        </is>
      </c>
      <c r="D227" t="inlineStr">
        <is>
          <t>indeed</t>
        </is>
      </c>
      <c r="E227">
        <f>HYPERLINK("https://www.indeed.com/viewjob?jk=c79b557c19792172", "https://www.indeed.com/viewjob?jk=c79b557c19792172")</f>
        <v/>
      </c>
      <c r="F227">
        <f>HYPERLINK("https://www.amazon.jobs/jobs/3139328/sr-applied-scientist-amazon-ads?cmpid=DA_INAD200785B", "https://www.amazon.jobs/jobs/3139328/sr-applied-scientist-amazon-ads?cmpid=DA_INAD200785B")</f>
        <v/>
      </c>
      <c r="G227" t="inlineStr">
        <is>
          <t>Boulder, CO, US</t>
        </is>
      </c>
      <c r="H227" s="3" t="n">
        <v>45998</v>
      </c>
      <c r="I22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28">
      <c r="A228" t="inlineStr">
        <is>
          <t>in-3f48c6fbd4a7eeba</t>
        </is>
      </c>
      <c r="B228" t="inlineStr">
        <is>
          <t>Sr. Applied Scientist, Amazon Ads</t>
        </is>
      </c>
      <c r="C228" t="inlineStr">
        <is>
          <t>Amazon.com</t>
        </is>
      </c>
      <c r="D228" t="inlineStr">
        <is>
          <t>indeed</t>
        </is>
      </c>
      <c r="E228">
        <f>HYPERLINK("https://www.indeed.com/viewjob?jk=3f48c6fbd4a7eeba", "https://www.indeed.com/viewjob?jk=3f48c6fbd4a7eeba")</f>
        <v/>
      </c>
      <c r="F228">
        <f>HYPERLINK("https://www.amazon.jobs/jobs/3139328/sr-applied-scientist-amazon-ads?cmpid=DA_INAD200785B", "https://www.amazon.jobs/jobs/3139328/sr-applied-scientist-amazon-ads?cmpid=DA_INAD200785B")</f>
        <v/>
      </c>
      <c r="G228" t="inlineStr">
        <is>
          <t>Sunnyvale, CA, US</t>
        </is>
      </c>
      <c r="H228" s="3" t="n">
        <v>45998</v>
      </c>
      <c r="I22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29">
      <c r="A229" t="inlineStr">
        <is>
          <t>in-4566b19d465fa009</t>
        </is>
      </c>
      <c r="B229" t="inlineStr">
        <is>
          <t>Sr. Applied Scientist, Amazon Ads</t>
        </is>
      </c>
      <c r="C229" t="inlineStr">
        <is>
          <t>Amazon.com</t>
        </is>
      </c>
      <c r="D229" t="inlineStr">
        <is>
          <t>indeed</t>
        </is>
      </c>
      <c r="E229">
        <f>HYPERLINK("https://www.indeed.com/viewjob?jk=4566b19d465fa009", "https://www.indeed.com/viewjob?jk=4566b19d465fa009")</f>
        <v/>
      </c>
      <c r="F229">
        <f>HYPERLINK("https://www.amazon.jobs/jobs/3139328/sr-applied-scientist-amazon-ads?cmpid=DA_INAD200785B", "https://www.amazon.jobs/jobs/3139328/sr-applied-scientist-amazon-ads?cmpid=DA_INAD200785B")</f>
        <v/>
      </c>
      <c r="G229" t="inlineStr">
        <is>
          <t>Brooklyn, NY, US</t>
        </is>
      </c>
      <c r="H229" s="3" t="n">
        <v>45998</v>
      </c>
      <c r="I22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30">
      <c r="A230" t="inlineStr">
        <is>
          <t>in-f8e2a2c002bc1bb4</t>
        </is>
      </c>
      <c r="B230" t="inlineStr">
        <is>
          <t>Sr. Applied Scientist, Amazon Ads</t>
        </is>
      </c>
      <c r="C230" t="inlineStr">
        <is>
          <t>Amazon.com</t>
        </is>
      </c>
      <c r="D230" t="inlineStr">
        <is>
          <t>indeed</t>
        </is>
      </c>
      <c r="E230">
        <f>HYPERLINK("https://www.indeed.com/viewjob?jk=f8e2a2c002bc1bb4", "https://www.indeed.com/viewjob?jk=f8e2a2c002bc1bb4")</f>
        <v/>
      </c>
      <c r="F230">
        <f>HYPERLINK("https://www.amazon.jobs/jobs/3139328/sr-applied-scientist-amazon-ads?cmpid=DA_INAD200785B", "https://www.amazon.jobs/jobs/3139328/sr-applied-scientist-amazon-ads?cmpid=DA_INAD200785B")</f>
        <v/>
      </c>
      <c r="G230" t="inlineStr">
        <is>
          <t>Santa Monica, CA, US</t>
        </is>
      </c>
      <c r="H230" s="3" t="n">
        <v>45998</v>
      </c>
      <c r="I23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31">
      <c r="A231" t="inlineStr">
        <is>
          <t>in-4059af29d4886f09</t>
        </is>
      </c>
      <c r="B231" t="inlineStr">
        <is>
          <t>Sr. Applied Scientist, Amazon Ads</t>
        </is>
      </c>
      <c r="C231" t="inlineStr">
        <is>
          <t>Amazon.com</t>
        </is>
      </c>
      <c r="D231" t="inlineStr">
        <is>
          <t>indeed</t>
        </is>
      </c>
      <c r="E231">
        <f>HYPERLINK("https://www.indeed.com/viewjob?jk=4059af29d4886f09", "https://www.indeed.com/viewjob?jk=4059af29d4886f09")</f>
        <v/>
      </c>
      <c r="F231">
        <f>HYPERLINK("https://www.amazon.jobs/jobs/3139328/sr-applied-scientist-amazon-ads?cmpid=DA_INAD200785B", "https://www.amazon.jobs/jobs/3139328/sr-applied-scientist-amazon-ads?cmpid=DA_INAD200785B")</f>
        <v/>
      </c>
      <c r="G231" t="inlineStr">
        <is>
          <t>Boston, MA, US</t>
        </is>
      </c>
      <c r="H231" s="3" t="n">
        <v>45998</v>
      </c>
      <c r="I23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32">
      <c r="A232" t="inlineStr">
        <is>
          <t>in-cb5219193fed20fb</t>
        </is>
      </c>
      <c r="B232" t="inlineStr">
        <is>
          <t>Sr. Applied Scientist, Amazon Ads</t>
        </is>
      </c>
      <c r="C232" t="inlineStr">
        <is>
          <t>Amazon.com</t>
        </is>
      </c>
      <c r="D232" t="inlineStr">
        <is>
          <t>indeed</t>
        </is>
      </c>
      <c r="E232">
        <f>HYPERLINK("https://www.indeed.com/viewjob?jk=cb5219193fed20fb", "https://www.indeed.com/viewjob?jk=cb5219193fed20fb")</f>
        <v/>
      </c>
      <c r="F232">
        <f>HYPERLINK("https://www.amazon.jobs/jobs/3139328/sr-applied-scientist-amazon-ads?cmpid=DA_INAD200785B", "https://www.amazon.jobs/jobs/3139328/sr-applied-scientist-amazon-ads?cmpid=DA_INAD200785B")</f>
        <v/>
      </c>
      <c r="G232" t="inlineStr">
        <is>
          <t>Tukwila, WA, US</t>
        </is>
      </c>
      <c r="H232" s="3" t="n">
        <v>45998</v>
      </c>
      <c r="I23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33">
      <c r="A233" t="inlineStr">
        <is>
          <t>in-890571f54424b726</t>
        </is>
      </c>
      <c r="B233" t="inlineStr">
        <is>
          <t>Sr. Applied Scientist, Amazon Ads</t>
        </is>
      </c>
      <c r="C233" t="inlineStr">
        <is>
          <t>Amazon.com</t>
        </is>
      </c>
      <c r="D233" t="inlineStr">
        <is>
          <t>indeed</t>
        </is>
      </c>
      <c r="E233">
        <f>HYPERLINK("https://www.indeed.com/viewjob?jk=890571f54424b726", "https://www.indeed.com/viewjob?jk=890571f54424b726")</f>
        <v/>
      </c>
      <c r="F233">
        <f>HYPERLINK("https://www.amazon.jobs/jobs/3139328/sr-applied-scientist-amazon-ads?cmpid=DA_INAD200785B", "https://www.amazon.jobs/jobs/3139328/sr-applied-scientist-amazon-ads?cmpid=DA_INAD200785B")</f>
        <v/>
      </c>
      <c r="G233" t="inlineStr">
        <is>
          <t>Corvallis, OR, US</t>
        </is>
      </c>
      <c r="H233" s="3" t="n">
        <v>45998</v>
      </c>
      <c r="I23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34">
      <c r="A234" t="inlineStr">
        <is>
          <t>in-4cc704380005ec96</t>
        </is>
      </c>
      <c r="B234" t="inlineStr">
        <is>
          <t>Sr. Applied Scientist, Amazon Ads</t>
        </is>
      </c>
      <c r="C234" t="inlineStr">
        <is>
          <t>Amazon.com</t>
        </is>
      </c>
      <c r="D234" t="inlineStr">
        <is>
          <t>indeed</t>
        </is>
      </c>
      <c r="E234">
        <f>HYPERLINK("https://www.indeed.com/viewjob?jk=4cc704380005ec96", "https://www.indeed.com/viewjob?jk=4cc704380005ec96")</f>
        <v/>
      </c>
      <c r="F234">
        <f>HYPERLINK("https://www.amazon.jobs/jobs/3139328/sr-applied-scientist-amazon-ads?cmpid=DA_INAD200785B", "https://www.amazon.jobs/jobs/3139328/sr-applied-scientist-amazon-ads?cmpid=DA_INAD200785B")</f>
        <v/>
      </c>
      <c r="G234" t="inlineStr">
        <is>
          <t>Seattle, WA, US</t>
        </is>
      </c>
      <c r="H234" s="3" t="n">
        <v>45998</v>
      </c>
      <c r="I23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35">
      <c r="A235" t="inlineStr">
        <is>
          <t>in-27131e10f15c6ba6</t>
        </is>
      </c>
      <c r="B235" t="inlineStr">
        <is>
          <t>Applied Scientist</t>
        </is>
      </c>
      <c r="C235" t="inlineStr">
        <is>
          <t>Amazon.com</t>
        </is>
      </c>
      <c r="D235" t="inlineStr">
        <is>
          <t>indeed</t>
        </is>
      </c>
      <c r="E235">
        <f>HYPERLINK("https://www.indeed.com/viewjob?jk=27131e10f15c6ba6", "https://www.indeed.com/viewjob?jk=27131e10f15c6ba6")</f>
        <v/>
      </c>
      <c r="F235">
        <f>HYPERLINK("https://www.amazon.jobs/jobs/3106501/applied-scientist?cmpid=DA_INAD200785B", "https://www.amazon.jobs/jobs/3106501/applied-scientist?cmpid=DA_INAD200785B")</f>
        <v/>
      </c>
      <c r="G235" t="inlineStr">
        <is>
          <t>Palo Alto, CA, US</t>
        </is>
      </c>
      <c r="H235" s="3" t="n">
        <v>45939</v>
      </c>
      <c r="I23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6">
      <c r="A236" t="inlineStr">
        <is>
          <t>in-ae2c2662188e7ce2</t>
        </is>
      </c>
      <c r="B236" t="inlineStr">
        <is>
          <t>Sr. Applied Scientist, SPB Advertiser Guidance</t>
        </is>
      </c>
      <c r="C236" t="inlineStr">
        <is>
          <t>Amazon.com</t>
        </is>
      </c>
      <c r="D236" t="inlineStr">
        <is>
          <t>indeed</t>
        </is>
      </c>
      <c r="E236">
        <f>HYPERLINK("https://www.indeed.com/viewjob?jk=ae2c2662188e7ce2", "https://www.indeed.com/viewjob?jk=ae2c2662188e7ce2")</f>
        <v/>
      </c>
      <c r="F236">
        <f>HYPERLINK("https://www.amazon.jobs/jobs/3106497/sr-applied-scientist-spb-advertiser-guidance?cmpid=DA_INAD200785B", "https://www.amazon.jobs/jobs/3106497/sr-applied-scientist-spb-advertiser-guidance?cmpid=DA_INAD200785B")</f>
        <v/>
      </c>
      <c r="G236" t="inlineStr">
        <is>
          <t>Seattle, WA, US</t>
        </is>
      </c>
      <c r="H236" s="3" t="n">
        <v>45939</v>
      </c>
      <c r="I23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7">
      <c r="A237" t="inlineStr">
        <is>
          <t>in-2a58b4faa1450c8d</t>
        </is>
      </c>
      <c r="B237" t="inlineStr">
        <is>
          <t>Sr. Applied Scientist, SPB Advertiser Guidance</t>
        </is>
      </c>
      <c r="C237" t="inlineStr">
        <is>
          <t>Amazon.com</t>
        </is>
      </c>
      <c r="D237" t="inlineStr">
        <is>
          <t>indeed</t>
        </is>
      </c>
      <c r="E237">
        <f>HYPERLINK("https://www.indeed.com/viewjob?jk=2a58b4faa1450c8d", "https://www.indeed.com/viewjob?jk=2a58b4faa1450c8d")</f>
        <v/>
      </c>
      <c r="F237">
        <f>HYPERLINK("https://www.amazon.jobs/jobs/3106497/sr-applied-scientist-spb-advertiser-guidance?cmpid=DA_INAD200785B", "https://www.amazon.jobs/jobs/3106497/sr-applied-scientist-spb-advertiser-guidance?cmpid=DA_INAD200785B")</f>
        <v/>
      </c>
      <c r="G237" t="inlineStr">
        <is>
          <t>New York, NY, US</t>
        </is>
      </c>
      <c r="H237" s="3" t="n">
        <v>45939</v>
      </c>
      <c r="I237"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8">
      <c r="A238" t="inlineStr">
        <is>
          <t>in-aa4d293d69aeee80</t>
        </is>
      </c>
      <c r="B238" t="inlineStr">
        <is>
          <t>Applied Scientist</t>
        </is>
      </c>
      <c r="C238" t="inlineStr">
        <is>
          <t>Amazon.com</t>
        </is>
      </c>
      <c r="D238" t="inlineStr">
        <is>
          <t>indeed</t>
        </is>
      </c>
      <c r="E238">
        <f>HYPERLINK("https://www.indeed.com/viewjob?jk=aa4d293d69aeee80", "https://www.indeed.com/viewjob?jk=aa4d293d69aeee80")</f>
        <v/>
      </c>
      <c r="F238">
        <f>HYPERLINK("https://www.amazon.jobs/jobs/3106501/applied-scientist?cmpid=DA_INAD200785B", "https://www.amazon.jobs/jobs/3106501/applied-scientist?cmpid=DA_INAD200785B")</f>
        <v/>
      </c>
      <c r="G238" t="inlineStr">
        <is>
          <t>Seattle, WA, US</t>
        </is>
      </c>
      <c r="H238" s="3" t="n">
        <v>45939</v>
      </c>
      <c r="I238"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9">
      <c r="A239" t="inlineStr">
        <is>
          <t>in-ba7ae7f217adbb7b</t>
        </is>
      </c>
      <c r="B239" t="inlineStr">
        <is>
          <t>Sr. Applied Scientist, SPB Advertiser Guidance</t>
        </is>
      </c>
      <c r="C239" t="inlineStr">
        <is>
          <t>Amazon.com</t>
        </is>
      </c>
      <c r="D239" t="inlineStr">
        <is>
          <t>indeed</t>
        </is>
      </c>
      <c r="E239">
        <f>HYPERLINK("https://www.indeed.com/viewjob?jk=ba7ae7f217adbb7b", "https://www.indeed.com/viewjob?jk=ba7ae7f217adbb7b")</f>
        <v/>
      </c>
      <c r="F239">
        <f>HYPERLINK("https://www.amazon.jobs/jobs/3106497/sr-applied-scientist-spb-advertiser-guidance?cmpid=DA_INAD200785B", "https://www.amazon.jobs/jobs/3106497/sr-applied-scientist-spb-advertiser-guidance?cmpid=DA_INAD200785B")</f>
        <v/>
      </c>
      <c r="G239" t="inlineStr">
        <is>
          <t>Palo Alto, CA, US</t>
        </is>
      </c>
      <c r="H239" s="3" t="n">
        <v>45939</v>
      </c>
      <c r="I23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0">
      <c r="A240" t="inlineStr">
        <is>
          <t>in-32df7b29be47e1b8</t>
        </is>
      </c>
      <c r="B240" t="inlineStr">
        <is>
          <t>Applied Scientist II, Prime Video - Personalization and Discovery Science, Personalization and Discovery Science</t>
        </is>
      </c>
      <c r="C240" t="inlineStr">
        <is>
          <t>Amazon.com</t>
        </is>
      </c>
      <c r="D240" t="inlineStr">
        <is>
          <t>indeed</t>
        </is>
      </c>
      <c r="E240">
        <f>HYPERLINK("https://www.indeed.com/viewjob?jk=32df7b29be47e1b8", "https://www.indeed.com/viewjob?jk=32df7b29be47e1b8")</f>
        <v/>
      </c>
      <c r="F240">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240" t="inlineStr">
        <is>
          <t>Sunnyvale, CA, US</t>
        </is>
      </c>
      <c r="H240" s="3" t="n">
        <v>45930</v>
      </c>
      <c r="I2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1">
      <c r="A241" t="inlineStr">
        <is>
          <t>in-457e02c27fdc5a23</t>
        </is>
      </c>
      <c r="B241" t="inlineStr">
        <is>
          <t>Applied Scientist II, Prime Video - Personalization and Discovery Science, Personalization and Discovery Science</t>
        </is>
      </c>
      <c r="C241" t="inlineStr">
        <is>
          <t>Amazon.com</t>
        </is>
      </c>
      <c r="D241" t="inlineStr">
        <is>
          <t>indeed</t>
        </is>
      </c>
      <c r="E241">
        <f>HYPERLINK("https://www.indeed.com/viewjob?jk=457e02c27fdc5a23", "https://www.indeed.com/viewjob?jk=457e02c27fdc5a23")</f>
        <v/>
      </c>
      <c r="F241">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241" t="inlineStr">
        <is>
          <t>New York, NY, US</t>
        </is>
      </c>
      <c r="H241" s="3" t="n">
        <v>45930</v>
      </c>
      <c r="I2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2">
      <c r="A242" t="inlineStr">
        <is>
          <t>in-1331a41a83ab7c18</t>
        </is>
      </c>
      <c r="B242" t="inlineStr">
        <is>
          <t>Applied Scientist II, Prime Video - Personalization and Discovery Science, Personalization and Discovery Science</t>
        </is>
      </c>
      <c r="C242" t="inlineStr">
        <is>
          <t>Amazon.com</t>
        </is>
      </c>
      <c r="D242" t="inlineStr">
        <is>
          <t>indeed</t>
        </is>
      </c>
      <c r="E242">
        <f>HYPERLINK("https://www.indeed.com/viewjob?jk=1331a41a83ab7c18", "https://www.indeed.com/viewjob?jk=1331a41a83ab7c18")</f>
        <v/>
      </c>
      <c r="F242">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242" t="inlineStr">
        <is>
          <t>Seattle, WA, US</t>
        </is>
      </c>
      <c r="H242" s="3" t="n">
        <v>45930</v>
      </c>
      <c r="I2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3">
      <c r="A243" t="inlineStr">
        <is>
          <t>in-e55f02b9dd044b79</t>
        </is>
      </c>
      <c r="B243" t="inlineStr">
        <is>
          <t>Sr. Applied Scientist, Prime Video - Personalization and Discovery Science</t>
        </is>
      </c>
      <c r="C243" t="inlineStr">
        <is>
          <t>Amazon.com</t>
        </is>
      </c>
      <c r="D243" t="inlineStr">
        <is>
          <t>indeed</t>
        </is>
      </c>
      <c r="E243">
        <f>HYPERLINK("https://www.indeed.com/viewjob?jk=e55f02b9dd044b79", "https://www.indeed.com/viewjob?jk=e55f02b9dd044b79")</f>
        <v/>
      </c>
      <c r="F243">
        <f>HYPERLINK("https://www.amazon.jobs/jobs/3059256/sr-applied-scientist-prime-video--personalization-and-discovery-science?cmpid=DA_INAD200785B", "https://www.amazon.jobs/jobs/3059256/sr-applied-scientist-prime-video--personalization-and-discovery-science?cmpid=DA_INAD200785B")</f>
        <v/>
      </c>
      <c r="G243" t="inlineStr">
        <is>
          <t>Seattle, WA, US</t>
        </is>
      </c>
      <c r="H243" s="3" t="n">
        <v>45881</v>
      </c>
      <c r="I2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4">
      <c r="A244" t="inlineStr">
        <is>
          <t>in-223062ed274c2895</t>
        </is>
      </c>
      <c r="B244" t="inlineStr">
        <is>
          <t>Applied Scientist II, Prime Video - Personalization and Discovery Science</t>
        </is>
      </c>
      <c r="C244" t="inlineStr">
        <is>
          <t>Amazon.com</t>
        </is>
      </c>
      <c r="D244" t="inlineStr">
        <is>
          <t>indeed</t>
        </is>
      </c>
      <c r="E244">
        <f>HYPERLINK("https://www.indeed.com/viewjob?jk=223062ed274c2895", "https://www.indeed.com/viewjob?jk=223062ed274c2895")</f>
        <v/>
      </c>
      <c r="F244">
        <f>HYPERLINK("https://www.amazon.jobs/jobs/3059253/applied-scientist-ii-prime-video--personalization-and-discovery-science?cmpid=DA_INAD200785B", "https://www.amazon.jobs/jobs/3059253/applied-scientist-ii-prime-video--personalization-and-discovery-science?cmpid=DA_INAD200785B")</f>
        <v/>
      </c>
      <c r="G244" t="inlineStr">
        <is>
          <t>Seattle, WA, US</t>
        </is>
      </c>
      <c r="H244" s="3" t="n">
        <v>45881</v>
      </c>
      <c r="I2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5">
      <c r="A245" t="inlineStr">
        <is>
          <t>in-6d4e4f3deb823739</t>
        </is>
      </c>
      <c r="B245" t="inlineStr">
        <is>
          <t>Applied Scientist II, Prime Video - Personalization and Discovery Science</t>
        </is>
      </c>
      <c r="C245" t="inlineStr">
        <is>
          <t>Amazon.com</t>
        </is>
      </c>
      <c r="D245" t="inlineStr">
        <is>
          <t>indeed</t>
        </is>
      </c>
      <c r="E245">
        <f>HYPERLINK("https://www.indeed.com/viewjob?jk=6d4e4f3deb823739", "https://www.indeed.com/viewjob?jk=6d4e4f3deb823739")</f>
        <v/>
      </c>
      <c r="F245">
        <f>HYPERLINK("https://www.amazon.jobs/jobs/3059253/applied-scientist-ii-prime-video--personalization-and-discovery-science?cmpid=DA_INAD200785B", "https://www.amazon.jobs/jobs/3059253/applied-scientist-ii-prime-video--personalization-and-discovery-science?cmpid=DA_INAD200785B")</f>
        <v/>
      </c>
      <c r="G245" t="inlineStr">
        <is>
          <t>New York, NY, US</t>
        </is>
      </c>
      <c r="H245" s="3" t="n">
        <v>45881</v>
      </c>
      <c r="I24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6">
      <c r="A246" t="inlineStr">
        <is>
          <t>in-91ec594bf7ff4e3e</t>
        </is>
      </c>
      <c r="B246" t="inlineStr">
        <is>
          <t>Applied Scientist II, Prime Video - Personalization and Discovery Science</t>
        </is>
      </c>
      <c r="C246" t="inlineStr">
        <is>
          <t>Amazon.com</t>
        </is>
      </c>
      <c r="D246" t="inlineStr">
        <is>
          <t>indeed</t>
        </is>
      </c>
      <c r="E246">
        <f>HYPERLINK("https://www.indeed.com/viewjob?jk=91ec594bf7ff4e3e", "https://www.indeed.com/viewjob?jk=91ec594bf7ff4e3e")</f>
        <v/>
      </c>
      <c r="F246">
        <f>HYPERLINK("https://www.amazon.jobs/jobs/3059253/applied-scientist-ii-prime-video--personalization-and-discovery-science?cmpid=DA_INAD200785B", "https://www.amazon.jobs/jobs/3059253/applied-scientist-ii-prime-video--personalization-and-discovery-science?cmpid=DA_INAD200785B")</f>
        <v/>
      </c>
      <c r="G246" t="inlineStr">
        <is>
          <t>Sunnyvale, CA, US</t>
        </is>
      </c>
      <c r="H246" s="3" t="n">
        <v>45881</v>
      </c>
      <c r="I24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7">
      <c r="A247" t="inlineStr">
        <is>
          <t>in-648196c048565e55</t>
        </is>
      </c>
      <c r="B247" t="inlineStr">
        <is>
          <t>Sr. Applied Scientist, Prime Video - Personalization and Discovery Science</t>
        </is>
      </c>
      <c r="C247" t="inlineStr">
        <is>
          <t>Amazon.com</t>
        </is>
      </c>
      <c r="D247" t="inlineStr">
        <is>
          <t>indeed</t>
        </is>
      </c>
      <c r="E247">
        <f>HYPERLINK("https://www.indeed.com/viewjob?jk=648196c048565e55", "https://www.indeed.com/viewjob?jk=648196c048565e55")</f>
        <v/>
      </c>
      <c r="F247">
        <f>HYPERLINK("https://www.amazon.jobs/jobs/3059256/sr-applied-scientist-prime-video--personalization-and-discovery-science?cmpid=DA_INAD200785B", "https://www.amazon.jobs/jobs/3059256/sr-applied-scientist-prime-video--personalization-and-discovery-science?cmpid=DA_INAD200785B")</f>
        <v/>
      </c>
      <c r="G247" t="inlineStr">
        <is>
          <t>New York, NY, US</t>
        </is>
      </c>
      <c r="H247" s="3" t="n">
        <v>45881</v>
      </c>
      <c r="I24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8">
      <c r="A248" t="inlineStr">
        <is>
          <t>in-50a736e985c7705a</t>
        </is>
      </c>
      <c r="B248" t="inlineStr">
        <is>
          <t>Sr. Applied Scientist, Prime Video - Personalization and Discovery Science</t>
        </is>
      </c>
      <c r="C248" t="inlineStr">
        <is>
          <t>Amazon.com</t>
        </is>
      </c>
      <c r="D248" t="inlineStr">
        <is>
          <t>indeed</t>
        </is>
      </c>
      <c r="E248">
        <f>HYPERLINK("https://www.indeed.com/viewjob?jk=50a736e985c7705a", "https://www.indeed.com/viewjob?jk=50a736e985c7705a")</f>
        <v/>
      </c>
      <c r="F248">
        <f>HYPERLINK("https://www.amazon.jobs/jobs/3059256/sr-applied-scientist-prime-video--personalization-and-discovery-science?cmpid=DA_INAD200785B", "https://www.amazon.jobs/jobs/3059256/sr-applied-scientist-prime-video--personalization-and-discovery-science?cmpid=DA_INAD200785B")</f>
        <v/>
      </c>
      <c r="G248" t="inlineStr">
        <is>
          <t>Sunnyvale, CA, US</t>
        </is>
      </c>
      <c r="H248" s="3" t="n">
        <v>45881</v>
      </c>
      <c r="I24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9">
      <c r="A249" t="inlineStr">
        <is>
          <t>in-8d7918f3594396e1</t>
        </is>
      </c>
      <c r="B249" t="inlineStr">
        <is>
          <t>Applied Scientist, Prime Video - Personalization and Discovery Science</t>
        </is>
      </c>
      <c r="C249" t="inlineStr">
        <is>
          <t>Amazon.com</t>
        </is>
      </c>
      <c r="D249" t="inlineStr">
        <is>
          <t>indeed</t>
        </is>
      </c>
      <c r="E249">
        <f>HYPERLINK("https://www.indeed.com/viewjob?jk=8d7918f3594396e1", "https://www.indeed.com/viewjob?jk=8d7918f3594396e1")</f>
        <v/>
      </c>
      <c r="F249">
        <f>HYPERLINK("https://www.amazon.jobs/jobs/3033050/applied-scientist-prime-video--personalization-and-discovery-science?cmpid=DA_INAD200785B", "https://www.amazon.jobs/jobs/3033050/applied-scientist-prime-video--personalization-and-discovery-science?cmpid=DA_INAD200785B")</f>
        <v/>
      </c>
      <c r="G249" t="inlineStr">
        <is>
          <t>Seattle, WA, US</t>
        </is>
      </c>
      <c r="H249" s="3" t="n">
        <v>45845</v>
      </c>
      <c r="I24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0">
      <c r="A250" t="inlineStr">
        <is>
          <t>in-128d854b03499ef3</t>
        </is>
      </c>
      <c r="B250" t="inlineStr">
        <is>
          <t>Applied Scientist, Prime Video - Personalization and Discovery Science</t>
        </is>
      </c>
      <c r="C250" t="inlineStr">
        <is>
          <t>Amazon.com</t>
        </is>
      </c>
      <c r="D250" t="inlineStr">
        <is>
          <t>indeed</t>
        </is>
      </c>
      <c r="E250">
        <f>HYPERLINK("https://www.indeed.com/viewjob?jk=128d854b03499ef3", "https://www.indeed.com/viewjob?jk=128d854b03499ef3")</f>
        <v/>
      </c>
      <c r="F250">
        <f>HYPERLINK("https://www.amazon.jobs/jobs/3033050/applied-scientist-prime-video--personalization-and-discovery-science?cmpid=DA_INAD200785B", "https://www.amazon.jobs/jobs/3033050/applied-scientist-prime-video--personalization-and-discovery-science?cmpid=DA_INAD200785B")</f>
        <v/>
      </c>
      <c r="G250" t="inlineStr">
        <is>
          <t>New York, NY, US</t>
        </is>
      </c>
      <c r="H250" s="3" t="n">
        <v>45845</v>
      </c>
      <c r="I25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1">
      <c r="A251" t="inlineStr">
        <is>
          <t>in-cf3eb383a38a1779</t>
        </is>
      </c>
      <c r="B251" t="inlineStr">
        <is>
          <t>Applied Scientist, Prime Video - Personalization and Discovery Science</t>
        </is>
      </c>
      <c r="C251" t="inlineStr">
        <is>
          <t>Amazon.com</t>
        </is>
      </c>
      <c r="D251" t="inlineStr">
        <is>
          <t>indeed</t>
        </is>
      </c>
      <c r="E251">
        <f>HYPERLINK("https://www.indeed.com/viewjob?jk=cf3eb383a38a1779", "https://www.indeed.com/viewjob?jk=cf3eb383a38a1779")</f>
        <v/>
      </c>
      <c r="F251">
        <f>HYPERLINK("https://www.amazon.jobs/jobs/3033050/applied-scientist-prime-video--personalization-and-discovery-science?cmpid=DA_INAD200785B", "https://www.amazon.jobs/jobs/3033050/applied-scientist-prime-video--personalization-and-discovery-science?cmpid=DA_INAD200785B")</f>
        <v/>
      </c>
      <c r="G251" t="inlineStr">
        <is>
          <t>Sunnyvale, CA, US</t>
        </is>
      </c>
      <c r="H251" s="3" t="n">
        <v>45845</v>
      </c>
      <c r="I25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2">
      <c r="A252" t="inlineStr">
        <is>
          <t>in-ed30db6299839756</t>
        </is>
      </c>
      <c r="B252" t="inlineStr">
        <is>
          <t>Principal AI Engineer - Agentforce Platform</t>
        </is>
      </c>
      <c r="C252" t="inlineStr">
        <is>
          <t>Salesforce</t>
        </is>
      </c>
      <c r="D252" t="inlineStr">
        <is>
          <t>indeed</t>
        </is>
      </c>
      <c r="E252">
        <f>HYPERLINK("https://www.indeed.com/viewjob?jk=ed30db6299839756", "https://www.indeed.com/viewjob?jk=ed30db6299839756")</f>
        <v/>
      </c>
      <c r="F252">
        <f>HYPERLINK("https://salesforce.wd12.myworkdayjobs.com/en-US/External_Career_Site/job/California---San-Francisco/Principal-AI-Engineer---Agentforce-Platform_JR327165", "https://salesforce.wd12.myworkdayjobs.com/en-US/External_Career_Site/job/California---San-Francisco/Principal-AI-Engineer---Agentforce-Platform_JR327165")</f>
        <v/>
      </c>
      <c r="G252" t="inlineStr">
        <is>
          <t>San Francisco, CA, US</t>
        </is>
      </c>
      <c r="H252" s="3" t="n">
        <v>46059</v>
      </c>
      <c r="I252"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We're seeking an AI Engineer to build the tooling and services that enable developers to write, test, and deploy AI Agents efficiently. You'll ship impactful developer experience platforms using advanced Generative AI to create a world\-class Agent creation environment. We're data scientists, ML engineers, and software engineers passionate about building intelligent agents that drive customer success 24/7\. We love to learn, teach, and collaborate
**The Role**You'll be the technical bridge between agent authoring tools and the runtime platform. Design and build AgentScript—the language and tooling for efficient AI Agent development. Own the language translation pipeline and developer tools across IDEs, web editors, and compilation engines.
**What You'll Do*** Architect and maintain the processing pipeline (compilers, interpreters, code generators) that transforms source code into executable Agent specifications
* Build client\-side tooling for IntelliSense, code completion, validation, refactoring, and diagnostics
* Enable rapid iteration through reverse\-engineering specs and integrating simulation/debugging APIs
* Synchronize language grammars, data models, and validation logic across backend (Python) and client\-side (TypeScript/JavaScript)
* Collaborate with internal teams to ensure an intuitive, effective developer experience
* Design core libraries for validation, compilation, and language services
**Required Skills*** 5\+ years software development experience; BS/MS in CS, Software Engineering, or related STEM field
* Deep JavaScript/TypeScript expertise for client tooling and Language Server development; strong Python skills for compilers and backend
* Proven experience with developer tooling, editor integrations, or IDE extensions
* Track record designing robust, decoupled architecture
* Excellent communication and cross\-team collaboration skills
* Strong problem\-solving abilities
**Preferred Skills*** Experience with conversational AI, LLMs, prompt engineering, or AI\-enhanced developer productivity
* Knowledge of AI agents, declarative specification languages, or conversational AI
* Experience with simulation/debugging APIs and fast feedback loops
* Expertise in language Intermediate Representations (IRs) and cross\-language synchronization
* Compiler pipeline mastery (lexing, parsing, semantic analysis), parser generators (ANTLR4, Tree\-sitter), and DSL implementation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regions.\&amp;\#xa;\&amp;\#xa;The typical base salary range for this position is $216,300 \- $313,700 annually. In select cities within the San Francisco and New York City metropolitan area, the base salary range for this role is $237,700 \- $344,700 annually.\&amp;\#xa;\&amp;\#xa;The range represents base salary only, and does not include company bonus, incentive for sales roles, equity or benefits, as applicable.</t>
        </is>
      </c>
    </row>
    <row r="253">
      <c r="A253" t="inlineStr">
        <is>
          <t>in-9cf3391d1c7bdf50</t>
        </is>
      </c>
      <c r="B253" t="inlineStr">
        <is>
          <t>Applied Scientist II, Prime Video Personalization and Discovery Science</t>
        </is>
      </c>
      <c r="C253" t="inlineStr">
        <is>
          <t>Amazon.com</t>
        </is>
      </c>
      <c r="D253" t="inlineStr">
        <is>
          <t>indeed</t>
        </is>
      </c>
      <c r="E253">
        <f>HYPERLINK("https://www.indeed.com/viewjob?jk=9cf3391d1c7bdf50", "https://www.indeed.com/viewjob?jk=9cf3391d1c7bdf50")</f>
        <v/>
      </c>
      <c r="F253">
        <f>HYPERLINK("https://www.amazon.jobs/jobs/3165547/applied-scientist-ii-prime-video-personalization-and-discovery-science?cmpid=DA_INAD200785B", "https://www.amazon.jobs/jobs/3165547/applied-scientist-ii-prime-video-personalization-and-discovery-science?cmpid=DA_INAD200785B")</f>
        <v/>
      </c>
      <c r="G253" t="inlineStr">
        <is>
          <t>Seattle, WA, US</t>
        </is>
      </c>
      <c r="H253" s="3" t="n">
        <v>46038</v>
      </c>
      <c r="I25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254">
      <c r="A254" t="inlineStr">
        <is>
          <t>in-d3b35237aea58f25</t>
        </is>
      </c>
      <c r="B254" t="inlineStr">
        <is>
          <t>Applied Scientist, Safety ML</t>
        </is>
      </c>
      <c r="C254" t="inlineStr">
        <is>
          <t>Amazon.com</t>
        </is>
      </c>
      <c r="D254" t="inlineStr">
        <is>
          <t>indeed</t>
        </is>
      </c>
      <c r="E254">
        <f>HYPERLINK("https://www.indeed.com/viewjob?jk=d3b35237aea58f25", "https://www.indeed.com/viewjob?jk=d3b35237aea58f25")</f>
        <v/>
      </c>
      <c r="F254">
        <f>HYPERLINK("https://www.amazon.jobs/jobs/3161224/applied-scientist-safety-ml?cmpid=DA_INAD200785B", "https://www.amazon.jobs/jobs/3161224/applied-scientist-safety-ml?cmpid=DA_INAD200785B")</f>
        <v/>
      </c>
      <c r="G254" t="inlineStr">
        <is>
          <t>San Francisco, CA, US</t>
        </is>
      </c>
      <c r="H254" s="3" t="n">
        <v>46037</v>
      </c>
      <c r="I25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255">
      <c r="A255" t="inlineStr">
        <is>
          <t>in-8cfe096b8ac0fbb9</t>
        </is>
      </c>
      <c r="B255" t="inlineStr">
        <is>
          <t>Applied Scientist, Safety ML</t>
        </is>
      </c>
      <c r="C255" t="inlineStr">
        <is>
          <t>Amazon.com</t>
        </is>
      </c>
      <c r="D255" t="inlineStr">
        <is>
          <t>indeed</t>
        </is>
      </c>
      <c r="E255">
        <f>HYPERLINK("https://www.indeed.com/viewjob?jk=8cfe096b8ac0fbb9", "https://www.indeed.com/viewjob?jk=8cfe096b8ac0fbb9")</f>
        <v/>
      </c>
      <c r="F255">
        <f>HYPERLINK("https://www.amazon.jobs/jobs/3161224/applied-scientist-safety-ml?cmpid=DA_INAD200785B", "https://www.amazon.jobs/jobs/3161224/applied-scientist-safety-ml?cmpid=DA_INAD200785B")</f>
        <v/>
      </c>
      <c r="G255" t="inlineStr">
        <is>
          <t>Seattle, WA, US</t>
        </is>
      </c>
      <c r="H255" s="3" t="n">
        <v>46037</v>
      </c>
      <c r="I25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256">
      <c r="A256" t="inlineStr">
        <is>
          <t>in-6b117500cf397088</t>
        </is>
      </c>
      <c r="B256" t="inlineStr">
        <is>
          <t>Applied Scientist, LLM Code Agents, Kiro Science</t>
        </is>
      </c>
      <c r="C256" t="inlineStr">
        <is>
          <t>Amazon.com</t>
        </is>
      </c>
      <c r="D256" t="inlineStr">
        <is>
          <t>indeed</t>
        </is>
      </c>
      <c r="E256">
        <f>HYPERLINK("https://www.indeed.com/viewjob?jk=6b117500cf397088", "https://www.indeed.com/viewjob?jk=6b117500cf397088")</f>
        <v/>
      </c>
      <c r="F256">
        <f>HYPERLINK("https://www.amazon.jobs/jobs/3161363/applied-scientist-llm-code-agents-kiro-science?cmpid=DA_INAD200785B", "https://www.amazon.jobs/jobs/3161363/applied-scientist-llm-code-agents-kiro-science?cmpid=DA_INAD200785B")</f>
        <v/>
      </c>
      <c r="G256" t="inlineStr">
        <is>
          <t>Seattle, WA, US</t>
        </is>
      </c>
      <c r="H256" s="3" t="n">
        <v>46035</v>
      </c>
      <c r="I256"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257">
      <c r="A257" t="inlineStr">
        <is>
          <t>in-016a25e8af0db865</t>
        </is>
      </c>
      <c r="B257" t="inlineStr">
        <is>
          <t>Applied Scientist, LLM Code Agents, Kiro Science</t>
        </is>
      </c>
      <c r="C257" t="inlineStr">
        <is>
          <t>Amazon.com</t>
        </is>
      </c>
      <c r="D257" t="inlineStr">
        <is>
          <t>indeed</t>
        </is>
      </c>
      <c r="E257">
        <f>HYPERLINK("https://www.indeed.com/viewjob?jk=016a25e8af0db865", "https://www.indeed.com/viewjob?jk=016a25e8af0db865")</f>
        <v/>
      </c>
      <c r="F257">
        <f>HYPERLINK("https://www.amazon.jobs/jobs/3161363/applied-scientist-llm-code-agents-kiro-science?cmpid=DA_INAD200785B", "https://www.amazon.jobs/jobs/3161363/applied-scientist-llm-code-agents-kiro-science?cmpid=DA_INAD200785B")</f>
        <v/>
      </c>
      <c r="G257" t="inlineStr">
        <is>
          <t>Santa Clara, CA, US</t>
        </is>
      </c>
      <c r="H257" s="3" t="n">
        <v>46035</v>
      </c>
      <c r="I257"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258">
      <c r="A258" t="inlineStr">
        <is>
          <t>in-9814fb408282980f</t>
        </is>
      </c>
      <c r="B258" t="inlineStr">
        <is>
          <t>Sr Applied Scientist, AWS Proactive Security</t>
        </is>
      </c>
      <c r="C258" t="inlineStr">
        <is>
          <t>Amazon.com</t>
        </is>
      </c>
      <c r="D258" t="inlineStr">
        <is>
          <t>indeed</t>
        </is>
      </c>
      <c r="E258">
        <f>HYPERLINK("https://www.indeed.com/viewjob?jk=9814fb408282980f", "https://www.indeed.com/viewjob?jk=9814fb408282980f")</f>
        <v/>
      </c>
      <c r="F258">
        <f>HYPERLINK("https://www.amazon.jobs/jobs/3164664/sr-applied-scientist-aws-proactive-security?cmpid=DA_INAD200785B", "https://www.amazon.jobs/jobs/3164664/sr-applied-scientist-aws-proactive-security?cmpid=DA_INAD200785B")</f>
        <v/>
      </c>
      <c r="G258" t="inlineStr">
        <is>
          <t>Arlington, VA, US</t>
        </is>
      </c>
      <c r="H258" s="3" t="n">
        <v>46030</v>
      </c>
      <c r="I258"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259">
      <c r="A259" t="inlineStr">
        <is>
          <t>in-969c1209b9ebcb44</t>
        </is>
      </c>
      <c r="B259" t="inlineStr">
        <is>
          <t>Sr Applied Scientist, AWS Proactive Security</t>
        </is>
      </c>
      <c r="C259" t="inlineStr">
        <is>
          <t>Amazon.com</t>
        </is>
      </c>
      <c r="D259" t="inlineStr">
        <is>
          <t>indeed</t>
        </is>
      </c>
      <c r="E259">
        <f>HYPERLINK("https://www.indeed.com/viewjob?jk=969c1209b9ebcb44", "https://www.indeed.com/viewjob?jk=969c1209b9ebcb44")</f>
        <v/>
      </c>
      <c r="F259">
        <f>HYPERLINK("https://www.amazon.jobs/jobs/3164664/sr-applied-scientist-aws-proactive-security?cmpid=DA_INAD200785B", "https://www.amazon.jobs/jobs/3164664/sr-applied-scientist-aws-proactive-security?cmpid=DA_INAD200785B")</f>
        <v/>
      </c>
      <c r="G259" t="inlineStr">
        <is>
          <t>Herndon, VA, US</t>
        </is>
      </c>
      <c r="H259" s="3" t="n">
        <v>46030</v>
      </c>
      <c r="I259"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260">
      <c r="A260" t="inlineStr">
        <is>
          <t>in-38462bfeedb9d9ef</t>
        </is>
      </c>
      <c r="B260" t="inlineStr">
        <is>
          <t>Sr Applied Scientist, AWS Proactive Security</t>
        </is>
      </c>
      <c r="C260" t="inlineStr">
        <is>
          <t>Amazon.com</t>
        </is>
      </c>
      <c r="D260" t="inlineStr">
        <is>
          <t>indeed</t>
        </is>
      </c>
      <c r="E260">
        <f>HYPERLINK("https://www.indeed.com/viewjob?jk=38462bfeedb9d9ef", "https://www.indeed.com/viewjob?jk=38462bfeedb9d9ef")</f>
        <v/>
      </c>
      <c r="F260">
        <f>HYPERLINK("https://www.amazon.jobs/jobs/3164664/sr-applied-scientist-aws-proactive-security?cmpid=DA_INAD200785B", "https://www.amazon.jobs/jobs/3164664/sr-applied-scientist-aws-proactive-security?cmpid=DA_INAD200785B")</f>
        <v/>
      </c>
      <c r="G260" t="inlineStr">
        <is>
          <t>Sunnyvale, CA, US</t>
        </is>
      </c>
      <c r="H260" s="3" t="n">
        <v>46030</v>
      </c>
      <c r="I260"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261">
      <c r="A261" t="inlineStr">
        <is>
          <t>in-89c0f13032ae5730</t>
        </is>
      </c>
      <c r="B261" t="inlineStr">
        <is>
          <t>Applied Scientist, Last Mile Delivery Automation</t>
        </is>
      </c>
      <c r="C261" t="inlineStr">
        <is>
          <t>Amazon.com</t>
        </is>
      </c>
      <c r="D261" t="inlineStr">
        <is>
          <t>indeed</t>
        </is>
      </c>
      <c r="E261">
        <f>HYPERLINK("https://www.indeed.com/viewjob?jk=89c0f13032ae5730", "https://www.indeed.com/viewjob?jk=89c0f13032ae5730")</f>
        <v/>
      </c>
      <c r="F261">
        <f>HYPERLINK("https://www.amazon.jobs/jobs/3155354/applied-scientist-last-mile-delivery-automation?cmpid=DA_INAD200785B", "https://www.amazon.jobs/jobs/3155354/applied-scientist-last-mile-delivery-automation?cmpid=DA_INAD200785B")</f>
        <v/>
      </c>
      <c r="G261" t="inlineStr">
        <is>
          <t>Santa Clara, CA, US</t>
        </is>
      </c>
      <c r="H261" s="3" t="n">
        <v>46026</v>
      </c>
      <c r="I261"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2">
      <c r="A262" t="inlineStr">
        <is>
          <t>in-e251ded802cb518d</t>
        </is>
      </c>
      <c r="B262" t="inlineStr">
        <is>
          <t>Applied Scientist, Last Mile Delivery Automation</t>
        </is>
      </c>
      <c r="C262" t="inlineStr">
        <is>
          <t>Amazon.com</t>
        </is>
      </c>
      <c r="D262" t="inlineStr">
        <is>
          <t>indeed</t>
        </is>
      </c>
      <c r="E262">
        <f>HYPERLINK("https://www.indeed.com/viewjob?jk=e251ded802cb518d", "https://www.indeed.com/viewjob?jk=e251ded802cb518d")</f>
        <v/>
      </c>
      <c r="F262">
        <f>HYPERLINK("https://www.amazon.jobs/jobs/3155354/applied-scientist-last-mile-delivery-automation?cmpid=DA_INAD200785B", "https://www.amazon.jobs/jobs/3155354/applied-scientist-last-mile-delivery-automation?cmpid=DA_INAD200785B")</f>
        <v/>
      </c>
      <c r="G262" t="inlineStr">
        <is>
          <t>Bellevue, WA, US</t>
        </is>
      </c>
      <c r="H262" s="3" t="n">
        <v>46026</v>
      </c>
      <c r="I262"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3">
      <c r="A263" t="inlineStr">
        <is>
          <t>in-79f45c9ff9631014</t>
        </is>
      </c>
      <c r="B263" t="inlineStr">
        <is>
          <t>Senior Applied Scientist, Distributed SQL</t>
        </is>
      </c>
      <c r="C263" t="inlineStr">
        <is>
          <t>Amazon Web Services</t>
        </is>
      </c>
      <c r="D263" t="inlineStr">
        <is>
          <t>indeed</t>
        </is>
      </c>
      <c r="E263">
        <f>HYPERLINK("https://www.indeed.com/viewjob?jk=79f45c9ff9631014", "https://www.indeed.com/viewjob?jk=79f45c9ff9631014")</f>
        <v/>
      </c>
      <c r="F263">
        <f>HYPERLINK("https://www.amazon.jobs/jobs/3148444/senior-applied-scientist-distributed-sql?cmpid=DA_INAD200785B", "https://www.amazon.jobs/jobs/3148444/senior-applied-scientist-distributed-sql?cmpid=DA_INAD200785B")</f>
        <v/>
      </c>
      <c r="G263" t="inlineStr">
        <is>
          <t>East Palo Alto, CA, US</t>
        </is>
      </c>
      <c r="H263" s="3" t="n">
        <v>46012</v>
      </c>
      <c r="I263"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264">
      <c r="A264" t="inlineStr">
        <is>
          <t>in-97c10a300f5eea6a</t>
        </is>
      </c>
      <c r="B264" t="inlineStr">
        <is>
          <t>Senior Applied Scientist, Distributed SQL</t>
        </is>
      </c>
      <c r="C264" t="inlineStr">
        <is>
          <t>Amazon Web Services</t>
        </is>
      </c>
      <c r="D264" t="inlineStr">
        <is>
          <t>indeed</t>
        </is>
      </c>
      <c r="E264">
        <f>HYPERLINK("https://www.indeed.com/viewjob?jk=97c10a300f5eea6a", "https://www.indeed.com/viewjob?jk=97c10a300f5eea6a")</f>
        <v/>
      </c>
      <c r="F264">
        <f>HYPERLINK("https://www.amazon.jobs/jobs/3148444/senior-applied-scientist-distributed-sql?cmpid=DA_INAD200785B", "https://www.amazon.jobs/jobs/3148444/senior-applied-scientist-distributed-sql?cmpid=DA_INAD200785B")</f>
        <v/>
      </c>
      <c r="G264" t="inlineStr">
        <is>
          <t>Seattle, WA, US</t>
        </is>
      </c>
      <c r="H264" s="3" t="n">
        <v>46012</v>
      </c>
      <c r="I264"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265">
      <c r="A265" t="inlineStr">
        <is>
          <t>in-170fc6780876383d</t>
        </is>
      </c>
      <c r="B265" t="inlineStr">
        <is>
          <t>Applied Scientist, GenAI Evaluation Media</t>
        </is>
      </c>
      <c r="C265" t="inlineStr">
        <is>
          <t>Amazon.com</t>
        </is>
      </c>
      <c r="D265" t="inlineStr">
        <is>
          <t>indeed</t>
        </is>
      </c>
      <c r="E265">
        <f>HYPERLINK("https://www.indeed.com/viewjob?jk=170fc6780876383d", "https://www.indeed.com/viewjob?jk=170fc6780876383d")</f>
        <v/>
      </c>
      <c r="F265">
        <f>HYPERLINK("https://www.amazon.jobs/jobs/3159215/applied-scientist-genai-evaluation-media?cmpid=DA_INAD200785B", "https://www.amazon.jobs/jobs/3159215/applied-scientist-genai-evaluation-media?cmpid=DA_INAD200785B")</f>
        <v/>
      </c>
      <c r="G265" t="inlineStr">
        <is>
          <t>Seattle, WA, US</t>
        </is>
      </c>
      <c r="H265" s="3" t="n">
        <v>46006</v>
      </c>
      <c r="I265" t="inlineStr">
        <is>
          <t>**DESCRIPTION**
---------------
We are seeking an Applied Scientist to join our Generate AI Visual Media \- Core Experiences Science team. This organization drives significant business value by revolutionizing how customers interact with product imagery and videos across Amazon. Working at the intersection of Computer Vision and Generative AI, you will help customers make confident purchase decisions through optimized visual content. Our goal is to transform shopping into a personalized journey of inspiration, discovery, and evaluation by helping customers evaluate how products will fit and flatter their unique self before they ship. In this role, you will be responsible for building scalable computer vision and machine learning (CVML) models, and automating their application and expansion to power customer\-facing features.  
We are seeking domain expertise specifically in 3D Generative AI and Inverse Rendering. Relevant topics include Neural Fields, Implicit 3D Representations, NeRFs, Differentiable Rendering/Simulation, and Physically Based Rendering (PBR) Materials. We expect strong expertise at the intersection of Computer Graphics, Computer Vision, and Deep Learning. An inclination towards Generative AI, such as GANs, VQ\-VAE/GAN, and Diffusion Models, is essential. Additionally, experience in application\-specific domains such as Neural Avatars, Parametric Body Models, and Differentiable Rendering/Simulation will be highly advantageous.  
Key job responsibilities  
* Explore, collect, and process data
* Frame and transform ambiguous business challenges into science hypotheses. Design and implement offline and online experiments to evaluate them
* Develop prototypes to test new concepts/proposals for models and algorithms
* Design and build automated, scalable pipelines to train and deploy ML models
**BASIC QUALIFICATIONS**
------------------------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developing and implementing deep learning algorithms, particularly with respect to computer vision algorithms
* Experience in patents or publications at top\-tier peer\-reviewed conferences or journals
* Experience with popular deep learning frameworks such as Tensor Flow and PyTorch.
* Usage of generative AI tools to enhance workflow efficiency, with a willingness to learn effective prompting and evaluation practices.
* Ability to recognize opportunities where generative AI could enhance products, workflows, or customer experiences.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266">
      <c r="A266" t="inlineStr">
        <is>
          <t>in-d6df0a458c064be2</t>
        </is>
      </c>
      <c r="B266" t="inlineStr">
        <is>
          <t>Applied Scientist, GenAI Evaluation Media</t>
        </is>
      </c>
      <c r="C266" t="inlineStr">
        <is>
          <t>Amazon.com</t>
        </is>
      </c>
      <c r="D266" t="inlineStr">
        <is>
          <t>indeed</t>
        </is>
      </c>
      <c r="E266">
        <f>HYPERLINK("https://www.indeed.com/viewjob?jk=d6df0a458c064be2", "https://www.indeed.com/viewjob?jk=d6df0a458c064be2")</f>
        <v/>
      </c>
      <c r="F266">
        <f>HYPERLINK("https://www.amazon.jobs/jobs/3159215/applied-scientist-genai-evaluation-media?cmpid=DA_INAD200785B", "https://www.amazon.jobs/jobs/3159215/applied-scientist-genai-evaluation-media?cmpid=DA_INAD200785B")</f>
        <v/>
      </c>
      <c r="G266" t="inlineStr">
        <is>
          <t>Sunnyvale, CA, US</t>
        </is>
      </c>
      <c r="H266" s="3" t="n">
        <v>46006</v>
      </c>
      <c r="I266" t="inlineStr">
        <is>
          <t>**DESCRIPTION**
---------------
We are seeking an Applied Scientist to join our Generate AI Visual Media \- Core Experiences Science team. This organization drives significant business value by revolutionizing how customers interact with product imagery and videos across Amazon. Working at the intersection of Computer Vision and Generative AI, you will help customers make confident purchase decisions through optimized visual content. Our goal is to transform shopping into a personalized journey of inspiration, discovery, and evaluation by helping customers evaluate how products will fit and flatter their unique self before they ship. In this role, you will be responsible for building scalable computer vision and machine learning (CVML) models, and automating their application and expansion to power customer\-facing features.  
We are seeking domain expertise specifically in 3D Generative AI and Inverse Rendering. Relevant topics include Neural Fields, Implicit 3D Representations, NeRFs, Differentiable Rendering/Simulation, and Physically Based Rendering (PBR) Materials. We expect strong expertise at the intersection of Computer Graphics, Computer Vision, and Deep Learning. An inclination towards Generative AI, such as GANs, VQ\-VAE/GAN, and Diffusion Models, is essential. Additionally, experience in application\-specific domains such as Neural Avatars, Parametric Body Models, and Differentiable Rendering/Simulation will be highly advantageous.  
Key job responsibilities  
* Explore, collect, and process data
* Frame and transform ambiguous business challenges into science hypotheses. Design and implement offline and online experiments to evaluate them
* Develop prototypes to test new concepts/proposals for models and algorithms
* Design and build automated, scalable pipelines to train and deploy ML models
**BASIC QUALIFICATIONS**
------------------------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developing and implementing deep learning algorithms, particularly with respect to computer vision algorithms
* Experience in patents or publications at top\-tier peer\-reviewed conferences or journals
* Experience with popular deep learning frameworks such as Tensor Flow and PyTorch.
* Usage of generative AI tools to enhance workflow efficiency, with a willingness to learn effective prompting and evaluation practices.
* Ability to recognize opportunities where generative AI could enhance products, workflows, or customer experiences.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267">
      <c r="A267" t="inlineStr">
        <is>
          <t>in-b1cf94f99f18ab60</t>
        </is>
      </c>
      <c r="B267" t="inlineStr">
        <is>
          <t>Applied Scientist, GenAI Evaluation Media</t>
        </is>
      </c>
      <c r="C267" t="inlineStr">
        <is>
          <t>Amazon.com</t>
        </is>
      </c>
      <c r="D267" t="inlineStr">
        <is>
          <t>indeed</t>
        </is>
      </c>
      <c r="E267">
        <f>HYPERLINK("https://www.indeed.com/viewjob?jk=b1cf94f99f18ab60", "https://www.indeed.com/viewjob?jk=b1cf94f99f18ab60")</f>
        <v/>
      </c>
      <c r="F267">
        <f>HYPERLINK("https://www.amazon.jobs/jobs/3159215/applied-scientist-genai-evaluation-media?cmpid=DA_INAD200785B", "https://www.amazon.jobs/jobs/3159215/applied-scientist-genai-evaluation-media?cmpid=DA_INAD200785B")</f>
        <v/>
      </c>
      <c r="G267" t="inlineStr">
        <is>
          <t>New York, NY, US</t>
        </is>
      </c>
      <c r="H267" s="3" t="n">
        <v>46006</v>
      </c>
      <c r="I267" t="inlineStr">
        <is>
          <t>**DESCRIPTION**
---------------
We are seeking an Applied Scientist to join our Generate AI Visual Media \- Core Experiences Science team. This organization drives significant business value by revolutionizing how customers interact with product imagery and videos across Amazon. Working at the intersection of Computer Vision and Generative AI, you will help customers make confident purchase decisions through optimized visual content. Our goal is to transform shopping into a personalized journey of inspiration, discovery, and evaluation by helping customers evaluate how products will fit and flatter their unique self before they ship. In this role, you will be responsible for building scalable computer vision and machine learning (CVML) models, and automating their application and expansion to power customer\-facing features.  
We are seeking domain expertise specifically in 3D Generative AI and Inverse Rendering. Relevant topics include Neural Fields, Implicit 3D Representations, NeRFs, Differentiable Rendering/Simulation, and Physically Based Rendering (PBR) Materials. We expect strong expertise at the intersection of Computer Graphics, Computer Vision, and Deep Learning. An inclination towards Generative AI, such as GANs, VQ\-VAE/GAN, and Diffusion Models, is essential. Additionally, experience in application\-specific domains such as Neural Avatars, Parametric Body Models, and Differentiable Rendering/Simulation will be highly advantageous.  
Key job responsibilities  
* Explore, collect, and process data
* Frame and transform ambiguous business challenges into science hypotheses. Design and implement offline and online experiments to evaluate them
* Develop prototypes to test new concepts/proposals for models and algorithms
* Design and build automated, scalable pipelines to train and deploy ML models
**BASIC QUALIFICATIONS**
------------------------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developing and implementing deep learning algorithms, particularly with respect to computer vision algorithms
* Experience in patents or publications at top\-tier peer\-reviewed conferences or journals
* Experience with popular deep learning frameworks such as Tensor Flow and PyTorch.
* Usage of generative AI tools to enhance workflow efficiency, with a willingness to learn effective prompting and evaluation practices.
* Ability to recognize opportunities where generative AI could enhance products, workflows, or customer experiences.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268">
      <c r="A268" t="inlineStr">
        <is>
          <t>in-3c40b29c48a733db</t>
        </is>
      </c>
      <c r="B268" t="inlineStr">
        <is>
          <t>Principal Applied Scientist, Kiro Science</t>
        </is>
      </c>
      <c r="C268" t="inlineStr">
        <is>
          <t>Amazon Web Services</t>
        </is>
      </c>
      <c r="D268" t="inlineStr">
        <is>
          <t>indeed</t>
        </is>
      </c>
      <c r="E268">
        <f>HYPERLINK("https://www.indeed.com/viewjob?jk=3c40b29c48a733db", "https://www.indeed.com/viewjob?jk=3c40b29c48a733db")</f>
        <v/>
      </c>
      <c r="F268">
        <f>HYPERLINK("https://www.amazon.jobs/jobs/3161064/principal-applied-scientist-kiro-science?cmpid=DA_INAD200785B", "https://www.amazon.jobs/jobs/3161064/principal-applied-scientist-kiro-science?cmpid=DA_INAD200785B")</f>
        <v/>
      </c>
      <c r="G268" t="inlineStr">
        <is>
          <t>Santa Clara, CA, US</t>
        </is>
      </c>
      <c r="H268" s="3" t="n">
        <v>45999</v>
      </c>
      <c r="I268"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269">
      <c r="A269" t="inlineStr">
        <is>
          <t>in-7dc96c2bab23f3ef</t>
        </is>
      </c>
      <c r="B269" t="inlineStr">
        <is>
          <t>Principal Applied Scientist, Kiro Science</t>
        </is>
      </c>
      <c r="C269" t="inlineStr">
        <is>
          <t>Amazon Web Services</t>
        </is>
      </c>
      <c r="D269" t="inlineStr">
        <is>
          <t>indeed</t>
        </is>
      </c>
      <c r="E269">
        <f>HYPERLINK("https://www.indeed.com/viewjob?jk=7dc96c2bab23f3ef", "https://www.indeed.com/viewjob?jk=7dc96c2bab23f3ef")</f>
        <v/>
      </c>
      <c r="F269">
        <f>HYPERLINK("https://www.amazon.jobs/jobs/3161064/principal-applied-scientist-kiro-science?cmpid=DA_INAD200785B", "https://www.amazon.jobs/jobs/3161064/principal-applied-scientist-kiro-science?cmpid=DA_INAD200785B")</f>
        <v/>
      </c>
      <c r="G269" t="inlineStr">
        <is>
          <t>New York, NY, US</t>
        </is>
      </c>
      <c r="H269" s="3" t="n">
        <v>45999</v>
      </c>
      <c r="I269"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270">
      <c r="A270" t="inlineStr">
        <is>
          <t>in-81d255ee3f3f311d</t>
        </is>
      </c>
      <c r="B270" t="inlineStr">
        <is>
          <t>Sr. Machine Learning Engineer, AGIF | Finetuning</t>
        </is>
      </c>
      <c r="C270" t="inlineStr">
        <is>
          <t>Amazon.com</t>
        </is>
      </c>
      <c r="D270" t="inlineStr">
        <is>
          <t>indeed</t>
        </is>
      </c>
      <c r="E270">
        <f>HYPERLINK("https://www.indeed.com/viewjob?jk=81d255ee3f3f311d", "https://www.indeed.com/viewjob?jk=81d255ee3f3f311d")</f>
        <v/>
      </c>
      <c r="F270">
        <f>HYPERLINK("https://www.amazon.jobs/jobs/3145989/sr-machine-learning-engineer-agif--finetuning?cmpid=DA_INAD200785B", "https://www.amazon.jobs/jobs/3145989/sr-machine-learning-engineer-agif--finetuning?cmpid=DA_INAD200785B")</f>
        <v/>
      </c>
      <c r="G270" t="inlineStr">
        <is>
          <t>Bellevue, WA, US</t>
        </is>
      </c>
      <c r="H270" s="3" t="n">
        <v>45984</v>
      </c>
      <c r="I270"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1">
      <c r="A271" t="inlineStr">
        <is>
          <t>in-d1ed0d67e7414d3f</t>
        </is>
      </c>
      <c r="B271" t="inlineStr">
        <is>
          <t>Sr. Machine Learning Engineer, AGIF | Finetuning</t>
        </is>
      </c>
      <c r="C271" t="inlineStr">
        <is>
          <t>Amazon.com</t>
        </is>
      </c>
      <c r="D271" t="inlineStr">
        <is>
          <t>indeed</t>
        </is>
      </c>
      <c r="E271">
        <f>HYPERLINK("https://www.indeed.com/viewjob?jk=d1ed0d67e7414d3f", "https://www.indeed.com/viewjob?jk=d1ed0d67e7414d3f")</f>
        <v/>
      </c>
      <c r="F271">
        <f>HYPERLINK("https://www.amazon.jobs/jobs/3145989/sr-machine-learning-engineer-agif--finetuning?cmpid=DA_INAD200785B", "https://www.amazon.jobs/jobs/3145989/sr-machine-learning-engineer-agif--finetuning?cmpid=DA_INAD200785B")</f>
        <v/>
      </c>
      <c r="G271" t="inlineStr">
        <is>
          <t>Sunnyvale, CA, US</t>
        </is>
      </c>
      <c r="H271" s="3" t="n">
        <v>45984</v>
      </c>
      <c r="I271"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2">
      <c r="A272" t="inlineStr">
        <is>
          <t>in-572287b9da696478</t>
        </is>
      </c>
      <c r="B272" t="inlineStr">
        <is>
          <t>Sr. Machine Learning Engineer, AGIF | Finetuning</t>
        </is>
      </c>
      <c r="C272" t="inlineStr">
        <is>
          <t>Amazon.com</t>
        </is>
      </c>
      <c r="D272" t="inlineStr">
        <is>
          <t>indeed</t>
        </is>
      </c>
      <c r="E272">
        <f>HYPERLINK("https://www.indeed.com/viewjob?jk=572287b9da696478", "https://www.indeed.com/viewjob?jk=572287b9da696478")</f>
        <v/>
      </c>
      <c r="F272">
        <f>HYPERLINK("https://www.amazon.jobs/jobs/3145989/sr-machine-learning-engineer-agif--finetuning?cmpid=DA_INAD200785B", "https://www.amazon.jobs/jobs/3145989/sr-machine-learning-engineer-agif--finetuning?cmpid=DA_INAD200785B")</f>
        <v/>
      </c>
      <c r="G272" t="inlineStr">
        <is>
          <t>New York, NY, US</t>
        </is>
      </c>
      <c r="H272" s="3" t="n">
        <v>45984</v>
      </c>
      <c r="I272"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3">
      <c r="A273" t="inlineStr">
        <is>
          <t>in-84889ae3903c3ecf</t>
        </is>
      </c>
      <c r="B273" t="inlineStr">
        <is>
          <t>Principal Applied Scientist, Sponsored Products and Brands</t>
        </is>
      </c>
      <c r="C273" t="inlineStr">
        <is>
          <t>Amazon.com</t>
        </is>
      </c>
      <c r="D273" t="inlineStr">
        <is>
          <t>indeed</t>
        </is>
      </c>
      <c r="E273">
        <f>HYPERLINK("https://www.indeed.com/viewjob?jk=84889ae3903c3ecf", "https://www.indeed.com/viewjob?jk=84889ae3903c3ecf")</f>
        <v/>
      </c>
      <c r="F273">
        <f>HYPERLINK("https://www.amazon.jobs/jobs/3130855/principal-applied-scientist-sponsored-products-and-brands?cmpid=DA_INAD200785B", "https://www.amazon.jobs/jobs/3130855/principal-applied-scientist-sponsored-products-and-brands?cmpid=DA_INAD200785B")</f>
        <v/>
      </c>
      <c r="G273" t="inlineStr">
        <is>
          <t>New York, NY, US</t>
        </is>
      </c>
      <c r="H273" s="3" t="n">
        <v>45979</v>
      </c>
      <c r="I273"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4">
      <c r="A274" t="inlineStr">
        <is>
          <t>in-5ab6f9795d805f1c</t>
        </is>
      </c>
      <c r="B274" t="inlineStr">
        <is>
          <t>Principal Applied Scientist, Sponsored Products and Brands</t>
        </is>
      </c>
      <c r="C274" t="inlineStr">
        <is>
          <t>Amazon.com</t>
        </is>
      </c>
      <c r="D274" t="inlineStr">
        <is>
          <t>indeed</t>
        </is>
      </c>
      <c r="E274">
        <f>HYPERLINK("https://www.indeed.com/viewjob?jk=5ab6f9795d805f1c", "https://www.indeed.com/viewjob?jk=5ab6f9795d805f1c")</f>
        <v/>
      </c>
      <c r="F274">
        <f>HYPERLINK("https://www.amazon.jobs/jobs/3130855/principal-applied-scientist-sponsored-products-and-brands?cmpid=DA_INAD200785B", "https://www.amazon.jobs/jobs/3130855/principal-applied-scientist-sponsored-products-and-brands?cmpid=DA_INAD200785B")</f>
        <v/>
      </c>
      <c r="G274" t="inlineStr">
        <is>
          <t>Seattle, WA, US</t>
        </is>
      </c>
      <c r="H274" s="3" t="n">
        <v>45979</v>
      </c>
      <c r="I274"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5">
      <c r="A275" t="inlineStr">
        <is>
          <t>in-1c909fae4b6788af</t>
        </is>
      </c>
      <c r="B275" t="inlineStr">
        <is>
          <t>Applied Scientist, Personalization, DTx Science</t>
        </is>
      </c>
      <c r="C275" t="inlineStr">
        <is>
          <t>Amazon.com</t>
        </is>
      </c>
      <c r="D275" t="inlineStr">
        <is>
          <t>indeed</t>
        </is>
      </c>
      <c r="E275">
        <f>HYPERLINK("https://www.indeed.com/viewjob?jk=1c909fae4b6788af", "https://www.indeed.com/viewjob?jk=1c909fae4b6788af")</f>
        <v/>
      </c>
      <c r="F275">
        <f>HYPERLINK("https://www.amazon.jobs/jobs/3136853/applied-scientist-personalization-dtx-science?cmpid=DA_INAD200785B", "https://www.amazon.jobs/jobs/3136853/applied-scientist-personalization-dtx-science?cmpid=DA_INAD200785B")</f>
        <v/>
      </c>
      <c r="G275" t="inlineStr">
        <is>
          <t>New York, NY, US</t>
        </is>
      </c>
      <c r="H275" s="3" t="n">
        <v>45979</v>
      </c>
      <c r="I275"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276">
      <c r="A276" t="inlineStr">
        <is>
          <t>in-9266f0187eaa8f8a</t>
        </is>
      </c>
      <c r="B276" t="inlineStr">
        <is>
          <t>Applied Scientist, Personalization, DTx Science</t>
        </is>
      </c>
      <c r="C276" t="inlineStr">
        <is>
          <t>Amazon.com</t>
        </is>
      </c>
      <c r="D276" t="inlineStr">
        <is>
          <t>indeed</t>
        </is>
      </c>
      <c r="E276">
        <f>HYPERLINK("https://www.indeed.com/viewjob?jk=9266f0187eaa8f8a", "https://www.indeed.com/viewjob?jk=9266f0187eaa8f8a")</f>
        <v/>
      </c>
      <c r="F276">
        <f>HYPERLINK("https://www.amazon.jobs/jobs/3136853/applied-scientist-personalization-dtx-science?cmpid=DA_INAD200785B", "https://www.amazon.jobs/jobs/3136853/applied-scientist-personalization-dtx-science?cmpid=DA_INAD200785B")</f>
        <v/>
      </c>
      <c r="G276" t="inlineStr">
        <is>
          <t>Seattle, WA, US</t>
        </is>
      </c>
      <c r="H276" s="3" t="n">
        <v>45979</v>
      </c>
      <c r="I276"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277">
      <c r="A277" t="inlineStr">
        <is>
          <t>in-ec7fac6e966d4b04</t>
        </is>
      </c>
      <c r="B277" t="inlineStr">
        <is>
          <t>Senior Applied Scientist, Sponsored Products and Brands</t>
        </is>
      </c>
      <c r="C277" t="inlineStr">
        <is>
          <t>Amazon.com</t>
        </is>
      </c>
      <c r="D277" t="inlineStr">
        <is>
          <t>indeed</t>
        </is>
      </c>
      <c r="E277">
        <f>HYPERLINK("https://www.indeed.com/viewjob?jk=ec7fac6e966d4b04", "https://www.indeed.com/viewjob?jk=ec7fac6e966d4b04")</f>
        <v/>
      </c>
      <c r="F277">
        <f>HYPERLINK("https://www.amazon.jobs/jobs/3130062/senior-applied-scientist-sponsored-products-and-brands?cmpid=DA_INAD200785B", "https://www.amazon.jobs/jobs/3130062/senior-applied-scientist-sponsored-products-and-brands?cmpid=DA_INAD200785B")</f>
        <v/>
      </c>
      <c r="G277" t="inlineStr">
        <is>
          <t>New York, NY, US</t>
        </is>
      </c>
      <c r="H277" s="3" t="n">
        <v>45979</v>
      </c>
      <c r="I277"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278">
      <c r="A278" t="inlineStr">
        <is>
          <t>in-5efcd95d119542b4</t>
        </is>
      </c>
      <c r="B278" t="inlineStr">
        <is>
          <t>Senior Applied Scientist, Sponsored Products and Brands</t>
        </is>
      </c>
      <c r="C278" t="inlineStr">
        <is>
          <t>Amazon.com</t>
        </is>
      </c>
      <c r="D278" t="inlineStr">
        <is>
          <t>indeed</t>
        </is>
      </c>
      <c r="E278">
        <f>HYPERLINK("https://www.indeed.com/viewjob?jk=5efcd95d119542b4", "https://www.indeed.com/viewjob?jk=5efcd95d119542b4")</f>
        <v/>
      </c>
      <c r="F278">
        <f>HYPERLINK("https://www.amazon.jobs/jobs/3130062/senior-applied-scientist-sponsored-products-and-brands?cmpid=DA_INAD200785B", "https://www.amazon.jobs/jobs/3130062/senior-applied-scientist-sponsored-products-and-brands?cmpid=DA_INAD200785B")</f>
        <v/>
      </c>
      <c r="G278" t="inlineStr">
        <is>
          <t>Seattle, WA, US</t>
        </is>
      </c>
      <c r="H278" s="3" t="n">
        <v>45979</v>
      </c>
      <c r="I278"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279">
      <c r="A279" t="inlineStr">
        <is>
          <t>in-2ae495a0e96c1d10</t>
        </is>
      </c>
      <c r="B279" t="inlineStr">
        <is>
          <t>Principal Applied Scientist, Amazon AGI</t>
        </is>
      </c>
      <c r="C279" t="inlineStr">
        <is>
          <t>Amazon.com</t>
        </is>
      </c>
      <c r="D279" t="inlineStr">
        <is>
          <t>indeed</t>
        </is>
      </c>
      <c r="E279">
        <f>HYPERLINK("https://www.indeed.com/viewjob?jk=2ae495a0e96c1d10", "https://www.indeed.com/viewjob?jk=2ae495a0e96c1d10")</f>
        <v/>
      </c>
      <c r="F279">
        <f>HYPERLINK("https://www.amazon.jobs/jobs/3128808/principal-applied-scientist-amazon-agi?cmpid=DA_INAD200785B", "https://www.amazon.jobs/jobs/3128808/principal-applied-scientist-amazon-agi?cmpid=DA_INAD200785B")</f>
        <v/>
      </c>
      <c r="G279" t="inlineStr">
        <is>
          <t>San Francisco, CA, US</t>
        </is>
      </c>
      <c r="H279" s="3" t="n">
        <v>45964</v>
      </c>
      <c r="I279"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0">
      <c r="A280" t="inlineStr">
        <is>
          <t>in-d02f1e94a6203263</t>
        </is>
      </c>
      <c r="B280" t="inlineStr">
        <is>
          <t>Principal Applied Scientist, Amazon AGI</t>
        </is>
      </c>
      <c r="C280" t="inlineStr">
        <is>
          <t>Amazon.com</t>
        </is>
      </c>
      <c r="D280" t="inlineStr">
        <is>
          <t>indeed</t>
        </is>
      </c>
      <c r="E280">
        <f>HYPERLINK("https://www.indeed.com/viewjob?jk=d02f1e94a6203263", "https://www.indeed.com/viewjob?jk=d02f1e94a6203263")</f>
        <v/>
      </c>
      <c r="F280">
        <f>HYPERLINK("https://www.amazon.jobs/jobs/3128808/principal-applied-scientist-amazon-agi?cmpid=DA_INAD200785B", "https://www.amazon.jobs/jobs/3128808/principal-applied-scientist-amazon-agi?cmpid=DA_INAD200785B")</f>
        <v/>
      </c>
      <c r="G280" t="inlineStr">
        <is>
          <t>Boston, MA, US</t>
        </is>
      </c>
      <c r="H280" s="3" t="n">
        <v>45964</v>
      </c>
      <c r="I280"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1">
      <c r="A281" t="inlineStr">
        <is>
          <t>in-c3dfa2056225bb5e</t>
        </is>
      </c>
      <c r="B281" t="inlineStr">
        <is>
          <t>Applied Scientist, AWS Agentic AI</t>
        </is>
      </c>
      <c r="C281" t="inlineStr">
        <is>
          <t>Amazon Web Services</t>
        </is>
      </c>
      <c r="D281" t="inlineStr">
        <is>
          <t>indeed</t>
        </is>
      </c>
      <c r="E281">
        <f>HYPERLINK("https://www.indeed.com/viewjob?jk=c3dfa2056225bb5e", "https://www.indeed.com/viewjob?jk=c3dfa2056225bb5e")</f>
        <v/>
      </c>
      <c r="F281">
        <f>HYPERLINK("https://www.amazon.jobs/jobs/3141517/applied-scientist-aws-agentic-ai-?cmpid=DA_INAD200785B", "https://www.amazon.jobs/jobs/3141517/applied-scientist-aws-agentic-ai-?cmpid=DA_INAD200785B")</f>
        <v/>
      </c>
      <c r="G281" t="inlineStr">
        <is>
          <t>Santa Clara, CA, US</t>
        </is>
      </c>
      <c r="H281" s="3" t="n">
        <v>45962</v>
      </c>
      <c r="I281"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2">
      <c r="A282" t="inlineStr">
        <is>
          <t>in-52c79c38b152934f</t>
        </is>
      </c>
      <c r="B282" t="inlineStr">
        <is>
          <t>Applied Scientist, AWS Agentic AI</t>
        </is>
      </c>
      <c r="C282" t="inlineStr">
        <is>
          <t>Amazon Web Services</t>
        </is>
      </c>
      <c r="D282" t="inlineStr">
        <is>
          <t>indeed</t>
        </is>
      </c>
      <c r="E282">
        <f>HYPERLINK("https://www.indeed.com/viewjob?jk=52c79c38b152934f", "https://www.indeed.com/viewjob?jk=52c79c38b152934f")</f>
        <v/>
      </c>
      <c r="F282">
        <f>HYPERLINK("https://www.amazon.jobs/jobs/3141517/applied-scientist-aws-agentic-ai-?cmpid=DA_INAD200785B", "https://www.amazon.jobs/jobs/3141517/applied-scientist-aws-agentic-ai-?cmpid=DA_INAD200785B")</f>
        <v/>
      </c>
      <c r="G282" t="inlineStr">
        <is>
          <t>Seattle, WA, US</t>
        </is>
      </c>
      <c r="H282" s="3" t="n">
        <v>45962</v>
      </c>
      <c r="I282"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3">
      <c r="A283" t="inlineStr">
        <is>
          <t>in-b86f5369b0b0a679</t>
        </is>
      </c>
      <c r="B283" t="inlineStr">
        <is>
          <t>Applied Scientist, AWS Agentic AI</t>
        </is>
      </c>
      <c r="C283" t="inlineStr">
        <is>
          <t>Amazon Web Services</t>
        </is>
      </c>
      <c r="D283" t="inlineStr">
        <is>
          <t>indeed</t>
        </is>
      </c>
      <c r="E283">
        <f>HYPERLINK("https://www.indeed.com/viewjob?jk=b86f5369b0b0a679", "https://www.indeed.com/viewjob?jk=b86f5369b0b0a679")</f>
        <v/>
      </c>
      <c r="F283">
        <f>HYPERLINK("https://www.amazon.jobs/jobs/3141517/applied-scientist-aws-agentic-ai-?cmpid=DA_INAD200785B", "https://www.amazon.jobs/jobs/3141517/applied-scientist-aws-agentic-ai-?cmpid=DA_INAD200785B")</f>
        <v/>
      </c>
      <c r="G283" t="inlineStr">
        <is>
          <t>New York, NY, US</t>
        </is>
      </c>
      <c r="H283" s="3" t="n">
        <v>45962</v>
      </c>
      <c r="I283"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4">
      <c r="A284" t="inlineStr">
        <is>
          <t>in-4183ee657fe8e02b</t>
        </is>
      </c>
      <c r="B284" t="inlineStr">
        <is>
          <t>Sr. Applied Scientist, Prime Video - Personalization and Discovery Science</t>
        </is>
      </c>
      <c r="C284" t="inlineStr">
        <is>
          <t>Amazon.com</t>
        </is>
      </c>
      <c r="D284" t="inlineStr">
        <is>
          <t>indeed</t>
        </is>
      </c>
      <c r="E284">
        <f>HYPERLINK("https://www.indeed.com/viewjob?jk=4183ee657fe8e02b", "https://www.indeed.com/viewjob?jk=4183ee657fe8e02b")</f>
        <v/>
      </c>
      <c r="F284">
        <f>HYPERLINK("https://www.amazon.jobs/jobs/3118785/sr-applied-scientist-prime-video--personalization-and-discovery-science?cmpid=DA_INAD200785B", "https://www.amazon.jobs/jobs/3118785/sr-applied-scientist-prime-video--personalization-and-discovery-science?cmpid=DA_INAD200785B")</f>
        <v/>
      </c>
      <c r="G284" t="inlineStr">
        <is>
          <t>Seattle, WA, US</t>
        </is>
      </c>
      <c r="H284" s="3" t="n">
        <v>45959</v>
      </c>
      <c r="I2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285">
      <c r="A285" t="inlineStr">
        <is>
          <t>in-c5b7e498a501a803</t>
        </is>
      </c>
      <c r="B285" t="inlineStr">
        <is>
          <t>Applied Scientist, Prime Video - Content Understanding, Localization &amp; Enrichment Team</t>
        </is>
      </c>
      <c r="C285" t="inlineStr">
        <is>
          <t>Amazon.com</t>
        </is>
      </c>
      <c r="D285" t="inlineStr">
        <is>
          <t>indeed</t>
        </is>
      </c>
      <c r="E285">
        <f>HYPERLINK("https://www.indeed.com/viewjob?jk=c5b7e498a501a803", "https://www.indeed.com/viewjob?jk=c5b7e498a501a803")</f>
        <v/>
      </c>
      <c r="F285">
        <f>HYPERLINK("https://www.amazon.jobs/jobs/3111928/applied-scientist-prime-video--content-understanding-localization--enrichment-team?cmpid=DA_INAD200785B", "https://www.amazon.jobs/jobs/3111928/applied-scientist-prime-video--content-understanding-localization--enrichment-team?cmpid=DA_INAD200785B")</f>
        <v/>
      </c>
      <c r="G285" t="inlineStr">
        <is>
          <t>San Francisco, CA, US</t>
        </is>
      </c>
      <c r="H285" s="3" t="n">
        <v>45943</v>
      </c>
      <c r="I28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286">
      <c r="A286" t="inlineStr">
        <is>
          <t>in-6a7817df57ab4f64</t>
        </is>
      </c>
      <c r="B286" t="inlineStr">
        <is>
          <t>Applied Scientist, Prime Video - Content Understanding, Localization &amp; Enrichment Team</t>
        </is>
      </c>
      <c r="C286" t="inlineStr">
        <is>
          <t>Amazon.com</t>
        </is>
      </c>
      <c r="D286" t="inlineStr">
        <is>
          <t>indeed</t>
        </is>
      </c>
      <c r="E286">
        <f>HYPERLINK("https://www.indeed.com/viewjob?jk=6a7817df57ab4f64", "https://www.indeed.com/viewjob?jk=6a7817df57ab4f64")</f>
        <v/>
      </c>
      <c r="F286">
        <f>HYPERLINK("https://www.amazon.jobs/jobs/3111928/applied-scientist-prime-video--content-understanding-localization--enrichment-team?cmpid=DA_INAD200785B", "https://www.amazon.jobs/jobs/3111928/applied-scientist-prime-video--content-understanding-localization--enrichment-team?cmpid=DA_INAD200785B")</f>
        <v/>
      </c>
      <c r="G286" t="inlineStr">
        <is>
          <t>Seattle, WA, US</t>
        </is>
      </c>
      <c r="H286" s="3" t="n">
        <v>45943</v>
      </c>
      <c r="I28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287">
      <c r="A287" t="inlineStr">
        <is>
          <t>in-721cb4c8be53364a</t>
        </is>
      </c>
      <c r="B287" t="inlineStr">
        <is>
          <t>Principal Applied Scientist, Advertiser Growth, Amazon Sponsored Products &amp; Brands</t>
        </is>
      </c>
      <c r="C287" t="inlineStr">
        <is>
          <t>Amazon.com</t>
        </is>
      </c>
      <c r="D287" t="inlineStr">
        <is>
          <t>indeed</t>
        </is>
      </c>
      <c r="E287">
        <f>HYPERLINK("https://www.indeed.com/viewjob?jk=721cb4c8be53364a", "https://www.indeed.com/viewjob?jk=721cb4c8be53364a")</f>
        <v/>
      </c>
      <c r="F287">
        <f>HYPERLINK("https://www.amazon.jobs/jobs/3115279/principal-applied-scientist-advertiser-growth-amazon-sponsored-products--brands?cmpid=DA_INAD200785B", "https://www.amazon.jobs/jobs/3115279/principal-applied-scientist-advertiser-growth-amazon-sponsored-products--brands?cmpid=DA_INAD200785B")</f>
        <v/>
      </c>
      <c r="G287" t="inlineStr">
        <is>
          <t>Palo Alto, CA, US</t>
        </is>
      </c>
      <c r="H287" s="3" t="n">
        <v>45942</v>
      </c>
      <c r="I287"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8">
      <c r="A288" t="inlineStr">
        <is>
          <t>in-879892fb36cfa4f1</t>
        </is>
      </c>
      <c r="B288" t="inlineStr">
        <is>
          <t>Principal Applied Scientist, Advertiser Growth, Amazon Sponsored Products &amp; Brands</t>
        </is>
      </c>
      <c r="C288" t="inlineStr">
        <is>
          <t>Amazon.com</t>
        </is>
      </c>
      <c r="D288" t="inlineStr">
        <is>
          <t>indeed</t>
        </is>
      </c>
      <c r="E288">
        <f>HYPERLINK("https://www.indeed.com/viewjob?jk=879892fb36cfa4f1", "https://www.indeed.com/viewjob?jk=879892fb36cfa4f1")</f>
        <v/>
      </c>
      <c r="F288">
        <f>HYPERLINK("https://www.amazon.jobs/jobs/3115279/principal-applied-scientist-advertiser-growth-amazon-sponsored-products--brands?cmpid=DA_INAD200785B", "https://www.amazon.jobs/jobs/3115279/principal-applied-scientist-advertiser-growth-amazon-sponsored-products--brands?cmpid=DA_INAD200785B")</f>
        <v/>
      </c>
      <c r="G288" t="inlineStr">
        <is>
          <t>New York, NY, US</t>
        </is>
      </c>
      <c r="H288" s="3" t="n">
        <v>45942</v>
      </c>
      <c r="I288"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9">
      <c r="A289" t="inlineStr">
        <is>
          <t>in-8f126273380105db</t>
        </is>
      </c>
      <c r="B289" t="inlineStr">
        <is>
          <t>Principal Applied Scientist, Advertiser Growth, Amazon Sponsored Products &amp; Brands</t>
        </is>
      </c>
      <c r="C289" t="inlineStr">
        <is>
          <t>Amazon.com</t>
        </is>
      </c>
      <c r="D289" t="inlineStr">
        <is>
          <t>indeed</t>
        </is>
      </c>
      <c r="E289">
        <f>HYPERLINK("https://www.indeed.com/viewjob?jk=8f126273380105db", "https://www.indeed.com/viewjob?jk=8f126273380105db")</f>
        <v/>
      </c>
      <c r="F289">
        <f>HYPERLINK("https://www.amazon.jobs/jobs/3115279/principal-applied-scientist-advertiser-growth-amazon-sponsored-products--brands?cmpid=DA_INAD200785B", "https://www.amazon.jobs/jobs/3115279/principal-applied-scientist-advertiser-growth-amazon-sponsored-products--brands?cmpid=DA_INAD200785B")</f>
        <v/>
      </c>
      <c r="G289" t="inlineStr">
        <is>
          <t>Seattle, WA, US</t>
        </is>
      </c>
      <c r="H289" s="3" t="n">
        <v>45942</v>
      </c>
      <c r="I289"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0">
      <c r="A290" t="inlineStr">
        <is>
          <t>in-eebf06e9287783c4</t>
        </is>
      </c>
      <c r="B290" t="inlineStr">
        <is>
          <t>Applied Scientist</t>
        </is>
      </c>
      <c r="C290" t="inlineStr">
        <is>
          <t>Amazon.com</t>
        </is>
      </c>
      <c r="D290" t="inlineStr">
        <is>
          <t>indeed</t>
        </is>
      </c>
      <c r="E290">
        <f>HYPERLINK("https://www.indeed.com/viewjob?jk=eebf06e9287783c4", "https://www.indeed.com/viewjob?jk=eebf06e9287783c4")</f>
        <v/>
      </c>
      <c r="F290">
        <f>HYPERLINK("https://www.amazon.jobs/jobs/3106501/applied-scientist?cmpid=DA_INAD200785B", "https://www.amazon.jobs/jobs/3106501/applied-scientist?cmpid=DA_INAD200785B")</f>
        <v/>
      </c>
      <c r="G290" t="inlineStr">
        <is>
          <t>New York, NY, US</t>
        </is>
      </c>
      <c r="H290" s="3" t="n">
        <v>45939</v>
      </c>
      <c r="I29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1">
      <c r="A291" t="inlineStr">
        <is>
          <t>in-e1b6c33ec12bcaac</t>
        </is>
      </c>
      <c r="B291" t="inlineStr">
        <is>
          <t>Applied Scientist, Workplace Health &amp; Safety</t>
        </is>
      </c>
      <c r="C291" t="inlineStr">
        <is>
          <t>Amazon.com</t>
        </is>
      </c>
      <c r="D291" t="inlineStr">
        <is>
          <t>indeed</t>
        </is>
      </c>
      <c r="E291">
        <f>HYPERLINK("https://www.indeed.com/viewjob?jk=e1b6c33ec12bcaac", "https://www.indeed.com/viewjob?jk=e1b6c33ec12bcaac")</f>
        <v/>
      </c>
      <c r="F291">
        <f>HYPERLINK("https://www.amazon.jobs/jobs/3144886/applied-scientist-workplace-health--safety-?cmpid=DA_INAD200785B", "https://www.amazon.jobs/jobs/3144886/applied-scientist-workplace-health--safety-?cmpid=DA_INAD200785B")</f>
        <v/>
      </c>
      <c r="G291" t="inlineStr">
        <is>
          <t>Bellevue, WA, US</t>
        </is>
      </c>
      <c r="H291" s="3" t="n">
        <v>45917</v>
      </c>
      <c r="I291"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2">
      <c r="A292" t="inlineStr">
        <is>
          <t>in-97db6225351dffe3</t>
        </is>
      </c>
      <c r="B292" t="inlineStr">
        <is>
          <t>Applied Scientist, Workplace Health &amp; Safety</t>
        </is>
      </c>
      <c r="C292" t="inlineStr">
        <is>
          <t>Amazon.com</t>
        </is>
      </c>
      <c r="D292" t="inlineStr">
        <is>
          <t>indeed</t>
        </is>
      </c>
      <c r="E292">
        <f>HYPERLINK("https://www.indeed.com/viewjob?jk=97db6225351dffe3", "https://www.indeed.com/viewjob?jk=97db6225351dffe3")</f>
        <v/>
      </c>
      <c r="F292">
        <f>HYPERLINK("https://www.amazon.jobs/jobs/3144886/applied-scientist-workplace-health--safety-?cmpid=DA_INAD200785B", "https://www.amazon.jobs/jobs/3144886/applied-scientist-workplace-health--safety-?cmpid=DA_INAD200785B")</f>
        <v/>
      </c>
      <c r="G292" t="inlineStr">
        <is>
          <t>Nashville, TN, US</t>
        </is>
      </c>
      <c r="H292" s="3" t="n">
        <v>45917</v>
      </c>
      <c r="I292"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3">
      <c r="A293" t="inlineStr">
        <is>
          <t>in-973dac5087257272</t>
        </is>
      </c>
      <c r="B293" t="inlineStr">
        <is>
          <t>Applied Scientist II, Creative X - RAPID</t>
        </is>
      </c>
      <c r="C293" t="inlineStr">
        <is>
          <t>Amazon.com</t>
        </is>
      </c>
      <c r="D293" t="inlineStr">
        <is>
          <t>indeed</t>
        </is>
      </c>
      <c r="E293">
        <f>HYPERLINK("https://www.indeed.com/viewjob?jk=973dac5087257272", "https://www.indeed.com/viewjob?jk=973dac5087257272")</f>
        <v/>
      </c>
      <c r="F293">
        <f>HYPERLINK("https://www.amazon.jobs/jobs/3083576/applied-scientist-ii-creative-x--rapid?cmpid=DA_INAD200785B", "https://www.amazon.jobs/jobs/3083576/applied-scientist-ii-creative-x--rapid?cmpid=DA_INAD200785B")</f>
        <v/>
      </c>
      <c r="G293" t="inlineStr">
        <is>
          <t>Seattle, WA, US</t>
        </is>
      </c>
      <c r="H293" s="3" t="n">
        <v>45908</v>
      </c>
      <c r="I293"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294">
      <c r="A294" t="inlineStr">
        <is>
          <t>in-86a56e5b23f58416</t>
        </is>
      </c>
      <c r="B294" t="inlineStr">
        <is>
          <t>Applied Scientist II, Creative X - RAPID</t>
        </is>
      </c>
      <c r="C294" t="inlineStr">
        <is>
          <t>Amazon.com</t>
        </is>
      </c>
      <c r="D294" t="inlineStr">
        <is>
          <t>indeed</t>
        </is>
      </c>
      <c r="E294">
        <f>HYPERLINK("https://www.indeed.com/viewjob?jk=86a56e5b23f58416", "https://www.indeed.com/viewjob?jk=86a56e5b23f58416")</f>
        <v/>
      </c>
      <c r="F294">
        <f>HYPERLINK("https://www.amazon.jobs/jobs/3083576/applied-scientist-ii-creative-x--rapid?cmpid=DA_INAD200785B", "https://www.amazon.jobs/jobs/3083576/applied-scientist-ii-creative-x--rapid?cmpid=DA_INAD200785B")</f>
        <v/>
      </c>
      <c r="G294" t="inlineStr">
        <is>
          <t>New York, NY, US</t>
        </is>
      </c>
      <c r="H294" s="3" t="n">
        <v>45908</v>
      </c>
      <c r="I294"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295">
      <c r="A295" t="inlineStr">
        <is>
          <t>in-903e03359640a8c4</t>
        </is>
      </c>
      <c r="B295" t="inlineStr">
        <is>
          <t>Applied Scientist II, Prime Video , Personalization and Discovery Science</t>
        </is>
      </c>
      <c r="C295" t="inlineStr">
        <is>
          <t>Amazon.com</t>
        </is>
      </c>
      <c r="D295" t="inlineStr">
        <is>
          <t>indeed</t>
        </is>
      </c>
      <c r="E295">
        <f>HYPERLINK("https://www.indeed.com/viewjob?jk=903e03359640a8c4", "https://www.indeed.com/viewjob?jk=903e03359640a8c4")</f>
        <v/>
      </c>
      <c r="F295">
        <f>HYPERLINK("https://www.amazon.jobs/jobs/3061303/applied-scientist-ii-prime-video--personalization-and-discovery-science?cmpid=DA_INAD200785B", "https://www.amazon.jobs/jobs/3061303/applied-scientist-ii-prime-video--personalization-and-discovery-science?cmpid=DA_INAD200785B")</f>
        <v/>
      </c>
      <c r="G295" t="inlineStr">
        <is>
          <t>Sunnyvale, CA, US</t>
        </is>
      </c>
      <c r="H295" s="3" t="n">
        <v>45886</v>
      </c>
      <c r="I29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296">
      <c r="A296" t="inlineStr">
        <is>
          <t>in-248ca94058ab0448</t>
        </is>
      </c>
      <c r="B296" t="inlineStr">
        <is>
          <t>Applied Scientist II, Prime Video , Personalization and Discovery Science</t>
        </is>
      </c>
      <c r="C296" t="inlineStr">
        <is>
          <t>Amazon.com</t>
        </is>
      </c>
      <c r="D296" t="inlineStr">
        <is>
          <t>indeed</t>
        </is>
      </c>
      <c r="E296">
        <f>HYPERLINK("https://www.indeed.com/viewjob?jk=248ca94058ab0448", "https://www.indeed.com/viewjob?jk=248ca94058ab0448")</f>
        <v/>
      </c>
      <c r="F296">
        <f>HYPERLINK("https://www.amazon.jobs/jobs/3061303/applied-scientist-ii-prime-video--personalization-and-discovery-science?cmpid=DA_INAD200785B", "https://www.amazon.jobs/jobs/3061303/applied-scientist-ii-prime-video--personalization-and-discovery-science?cmpid=DA_INAD200785B")</f>
        <v/>
      </c>
      <c r="G296" t="inlineStr">
        <is>
          <t>Seattle, WA, US</t>
        </is>
      </c>
      <c r="H296" s="3" t="n">
        <v>45886</v>
      </c>
      <c r="I29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297">
      <c r="A297" t="inlineStr">
        <is>
          <t>in-4240bf08572dc0b2</t>
        </is>
      </c>
      <c r="B297" t="inlineStr">
        <is>
          <t>Applied Scientist II, Prime Video , Personalization and Discovery Science</t>
        </is>
      </c>
      <c r="C297" t="inlineStr">
        <is>
          <t>Amazon.com</t>
        </is>
      </c>
      <c r="D297" t="inlineStr">
        <is>
          <t>indeed</t>
        </is>
      </c>
      <c r="E297">
        <f>HYPERLINK("https://www.indeed.com/viewjob?jk=4240bf08572dc0b2", "https://www.indeed.com/viewjob?jk=4240bf08572dc0b2")</f>
        <v/>
      </c>
      <c r="F297">
        <f>HYPERLINK("https://www.amazon.jobs/jobs/3061303/applied-scientist-ii-prime-video--personalization-and-discovery-science?cmpid=DA_INAD200785B", "https://www.amazon.jobs/jobs/3061303/applied-scientist-ii-prime-video--personalization-and-discovery-science?cmpid=DA_INAD200785B")</f>
        <v/>
      </c>
      <c r="G297" t="inlineStr">
        <is>
          <t>New York, NY, US</t>
        </is>
      </c>
      <c r="H297" s="3" t="n">
        <v>45886</v>
      </c>
      <c r="I29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298">
      <c r="A298" t="inlineStr">
        <is>
          <t>in-0bc9e81db084ebd2</t>
        </is>
      </c>
      <c r="B298" t="inlineStr">
        <is>
          <t>Applied Scientist III, StoreGen</t>
        </is>
      </c>
      <c r="C298" t="inlineStr">
        <is>
          <t>Amazon.com</t>
        </is>
      </c>
      <c r="D298" t="inlineStr">
        <is>
          <t>indeed</t>
        </is>
      </c>
      <c r="E298">
        <f>HYPERLINK("https://www.indeed.com/viewjob?jk=0bc9e81db084ebd2", "https://www.indeed.com/viewjob?jk=0bc9e81db084ebd2")</f>
        <v/>
      </c>
      <c r="F298">
        <f>HYPERLINK("https://www.amazon.jobs/jobs/3065534/applied-scientist-iii-storegen?cmpid=DA_INAD200785B", "https://www.amazon.jobs/jobs/3065534/applied-scientist-iii-storegen?cmpid=DA_INAD200785B")</f>
        <v/>
      </c>
      <c r="G298" t="inlineStr">
        <is>
          <t>Seattle, WA, US</t>
        </is>
      </c>
      <c r="H298" s="3" t="n">
        <v>45868</v>
      </c>
      <c r="I298"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9">
      <c r="A299" t="inlineStr">
        <is>
          <t>in-e30059887febb71f</t>
        </is>
      </c>
      <c r="B299" t="inlineStr">
        <is>
          <t>Applied Scientist III, StoreGen</t>
        </is>
      </c>
      <c r="C299" t="inlineStr">
        <is>
          <t>Amazon.com</t>
        </is>
      </c>
      <c r="D299" t="inlineStr">
        <is>
          <t>indeed</t>
        </is>
      </c>
      <c r="E299">
        <f>HYPERLINK("https://www.indeed.com/viewjob?jk=e30059887febb71f", "https://www.indeed.com/viewjob?jk=e30059887febb71f")</f>
        <v/>
      </c>
      <c r="F299">
        <f>HYPERLINK("https://www.amazon.jobs/jobs/3065534/applied-scientist-iii-storegen?cmpid=DA_INAD200785B", "https://www.amazon.jobs/jobs/3065534/applied-scientist-iii-storegen?cmpid=DA_INAD200785B")</f>
        <v/>
      </c>
      <c r="G299" t="inlineStr">
        <is>
          <t>Sunnyvale, CA, US</t>
        </is>
      </c>
      <c r="H299" s="3" t="n">
        <v>45868</v>
      </c>
      <c r="I299"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0">
      <c r="A300" t="inlineStr">
        <is>
          <t>in-e44367136077a5b2</t>
        </is>
      </c>
      <c r="B300" t="inlineStr">
        <is>
          <t>Sr. Applied Scientist, Amazon Advertising</t>
        </is>
      </c>
      <c r="C300" t="inlineStr">
        <is>
          <t>Amazon.com</t>
        </is>
      </c>
      <c r="D300" t="inlineStr">
        <is>
          <t>indeed</t>
        </is>
      </c>
      <c r="E300">
        <f>HYPERLINK("https://www.indeed.com/viewjob?jk=e44367136077a5b2", "https://www.indeed.com/viewjob?jk=e44367136077a5b2")</f>
        <v/>
      </c>
      <c r="F300">
        <f>HYPERLINK("https://www.amazon.jobs/jobs/3035686/sr-applied-scientist-amazon-advertising?cmpid=DA_INAD200785B", "https://www.amazon.jobs/jobs/3035686/sr-applied-scientist-amazon-advertising?cmpid=DA_INAD200785B")</f>
        <v/>
      </c>
      <c r="G300" t="inlineStr">
        <is>
          <t>West Hollywood, CA, US</t>
        </is>
      </c>
      <c r="H300" s="3" t="n">
        <v>45851</v>
      </c>
      <c r="I30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1">
      <c r="A301" t="inlineStr">
        <is>
          <t>in-5dd7dc4183c77c78</t>
        </is>
      </c>
      <c r="B301" t="inlineStr">
        <is>
          <t>Sr. Applied Scientist, Amazon Advertising</t>
        </is>
      </c>
      <c r="C301" t="inlineStr">
        <is>
          <t>Amazon.com</t>
        </is>
      </c>
      <c r="D301" t="inlineStr">
        <is>
          <t>indeed</t>
        </is>
      </c>
      <c r="E301">
        <f>HYPERLINK("https://www.indeed.com/viewjob?jk=5dd7dc4183c77c78", "https://www.indeed.com/viewjob?jk=5dd7dc4183c77c78")</f>
        <v/>
      </c>
      <c r="F301">
        <f>HYPERLINK("https://www.amazon.jobs/jobs/3035686/sr-applied-scientist-amazon-advertising?cmpid=DA_INAD200785B", "https://www.amazon.jobs/jobs/3035686/sr-applied-scientist-amazon-advertising?cmpid=DA_INAD200785B")</f>
        <v/>
      </c>
      <c r="G301" t="inlineStr">
        <is>
          <t>Los Angeles, CA, US</t>
        </is>
      </c>
      <c r="H301" s="3" t="n">
        <v>45851</v>
      </c>
      <c r="I30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2">
      <c r="A302" t="inlineStr">
        <is>
          <t>in-10124824bc6c2c02</t>
        </is>
      </c>
      <c r="B302" t="inlineStr">
        <is>
          <t>Sr. Applied Scientist, Amazon Advertising</t>
        </is>
      </c>
      <c r="C302" t="inlineStr">
        <is>
          <t>Amazon.com</t>
        </is>
      </c>
      <c r="D302" t="inlineStr">
        <is>
          <t>indeed</t>
        </is>
      </c>
      <c r="E302">
        <f>HYPERLINK("https://www.indeed.com/viewjob?jk=10124824bc6c2c02", "https://www.indeed.com/viewjob?jk=10124824bc6c2c02")</f>
        <v/>
      </c>
      <c r="F302">
        <f>HYPERLINK("https://www.amazon.jobs/jobs/3035686/sr-applied-scientist-amazon-advertising?cmpid=DA_INAD200785B", "https://www.amazon.jobs/jobs/3035686/sr-applied-scientist-amazon-advertising?cmpid=DA_INAD200785B")</f>
        <v/>
      </c>
      <c r="G302" t="inlineStr">
        <is>
          <t>Seattle, WA, US</t>
        </is>
      </c>
      <c r="H302" s="3" t="n">
        <v>45851</v>
      </c>
      <c r="I30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3">
      <c r="A303" t="inlineStr">
        <is>
          <t>in-de12ffde64eb770a</t>
        </is>
      </c>
      <c r="B303" t="inlineStr">
        <is>
          <t>Sr. Applied Scientist, Amazon Advertising</t>
        </is>
      </c>
      <c r="C303" t="inlineStr">
        <is>
          <t>Amazon.com</t>
        </is>
      </c>
      <c r="D303" t="inlineStr">
        <is>
          <t>indeed</t>
        </is>
      </c>
      <c r="E303">
        <f>HYPERLINK("https://www.indeed.com/viewjob?jk=de12ffde64eb770a", "https://www.indeed.com/viewjob?jk=de12ffde64eb770a")</f>
        <v/>
      </c>
      <c r="F303">
        <f>HYPERLINK("https://www.amazon.jobs/jobs/3035686/sr-applied-scientist-amazon-advertising?cmpid=DA_INAD200785B", "https://www.amazon.jobs/jobs/3035686/sr-applied-scientist-amazon-advertising?cmpid=DA_INAD200785B")</f>
        <v/>
      </c>
      <c r="G303" t="inlineStr">
        <is>
          <t>Palo Alto, CA, US</t>
        </is>
      </c>
      <c r="H303" s="3" t="n">
        <v>45851</v>
      </c>
      <c r="I30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4">
      <c r="A304" t="inlineStr">
        <is>
          <t>in-0974070160d030e8</t>
        </is>
      </c>
      <c r="B304" t="inlineStr">
        <is>
          <t>Sr. Applied Scientist, Amazon Advertising</t>
        </is>
      </c>
      <c r="C304" t="inlineStr">
        <is>
          <t>Amazon.com</t>
        </is>
      </c>
      <c r="D304" t="inlineStr">
        <is>
          <t>indeed</t>
        </is>
      </c>
      <c r="E304">
        <f>HYPERLINK("https://www.indeed.com/viewjob?jk=0974070160d030e8", "https://www.indeed.com/viewjob?jk=0974070160d030e8")</f>
        <v/>
      </c>
      <c r="F304">
        <f>HYPERLINK("https://www.amazon.jobs/jobs/3035686/sr-applied-scientist-amazon-advertising?cmpid=DA_INAD200785B", "https://www.amazon.jobs/jobs/3035686/sr-applied-scientist-amazon-advertising?cmpid=DA_INAD200785B")</f>
        <v/>
      </c>
      <c r="G304" t="inlineStr">
        <is>
          <t>Simi Valley, CA, US</t>
        </is>
      </c>
      <c r="H304" s="3" t="n">
        <v>45851</v>
      </c>
      <c r="I30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5">
      <c r="A305" t="inlineStr">
        <is>
          <t>in-3cdf57191e0cb0a5</t>
        </is>
      </c>
      <c r="B305" t="inlineStr">
        <is>
          <t>Sr. Applied Scientist, Amazon Advertising</t>
        </is>
      </c>
      <c r="C305" t="inlineStr">
        <is>
          <t>Amazon.com</t>
        </is>
      </c>
      <c r="D305" t="inlineStr">
        <is>
          <t>indeed</t>
        </is>
      </c>
      <c r="E305">
        <f>HYPERLINK("https://www.indeed.com/viewjob?jk=3cdf57191e0cb0a5", "https://www.indeed.com/viewjob?jk=3cdf57191e0cb0a5")</f>
        <v/>
      </c>
      <c r="F305">
        <f>HYPERLINK("https://www.amazon.jobs/jobs/3035686/sr-applied-scientist-amazon-advertising?cmpid=DA_INAD200785B", "https://www.amazon.jobs/jobs/3035686/sr-applied-scientist-amazon-advertising?cmpid=DA_INAD200785B")</f>
        <v/>
      </c>
      <c r="G305" t="inlineStr">
        <is>
          <t>New York, NY, US</t>
        </is>
      </c>
      <c r="H305" s="3" t="n">
        <v>45851</v>
      </c>
      <c r="I30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6">
      <c r="A306" t="inlineStr">
        <is>
          <t>in-54a37de321383a55</t>
        </is>
      </c>
      <c r="B306" t="inlineStr">
        <is>
          <t>Sr. Applied Scientist, Amazon Advertising</t>
        </is>
      </c>
      <c r="C306" t="inlineStr">
        <is>
          <t>Amazon.com</t>
        </is>
      </c>
      <c r="D306" t="inlineStr">
        <is>
          <t>indeed</t>
        </is>
      </c>
      <c r="E306">
        <f>HYPERLINK("https://www.indeed.com/viewjob?jk=54a37de321383a55", "https://www.indeed.com/viewjob?jk=54a37de321383a55")</f>
        <v/>
      </c>
      <c r="F306">
        <f>HYPERLINK("https://www.amazon.jobs/jobs/3035686/sr-applied-scientist-amazon-advertising?cmpid=DA_INAD200785B", "https://www.amazon.jobs/jobs/3035686/sr-applied-scientist-amazon-advertising?cmpid=DA_INAD200785B")</f>
        <v/>
      </c>
      <c r="G306" t="inlineStr">
        <is>
          <t>Austin, TX, US</t>
        </is>
      </c>
      <c r="H306" s="3" t="n">
        <v>45851</v>
      </c>
      <c r="I30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7">
      <c r="A307" t="inlineStr">
        <is>
          <t>in-2190b3ac959be173</t>
        </is>
      </c>
      <c r="B307" t="inlineStr">
        <is>
          <t>Sr. Applied Scientist, Amazon Advertising</t>
        </is>
      </c>
      <c r="C307" t="inlineStr">
        <is>
          <t>Amazon.com</t>
        </is>
      </c>
      <c r="D307" t="inlineStr">
        <is>
          <t>indeed</t>
        </is>
      </c>
      <c r="E307">
        <f>HYPERLINK("https://www.indeed.com/viewjob?jk=2190b3ac959be173", "https://www.indeed.com/viewjob?jk=2190b3ac959be173")</f>
        <v/>
      </c>
      <c r="F307">
        <f>HYPERLINK("https://www.amazon.jobs/jobs/3035686/sr-applied-scientist-amazon-advertising?cmpid=DA_INAD200785B", "https://www.amazon.jobs/jobs/3035686/sr-applied-scientist-amazon-advertising?cmpid=DA_INAD200785B")</f>
        <v/>
      </c>
      <c r="G307" t="inlineStr">
        <is>
          <t>Arlington, VA, US</t>
        </is>
      </c>
      <c r="H307" s="3" t="n">
        <v>45851</v>
      </c>
      <c r="I30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8">
      <c r="A308" t="inlineStr">
        <is>
          <t>in-c86aeae744bb0297</t>
        </is>
      </c>
      <c r="B308" t="inlineStr">
        <is>
          <t>Sr. Applied Scientist, Sales AI</t>
        </is>
      </c>
      <c r="C308" t="inlineStr">
        <is>
          <t>Amazon.com</t>
        </is>
      </c>
      <c r="D308" t="inlineStr">
        <is>
          <t>indeed</t>
        </is>
      </c>
      <c r="E308">
        <f>HYPERLINK("https://www.indeed.com/viewjob?jk=c86aeae744bb0297", "https://www.indeed.com/viewjob?jk=c86aeae744bb0297")</f>
        <v/>
      </c>
      <c r="F308">
        <f>HYPERLINK("https://www.amazon.jobs/jobs/3020528/sr-applied-scientist-sales-ai?cmpid=DA_INAD200785B", "https://www.amazon.jobs/jobs/3020528/sr-applied-scientist-sales-ai?cmpid=DA_INAD200785B")</f>
        <v/>
      </c>
      <c r="G308" t="inlineStr">
        <is>
          <t>Sunnyvale, CA, US</t>
        </is>
      </c>
      <c r="H308" s="3" t="n">
        <v>45830</v>
      </c>
      <c r="I308"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9">
      <c r="A309" t="inlineStr">
        <is>
          <t>in-96a4bf02ab01cf12</t>
        </is>
      </c>
      <c r="B309" t="inlineStr">
        <is>
          <t>Sr. Applied Scientist, Sales AI</t>
        </is>
      </c>
      <c r="C309" t="inlineStr">
        <is>
          <t>Amazon.com</t>
        </is>
      </c>
      <c r="D309" t="inlineStr">
        <is>
          <t>indeed</t>
        </is>
      </c>
      <c r="E309">
        <f>HYPERLINK("https://www.indeed.com/viewjob?jk=96a4bf02ab01cf12", "https://www.indeed.com/viewjob?jk=96a4bf02ab01cf12")</f>
        <v/>
      </c>
      <c r="F309">
        <f>HYPERLINK("https://www.amazon.jobs/jobs/3020528/sr-applied-scientist-sales-ai?cmpid=DA_INAD200785B", "https://www.amazon.jobs/jobs/3020528/sr-applied-scientist-sales-ai?cmpid=DA_INAD200785B")</f>
        <v/>
      </c>
      <c r="G309" t="inlineStr">
        <is>
          <t>New York, NY, US</t>
        </is>
      </c>
      <c r="H309" s="3" t="n">
        <v>45830</v>
      </c>
      <c r="I309"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0">
      <c r="A310" t="inlineStr">
        <is>
          <t>in-99c3ecf76a4bb3cc</t>
        </is>
      </c>
      <c r="B310" t="inlineStr">
        <is>
          <t>Sr. Applied Scientist, Sales AI</t>
        </is>
      </c>
      <c r="C310" t="inlineStr">
        <is>
          <t>Amazon.com</t>
        </is>
      </c>
      <c r="D310" t="inlineStr">
        <is>
          <t>indeed</t>
        </is>
      </c>
      <c r="E310">
        <f>HYPERLINK("https://www.indeed.com/viewjob?jk=99c3ecf76a4bb3cc", "https://www.indeed.com/viewjob?jk=99c3ecf76a4bb3cc")</f>
        <v/>
      </c>
      <c r="F310">
        <f>HYPERLINK("https://www.amazon.jobs/jobs/3020528/sr-applied-scientist-sales-ai?cmpid=DA_INAD200785B", "https://www.amazon.jobs/jobs/3020528/sr-applied-scientist-sales-ai?cmpid=DA_INAD200785B")</f>
        <v/>
      </c>
      <c r="G310" t="inlineStr">
        <is>
          <t>Seattle, WA, US</t>
        </is>
      </c>
      <c r="H310" s="3" t="n">
        <v>45830</v>
      </c>
      <c r="I310"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1">
      <c r="A311" t="inlineStr">
        <is>
          <t>in-c9612b04746e1007</t>
        </is>
      </c>
      <c r="B311" t="inlineStr">
        <is>
          <t>Principal Applied Scientist, Delivery Foundation Model</t>
        </is>
      </c>
      <c r="C311" t="inlineStr">
        <is>
          <t>Amazon.com</t>
        </is>
      </c>
      <c r="D311" t="inlineStr">
        <is>
          <t>indeed</t>
        </is>
      </c>
      <c r="E311">
        <f>HYPERLINK("https://www.indeed.com/viewjob?jk=c9612b04746e1007", "https://www.indeed.com/viewjob?jk=c9612b04746e1007")</f>
        <v/>
      </c>
      <c r="F311">
        <f>HYPERLINK("https://www.amazon.jobs/jobs/3006938/principal-applied-scientist-delivery-foundation-model-?cmpid=DA_INAD200785B", "https://www.amazon.jobs/jobs/3006938/principal-applied-scientist-delivery-foundation-model-?cmpid=DA_INAD200785B")</f>
        <v/>
      </c>
      <c r="G311" t="inlineStr">
        <is>
          <t>Santa Clara, CA, US</t>
        </is>
      </c>
      <c r="H311" s="3" t="n">
        <v>45810</v>
      </c>
      <c r="I31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2">
      <c r="A312" t="inlineStr">
        <is>
          <t>in-571e9ad9a02732ed</t>
        </is>
      </c>
      <c r="B312" t="inlineStr">
        <is>
          <t>Principal Applied Scientist, Delivery Foundation Model</t>
        </is>
      </c>
      <c r="C312" t="inlineStr">
        <is>
          <t>Amazon.com</t>
        </is>
      </c>
      <c r="D312" t="inlineStr">
        <is>
          <t>indeed</t>
        </is>
      </c>
      <c r="E312">
        <f>HYPERLINK("https://www.indeed.com/viewjob?jk=571e9ad9a02732ed", "https://www.indeed.com/viewjob?jk=571e9ad9a02732ed")</f>
        <v/>
      </c>
      <c r="F312">
        <f>HYPERLINK("https://www.amazon.jobs/jobs/3006938/principal-applied-scientist-delivery-foundation-model-?cmpid=DA_INAD200785B", "https://www.amazon.jobs/jobs/3006938/principal-applied-scientist-delivery-foundation-model-?cmpid=DA_INAD200785B")</f>
        <v/>
      </c>
      <c r="G312" t="inlineStr">
        <is>
          <t>New York, NY, US</t>
        </is>
      </c>
      <c r="H312" s="3" t="n">
        <v>45810</v>
      </c>
      <c r="I31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3">
      <c r="A313" t="inlineStr">
        <is>
          <t>in-4fad2e4e8b39b843</t>
        </is>
      </c>
      <c r="B313" t="inlineStr">
        <is>
          <t>Principal Applied Scientist, Delivery Foundation Model</t>
        </is>
      </c>
      <c r="C313" t="inlineStr">
        <is>
          <t>Amazon.com</t>
        </is>
      </c>
      <c r="D313" t="inlineStr">
        <is>
          <t>indeed</t>
        </is>
      </c>
      <c r="E313">
        <f>HYPERLINK("https://www.indeed.com/viewjob?jk=4fad2e4e8b39b843", "https://www.indeed.com/viewjob?jk=4fad2e4e8b39b843")</f>
        <v/>
      </c>
      <c r="F313">
        <f>HYPERLINK("https://www.amazon.jobs/jobs/3006938/principal-applied-scientist-delivery-foundation-model-?cmpid=DA_INAD200785B", "https://www.amazon.jobs/jobs/3006938/principal-applied-scientist-delivery-foundation-model-?cmpid=DA_INAD200785B")</f>
        <v/>
      </c>
      <c r="G313" t="inlineStr">
        <is>
          <t>Austin, TX, US</t>
        </is>
      </c>
      <c r="H313" s="3" t="n">
        <v>45810</v>
      </c>
      <c r="I31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4">
      <c r="A314" t="inlineStr">
        <is>
          <t>in-f673e6854bcbc959</t>
        </is>
      </c>
      <c r="B314" t="inlineStr">
        <is>
          <t>Principal Applied Scientist, Delivery Foundation Model</t>
        </is>
      </c>
      <c r="C314" t="inlineStr">
        <is>
          <t>Amazon.com</t>
        </is>
      </c>
      <c r="D314" t="inlineStr">
        <is>
          <t>indeed</t>
        </is>
      </c>
      <c r="E314">
        <f>HYPERLINK("https://www.indeed.com/viewjob?jk=f673e6854bcbc959", "https://www.indeed.com/viewjob?jk=f673e6854bcbc959")</f>
        <v/>
      </c>
      <c r="F314">
        <f>HYPERLINK("https://www.amazon.jobs/jobs/3006938/principal-applied-scientist-delivery-foundation-model-?cmpid=DA_INAD200785B", "https://www.amazon.jobs/jobs/3006938/principal-applied-scientist-delivery-foundation-model-?cmpid=DA_INAD200785B")</f>
        <v/>
      </c>
      <c r="G314" t="inlineStr">
        <is>
          <t>Bellevue, WA, US</t>
        </is>
      </c>
      <c r="H314" s="3" t="n">
        <v>45810</v>
      </c>
      <c r="I31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5">
      <c r="A315" t="inlineStr">
        <is>
          <t>in-7f6924bfa73144d0</t>
        </is>
      </c>
      <c r="B315" t="inlineStr">
        <is>
          <t>Senior Applied Scientist, Delivery Foundation Model</t>
        </is>
      </c>
      <c r="C315" t="inlineStr">
        <is>
          <t>Amazon.com</t>
        </is>
      </c>
      <c r="D315" t="inlineStr">
        <is>
          <t>indeed</t>
        </is>
      </c>
      <c r="E315">
        <f>HYPERLINK("https://www.indeed.com/viewjob?jk=7f6924bfa73144d0", "https://www.indeed.com/viewjob?jk=7f6924bfa73144d0")</f>
        <v/>
      </c>
      <c r="F315">
        <f>HYPERLINK("https://www.amazon.jobs/jobs/2998435/senior-applied-scientist-delivery-foundation-model-?cmpid=DA_INAD200785B", "https://www.amazon.jobs/jobs/2998435/senior-applied-scientist-delivery-foundation-model-?cmpid=DA_INAD200785B")</f>
        <v/>
      </c>
      <c r="G315" t="inlineStr">
        <is>
          <t>New York, NY, US</t>
        </is>
      </c>
      <c r="H315" s="3" t="n">
        <v>45806</v>
      </c>
      <c r="I31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6">
      <c r="A316" t="inlineStr">
        <is>
          <t>in-128c622c34e4b309</t>
        </is>
      </c>
      <c r="B316" t="inlineStr">
        <is>
          <t>Senior Applied Scientist, Delivery Foundation Model</t>
        </is>
      </c>
      <c r="C316" t="inlineStr">
        <is>
          <t>Amazon.com</t>
        </is>
      </c>
      <c r="D316" t="inlineStr">
        <is>
          <t>indeed</t>
        </is>
      </c>
      <c r="E316">
        <f>HYPERLINK("https://www.indeed.com/viewjob?jk=128c622c34e4b309", "https://www.indeed.com/viewjob?jk=128c622c34e4b309")</f>
        <v/>
      </c>
      <c r="F316">
        <f>HYPERLINK("https://www.amazon.jobs/jobs/2998435/senior-applied-scientist-delivery-foundation-model-?cmpid=DA_INAD200785B", "https://www.amazon.jobs/jobs/2998435/senior-applied-scientist-delivery-foundation-model-?cmpid=DA_INAD200785B")</f>
        <v/>
      </c>
      <c r="G316" t="inlineStr">
        <is>
          <t>Santa Clara, CA, US</t>
        </is>
      </c>
      <c r="H316" s="3" t="n">
        <v>45806</v>
      </c>
      <c r="I31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7">
      <c r="A317" t="inlineStr">
        <is>
          <t>in-f5aa0cd1256c881e</t>
        </is>
      </c>
      <c r="B317" t="inlineStr">
        <is>
          <t>Senior Applied Scientist, Delivery Foundation Model</t>
        </is>
      </c>
      <c r="C317" t="inlineStr">
        <is>
          <t>Amazon.com</t>
        </is>
      </c>
      <c r="D317" t="inlineStr">
        <is>
          <t>indeed</t>
        </is>
      </c>
      <c r="E317">
        <f>HYPERLINK("https://www.indeed.com/viewjob?jk=f5aa0cd1256c881e", "https://www.indeed.com/viewjob?jk=f5aa0cd1256c881e")</f>
        <v/>
      </c>
      <c r="F317">
        <f>HYPERLINK("https://www.amazon.jobs/jobs/2998435/senior-applied-scientist-delivery-foundation-model-?cmpid=DA_INAD200785B", "https://www.amazon.jobs/jobs/2998435/senior-applied-scientist-delivery-foundation-model-?cmpid=DA_INAD200785B")</f>
        <v/>
      </c>
      <c r="G317" t="inlineStr">
        <is>
          <t>Bellevue, WA, US</t>
        </is>
      </c>
      <c r="H317" s="3" t="n">
        <v>45806</v>
      </c>
      <c r="I31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8">
      <c r="A318" t="inlineStr">
        <is>
          <t>in-38156efc177e8156</t>
        </is>
      </c>
      <c r="B318" t="inlineStr">
        <is>
          <t>Principal Applied Scientist, Delivery Foundation Model</t>
        </is>
      </c>
      <c r="C318" t="inlineStr">
        <is>
          <t>Amazon.com</t>
        </is>
      </c>
      <c r="D318" t="inlineStr">
        <is>
          <t>indeed</t>
        </is>
      </c>
      <c r="E318">
        <f>HYPERLINK("https://www.indeed.com/viewjob?jk=38156efc177e8156", "https://www.indeed.com/viewjob?jk=38156efc177e8156")</f>
        <v/>
      </c>
      <c r="F318">
        <f>HYPERLINK("https://www.amazon.jobs/jobs/2998635/principal-applied-scientist-delivery-foundation-model-?cmpid=DA_INAD200785B", "https://www.amazon.jobs/jobs/2998635/principal-applied-scientist-delivery-foundation-model-?cmpid=DA_INAD200785B")</f>
        <v/>
      </c>
      <c r="G318" t="inlineStr">
        <is>
          <t>Santa Clara, CA, US</t>
        </is>
      </c>
      <c r="H318" s="3" t="n">
        <v>45757</v>
      </c>
      <c r="I31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9">
      <c r="A319" t="inlineStr">
        <is>
          <t>in-9a59702be72369ee</t>
        </is>
      </c>
      <c r="B319" t="inlineStr">
        <is>
          <t>Principal Applied Scientist, Delivery Foundation Model</t>
        </is>
      </c>
      <c r="C319" t="inlineStr">
        <is>
          <t>Amazon.com</t>
        </is>
      </c>
      <c r="D319" t="inlineStr">
        <is>
          <t>indeed</t>
        </is>
      </c>
      <c r="E319">
        <f>HYPERLINK("https://www.indeed.com/viewjob?jk=9a59702be72369ee", "https://www.indeed.com/viewjob?jk=9a59702be72369ee")</f>
        <v/>
      </c>
      <c r="F319">
        <f>HYPERLINK("https://www.amazon.jobs/jobs/2998635/principal-applied-scientist-delivery-foundation-model-?cmpid=DA_INAD200785B", "https://www.amazon.jobs/jobs/2998635/principal-applied-scientist-delivery-foundation-model-?cmpid=DA_INAD200785B")</f>
        <v/>
      </c>
      <c r="G319" t="inlineStr">
        <is>
          <t>New York, NY, US</t>
        </is>
      </c>
      <c r="H319" s="3" t="n">
        <v>45757</v>
      </c>
      <c r="I31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0">
      <c r="A320" t="inlineStr">
        <is>
          <t>in-c624907617ba4ac4</t>
        </is>
      </c>
      <c r="B320" t="inlineStr">
        <is>
          <t>Principal Applied Scientist, Delivery Foundation Model</t>
        </is>
      </c>
      <c r="C320" t="inlineStr">
        <is>
          <t>Amazon.com</t>
        </is>
      </c>
      <c r="D320" t="inlineStr">
        <is>
          <t>indeed</t>
        </is>
      </c>
      <c r="E320">
        <f>HYPERLINK("https://www.indeed.com/viewjob?jk=c624907617ba4ac4", "https://www.indeed.com/viewjob?jk=c624907617ba4ac4")</f>
        <v/>
      </c>
      <c r="F320">
        <f>HYPERLINK("https://www.amazon.jobs/jobs/2998635/principal-applied-scientist-delivery-foundation-model-?cmpid=DA_INAD200785B", "https://www.amazon.jobs/jobs/2998635/principal-applied-scientist-delivery-foundation-model-?cmpid=DA_INAD200785B")</f>
        <v/>
      </c>
      <c r="G320" t="inlineStr">
        <is>
          <t>Bellevue, WA, US</t>
        </is>
      </c>
      <c r="H320" s="3" t="n">
        <v>45757</v>
      </c>
      <c r="I32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1">
      <c r="A321" t="inlineStr">
        <is>
          <t>in-3f697e604dc83e1b</t>
        </is>
      </c>
      <c r="B321" t="inlineStr">
        <is>
          <t>Principal Applied Scientist, FAR (Frontier AI &amp; Robotics)</t>
        </is>
      </c>
      <c r="C321" t="inlineStr">
        <is>
          <t>Amazon.com</t>
        </is>
      </c>
      <c r="D321" t="inlineStr">
        <is>
          <t>indeed</t>
        </is>
      </c>
      <c r="E321">
        <f>HYPERLINK("https://www.indeed.com/viewjob?jk=3f697e604dc83e1b", "https://www.indeed.com/viewjob?jk=3f697e604dc83e1b")</f>
        <v/>
      </c>
      <c r="F321">
        <f>HYPERLINK("https://www.amazon.jobs/jobs/2938625/principal-applied-scientist-far-frontier-ai--robotics?cmpid=DA_INAD200785B", "https://www.amazon.jobs/jobs/2938625/principal-applied-scientist-far-frontier-ai--robotics?cmpid=DA_INAD200785B")</f>
        <v/>
      </c>
      <c r="G321" t="inlineStr">
        <is>
          <t>Seattle, WA, US</t>
        </is>
      </c>
      <c r="H321" s="3" t="n">
        <v>45740</v>
      </c>
      <c r="I321"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2">
      <c r="A322" t="inlineStr">
        <is>
          <t>in-35e7c9e3bd274538</t>
        </is>
      </c>
      <c r="B322" t="inlineStr">
        <is>
          <t>Principal Applied Scientist, FAR (Frontier AI &amp; Robotics)</t>
        </is>
      </c>
      <c r="C322" t="inlineStr">
        <is>
          <t>Amazon.com</t>
        </is>
      </c>
      <c r="D322" t="inlineStr">
        <is>
          <t>indeed</t>
        </is>
      </c>
      <c r="E322">
        <f>HYPERLINK("https://www.indeed.com/viewjob?jk=35e7c9e3bd274538", "https://www.indeed.com/viewjob?jk=35e7c9e3bd274538")</f>
        <v/>
      </c>
      <c r="F322">
        <f>HYPERLINK("https://www.amazon.jobs/jobs/2938625/principal-applied-scientist-far-frontier-ai--robotics?cmpid=DA_INAD200785B", "https://www.amazon.jobs/jobs/2938625/principal-applied-scientist-far-frontier-ai--robotics?cmpid=DA_INAD200785B")</f>
        <v/>
      </c>
      <c r="G322" t="inlineStr">
        <is>
          <t>San Francisco, CA, US</t>
        </is>
      </c>
      <c r="H322" s="3" t="n">
        <v>45740</v>
      </c>
      <c r="I322"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3">
      <c r="A323" t="inlineStr">
        <is>
          <t>in-731a9fdfa0f5679e</t>
        </is>
      </c>
      <c r="B323" t="inlineStr">
        <is>
          <t>Senior ML/AI Engineering Manager, GenAI Experiences</t>
        </is>
      </c>
      <c r="C323" t="inlineStr">
        <is>
          <t>Adobe</t>
        </is>
      </c>
      <c r="D323" t="inlineStr">
        <is>
          <t>indeed</t>
        </is>
      </c>
      <c r="E323">
        <f>HYPERLINK("https://www.indeed.com/viewjob?jk=731a9fdfa0f5679e", "https://www.indeed.com/viewjob?jk=731a9fdfa0f5679e")</f>
        <v/>
      </c>
      <c r="F323">
        <f>HYPERLINK("https://careers.adobe.com/us/en/job/ADOBUSR165204EXTERNALENUS/Senior-ML-AI-Engineering-Manager-GenAI-Experiences?utm_source=indeed&amp;utm_medium=phenom-feeds", "https://careers.adobe.com/us/en/job/ADOBUSR165204EXTERNALENUS/Senior-ML-AI-Engineering-Manager-GenAI-Experiences?utm_source=indeed&amp;utm_medium=phenom-feeds")</f>
        <v/>
      </c>
      <c r="G323" t="inlineStr">
        <is>
          <t>San Jose, CA, US</t>
        </is>
      </c>
      <c r="H323" s="3" t="n">
        <v>46059</v>
      </c>
      <c r="I323"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Our GenAI Experiences Engineering team delivers customer\-facing AI capabilities across Adobe Experience Cloud . We operate with a startup mentality: rapid delivery of value, iterative learning, and scalable solutions that hold up in production.
As GenAI Experiences mature, we are expanding beyond reactive chat interactions into proactive, grounded, workflow\-aware intelligence across Experience Cloud. This role leads the ML/AI squad responsible for building the ML foundations and systems that make that shift possible.
The Opportunity
We are seeking an experienced Senior ML/AI Engineering Manager (M50\) to lead the Experience ML/AI squad within GenAI Experiences. This role owns delivery of the ML strategy that moves AI Assistant from a reactive experience (driven primarily by agents) to real\-time contextual intelligence, predictive workflow understanding, and safe natural\-language UI control across Experience Cloud.
This is a uniquely Experience\-focused ML/AI leadership role . We start from user outcomes—how products feel, work, and deliver value —and back into the right mix of ML techniques using UI context and user behavior/workflow signals to build proactive, grounded intelligence across Experience Cloud
This is intentionally scoped for a senior leader who operates beyond a single project or model. Success requires setting strategy and one\-year objectives , delegating across direct reports, and making complex tradeoffs where in\-depth knowledge of organizational goals and product constraints is required — consistent with M50 expectations.
You will partner closely with Product, Design, Application Engineering, and Agent/Orchestration counterparts to ensure ML systems are shippable, measurable, privacy\-conscious, and latency\-aware , and that they translate into durable product experiences rather than research prototypes.
Impact You’ll Make
In this role, you will directly influence Adobe’s ability to deliver differentiated GenAI experiences at scale by building the ML systems that unlock:
Real\-Time Contextual Intelligence \- instant page\-level insights on the edge
Predictive User Workflow Engine \- learning and predicting intent/next steps /insights over time and accounting for the broader multi\-application context
Natural Language Chat\-Based UI Control \- turning intent into safe, grounded agents to connect users to cross\-application functionality
You will also drive outcomes tied to the roadmap’s experience metrics (examples include engagement with surfaced insights, proactive recommendations, and defining specific benchmarks that align with both ML/AI quality \+user experience quality ).
**At this level, expectation is high leverage:** you shape outcomes across multiple roadmaps and teams by establishing the ML operating model, system ownership, and delivery rigor — not just optimizing within one model or one feature area.
What You’ll Own (ML Workstreams)
You will lead execution across six persistent ML workstreams (the organizational unit of delivery), ensuring clear ownership, cross\-team dependencies, and reusable ML foundations:
Page \&amp; UI Semantic Understanding and Manipulation
User Behavior, Intent \&amp; Workflow Analytics
Heterogeneous Object \&amp; Graph Modeling
NL Interaction with Cross Product New Services via Agents
Edge Inference \&amp; Model Optimization
Human\-in\-the\-Loop Control \&amp; Learning
Key Responsibilities
**Lead the ML/AI squad :** hire, mentor, and retain senior ML engineers; build a culture of applied rigor, startup style fast iteration, and measurable impact.
Set strategy and one\-year objectives for the Experience ML program, translating multi\-year vision into deliverable release plans and clear priorities aligned to product outcomes
Own end\-to\-end execution for ML systems powering GenAI Experiences across the three themes (real\-time contextual intelligence, predictive workflows, NL UI control).
**Operationalize ML Execution and Quality Standards :** establish standards for data readiness, evaluation, model quality, latency, privacy constraints, monitoring, and iteration loops so results reliably ship and improve.
Drive cross\-team tradeoffs and dependency management between ML workstreams and System Experience surfaces and UI Experience surfaces (where models must integrate into your peer teams ).
Scale impact by both with and without headcount\-only scaling ( improving operating models, tooling, automation, and reuse across roadmaps and workstreams ) .
**Remain hands\-on enough to unblock :** review strategic PRs/designs , guide technical choices, and help the team navigate tradeoffs (latency vs. quality, privacy vs. telemetry, offline vs. online inference).
Communicate with senior leadership (Sr. Director/VP partners) to drive alignment on workstreams, resourcing approach, and strategic tradeoffs
Qualifications
Experience building ML systems that modeling user behavior/workflows/data ( e.g. event streams, interfaces as data , page semantics ) and to infer intent and drive proactive UX — beyond traditional “system metrics/logs only” ML.
10\+ years of engineering experience with strong technical depth; experience shipping production systems that require high reliability and strong operational rigor.
6\+ years of engineering management experience, including leading senior engineers and/or managers; ability to set direction and delegate across complex domains consistent with high visibility scope.
Strong ML/AI/NL background sufficient to lead technical strategy and execution across: real\-time contextual modeling, workflow/behavior modeling, and grounded NL\-to\-action systems.
Proven ability to lead ambiguous, cross\-team initiatives, balancing speed, quality, privacy, and long\-term sustainability.
Excellent communication and influence skills across technical and non\-technical partners, including executive alignment on tradeoffs and investment.
Nice to Have
Experie nce with on\-device / edge ML constraints (latency, memory, privacy), and/or model optimization for client environments (the roadmap emphasizes client\-side models and “edge inference \&amp; optimization”).
Experience with knowledge graphs / heterogeneous modeling approaches for cross\-product grounding and reuse.
Experience building human\-in\-the\-loop systems (annotation, feedback, calibration, explainability, interruption management).
Experience building UI and user experience workflows
Bachelor's , Master’s, PhD in Machine Learning, Artificial Intelligence, Computer Science, Engineering, or related field
Our compensation reflects the cost of labor across several U.S. geographic markets, and we pay differently based on those defined markets. The U.S. pay range for this position is $178,900 \-\- $351,225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$242,600 \- $351,225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324">
      <c r="A324" t="inlineStr">
        <is>
          <t>in-287e4666c54a2c35</t>
        </is>
      </c>
      <c r="B324" t="inlineStr">
        <is>
          <t>Data and Machine Learning Engineer - Vision Language Models, Data &amp; Machine Learning (DML)</t>
        </is>
      </c>
      <c r="C324" t="inlineStr">
        <is>
          <t>Amazon Web Services</t>
        </is>
      </c>
      <c r="D324" t="inlineStr">
        <is>
          <t>indeed</t>
        </is>
      </c>
      <c r="E324">
        <f>HYPERLINK("https://www.indeed.com/viewjob?jk=287e4666c54a2c35", "https://www.indeed.com/viewjob?jk=287e4666c54a2c35")</f>
        <v/>
      </c>
      <c r="F324">
        <f>HYPERLINK("https://www.amazon.jobs/jobs/3173014/data-and-machine-learning-engineer--vision-language-models-data--machine-learning-dml?cmpid=DA_INAD200785B", "https://www.amazon.jobs/jobs/3173014/data-and-machine-learning-engineer--vision-language-models-data--machine-learning-dml?cmpid=DA_INAD200785B")</f>
        <v/>
      </c>
      <c r="G324" t="inlineStr">
        <is>
          <t>Arlington, VA, US</t>
        </is>
      </c>
      <c r="H324" s="3" t="n">
        <v>46051</v>
      </c>
      <c r="I324"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Top Secret or above
**PREFERRED QUALIFICATIONS**
----------------------------
* Experience in a ML or data scientist role with a large technology company
* Experience working on multi\-team, cross\-disciplinary projects
* Master's degree or above in computer science, machine learning, engineering, or related fields
* Knowledge of Linux, PyTorch, and Git workflows for computer vision requirements
* Experience developing visual language models leveraging satellite imagery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325">
      <c r="A325" t="inlineStr">
        <is>
          <t>in-b54b8e560ce2bcf1</t>
        </is>
      </c>
      <c r="B325" t="inlineStr">
        <is>
          <t>Data and Machine Learning Engineer - Vision Language Models, Data &amp; Machine Learning (DML)</t>
        </is>
      </c>
      <c r="C325" t="inlineStr">
        <is>
          <t>Amazon Web Services</t>
        </is>
      </c>
      <c r="D325" t="inlineStr">
        <is>
          <t>indeed</t>
        </is>
      </c>
      <c r="E325">
        <f>HYPERLINK("https://www.indeed.com/viewjob?jk=b54b8e560ce2bcf1", "https://www.indeed.com/viewjob?jk=b54b8e560ce2bcf1")</f>
        <v/>
      </c>
      <c r="F325">
        <f>HYPERLINK("https://www.amazon.jobs/jobs/3173014/data-and-machine-learning-engineer--vision-language-models-data--machine-learning-dml?cmpid=DA_INAD200785B", "https://www.amazon.jobs/jobs/3173014/data-and-machine-learning-engineer--vision-language-models-data--machine-learning-dml?cmpid=DA_INAD200785B")</f>
        <v/>
      </c>
      <c r="G325" t="inlineStr">
        <is>
          <t>Herndon, VA, US</t>
        </is>
      </c>
      <c r="H325" s="3" t="n">
        <v>46051</v>
      </c>
      <c r="I325"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Top Secret or above
**PREFERRED QUALIFICATIONS**
----------------------------
* Experience in a ML or data scientist role with a large technology company
* Experience working on multi\-team, cross\-disciplinary projects
* Master's degree or above in computer science, machine learning, engineering, or related fields
* Knowledge of Linux, PyTorch, and Git workflows for computer vision requirements
* Experience developing visual language models leveraging satellite imagery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326">
      <c r="A326" t="inlineStr">
        <is>
          <t>in-3ee5cd7a50656c5d</t>
        </is>
      </c>
      <c r="B326" t="inlineStr">
        <is>
          <t>Machine Learning Engineer, WWPS ProServe Data and Machine Learning</t>
        </is>
      </c>
      <c r="C326" t="inlineStr">
        <is>
          <t>Amazon Web Services</t>
        </is>
      </c>
      <c r="D326" t="inlineStr">
        <is>
          <t>indeed</t>
        </is>
      </c>
      <c r="E326">
        <f>HYPERLINK("https://www.indeed.com/viewjob?jk=3ee5cd7a50656c5d", "https://www.indeed.com/viewjob?jk=3ee5cd7a50656c5d")</f>
        <v/>
      </c>
      <c r="F326">
        <f>HYPERLINK("https://www.amazon.jobs/jobs/3168182/machine-learning-engineer-wwps-proserve-data-and-machine-learning?cmpid=DA_INAD200785B", "https://www.amazon.jobs/jobs/3168182/machine-learning-engineer-wwps-proserve-data-and-machine-learning?cmpid=DA_INAD200785B")</f>
        <v/>
      </c>
      <c r="G326" t="inlineStr">
        <is>
          <t>Arlington, VA, US</t>
        </is>
      </c>
      <c r="H326" s="3" t="n">
        <v>46044</v>
      </c>
      <c r="I326"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be a US Citizen and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in professional software engineering \&amp; best practices for the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327">
      <c r="A327" t="inlineStr">
        <is>
          <t>in-df8d81b57d3b0d9c</t>
        </is>
      </c>
      <c r="B327" t="inlineStr">
        <is>
          <t>Machine Learning Engineer, WWPS ProServe Data and Machine Learning</t>
        </is>
      </c>
      <c r="C327" t="inlineStr">
        <is>
          <t>Amazon Web Services</t>
        </is>
      </c>
      <c r="D327" t="inlineStr">
        <is>
          <t>indeed</t>
        </is>
      </c>
      <c r="E327">
        <f>HYPERLINK("https://www.indeed.com/viewjob?jk=df8d81b57d3b0d9c", "https://www.indeed.com/viewjob?jk=df8d81b57d3b0d9c")</f>
        <v/>
      </c>
      <c r="F327">
        <f>HYPERLINK("https://www.amazon.jobs/jobs/3168182/machine-learning-engineer-wwps-proserve-data-and-machine-learning?cmpid=DA_INAD200785B", "https://www.amazon.jobs/jobs/3168182/machine-learning-engineer-wwps-proserve-data-and-machine-learning?cmpid=DA_INAD200785B")</f>
        <v/>
      </c>
      <c r="G327" t="inlineStr">
        <is>
          <t>Herndon, VA, US</t>
        </is>
      </c>
      <c r="H327" s="3" t="n">
        <v>46044</v>
      </c>
      <c r="I327"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be a US Citizen and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in professional software engineering \&amp; best practices for the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328">
      <c r="A328" t="inlineStr">
        <is>
          <t>in-00c0e036832348a9</t>
        </is>
      </c>
      <c r="B328" t="inlineStr">
        <is>
          <t>Machine Learning Engineer, WWPS ProServe Data and Machine Learning</t>
        </is>
      </c>
      <c r="C328" t="inlineStr">
        <is>
          <t>Amazon Web Services</t>
        </is>
      </c>
      <c r="D328" t="inlineStr">
        <is>
          <t>indeed</t>
        </is>
      </c>
      <c r="E328">
        <f>HYPERLINK("https://www.indeed.com/viewjob?jk=00c0e036832348a9", "https://www.indeed.com/viewjob?jk=00c0e036832348a9")</f>
        <v/>
      </c>
      <c r="F328">
        <f>HYPERLINK("https://www.amazon.jobs/jobs/3168180/machine-learning-engineer-wwps-proserve-data-and-machine-learning?cmpid=DA_INAD200785B", "https://www.amazon.jobs/jobs/3168180/machine-learning-engineer-wwps-proserve-data-and-machine-learning?cmpid=DA_INAD200785B")</f>
        <v/>
      </c>
      <c r="G328" t="inlineStr">
        <is>
          <t>Arlington, VA, US</t>
        </is>
      </c>
      <c r="H328" s="3" t="n">
        <v>46043</v>
      </c>
      <c r="I328"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1\+ years of working with or evaluating AI systems experience
* Knowledge of professional software engineering \&amp; best practices for full software development life cycle, including coding standards, software architectures, code reviews, source control management, continuous deployments, testing, and operational excellence
* Experience in professional software engineering \&amp; best practices for the full software development life cycle, including coding standards, software architectures, code reviews, source control management, continuous deployments, testing, and operational excellence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329">
      <c r="A329" t="inlineStr">
        <is>
          <t>in-c6ff9a1af03cd552</t>
        </is>
      </c>
      <c r="B329" t="inlineStr">
        <is>
          <t>Machine Learning Engineer, WWPS ProServe Data and Machine Learning</t>
        </is>
      </c>
      <c r="C329" t="inlineStr">
        <is>
          <t>Amazon Web Services</t>
        </is>
      </c>
      <c r="D329" t="inlineStr">
        <is>
          <t>indeed</t>
        </is>
      </c>
      <c r="E329">
        <f>HYPERLINK("https://www.indeed.com/viewjob?jk=c6ff9a1af03cd552", "https://www.indeed.com/viewjob?jk=c6ff9a1af03cd552")</f>
        <v/>
      </c>
      <c r="F329">
        <f>HYPERLINK("https://www.amazon.jobs/jobs/3168180/machine-learning-engineer-wwps-proserve-data-and-machine-learning?cmpid=DA_INAD200785B", "https://www.amazon.jobs/jobs/3168180/machine-learning-engineer-wwps-proserve-data-and-machine-learning?cmpid=DA_INAD200785B")</f>
        <v/>
      </c>
      <c r="G329" t="inlineStr">
        <is>
          <t>Herndon, VA, US</t>
        </is>
      </c>
      <c r="H329" s="3" t="n">
        <v>46043</v>
      </c>
      <c r="I329"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1\+ years of working with or evaluating AI systems experience
* Knowledge of professional software engineering \&amp; best practices for full software development life cycle, including coding standards, software architectures, code reviews, source control management, continuous deployments, testing, and operational excellence
* Experience in professional software engineering \&amp; best practices for the full software development life cycle, including coding standards, software architectures, code reviews, source control management, continuous deployments, testing, and operational excellence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330">
      <c r="A330" t="inlineStr">
        <is>
          <t>in-f42216d2f243ed02</t>
        </is>
      </c>
      <c r="B330" t="inlineStr">
        <is>
          <t>Applied Scientist, Alexa Smart Home</t>
        </is>
      </c>
      <c r="C330" t="inlineStr">
        <is>
          <t>Amazon.com</t>
        </is>
      </c>
      <c r="D330" t="inlineStr">
        <is>
          <t>indeed</t>
        </is>
      </c>
      <c r="E330">
        <f>HYPERLINK("https://www.indeed.com/viewjob?jk=f42216d2f243ed02", "https://www.indeed.com/viewjob?jk=f42216d2f243ed02")</f>
        <v/>
      </c>
      <c r="F330">
        <f>HYPERLINK("https://www.amazon.jobs/jobs/3169205/applied-scientist-alexa-smart-home?cmpid=DA_INAD200785B", "https://www.amazon.jobs/jobs/3169205/applied-scientist-alexa-smart-home?cmpid=DA_INAD200785B")</f>
        <v/>
      </c>
      <c r="G330" t="inlineStr">
        <is>
          <t>Seattle, WA, US</t>
        </is>
      </c>
      <c r="H330" s="3" t="n">
        <v>46033</v>
      </c>
      <c r="I330"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331">
      <c r="A331" t="inlineStr">
        <is>
          <t>in-5ad23f9411dd47c7</t>
        </is>
      </c>
      <c r="B331" t="inlineStr">
        <is>
          <t>Applied Scientist, Alexa Smart Home</t>
        </is>
      </c>
      <c r="C331" t="inlineStr">
        <is>
          <t>Amazon.com</t>
        </is>
      </c>
      <c r="D331" t="inlineStr">
        <is>
          <t>indeed</t>
        </is>
      </c>
      <c r="E331">
        <f>HYPERLINK("https://www.indeed.com/viewjob?jk=5ad23f9411dd47c7", "https://www.indeed.com/viewjob?jk=5ad23f9411dd47c7")</f>
        <v/>
      </c>
      <c r="F331">
        <f>HYPERLINK("https://www.amazon.jobs/jobs/3169205/applied-scientist-alexa-smart-home?cmpid=DA_INAD200785B", "https://www.amazon.jobs/jobs/3169205/applied-scientist-alexa-smart-home?cmpid=DA_INAD200785B")</f>
        <v/>
      </c>
      <c r="G331" t="inlineStr">
        <is>
          <t>Sunnyvale, CA, US</t>
        </is>
      </c>
      <c r="H331" s="3" t="n">
        <v>46033</v>
      </c>
      <c r="I331"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332">
      <c r="A332" t="inlineStr">
        <is>
          <t>in-d1689ceb1e29bd03</t>
        </is>
      </c>
      <c r="B332" t="inlineStr">
        <is>
          <t>ML Engineer, GO-AI Technology &amp; Development Team</t>
        </is>
      </c>
      <c r="C332" t="inlineStr">
        <is>
          <t>Amazon.com</t>
        </is>
      </c>
      <c r="D332" t="inlineStr">
        <is>
          <t>indeed</t>
        </is>
      </c>
      <c r="E332">
        <f>HYPERLINK("https://www.indeed.com/viewjob?jk=d1689ceb1e29bd03", "https://www.indeed.com/viewjob?jk=d1689ceb1e29bd03")</f>
        <v/>
      </c>
      <c r="F332">
        <f>HYPERLINK("https://www.amazon.jobs/jobs/3173298/ml-engineer-goai-technology--development-team?cmpid=DA_INAD200785B", "https://www.amazon.jobs/jobs/3173298/ml-engineer-goai-technology--development-team?cmpid=DA_INAD200785B")</f>
        <v/>
      </c>
      <c r="G332" t="inlineStr">
        <is>
          <t>Boston, MA, US</t>
        </is>
      </c>
      <c r="H332" s="3" t="n">
        <v>45998</v>
      </c>
      <c r="I332"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333">
      <c r="A333" t="inlineStr">
        <is>
          <t>in-b0eec5abb90481f9</t>
        </is>
      </c>
      <c r="B333" t="inlineStr">
        <is>
          <t>ML Engineer, GO-AI Technology &amp; Development Team</t>
        </is>
      </c>
      <c r="C333" t="inlineStr">
        <is>
          <t>Amazon.com</t>
        </is>
      </c>
      <c r="D333" t="inlineStr">
        <is>
          <t>indeed</t>
        </is>
      </c>
      <c r="E333">
        <f>HYPERLINK("https://www.indeed.com/viewjob?jk=b0eec5abb90481f9", "https://www.indeed.com/viewjob?jk=b0eec5abb90481f9")</f>
        <v/>
      </c>
      <c r="F333">
        <f>HYPERLINK("https://www.amazon.jobs/jobs/3173298/ml-engineer-goai-technology--development-team?cmpid=DA_INAD200785B", "https://www.amazon.jobs/jobs/3173298/ml-engineer-goai-technology--development-team?cmpid=DA_INAD200785B")</f>
        <v/>
      </c>
      <c r="G333" t="inlineStr">
        <is>
          <t>Westborough, MA, US</t>
        </is>
      </c>
      <c r="H333" s="3" t="n">
        <v>45998</v>
      </c>
      <c r="I333"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334">
      <c r="A334" t="inlineStr">
        <is>
          <t>in-40e5e74163a5aa2d</t>
        </is>
      </c>
      <c r="B334" t="inlineStr">
        <is>
          <t>ML Engineer, GO-AI Technology &amp; Development Team</t>
        </is>
      </c>
      <c r="C334" t="inlineStr">
        <is>
          <t>Amazon.com</t>
        </is>
      </c>
      <c r="D334" t="inlineStr">
        <is>
          <t>indeed</t>
        </is>
      </c>
      <c r="E334">
        <f>HYPERLINK("https://www.indeed.com/viewjob?jk=40e5e74163a5aa2d", "https://www.indeed.com/viewjob?jk=40e5e74163a5aa2d")</f>
        <v/>
      </c>
      <c r="F334">
        <f>HYPERLINK("https://www.amazon.jobs/jobs/3173298/ml-engineer-goai-technology--development-team?cmpid=DA_INAD200785B", "https://www.amazon.jobs/jobs/3173298/ml-engineer-goai-technology--development-team?cmpid=DA_INAD200785B")</f>
        <v/>
      </c>
      <c r="G334" t="inlineStr">
        <is>
          <t>Seattle, WA, US</t>
        </is>
      </c>
      <c r="H334" s="3" t="n">
        <v>45998</v>
      </c>
      <c r="I334"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335">
      <c r="A335" t="inlineStr">
        <is>
          <t>in-e7f920c1287091ba</t>
        </is>
      </c>
      <c r="B335" t="inlineStr">
        <is>
          <t>ML Engineer, GO-AI Technology &amp; Development Team</t>
        </is>
      </c>
      <c r="C335" t="inlineStr">
        <is>
          <t>Amazon.com</t>
        </is>
      </c>
      <c r="D335" t="inlineStr">
        <is>
          <t>indeed</t>
        </is>
      </c>
      <c r="E335">
        <f>HYPERLINK("https://www.indeed.com/viewjob?jk=e7f920c1287091ba", "https://www.indeed.com/viewjob?jk=e7f920c1287091ba")</f>
        <v/>
      </c>
      <c r="F335">
        <f>HYPERLINK("https://www.amazon.jobs/jobs/3173298/ml-engineer-goai-technology--development-team?cmpid=DA_INAD200785B", "https://www.amazon.jobs/jobs/3173298/ml-engineer-goai-technology--development-team?cmpid=DA_INAD200785B")</f>
        <v/>
      </c>
      <c r="G335" t="inlineStr">
        <is>
          <t>Reading, MA, US</t>
        </is>
      </c>
      <c r="H335" s="3" t="n">
        <v>45998</v>
      </c>
      <c r="I335"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3"/>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li-4363774568</t>
        </is>
      </c>
      <c r="B2" t="inlineStr">
        <is>
          <t>Applied Scientist - Safety ML</t>
        </is>
      </c>
      <c r="C2" t="inlineStr">
        <is>
          <t>Twitch</t>
        </is>
      </c>
      <c r="D2" t="inlineStr">
        <is>
          <t>linkedin</t>
        </is>
      </c>
      <c r="E2" t="inlineStr"/>
      <c r="F2" t="inlineStr"/>
      <c r="G2" t="inlineStr">
        <is>
          <t>San Francisco, CA</t>
        </is>
      </c>
      <c r="H2" t="inlineStr"/>
      <c r="I2" t="inlineStr">
        <is>
          <t>**About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**You Have:**
* 2\+ years of hands\-on industry experience building models for NLP, deep learning, bot detection, anomaly detection or in another practical ML domain.
* 2\+ years experience writing high quality code to ship those models in production systems.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**Bonus Points**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**Perks**
* Medical, Dental, Vision \&amp; Disability Insurance
* 401(k)
* Maternity \&amp; Parental Leave
* Flexible PTO
* Amazon Employee Discount
*Pursuant to the San Francisco Fair Chance Ordinance, we will consider for employment qualified applicants with arrest and conviction records.*
 Job ID: TW9077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 WA, Seattle \- Annually
 $142,800—$193,200 USD
 US, CA, San Francisco \- Annually
 $171,600—$222,200 USD
*Twitch is an equal opportunity employer and does not discriminate on the basis of protected veteran status, disability, or other legally protected status.*
*Twitch values your privacy. Please consult our Candidate Privacy Notice, for information about how we collect, use, and disclose personal information of our candidates.*</t>
        </is>
      </c>
    </row>
    <row r="3">
      <c r="A3" t="inlineStr">
        <is>
          <t>li-4296321703</t>
        </is>
      </c>
      <c r="B3" t="inlineStr">
        <is>
          <t>AI / ML Engineering Dallas Associate</t>
        </is>
      </c>
      <c r="C3" t="inlineStr">
        <is>
          <t>Goldman Sachs</t>
        </is>
      </c>
      <c r="D3" t="inlineStr">
        <is>
          <t>linkedin</t>
        </is>
      </c>
      <c r="E3" t="inlineStr"/>
      <c r="F3" t="inlineStr"/>
      <c r="G3" t="inlineStr">
        <is>
          <t>Dallas, TX</t>
        </is>
      </c>
      <c r="H3" t="inlineStr"/>
      <c r="I3" t="inlineStr">
        <is>
          <t>**Job Description**
**WHO WE ARE**
 Goldman Sachs is a leading global investment banking, securities and investment management firm that provides a wide range of services worldwide to a substantial and diversified client base that includes corporations, financial institutions, governments and high net\-worth individuals.
 Founded in 1869, it is one of the oldest and largest investment banking firms. The firm is headquartered in New York and maintains offices in London, Bangalore, Frankfurt, Tokyo, Hong Kong and other major financial centres around the world.
 We are committed to growing our distinctive Culture and holding to our core values which always place our client's interests first. These values are reflected in our Business Principles, which emphasise integrity, commitment to excellence, innovation and teamwork.
**Business Unit Overview**
**Enterprise Technology Operations (ETO)** 
 is a Business Unit within Core Engineering focused on running scalable production management services with a mandate of operational excellence and operational risk reduction achieved through large scale automation, best\-in\-class engineering, and application of data science and machine learning. The Production Runtime Experience (PRX) team in ETO applies software engineering and machine learning to production management services, processes, and activities to streamline monitoring, alerting, automation, and workflows.
**TEAM OVERVIEW** 
 The Machine Learning and Artificial Intelligence team in PRX applies advanced ML and GenAI to reduce the risk and cost of operating the firm’s large\-scale compute infrastructure and extensive application estate. Building on strengths in statistical modelling, anomaly detection, predictive modelling, and time\-series forecasting, we leverage foundational LLM Models to orchestrate multi\-agent systems for automated production management services. By unifying classical ML with agentic AI, we deliver reliable, explainable, and cost\-efficient operations at scale.
**ROLE AND RESPONSIBILITIES** 
 In this role, you will be responsible for launching and implementing GenAI agentic solutions aimed at reducing the risk and cost of managing large\-scale production environments with varying complexities. You will address various production runtime challenges by developing agentic AI solutions that can diagnose, reason, and take actions in production environments to improve productivity and address issues related to production support.
**What You’ll Do**
* Build agentic AI systems: Design and implement tool\-calling agents that combine retrieval, structured reasoning, and secure action execution (function calling, change orchestration, policy enforcement) following MCP protocol. Engineer robust guardrails for safety, compliance, and least\-privilege access.
* Productionize LLMs: Build evaluation framework for open\-source and foundational LLMs; implement retrieval pipelines, prompt synthesis, response validation, and self\-correction loops tailored to production operations.
* Integrate with runtime ecosystems: Connect agents to observability, incident management, and deployment systems to enable automated diagnostics, runbook execution, remediation, and post\-incident summarization with full traceability.
* Collaborate directly with users: Partner with production engineers, and application teams to translate production pain points into agentic AI roadmaps; define objective functions linked to reliability, risk reduction, and cost; and deliver auditable, business\-aligned outcomes.
* Safety, reliability, and governance: Build validator models, adversarial prompts, and policy checks into the stack; enforce deterministic fallbacks, circuit breakers, and rollback strategies; instrument continuous evaluations for usefulness, correctness, and risk.
* Scale and performance: Optimize cost and latency via prompt engineering, context management, caching, model routing, and distillation; leverage batching, streaming, and parallel tool\-calls to meet stringent SLOs under real\-world load.
* Build a RAG pipeline: Curate domain\-knowledge; build data\-quality validation framework; establish feedback loops and milestone framework maintain knowledge freshness.
* Raise the bar: Drive design reviews, experiment rigor, and high\-quality engineering practices; mentor peers on agent architectures, evaluation methodologies, and safe deployment patterns.
**Qualifications**
 A Bachelor’s degree (Masters/ PhD preferred) in a computational field (Computer Science, Applied Mathematics, Engineering, or in a related quantitative discipline), with 5\+ years of experience as an applied data scientist / machine learning engineer.
**Essential Skills**
* 5\+ years of software development in one or more languages (Python, C/C\+\+, Go, Java); strong hands\-on experience building and maintaining large\-scale Python applications preferred.
* 3\+ years designing, architecting, testing, and launching production ML systems, including model deployment/serving, evaluation and monitoring, data processing pipelines, and model fine\-tuning workflows.
* Practical experience with Large Language Models (LLMs): API integration, prompt engineering, finetuning/adaptation, and building applications using RAG and tool\-using agents (vector retrieval, function calling, secure tool execution).
* Understanding of different LLMs, both commercial and open source, and their capabilities (e.g., OpenAI, Gemini, Llama, Qwen, Claude).
* Solid grasp of applied statistics, core ML concepts, algorithms, and data structures to deliver efficient and reliable solutions.
* Strong analytical problem\-solving, ownership, and urgency; ability to communicate complex ideas simply and collaborate effectively across global teams with a focus on measurable business impact.
* Preferred:
 Proficiency building and operating on cloud infrastructure (ideally AWS), including containerized services (ECS/EKS), serverless (Lambda), data services (S3, DynamoDB, Redshift), orchestration (Step Functions), model serving (SageMaker), and infra\-as\-code (Terraform/CloudFormation).
**YOUR CAREER**
 Goldman Sachs is a meritocracy where you will be given all the tools to advance your career. At Goldman Sachs, you will have access to excellent training programs designed to improve multiple facets of your skill portfolio. Our in\-house training program, “Goldman Sachs University” offers a comprehensive series of courses that you will have access to as your career progresses. Goldman Sachs University has an impressive catalogue of courses which span technical, business and leadership skills.
 Same Posting Description for Internal and External Candidates</t>
        </is>
      </c>
    </row>
    <row r="4">
      <c r="A4" t="inlineStr">
        <is>
          <t>li-4361341041</t>
        </is>
      </c>
      <c r="B4" t="inlineStr">
        <is>
          <t>Principal Applied Scientist</t>
        </is>
      </c>
      <c r="C4" t="inlineStr">
        <is>
          <t>Microsoft</t>
        </is>
      </c>
      <c r="D4" t="inlineStr">
        <is>
          <t>linkedin</t>
        </is>
      </c>
      <c r="E4" t="inlineStr"/>
      <c r="F4" t="inlineStr"/>
      <c r="G4" t="inlineStr">
        <is>
          <t>Redmond, WA</t>
        </is>
      </c>
      <c r="H4" t="inlineStr"/>
      <c r="I4" t="inlineStr">
        <is>
          <t>**Overview**
 Are you passionate about advancing AI and empowering organizations to scale agentic experiences with confidence? As a Principal Applied Scientist in the Power Platform Managed Transformation Team, you’ll play a pivotal role in delivering our mission: enabling organizations to adopt and scale AI agents with measurable business impact, unified governance, and actionable insights. You’ll collaborate with experts across governance, analytics, and platform services to drive innovation in Copilot and Copilot Studio scenarios, helping customers realize the full potential of AI\-powered agents.
 This role will combine AI knowledge with applied science expertise and demonstrate a growth mindset and customer empathy. Join us in shaping the future of AI agents.
**This Opportunity Will Allow You To**
* Accelerate your career growth in applied AI and agentic systems.
* Develop deep business expertise in enterprise\-scale AI adoption.
* Hone your skills in designing, evaluating, and scaling intelligent agent experiences.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 will master a broad area or research and understand any applicable research techniques. You’ll also serve as a team expert on changes in industry trends, products, and other advances, and apply this knowledge to influence product needs.
* You will review business and product requirement, incorporate research, and provide strategic direction for problem solving. You’ll also ensure scientific rigor, support the development of methods, and apply your expertise to support business impact.
* You will identify and inspire peers and new research talent to join Microsoft, build relationships, and advocate for research initiatives. You’ll share research findings through industry outreach, collaborate with the academic community, and help develop the recruiting pipeline.
* You will document work and experimentation results and share findings to promote innovation. You’ll provide guidance when capturing processes and contribute to ethics and privacy policies related to research processes and data collection.
**Qualifications**
**Required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5\+ years of experience designing and building industry\-standard distributed systems.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Statistics, Econometrics, Computer Science, Electrical or Computer Engineering,or related field AND 9\+ years related experience (e.g., statistics, predictive analytics, research)
+ OR Doctorate in Statistics, Econometrics, Computer Science, Electrical or Computer Engineering,or related field AND 6\+ years related experience (e.g., statistics, predictive analytics, research)
+ OR equivalent experience.
* 5\+ years experience creating publications (e.g., patents, libraries, peer\-reviewed academic papers).
* 2\+ years experience presenting at conferences or other events in the outside research/industry community as an invited speaker.
* 5\+ years experience conducting research as part of a research program (in academic or industry settings).
* 3\+ years experience developing and deploying live production systems, as part of a product team.
* 3\+ years experience developing and deploying products or systems at multiple points in the product cycle from ideation to shipping.
* Experience architecting scalable, fault\-tolerant services that operate in cloud or hybrid environments, applying best practices for concurrency, data consistency, and resiliency, leveraging technologies such as microservices, container orchestration (e.g., Kubernetes), and distributed data stores, and ensuring performance, security, and reliability at enterprise scale.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
      <c r="A5" t="inlineStr">
        <is>
          <t>li-4299776677</t>
        </is>
      </c>
      <c r="B5" t="inlineStr">
        <is>
          <t>Applied Scientist III, Amazon Connect</t>
        </is>
      </c>
      <c r="C5" t="inlineStr">
        <is>
          <t>Amazon Web Services (AWS)</t>
        </is>
      </c>
      <c r="D5" t="inlineStr">
        <is>
          <t>linkedin</t>
        </is>
      </c>
      <c r="E5" t="inlineStr"/>
      <c r="F5" t="inlineStr"/>
      <c r="G5" t="inlineStr">
        <is>
          <t>Seattle, WA</t>
        </is>
      </c>
      <c r="H5" t="inlineStr"/>
      <c r="I5" t="inlineStr">
        <is>
          <t>**Description**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AI systems for a new product area. In this role, you will partner with business and technical teams to design and document requirements, and develop technical strategies and applied science roadmaps for delivery of features. The role requires extending existing scientific techniques and inventing new ones to address specific customer needs at a product level. You should be comfortable working semi\-autonomously on difficult problems and complex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PhD, or Master's degree and 6\+ years of applied research experience
* 3\+ years of building machine learning models for business application experience
* Experience programming in Java, C\+\+, Python or related language
* Experience with neural deep learning methods and machine learning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\- 167,100\.00 \- 226,100\.00 USD annually
**Company** 
 \- Amazon Development Center U.S., Inc.
 Job ID: A3081545</t>
        </is>
      </c>
    </row>
    <row r="6">
      <c r="A6" t="inlineStr">
        <is>
          <t>li-4363836365</t>
        </is>
      </c>
      <c r="B6" t="inlineStr">
        <is>
          <t>Applied Scientist II- Recruiting AI Agents, Recruiting Agents &amp; Candidate Voice</t>
        </is>
      </c>
      <c r="C6" t="inlineStr">
        <is>
          <t>Amazon</t>
        </is>
      </c>
      <c r="D6" t="inlineStr">
        <is>
          <t>linkedin</t>
        </is>
      </c>
      <c r="E6" t="inlineStr"/>
      <c r="F6" t="inlineStr"/>
      <c r="G6" t="inlineStr">
        <is>
          <t>Seattle, WA</t>
        </is>
      </c>
      <c r="H6" t="inlineStr"/>
      <c r="I6" t="inlineStr">
        <is>
          <t>**Description**
 Do you want a role with deep meaning and the ability to make a major impact? As part of Intelligent Talent Acquisition (ITA), you'll have the opportunity to reinvent the hiring process and deliver unprecedented scale, sophistication, and accuracy for Amazon Talent Acquisition operations. ITA is an industry\-leading people science and technology organization made up of scientists, engineers, analysts, product professionals and more, all with the shared goal of connecting the right people to the right jobs in a way that is fair and precise. Last year we delivered over 6 million online candidate assessments, and helped Amazon deliver billions of packages around the world by making it possible to hire hundreds of thousands of workers in the right quantity, at the right location and at exactly the right time. You’ll work on state\-of\-the\-art research, advanced software tools, new AI systems, and machine learning algorithms, leveraging Amazon's in\-house tech stack to bring innovative solutions to life. Join ITA in using technologies to transform the hiring landscape and make a meaningful difference in people's lives. Together, we can solve the world's toughest hiring problems.
 Recruiting Agents and Candidate Voice team is revolutionizing how Amazon finds and connects with talent worldwide! We're looking for an experienced Applied Scientist to design and implement agentic solutions that help millions of candidates find their dream jobs at Amazon.
 Key job responsibilities
* Design and architect AI\-powered agentic solutions that help candidates navigate Amazon's hiring process, including scoping requirements, identifying dependencies and constraints, and creating robust scientific and technical designs that balance candidate experience with system scalability.
* Implement and deploy conversational AI agents leveraging state\-of\-the\-art LLM and GenAI technologies to enable candidates to explore job opportunities, understand role requirements, and receive personalized guidance throughout their hiring journey.
* Develop rigorous evaluation frameworks to measure agent effectiveness, candidate satisfaction, and hiring outcomes—continuously iterating on models to improve accuracy, fairness, and user experience across millions of candidate interactions.
* Collaborate cross\-functionally with Research Scientists, Software Engineers, and Product teams to integrate agentic solutions into Amazon's candidate\-facing platforms, ensuring seamless deployment and alignment with broader Talent Acquisition goals.
* Drive innovation in agentic AI research by staying current with advances in NLP, LLMs, and autonomous agent architectures, while contributing to the scientific community through publications, internal tech talks, and knowledge sharing.
**About The Team**
 Our team focuses on understanding and improving the experience of both job seekers and the recruiters who support them. You'll be at the intersection of people, data, and technology—solving fascinating problems that directly impact how we hire the best talent globally.
**Basic Qualifications**
* 3\+ years of building models for business application experience
* PhD, or Master's degree and 4\+ years of CS, CE, ML or related field experience
* Experience programming in Java, C\+\+, Python or related language
* Experience in investigating, designing, prototyping, and delivering new and innovative system solutions
**Preferred Qualifications**
* Experience applying theoretical models in an applied environment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\- 142,800\.00 \- 193,200\.00 USD annually
**Company** 
 \- Amazon.com Services LLC
 Job ID: A3157219</t>
        </is>
      </c>
    </row>
    <row r="7">
      <c r="A7" t="inlineStr">
        <is>
          <t>li-4362368957</t>
        </is>
      </c>
      <c r="B7" t="inlineStr">
        <is>
          <t>Principal Applied Scientist, AGI Foundations</t>
        </is>
      </c>
      <c r="C7" t="inlineStr">
        <is>
          <t>Amazon</t>
        </is>
      </c>
      <c r="D7" t="inlineStr">
        <is>
          <t>linkedin</t>
        </is>
      </c>
      <c r="E7" t="inlineStr"/>
      <c r="F7" t="inlineStr"/>
      <c r="G7" t="inlineStr">
        <is>
          <t>Seattle, WA</t>
        </is>
      </c>
      <c r="H7" t="inlineStr"/>
      <c r="I7" t="inlineStr">
        <is>
          <t>**Description**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**About The Team**
 The AGI team has a mission to push the envelope with multimodal LLMs and Gen AI in Computer Vision, in order to provide the best\-possible experience for our customers.
**Basic Qualifications**
 PhD with specialization in artificial intelligence, natural language processing, machine learning, or computational cognitive science 10\+ years of combined academic and research experience. Strong publication record in top\-tier journals and conferences. Functional thought leader, sought after for key tech decisions. Can successfully sell ideas to an executive level decision maker. Mentors and trains the research scientist community on complex technical issues. Experience developing software in traditional programming languages (C\+\+, Java, etc..). Excellent written and spoken communication skills
**Preferred Qualifications**
 Strong software development skills Experience working effectively with science, data processing, and software engineering teams Proven track record of innovation in creating novel algorithms and advancing the state of the art Entrepreneurial spirit combined with strong architectural and problem solving skills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\- 228,700\.00 \- 309,400\.00 USD annually
 USA, MA, BOSTON \- 198,900\.00 \- 269,000\.00 USD annually
 USA, MA, Boston \- 198,900\.00 \- 269,000\.00 USD annually
 USA, MA, Hudson \- 198,900\.00 \- 269,000\.00 USD annually
 USA, MA, Raynham \- 198,900\.00 \- 269,000\.00 USD annually
 USA, OR, Corvallis \- 198,900\.00 \- 269,000\.00 USD annually
 USA, WA, SEATTLE \- 198,900\.00 \- 269,000\.00 USD annually
 USA, WA, Seattle \- 198,900\.00 \- 269,000\.00 USD annually
**Company** 
 \- Amazon.com Services LLC
 Job ID: A2762609</t>
        </is>
      </c>
    </row>
    <row r="8">
      <c r="A8" t="inlineStr">
        <is>
          <t>li-4362714555</t>
        </is>
      </c>
      <c r="B8" t="inlineStr">
        <is>
          <t>Principal Applied Scientist, AGI Foundations</t>
        </is>
      </c>
      <c r="C8" t="inlineStr">
        <is>
          <t>Amazon</t>
        </is>
      </c>
      <c r="D8" t="inlineStr">
        <is>
          <t>linkedin</t>
        </is>
      </c>
      <c r="E8" t="inlineStr"/>
      <c r="F8" t="inlineStr"/>
      <c r="G8" t="inlineStr">
        <is>
          <t>Sunnyvale, CA</t>
        </is>
      </c>
      <c r="H8" t="inlineStr"/>
      <c r="I8" t="inlineStr">
        <is>
          <t>**Description**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**About The Team**
 The AGI team has a mission to push the envelope with multimodal LLMs and Gen AI in Computer Vision, in order to provide the best\-possible experience for our customers.
**Basic Qualifications**
 PhD with specialization in artificial intelligence, natural language processing, machine learning, or computational cognitive science 10\+ years of combined academic and research experience. Strong publication record in top\-tier journals and conferences. Functional thought leader, sought after for key tech decisions. Can successfully sell ideas to an executive level decision maker. Mentors and trains the research scientist community on complex technical issues. Experience developing software in traditional programming languages (C\+\+, Java, etc..). Excellent written and spoken communication skills
**Preferred Qualifications**
 Strong software development skills Experience working effectively with science, data processing, and software engineering teams Proven track record of innovation in creating novel algorithms and advancing the state of the art Entrepreneurial spirit combined with strong architectural and problem solving skills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\- 228,700\.00 \- 309,400\.00 USD annually
 USA, MA, BOSTON \- 198,900\.00 \- 269,000\.00 USD annually
 USA, MA, Boston \- 198,900\.00 \- 269,000\.00 USD annually
 USA, MA, Hudson \- 198,900\.00 \- 269,000\.00 USD annually
 USA, MA, Raynham \- 198,900\.00 \- 269,000\.00 USD annually
 USA, OR, Corvallis \- 198,900\.00 \- 269,000\.00 USD annually
 USA, WA, SEATTLE \- 198,900\.00 \- 269,000\.00 USD annually
 USA, WA, Seattle \- 198,900\.00 \- 269,000\.00 USD annually
**Company** 
 \- Amazon.com Services LLC
 Job ID: A2762609</t>
        </is>
      </c>
    </row>
    <row r="9">
      <c r="A9" t="inlineStr">
        <is>
          <t>li-4370155886</t>
        </is>
      </c>
      <c r="B9" t="inlineStr">
        <is>
          <t>Machine Learning Engineer (Remote)</t>
        </is>
      </c>
      <c r="C9" t="inlineStr">
        <is>
          <t>Cisco</t>
        </is>
      </c>
      <c r="D9" t="inlineStr">
        <is>
          <t>linkedin</t>
        </is>
      </c>
      <c r="E9" t="inlineStr"/>
      <c r="F9" t="inlineStr"/>
      <c r="G9" t="inlineStr">
        <is>
          <t>Ann Arbor, MI</t>
        </is>
      </c>
      <c r="H9" t="inlineStr"/>
      <c r="I9" t="inlineStr">
        <is>
          <t>The application window is expected to close on: 03/31/2026
**Job posting may be removed earlier if the position is filled or if a sufficient number of applications are received** 
 .
 This role can be performed remotely from locations within the United States.
**Meet the Team**
 Splunk, a Cisco company, is building a safer, more resilient digital world with an end‑to‑end, full‑stack platform designed for hybrid, multi‑cloud environments.
 Within Splunk AI, the AI Platform and Services team provides the core runtime and developer experience that power AI across Splunk and Cisco. We run multi\-tenant LLM inference on AWS and Azure GPU fleets using vLLM, Bedrock, OpenAI/Azure, and OSS models, and build platform services on top of Splunk’s managed Kubernetes infrastructure. We also provide VectorDB/RAG services and MCP services that make AI workloads secure, observable, and cost\-efficient for product teams.
 On top of this foundation, we deliver agentic frameworks, SDKs, tools, and evaluation/guardrail capabilities that help teams quickly build reliable GenAI assistants and automation features. You’ll join a group that sits at the intersection of distributed systems, ML, and developer experience, grounded in operational excellence and a culture of impact\-driven, cross\-functional collaboration.
**Your Impact**
* Implement and maintain features for AI inference services, including vLLM\- and Ray\-based serving stacks, routing layers, and orchestration services.
* Help improve latency, throughput, and cost for LLM and generative workloads by contributing to batching, caching, and other performance optimizations.
* Contribute to Kubernetes\-native control planes for autoscaling, placement, and capacity management of GPU and CPU workloads across regions and clouds.
* Implement and extend platform capabilities such as telemetry, metering \&amp; throttling, guardrails, and rollout/rollback, ensuring services are observable and safe by default.
* Integrate inference services with VectorDB/RAG, identity \&amp; access, networking, and observability stacks under the guidance of more senior engineers.
* Participate in code reviews, on\-call rotations, and post\-incident reviews, helping to drive reliability and operational excellence for the AI Platform.
* Collaborate with applied scientists and product teams to produce new models and features on top of the platform.
**Minimum Qualifications**
* Bachelor's degree in computer science, Engineering, or equivalent practical experience.
* 3\+ years of hands\-on experience building and operating backend or distributed systems in production or 2\+ years of experience with Master’s degree
* Proficiency in at least one modern programming language (e.g., Python, Go, or Java) and solid foundation in software engineering best practices.
* Practical experience with containerization and Kubernetes (e.g., Docker, Helm, basic deployment and service concepts).
* Experience designing and implementing REST/gRPC services or microservices, with attention to correctness, robustness, and basic observability (metrics, logs, tracing).
* Evidence of end\-to\-end ownership on projects or services: design participation, implementation, testing, deployment, and production support.
**Preferred Qualifications**
* Experience working with LLM or ML inference systems or interest in learning frameworks such as vLLM, TensorRT\-LLM, or Triton Inference Server.
* Familiarity with GPU concepts (CUDA, basic performance considerations) or distributed systems concepts such as sharding, load balancing, and caching.
* Exposure to RAG architectures and VectorDB systems (Weaviate, Qdrant, Milvus, FAISS, etc.).
* Experience with AWS or Azure cloud services (EC2/VMs, IAM roles, VPC basics) and an understanding of security best practices for cloud workloads.
* Background contributing to platforms or shared services used by multiple teams (e.g., internal APIs, SDKs, feature flags, shared libraries).
* Experience implementing dashboards, alerts using Prometheus, Skynet, or cloud\-native observability tools.
* Strong communication skills, willingness to ask questions, and a growth mindset—comfortable learning from senior engineers and progressively taking on more ownership.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Simply put – we power the future.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$165,300\.00 to $209,200\.00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$181,000\.00 \- $270,300\.00
**Non\-Metro New York State \&amp; Washington State**
 $165,300\.00 \- $240,600\.00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10">
      <c r="A10" t="inlineStr">
        <is>
          <t>li-4370154927</t>
        </is>
      </c>
      <c r="B10" t="inlineStr">
        <is>
          <t>Machine Learning Engineer (Remote)</t>
        </is>
      </c>
      <c r="C10" t="inlineStr">
        <is>
          <t>Cisco</t>
        </is>
      </c>
      <c r="D10" t="inlineStr">
        <is>
          <t>linkedin</t>
        </is>
      </c>
      <c r="E10" t="inlineStr"/>
      <c r="F10" t="inlineStr"/>
      <c r="G10" t="inlineStr">
        <is>
          <t>Atlanta, GA</t>
        </is>
      </c>
      <c r="H10" t="inlineStr"/>
      <c r="I10" t="inlineStr">
        <is>
          <t>The application window is expected to close on: 03/31/2026
**Job posting may be removed earlier if the position is filled or if a sufficient number of applications are received** 
 .
 This role can be performed remotely from locations within the United States.
**Meet the Team**
 Splunk, a Cisco company, is building a safer, more resilient digital world with an end‑to‑end, full‑stack platform designed for hybrid, multi‑cloud environments.
 Within Splunk AI, the AI Platform and Services team provides the core runtime and developer experience that power AI across Splunk and Cisco. We run multi\-tenant LLM inference on AWS and Azure GPU fleets using vLLM, Bedrock, OpenAI/Azure, and OSS models, and build platform services on top of Splunk’s managed Kubernetes infrastructure. We also provide VectorDB/RAG services and MCP services that make AI workloads secure, observable, and cost\-efficient for product teams.
 On top of this foundation, we deliver agentic frameworks, SDKs, tools, and evaluation/guardrail capabilities that help teams quickly build reliable GenAI assistants and automation features. You’ll join a group that sits at the intersection of distributed systems, ML, and developer experience, grounded in operational excellence and a culture of impact\-driven, cross\-functional collaboration.
**Your Impact**
* Implement and maintain features for AI inference services, including vLLM\- and Ray\-based serving stacks, routing layers, and orchestration services.
* Help improve latency, throughput, and cost for LLM and generative workloads by contributing to batching, caching, and other performance optimizations.
* Contribute to Kubernetes\-native control planes for autoscaling, placement, and capacity management of GPU and CPU workloads across regions and clouds.
* Implement and extend platform capabilities such as telemetry, metering \&amp; throttling, guardrails, and rollout/rollback, ensuring services are observable and safe by default.
* Integrate inference services with VectorDB/RAG, identity \&amp; access, networking, and observability stacks under the guidance of more senior engineers.
* Participate in code reviews, on\-call rotations, and post\-incident reviews, helping to drive reliability and operational excellence for the AI Platform.
* Collaborate with applied scientists and product teams to produce new models and features on top of the platform.
**Minimum Qualifications**
* Bachelor's degree in computer science, Engineering, or equivalent practical experience.
* 3\+ years of hands\-on experience building and operating backend or distributed systems in production or 2\+ years of experience with Master’s degree
* Proficiency in at least one modern programming language (e.g., Python, Go, or Java) and solid foundation in software engineering best practices.
* Practical experience with containerization and Kubernetes (e.g., Docker, Helm, basic deployment and service concepts).
* Experience designing and implementing REST/gRPC services or microservices, with attention to correctness, robustness, and basic observability (metrics, logs, tracing).
* Evidence of end\-to\-end ownership on projects or services: design participation, implementation, testing, deployment, and production support.
**Preferred Qualifications**
* Experience working with LLM or ML inference systems or interest in learning frameworks such as vLLM, TensorRT\-LLM, or Triton Inference Server.
* Familiarity with GPU concepts (CUDA, basic performance considerations) or distributed systems concepts such as sharding, load balancing, and caching.
* Exposure to RAG architectures and VectorDB systems (Weaviate, Qdrant, Milvus, FAISS, etc.).
* Experience with AWS or Azure cloud services (EC2/VMs, IAM roles, VPC basics) and an understanding of security best practices for cloud workloads.
* Background contributing to platforms or shared services used by multiple teams (e.g., internal APIs, SDKs, feature flags, shared libraries).
* Experience implementing dashboards, alerts using Prometheus, Skynet, or cloud\-native observability tools.
* Strong communication skills, willingness to ask questions, and a growth mindset—comfortable learning from senior engineers and progressively taking on more ownership.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Simply put – we power the future.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$165,300\.00 to $209,200\.00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$181,000\.00 \- $270,300\.00
**Non\-Metro New York State \&amp; Washington State**
 $165,300\.00 \- $240,600\.00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11">
      <c r="A11" t="inlineStr">
        <is>
          <t>li-4370156838</t>
        </is>
      </c>
      <c r="B11" t="inlineStr">
        <is>
          <t>Machine Learning Engineer (Remote)</t>
        </is>
      </c>
      <c r="C11" t="inlineStr">
        <is>
          <t>Cisco</t>
        </is>
      </c>
      <c r="D11" t="inlineStr">
        <is>
          <t>linkedin</t>
        </is>
      </c>
      <c r="E11" t="inlineStr"/>
      <c r="F11" t="inlineStr"/>
      <c r="G11" t="inlineStr">
        <is>
          <t>Austin, TX</t>
        </is>
      </c>
      <c r="H11" t="inlineStr"/>
      <c r="I11" t="inlineStr">
        <is>
          <t>The application window is expected to close on: 03/31/2026
**Job posting may be removed earlier if the position is filled or if a sufficient number of applications are received** 
 .
 This role can be performed remotely from locations within the United States.
**Meet the Team**
 Splunk, a Cisco company, is building a safer, more resilient digital world with an end‑to‑end, full‑stack platform designed for hybrid, multi‑cloud environments.
 Within Splunk AI, the AI Platform and Services team provides the core runtime and developer experience that power AI across Splunk and Cisco. We run multi\-tenant LLM inference on AWS and Azure GPU fleets using vLLM, Bedrock, OpenAI/Azure, and OSS models, and build platform services on top of Splunk’s managed Kubernetes infrastructure. We also provide VectorDB/RAG services and MCP services that make AI workloads secure, observable, and cost\-efficient for product teams.
 On top of this foundation, we deliver agentic frameworks, SDKs, tools, and evaluation/guardrail capabilities that help teams quickly build reliable GenAI assistants and automation features. You’ll join a group that sits at the intersection of distributed systems, ML, and developer experience, grounded in operational excellence and a culture of impact\-driven, cross\-functional collaboration.
**Your Impact**
* Implement and maintain features for AI inference services, including vLLM\- and Ray\-based serving stacks, routing layers, and orchestration services.
* Help improve latency, throughput, and cost for LLM and generative workloads by contributing to batching, caching, and other performance optimizations.
* Contribute to Kubernetes\-native control planes for autoscaling, placement, and capacity management of GPU and CPU workloads across regions and clouds.
* Implement and extend platform capabilities such as telemetry, metering \&amp; throttling, guardrails, and rollout/rollback, ensuring services are observable and safe by default.
* Integrate inference services with VectorDB/RAG, identity \&amp; access, networking, and observability stacks under the guidance of more senior engineers.
* Participate in code reviews, on\-call rotations, and post\-incident reviews, helping to drive reliability and operational excellence for the AI Platform.
* Collaborate with applied scientists and product teams to produce new models and features on top of the platform.
**Minimum Qualifications**
* Bachelor's degree in computer science, Engineering, or equivalent practical experience.
* 3\+ years of hands\-on experience building and operating backend or distributed systems in production or 2\+ years of experience with Master’s degree
* Proficiency in at least one modern programming language (e.g., Python, Go, or Java) and solid foundation in software engineering best practices.
* Practical experience with containerization and Kubernetes (e.g., Docker, Helm, basic deployment and service concepts).
* Experience designing and implementing REST/gRPC services or microservices, with attention to correctness, robustness, and basic observability (metrics, logs, tracing).
* Evidence of end\-to\-end ownership on projects or services: design participation, implementation, testing, deployment, and production support.
**Preferred Qualifications**
* Experience working with LLM or ML inference systems or interest in learning frameworks such as vLLM, TensorRT\-LLM, or Triton Inference Server.
* Familiarity with GPU concepts (CUDA, basic performance considerations) or distributed systems concepts such as sharding, load balancing, and caching.
* Exposure to RAG architectures and VectorDB systems (Weaviate, Qdrant, Milvus, FAISS, etc.).
* Experience with AWS or Azure cloud services (EC2/VMs, IAM roles, VPC basics) and an understanding of security best practices for cloud workloads.
* Background contributing to platforms or shared services used by multiple teams (e.g., internal APIs, SDKs, feature flags, shared libraries).
* Experience implementing dashboards, alerts using Prometheus, Skynet, or cloud\-native observability tools.
* Strong communication skills, willingness to ask questions, and a growth mindset—comfortable learning from senior engineers and progressively taking on more ownership.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Simply put – we power the future.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$165,300\.00 to $209,200\.00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$181,000\.00 \- $270,300\.00
**Non\-Metro New York State \&amp; Washington State**
 $165,300\.00 \- $240,600\.00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12">
      <c r="A12" t="inlineStr">
        <is>
          <t>li-4370152968</t>
        </is>
      </c>
      <c r="B12" t="inlineStr">
        <is>
          <t>Machine Learning Engineer (Remote)</t>
        </is>
      </c>
      <c r="C12" t="inlineStr">
        <is>
          <t>Cisco</t>
        </is>
      </c>
      <c r="D12" t="inlineStr">
        <is>
          <t>linkedin</t>
        </is>
      </c>
      <c r="E12" t="inlineStr"/>
      <c r="F12" t="inlineStr"/>
      <c r="G12" t="inlineStr">
        <is>
          <t>Bellevue, WA</t>
        </is>
      </c>
      <c r="H12" t="inlineStr"/>
      <c r="I12" t="inlineStr">
        <is>
          <t>The application window is expected to close on: 03/31/2026
**Job posting may be removed earlier if the position is filled or if a sufficient number of applications are received** 
 .
 This role can be performed remotely from locations within the United States.
**Meet the Team**
 Splunk, a Cisco company, is building a safer, more resilient digital world with an end‑to‑end, full‑stack platform designed for hybrid, multi‑cloud environments.
 Within Splunk AI, the AI Platform and Services team provides the core runtime and developer experience that power AI across Splunk and Cisco. We run multi\-tenant LLM inference on AWS and Azure GPU fleets using vLLM, Bedrock, OpenAI/Azure, and OSS models, and build platform services on top of Splunk’s managed Kubernetes infrastructure. We also provide VectorDB/RAG services and MCP services that make AI workloads secure, observable, and cost\-efficient for product teams.
 On top of this foundation, we deliver agentic frameworks, SDKs, tools, and evaluation/guardrail capabilities that help teams quickly build reliable GenAI assistants and automation features. You’ll join a group that sits at the intersection of distributed systems, ML, and developer experience, grounded in operational excellence and a culture of impact\-driven, cross\-functional collaboration.
**Your Impact**
* Implement and maintain features for AI inference services, including vLLM\- and Ray\-based serving stacks, routing layers, and orchestration services.
* Help improve latency, throughput, and cost for LLM and generative workloads by contributing to batching, caching, and other performance optimizations.
* Contribute to Kubernetes\-native control planes for autoscaling, placement, and capacity management of GPU and CPU workloads across regions and clouds.
* Implement and extend platform capabilities such as telemetry, metering \&amp; throttling, guardrails, and rollout/rollback, ensuring services are observable and safe by default.
* Integrate inference services with VectorDB/RAG, identity \&amp; access, networking, and observability stacks under the guidance of more senior engineers.
* Participate in code reviews, on\-call rotations, and post\-incident reviews, helping to drive reliability and operational excellence for the AI Platform.
* Collaborate with applied scientists and product teams to produce new models and features on top of the platform.
**Minimum Qualifications**
* Bachelor's degree in computer science, Engineering, or equivalent practical experience.
* 3\+ years of hands\-on experience building and operating backend or distributed systems in production or 2\+ years of experience with Master’s degree
* Proficiency in at least one modern programming language (e.g., Python, Go, or Java) and solid foundation in software engineering best practices.
* Practical experience with containerization and Kubernetes (e.g., Docker, Helm, basic deployment and service concepts).
* Experience designing and implementing REST/gRPC services or microservices, with attention to correctness, robustness, and basic observability (metrics, logs, tracing).
* Evidence of end\-to\-end ownership on projects or services: design participation, implementation, testing, deployment, and production support.
**Preferred Qualifications**
* Experience working with LLM or ML inference systems or interest in learning frameworks such as vLLM, TensorRT\-LLM, or Triton Inference Server.
* Familiarity with GPU concepts (CUDA, basic performance considerations) or distributed systems concepts such as sharding, load balancing, and caching.
* Exposure to RAG architectures and VectorDB systems (Weaviate, Qdrant, Milvus, FAISS, etc.).
* Experience with AWS or Azure cloud services (EC2/VMs, IAM roles, VPC basics) and an understanding of security best practices for cloud workloads.
* Background contributing to platforms or shared services used by multiple teams (e.g., internal APIs, SDKs, feature flags, shared libraries).
* Experience implementing dashboards, alerts using Prometheus, Skynet, or cloud\-native observability tools.
* Strong communication skills, willingness to ask questions, and a growth mindset—comfortable learning from senior engineers and progressively taking on more ownership.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Simply put – we power the future.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$165,300\.00 to $209,200\.00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$181,000\.00 \- $270,300\.00
**Non\-Metro New York State \&amp; Washington State**
 $165,300\.00 \- $240,600\.00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13">
      <c r="A13" t="inlineStr">
        <is>
          <t>li-4370172073</t>
        </is>
      </c>
      <c r="B13" t="inlineStr">
        <is>
          <t>Machine Learning Engineer (Remote)</t>
        </is>
      </c>
      <c r="C13" t="inlineStr">
        <is>
          <t>Cisco</t>
        </is>
      </c>
      <c r="D13" t="inlineStr">
        <is>
          <t>linkedin</t>
        </is>
      </c>
      <c r="E13" t="inlineStr"/>
      <c r="F13" t="inlineStr"/>
      <c r="G13" t="inlineStr">
        <is>
          <t>Ashburn, VA</t>
        </is>
      </c>
      <c r="H13" t="inlineStr"/>
      <c r="I13" t="inlineStr">
        <is>
          <t>The application window is expected to close on: 03/31/2026
**Job posting may be removed earlier if the position is filled or if a sufficient number of applications are received** 
 .
 This role can be performed remotely from locations within the United States.
**Meet the Team**
 Splunk, a Cisco company, is building a safer, more resilient digital world with an end‑to‑end, full‑stack platform designed for hybrid, multi‑cloud environments.
 Within Splunk AI, the AI Platform and Services team provides the core runtime and developer experience that power AI across Splunk and Cisco. We run multi\-tenant LLM inference on AWS and Azure GPU fleets using vLLM, Bedrock, OpenAI/Azure, and OSS models, and build platform services on top of Splunk’s managed Kubernetes infrastructure. We also provide VectorDB/RAG services and MCP services that make AI workloads secure, observable, and cost\-efficient for product teams.
 On top of this foundation, we deliver agentic frameworks, SDKs, tools, and evaluation/guardrail capabilities that help teams quickly build reliable GenAI assistants and automation features. You’ll join a group that sits at the intersection of distributed systems, ML, and developer experience, grounded in operational excellence and a culture of impact\-driven, cross\-functional collaboration.
**Your Impact**
* Implement and maintain features for AI inference services, including vLLM\- and Ray\-based serving stacks, routing layers, and orchestration services.
* Help improve latency, throughput, and cost for LLM and generative workloads by contributing to batching, caching, and other performance optimizations.
* Contribute to Kubernetes\-native control planes for autoscaling, placement, and capacity management of GPU and CPU workloads across regions and clouds.
* Implement and extend platform capabilities such as telemetry, metering \&amp; throttling, guardrails, and rollout/rollback, ensuring services are observable and safe by default.
* Integrate inference services with VectorDB/RAG, identity \&amp; access, networking, and observability stacks under the guidance of more senior engineers.
* Participate in code reviews, on\-call rotations, and post\-incident reviews, helping to drive reliability and operational excellence for the AI Platform.
* Collaborate with applied scientists and product teams to produce new models and features on top of the platform.
**Minimum Qualifications**
* Bachelor's degree in computer science, Engineering, or equivalent practical experience.
* 3\+ years of hands\-on experience building and operating backend or distributed systems in production or 2\+ years of experience with Master’s degree
* Proficiency in at least one modern programming language (e.g., Python, Go, or Java) and solid foundation in software engineering best practices.
* Practical experience with containerization and Kubernetes (e.g., Docker, Helm, basic deployment and service concepts).
* Experience designing and implementing REST/gRPC services or microservices, with attention to correctness, robustness, and basic observability (metrics, logs, tracing).
* Evidence of end\-to\-end ownership on projects or services: design participation, implementation, testing, deployment, and production support.
**Preferred Qualifications**
* Experience working with LLM or ML inference systems or interest in learning frameworks such as vLLM, TensorRT\-LLM, or Triton Inference Server.
* Familiarity with GPU concepts (CUDA, basic performance considerations) or distributed systems concepts such as sharding, load balancing, and caching.
* Exposure to RAG architectures and VectorDB systems (Weaviate, Qdrant, Milvus, FAISS, etc.).
* Experience with AWS or Azure cloud services (EC2/VMs, IAM roles, VPC basics) and an understanding of security best practices for cloud workloads.
* Background contributing to platforms or shared services used by multiple teams (e.g., internal APIs, SDKs, feature flags, shared libraries).
* Experience implementing dashboards, alerts using Prometheus, Skynet, or cloud\-native observability tools.
* Strong communication skills, willingness to ask questions, and a growth mindset—comfortable learning from senior engineers and progressively taking on more ownership.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Simply put – we power the future.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$165,300\.00 to $209,200\.00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$181,000\.00 \- $270,300\.00
**Non\-Metro New York State \&amp; Washington State**
 $165,300\.00 \- $240,600\.00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14">
      <c r="A14" t="inlineStr">
        <is>
          <t>li-4370176240</t>
        </is>
      </c>
      <c r="B14" t="inlineStr">
        <is>
          <t>Machine Learning Engineer</t>
        </is>
      </c>
      <c r="C14" t="inlineStr">
        <is>
          <t>Tempus AI</t>
        </is>
      </c>
      <c r="D14" t="inlineStr">
        <is>
          <t>linkedin</t>
        </is>
      </c>
      <c r="E14" t="inlineStr"/>
      <c r="F14" t="inlineStr"/>
      <c r="G14" t="inlineStr"/>
      <c r="H14" t="inlineStr"/>
      <c r="I14" t="inlineStr">
        <is>
          <t>**About The Company**
 Tempus AI is at the forefront of advancing healthcare through innovative data\-driven solutions. Our proprietary platform seamlessly integrates real\-world evidence, including genomics, medical imaging, clinical notes, and other complex data sources, to deliver real\-time, actionable insights to healthcare professionals. By harnessing cutting\-edge artificial intelligence and machine learning technologies, Tempus aims to revolutionize precision medicine, improve patient outcomes, and accelerate medical research. Our commitment to innovation, collaboration, and ethical standards positions us as a leader in the healthcare AI industry, dedicated to transforming the future of clinical care and research.
**About The Role**
 We are seeking a highly experienced Staff Machine Learning Engineer specializing in Oncology foundation models to join our dynamic AI team. In this pivotal role, you will be responsible for designing, building, and maintaining the foundational data infrastructure that powers Tempus’s most advanced multimodal generative AI models. Your expertise will directly influence the development of systems that analyze diverse and complex data types such as genomics, pathology images, radiology scans, and clinical notes. This position offers an exciting opportunity to impact clinical decision\-making and medical research by enabling scalable, efficient, and compliant data pipelines. As a technical leader, you will collaborate across teams to optimize data workflows, improve model performance, and ensure the robustness of our healthcare AI solutions.
**Qualifications**
* Master’s degree in Computer Science, Artificial Intelligence, Software Engineering, or a related field.
* 8\+ years of industry experience in designing, building, and operating large\-scale data pipelines and infrastructure.
* Proficiency with distributed data processing frameworks such as Apache Spark, Ray, or Dask.
* Hands\-on experience with large\-scale ML data handling tools like Hugging Face Datasets, MosaicML Streaming, or WebDataset.
* Strong programming skills in Python and familiarity with MLOps platforms like MLflow, Kubeflow, or SageMaker Pipelines.
* Experience working with heterogeneous datasets, including genomics, medical imaging, and clinical data.
* Understanding of training large models, foundation models, LLMs, and multimodal systems.
* Leadership skills with the ability to mentor junior engineers and collaborate effectively with cross\-functional teams.
* Excellent communication skills for explaining complex technical concepts to diverse audiences.
**Responsibilities**
* Architect and develop sophisticated data processing workflows for multimodal training data ingestion, processing, and preparation.
* Manage the entire data lifecycle, ensuring data quality, compliance, and security across diverse sources.
* Develop strategies for efficient data ingestion from internal databases, third\-party APIs, biomedical datasets, and proprietary sources.
* Optimize data storage solutions for large\-scale training and knowledge retrieval.
* Collaborate with infrastructure teams to leverage cloud\-native services, primarily on GCP, for performance, cost\-efficiency, and security.
* Engineer connectors and data loaders for accessing knowledge graphs, biomedical literature, structured databases, and ontologies.
* Implement and maintain monitoring, logging, and alerting systems for data pipeline health, data drift, and quality assurance.
* Analyze and troubleshoot data workflow bottlenecks related to storage, network bandwidth, and compute resources.
* Continuously seek opportunities to optimize costs associated with processing and storing large datasets in the cloud environment.
* Provide technical leadership and mentorship to team members, fostering a culture of innovation and continuous improvement.
**Benefits**
* Competitive salary range based on location and experience.
* Comprehensive health insurance plans including medical, dental, and vision coverage.
* Incentive compensation and restricted stock units (RSUs).
* Flexible work arrangements, including remote work options.
* Generous paid time off and holiday policies.
* Opportunities for professional development and continuous learning.
* Collaborative and inclusive work environment fostering innovation and growth.
 Equal Opportunity
 Tempus AI is an equal opportunity employer. We celebrate diversity and are committed to creating an inclusive environment for all employees. We do not discriminate based on race, religion, color, national origin, gender, sexual orientation, age, marital status, veteran status, disability, or any other protected characteristic. We believe that diverse perspectives enhance our innovation and success, and we welcome applicants from all backgrounds to join our team.</t>
        </is>
      </c>
    </row>
    <row r="15">
      <c r="A15" t="inlineStr">
        <is>
          <t>li-4370172072</t>
        </is>
      </c>
      <c r="B15" t="inlineStr">
        <is>
          <t>Machine Learning Engineer (Remote)</t>
        </is>
      </c>
      <c r="C15" t="inlineStr">
        <is>
          <t>Cisco</t>
        </is>
      </c>
      <c r="D15" t="inlineStr">
        <is>
          <t>linkedin</t>
        </is>
      </c>
      <c r="E15" t="inlineStr"/>
      <c r="F15" t="inlineStr"/>
      <c r="G15" t="inlineStr">
        <is>
          <t>Boston, MA</t>
        </is>
      </c>
      <c r="H15" t="inlineStr"/>
      <c r="I15" t="inlineStr">
        <is>
          <t>The application window is expected to close on: 03/31/2026
**Job posting may be removed earlier if the position is filled or if a sufficient number of applications are received** 
 .
 This role can be performed remotely from locations within the United States.
**Meet the Team**
 Splunk, a Cisco company, is building a safer, more resilient digital world with an end‑to‑end, full‑stack platform designed for hybrid, multi‑cloud environments.
 Within Splunk AI, the AI Platform and Services team provides the core runtime and developer experience that power AI across Splunk and Cisco. We run multi\-tenant LLM inference on AWS and Azure GPU fleets using vLLM, Bedrock, OpenAI/Azure, and OSS models, and build platform services on top of Splunk’s managed Kubernetes infrastructure. We also provide VectorDB/RAG services and MCP services that make AI workloads secure, observable, and cost\-efficient for product teams.
 On top of this foundation, we deliver agentic frameworks, SDKs, tools, and evaluation/guardrail capabilities that help teams quickly build reliable GenAI assistants and automation features. You’ll join a group that sits at the intersection of distributed systems, ML, and developer experience, grounded in operational excellence and a culture of impact\-driven, cross\-functional collaboration.
**Your Impact**
* Implement and maintain features for AI inference services, including vLLM\- and Ray\-based serving stacks, routing layers, and orchestration services.
* Help improve latency, throughput, and cost for LLM and generative workloads by contributing to batching, caching, and other performance optimizations.
* Contribute to Kubernetes\-native control planes for autoscaling, placement, and capacity management of GPU and CPU workloads across regions and clouds.
* Implement and extend platform capabilities such as telemetry, metering \&amp; throttling, guardrails, and rollout/rollback, ensuring services are observable and safe by default.
* Integrate inference services with VectorDB/RAG, identity \&amp; access, networking, and observability stacks under the guidance of more senior engineers.
* Participate in code reviews, on\-call rotations, and post\-incident reviews, helping to drive reliability and operational excellence for the AI Platform.
* Collaborate with applied scientists and product teams to produce new models and features on top of the platform.
**Minimum Qualifications**
* Bachelor's degree in computer science, Engineering, or equivalent practical experience.
* 3\+ years of hands\-on experience building and operating backend or distributed systems in production or 2\+ years of experience with Master’s degree
* Proficiency in at least one modern programming language (e.g., Python, Go, or Java) and solid foundation in software engineering best practices.
* Practical experience with containerization and Kubernetes (e.g., Docker, Helm, basic deployment and service concepts).
* Experience designing and implementing REST/gRPC services or microservices, with attention to correctness, robustness, and basic observability (metrics, logs, tracing).
* Evidence of end\-to\-end ownership on projects or services: design participation, implementation, testing, deployment, and production support.
**Preferred Qualifications**
* Experience working with LLM or ML inference systems or interest in learning frameworks such as vLLM, TensorRT\-LLM, or Triton Inference Server.
* Familiarity with GPU concepts (CUDA, basic performance considerations) or distributed systems concepts such as sharding, load balancing, and caching.
* Exposure to RAG architectures and VectorDB systems (Weaviate, Qdrant, Milvus, FAISS, etc.).
* Experience with AWS or Azure cloud services (EC2/VMs, IAM roles, VPC basics) and an understanding of security best practices for cloud workloads.
* Background contributing to platforms or shared services used by multiple teams (e.g., internal APIs, SDKs, feature flags, shared libraries).
* Experience implementing dashboards, alerts using Prometheus, Skynet, or cloud\-native observability tools.
* Strong communication skills, willingness to ask questions, and a growth mindset—comfortable learning from senior engineers and progressively taking on more ownership.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Simply put – we power the future.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$165,300\.00 to $209,200\.00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$181,000\.00 \- $270,300\.00
**Non\-Metro New York State \&amp; Washington State**
 $165,300\.00 \- $240,600\.00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16">
      <c r="A16" t="inlineStr">
        <is>
          <t>li-4370167183</t>
        </is>
      </c>
      <c r="B16" t="inlineStr">
        <is>
          <t>Machine Learning Engineer (Remote)</t>
        </is>
      </c>
      <c r="C16" t="inlineStr">
        <is>
          <t>Cisco</t>
        </is>
      </c>
      <c r="D16" t="inlineStr">
        <is>
          <t>linkedin</t>
        </is>
      </c>
      <c r="E16" t="inlineStr"/>
      <c r="F16" t="inlineStr"/>
      <c r="G16" t="inlineStr">
        <is>
          <t>Arlington, VA</t>
        </is>
      </c>
      <c r="H16" t="inlineStr"/>
      <c r="I16" t="inlineStr">
        <is>
          <t>The application window is expected to close on: 03/31/2026
**Job posting may be removed earlier if the position is filled or if a sufficient number of applications are received** 
 .
 This role can be performed remotely from locations within the United States.
**Meet the Team**
 Splunk, a Cisco company, is building a safer, more resilient digital world with an end‑to‑end, full‑stack platform designed for hybrid, multi‑cloud environments.
 Within Splunk AI, the AI Platform and Services team provides the core runtime and developer experience that power AI across Splunk and Cisco. We run multi\-tenant LLM inference on AWS and Azure GPU fleets using vLLM, Bedrock, OpenAI/Azure, and OSS models, and build platform services on top of Splunk’s managed Kubernetes infrastructure. We also provide VectorDB/RAG services and MCP services that make AI workloads secure, observable, and cost\-efficient for product teams.
 On top of this foundation, we deliver agentic frameworks, SDKs, tools, and evaluation/guardrail capabilities that help teams quickly build reliable GenAI assistants and automation features. You’ll join a group that sits at the intersection of distributed systems, ML, and developer experience, grounded in operational excellence and a culture of impact\-driven, cross\-functional collaboration.
**Your Impact**
* Implement and maintain features for AI inference services, including vLLM\- and Ray\-based serving stacks, routing layers, and orchestration services.
* Help improve latency, throughput, and cost for LLM and generative workloads by contributing to batching, caching, and other performance optimizations.
* Contribute to Kubernetes\-native control planes for autoscaling, placement, and capacity management of GPU and CPU workloads across regions and clouds.
* Implement and extend platform capabilities such as telemetry, metering \&amp; throttling, guardrails, and rollout/rollback, ensuring services are observable and safe by default.
* Integrate inference services with VectorDB/RAG, identity \&amp; access, networking, and observability stacks under the guidance of more senior engineers.
* Participate in code reviews, on\-call rotations, and post\-incident reviews, helping to drive reliability and operational excellence for the AI Platform.
* Collaborate with applied scientists and product teams to produce new models and features on top of the platform.
**Minimum Qualifications**
* Bachelor's degree in computer science, Engineering, or equivalent practical experience.
* 3\+ years of hands\-on experience building and operating backend or distributed systems in production or 2\+ years of experience with Master’s degree
* Proficiency in at least one modern programming language (e.g., Python, Go, or Java) and solid foundation in software engineering best practices.
* Practical experience with containerization and Kubernetes (e.g., Docker, Helm, basic deployment and service concepts).
* Experience designing and implementing REST/gRPC services or microservices, with attention to correctness, robustness, and basic observability (metrics, logs, tracing).
* Evidence of end\-to\-end ownership on projects or services: design participation, implementation, testing, deployment, and production support.
**Preferred Qualifications**
* Experience working with LLM or ML inference systems or interest in learning frameworks such as vLLM, TensorRT\-LLM, or Triton Inference Server.
* Familiarity with GPU concepts (CUDA, basic performance considerations) or distributed systems concepts such as sharding, load balancing, and caching.
* Exposure to RAG architectures and VectorDB systems (Weaviate, Qdrant, Milvus, FAISS, etc.).
* Experience with AWS or Azure cloud services (EC2/VMs, IAM roles, VPC basics) and an understanding of security best practices for cloud workloads.
* Background contributing to platforms or shared services used by multiple teams (e.g., internal APIs, SDKs, feature flags, shared libraries).
* Experience implementing dashboards, alerts using Prometheus, Skynet, or cloud\-native observability tools.
* Strong communication skills, willingness to ask questions, and a growth mindset—comfortable learning from senior engineers and progressively taking on more ownership.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Simply put – we power the future.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$165,300\.00 to $209,200\.00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$181,000\.00 \- $270,300\.00
**Non\-Metro New York State \&amp; Washington State**
 $165,300\.00 \- $240,600\.00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17">
      <c r="A17" t="inlineStr">
        <is>
          <t>li-4342434573</t>
        </is>
      </c>
      <c r="B17" t="inlineStr">
        <is>
          <t>Machine Learning Engineer | Creative Ads Optimization</t>
        </is>
      </c>
      <c r="C17" t="inlineStr">
        <is>
          <t>Luma AI</t>
        </is>
      </c>
      <c r="D17" t="inlineStr">
        <is>
          <t>linkedin</t>
        </is>
      </c>
      <c r="E17" t="inlineStr"/>
      <c r="F17" t="inlineStr"/>
      <c r="G17" t="inlineStr">
        <is>
          <t>Palo Alto, CA</t>
        </is>
      </c>
      <c r="H17" t="inlineStr"/>
      <c r="I17" t="inlineStr">
        <is>
          <t>**The Opportunity**
 Luma AI is a full\-stack AI lab building Multimodal AGI. To truly understand the world, models must learn from audio, video, and images. We train our own foundational models and build the products that utilize them. You will join a confidential, founding engineering team tasked with building a new category of creative tools from the ground up. We combine the massive compute resources and capital of a major tech company with the agility and individual impact of a focused startup.
**Where You Come In**
 You will operate with high agency as a founding engineer, defining the technical architecture for a new generative product focused on ad creation. This is a role for a builder who thrives in ambiguity and prefers inventing solutions over maintaining existing platforms. You will serve as the bridge between our research team and the product, translating raw model capabilities into a powerful engine that optimizes creative work.
**What You Will Build**
* The Optimization Engine: Architect the core ML systems that translate the nuances of ad effectiveness into quantitative signals, guiding our AI models to generate high\-performance content.
* Novel Capabilities: Collaborate with researchers to apply state\-of\-the\-art techniques, including efficient finetuning of vision\-language models, to solve specific creative challenges.
* 0\-to\-1 Architecture: Design and build the initial backend infrastructure that powers our creative platform, ensuring it can scale from a prototype to a global product.
**The Profile We Are Looking For**
* Founding Mindset: You have a history of creating, launching, and building new systems from scratch and thrive in environments where you define the spec as you build.
* Domain Expertise: You possess a deep, quantitative understanding of the ads ecosystem, specifically regarding creative optimization, personalization, or relevance.
* Technical Fluency: You have expert\-level command of Python and hands\-on experience finetuning or training generative models.</t>
        </is>
      </c>
    </row>
    <row r="18">
      <c r="A18" t="inlineStr">
        <is>
          <t>li-4370019928</t>
        </is>
      </c>
      <c r="B18" t="inlineStr">
        <is>
          <t>AI Engineer</t>
        </is>
      </c>
      <c r="C18" t="inlineStr">
        <is>
          <t>Synterex</t>
        </is>
      </c>
      <c r="D18" t="inlineStr">
        <is>
          <t>linkedin</t>
        </is>
      </c>
      <c r="E18" t="inlineStr"/>
      <c r="F18" t="inlineStr"/>
      <c r="G18" t="inlineStr"/>
      <c r="H18" t="inlineStr"/>
      <c r="I18" t="inlineStr">
        <is>
          <t>**About Synterex** 
 Synterex is a global consortium of clinical development and scientific operations specialists serving the life sciences industry. We support pharmaceutical, biotechnology, and emerging innovators across all phases of development — from first\-in\-human studies through post\-approval lifecycle management.
 We focus on delivering high\-quality medical writing, submission publishing, clinical science, analytics, and operational support, combining deep scientific expertise with dependable execution and thoughtful collaboration.
 As part of our ongoing innovation and R\&amp;D initiatives, Synterex is expanding its internal AI and technology capabilities to build intelligent tools, agentic workflows, and next\-generation solutions that streamline how scientific and operational teams work.
 What defines Synterex is our people\-first approach. We are a fully remote, collaborative, and supportive organization where talented individuals are trusted, empowered, and encouraged to grow. If you value meaningful work, scientific excellence, flexibility, and a culture grounded in respect and kindness — you will feel at home here.
**Position Summary** 
 The AI Engineer (Generative AI \&amp; Agents) will design, build, and deploy AI\-powered systems with a strong focus on Azure OpenAI, generative modeling, and agentic workflows. This is a junior–mid level, execution\-heavy engineering role for someone who thrives on building, experimenting, and bringing concepts to life.
 You will work closely with domain and technical leads who provide strategic and conceptual direction, while you focus on translating those ideas into functional prototypes and production\-ready capabilities. Your work will support Synterex’s innovation roadmap across medical writing, analytics, clinical operations, and internal automation.
**Key Responsibilities** 
* Build, test, and deploy GenAI applications using Azure OpenAI (GPT\-4/4o, embeddings, fine\-tuning, RAG, assistants).
* Develop agentic workflows using modern frameworks such as LangChain, AutoGen, Semantic Kernel, CrewAI, or LangGraph.
* Implement backend pipelines for prompts, evaluations, LLM orchestration, and model integration.
* Translate conceptual ideas into functional prototypes and scalable systems.
* Integrate models with internal tools, APIs, databases, and structured/unstructured datasets.
* Apply evaluation tools and methodologies for agentic reasoning and LLM reliability.
* Ensure security, privacy, and responsible AI practices.
* Collaborate with domain experts and technical leaders across R\&amp;D, analytics, and scientific teams.
**Requirements** 
**Education \&amp; Experience** 
* 1–5 years of AI/ML engineering experience OR strong project/portfolio work demonstrating capability.
* Formal degrees are optional if technical ability is demonstrated.
**Technical Must\-Haves** 
* Strong hands\-on experience in Python.
* Practical experience with Azure OpenAI or similar LLM platforms.
* Experience with at least one agent/GenAI framework: LangChain, AutoGen, Semantic Kernel, CrewAI, LangGraph.
* Ability to independently build prototypes and iterate quickly.
* Understanding of LLM fundamentals: embeddings, RAG workflows, prompting techniques, model limitations, risks, and evaluation.
* Experience in backend or system architecture (APIs, pipelines, orchestration).
**Mindset \&amp; Attributes** 
* Curious, self\-driven, and experimental.
* Strong problem\-solving orientation with a bias toward execution.
* Comfortable working in fast\-moving, exploratory R\&amp;D environments.
**Nice\-to\-Have Skills** 
* Experience with agentic or autonomous task orchestration systems.
* Exposure to multimodal models, fine\-tuning, or retrieval pipelines.
* Experience in a regulated industry (pharma, healthcare).
* Familiarity with Azure cloud infrastructure.
* Experience using evaluation tools like Ragas or similar testing frameworks.
**Why Join Synterex?** 
* Work at the intersection of GenAI, science, and regulated industries.
* Direct impact on systems used by scientific and clinical teams.
* R\&amp;D\-driven environment with strong executive support.
* Fully remote role within the United States.
* Opportunities for experimentation, rapid learning, and meaningful ownership of projects.
**How to Apply** 
 To apply or request more information, please contact
 **careers@synterex.com** 
 .
 Please include your résumé/CV and (optional) a short cover/motivation note.
**Equal Employment Opportunity** 
 Synterex provides equal employment opportunities to all employees and applicants and does not discriminate based on race, color, religion, age, sex, national origin, disability, genetics, protected veteran status, sexual orientation, gender identity or expression, or any other protected characteristic.</t>
        </is>
      </c>
    </row>
    <row r="19">
      <c r="A19" t="inlineStr">
        <is>
          <t>li-4370187057</t>
        </is>
      </c>
      <c r="B19" t="inlineStr">
        <is>
          <t>Machine Learning Engineer</t>
        </is>
      </c>
      <c r="C19" t="inlineStr">
        <is>
          <t>Bright Vision Technologies</t>
        </is>
      </c>
      <c r="D19" t="inlineStr">
        <is>
          <t>linkedin</t>
        </is>
      </c>
      <c r="E19" t="inlineStr"/>
      <c r="F19" t="inlineStr"/>
      <c r="G19" t="inlineStr">
        <is>
          <t>Dallas, TX</t>
        </is>
      </c>
      <c r="H19" t="inlineStr"/>
      <c r="I19" t="inlineStr">
        <is>
          <t>Bright Vision Technologies is a forward\-thinking software development company dedicated to building innovative solutions that help businesses automate and optimize their operations.
 We leverage cutting\-edge machine learning technologies to build scalable, reliable, and production\-grade intelligent systems. As we continue to grow, we’re looking for a skilled
 **Machine Learning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
**Company:** 
 Bright Vision Technologies ( www.bvteck.com )
**Job Title:** 
 Machine Learning Engineer
**Job Location:** 
 Dallas, TX
**Onsite/Hybrid:** 
 Remote
**FULL\-TIME ROLE WITH BRIGHT VISION**
**Job Description:**
**Environment:**
 Machine Learning, Python, TensorFlow, PyTorch, Scikit\-learn, Feature Engineering, Model Training \&amp; Evaluation, Model Deployment, RESTful APIs, Data Pipelines, SQL, NoSQL Databases, Cloud Platforms (AWS / Azure / GCP), Docker, Kubernetes, Linux, CI/CD pipelines, Git, Agile methodologies
**BUT STRICTLY NO C2C/1099/3RD PARTY COMPANIES. ALL OUR ROLES ARE W2 AND NO 3RD PARTY BROKERING PLEASE.**
 For every role, a
 **coding test is required** 
 , so apply only if you are
 **confident and technically strong** 
 .
 We prefer
 **at least 3 to 5 years real time experience** 
 .
 If you are a
 **Machine Learning Engineer** 
 with the above skills and are looking for an
 **H\-1 B sponsorship** 
 this year, please send your resume immediately to S
 **reedhar@bvteck.com** 
 .
 we are committed to providing equal employment opportunities and fostering an inclusive work environment. We encourage applications from all qualified individuals regardless of race, ethnicity, religion, gender identity, sexual orientation, age, disability, or any other protected status. If you require accommodations during the recruitment process, please let us know.
**Position offered by “No Fee agency.”**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Powered by JazzHR
 7geJLmu02U</t>
        </is>
      </c>
    </row>
    <row r="20">
      <c r="A20" t="inlineStr">
        <is>
          <t>li-4370181093</t>
        </is>
      </c>
      <c r="B20" t="inlineStr">
        <is>
          <t>Machine Learning Engineer</t>
        </is>
      </c>
      <c r="C20" t="inlineStr">
        <is>
          <t>Coinbase</t>
        </is>
      </c>
      <c r="D20" t="inlineStr">
        <is>
          <t>linkedin</t>
        </is>
      </c>
      <c r="E20" t="inlineStr"/>
      <c r="F20" t="inlineStr"/>
      <c r="G20" t="inlineStr"/>
      <c r="H20" t="inlineStr"/>
      <c r="I20" t="inlineStr">
        <is>
          <t>**About The Company** 
 Coinbase is a leading global cryptocurrency exchange and financial technology company committed to increasing economic freedom worldwide. Established with the vision to create an open financial system accessible to everyone, Coinbase offers a secure and user\-friendly platform for buying, selling, and managing digital assets. With a focus on innovation, security, and regulatory compliance, Coinbase has become a trusted name in the digital currency space, empowering millions of users across the globe. The company's mission is to build an open financial system for the world, leveraging blockchain technology to revolutionize traditional finance and create new opportunities for economic participation.
**About The Role** 
 We are seeking a highly skilled and experienced Staff Machine Learning Engineer to join our AI team at Coinbase. In this pivotal role, you will lead the development and deployment of advanced machine learning models aimed at optimizing our operations, enhancing security, and improving user experience. Your expertise will be instrumental in designing scalable ML pipelines, fine\-tuning large language models (LLMs), and creating automated risk assessment systems that directly impact millions of users. This role offers a unique opportunity to apply cutting\-edge ML and Generative AI (GenAI) techniques to solve real\-world challenges in digital finance, contributing to the transformation of our platform’s operational efficiency and security posture.
**Qualifications** 
* 8\+ years of industry experience in Machine Learning or a PhD with 5\+ years of relevant experience
* Master’s degree in Machine Learning, Computer Science, or a related technical field; PhD preferred
* Proven experience working with Payment Risk, Credit Risk, or Account Takeover models
* Strong programming skills with the ability to leverage auto\-code generation techniques for scalable ML applications
* Deep understanding of modern ML techniques including Deep Neural Networks (DNNs), transformers, and large language models (LLMs)
* Experience building, deploying, and maintaining production\-grade ML systems at scale
* Ability to balance model complexity with production requirements such as latency and availability
* Excellent communication skills for effective collaboration with domain experts and cross\-functional teams
* Knowledge of regulatory requirements in financial services (nice to have)
* Familiarity with crypto and blockchain technology (nice to have)
**Responsibilities** 
* Define and execute the technical strategy for a portfolio of machine learning projects focused on operational optimization and risk mitigation
* Design, develop, and fine\-tune models, including LLMs, to automate document processing and risk assessment tasks
* Create real\-time ML pipelines capable of detecting and preventing risks proactively
* Collaborate with domain experts to translate their knowledge into effective ML features and models
* Develop explainable AI systems that can justify their risk assessments to ensure transparency and trust
* Work with platform teams to deploy models at scale, ensuring high availability, low latency, and robustness
* Continuously monitor, evaluate, and improve the performance of deployed models
* Stay updated with the latest advancements in ML and GenAI, integrating innovative techniques into projects
**Benefits** 
* Competitive salary range of $218,025—$256,500 USD, commensurate with experience
* Target bonus, equity, and comprehensive benefits package including medical, dental, vision insurance
* 401(k) retirement plan with company matching
* Opportunities for professional growth and development in a pioneering technology environment
* Collaborative and innovative work culture that encourages feedback and continuous learning
* Participation in company\-wide offsites and team\-building activities
* Flexible work arrangements with a hybrid work model combining remote and in\-person participation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protected characteristic under applicable law. We are committed to creating an inclusive environment and will consider qualified applicants with criminal histories in a manner consistent with legal requirements.</t>
        </is>
      </c>
    </row>
    <row r="21">
      <c r="A21" t="inlineStr">
        <is>
          <t>li-4348596546</t>
        </is>
      </c>
      <c r="B21" t="inlineStr">
        <is>
          <t>Senior Machine Learning Engineer - Search (REMOTE)</t>
        </is>
      </c>
      <c r="C21" t="inlineStr">
        <is>
          <t>DICK'S Sporting Goods</t>
        </is>
      </c>
      <c r="D21" t="inlineStr">
        <is>
          <t>linkedin</t>
        </is>
      </c>
      <c r="E21" t="inlineStr"/>
      <c r="F21" t="inlineStr"/>
      <c r="G21" t="inlineStr"/>
      <c r="H21" t="inlineStr"/>
      <c r="I21" t="inlineStr">
        <is>
          <t>At
 **DICK’S Sporting Goods** 
 , we believe in how positively sports can change lives. On our team, everyone plays a critical role in creating confidence and excitement by personally equipping all athletes to achieve their dreams. We are committed to creating an inclusive and diverse workforce, reflecting the communities we serve.
 If you are ready to make a difference as part of the world’s greatest sports team, apply to join our team today!
**Overview**
 Are you a passionate technologist with experience in AI, Machine Learning, Data Science and Analysis? Are you looking for an opportunity to drive enterprise impact and shape the future of a leading sports retailer with $12B\+ in revenue and 800\+ physical stores? Do you enjoy working with a highly skilled team of Machine Learning engineers \&amp; Scientists, co\-creating enterprise grade AI capabilities?
 As a
 **Senior Machine Learning Engineer (Search)** 
 , you will be an emerging technical leader in our enterprise\-wide transformation, focused on delivering best\-in\-class search experiences through intelligent, AI\-driven systems. You’ll empower teammates and customers by building advanced tools rooted in AI/GenAI and machine learning —enabling smarter, faster, and more personalized discovery across our digital \&amp; in\-store ecosystem.
**Job Purpose**
 This is a career\-defining opportunity to shape how search powers decision\-making, productivity, and engagement across the enterprise. From product discovery and internal knowledge retrieval to teammate enablement and operational intelligence, you’ll build scalable ML solutions that elevate every facet of search — across channels, roles, and use cases.
 This role requires a seasoned engineer with deep expertise in traditional machine learning algorithms and a strong grasp of cutting\-edge AI/GenAI techniques — especially those applied to enterprise\-scale search systems. You’ll be responsible for designing and deploying intelligent search infrastructure that spans product discovery, internal knowledge retrieval, teammate enablement, and operational decisioning.
 As a technical leader, you’ll shape the enterprise ML/AI landscape by building high performance, deeply integrated systems across frontend interfaces, backend services, data platforms, and search infrastructure. You’ll collaborate closely with product, engineering, and business stakeholders to architect scalable solutions, drive platform evolution, and unlock the full potential of AI through rigorous technical design and hands\-on implementation.
**Responsibilities**
* Architect and implement large\-scale search and ranking systems.
* Build robust ML pipelines for training, evaluation, and deployment.
* Optimize distributed systems for low latency, high throughput, and fault tolerance.
* Ensure models are production\-ready with monitoring, logging, and automated retraining.
* Integrate ML models into search infrastructure (retrieval, ranking, query understanding).
* Work with embeddings, transformers, and vector search technologies to improve relevance.
* Scale experimentation frameworks to support rapid iteration and safe rollouts.
* Design Cloud deployment architecture for deploying ML models as APIs for real\-time inference with Caching.
* Develop and maintain APIs for machine learning models to facilitate integration with other systems and applications.
* Implement observability for search metrics (latency, relevance, clickthrough).
* Work closely with the Machine Learning Platform team to develop and maintain the ML platform to meet business and science objectives utilizing cutting edge tools and techniques.
* Partner with product managers and data scientists to translate ideas into production systems.
* Understand latest research in the field of search and give inputs to enterprise roadmaps to ensure we are on the path to build Best in Class search \&amp; relevancy systems.
**Preferred Skillset**
* Master's Degree or Equivalent Level in quantitative fields like computer science, engineering, physics, mathematics, etc.
* 4\+ years of experience in software engineering for ML systems (search, recommendation, or large\-scale distributed systems).
* Experience in API engineering, including designing, developing and maintaining APIs.
* Languages \&amp; Tools: Python, Java/Scala, C\+\+.
* ML Frameworks: TensorFlow, PyTorch.
* Data \&amp; Infra: Spark, Kafka, Kubernetes, Docker.
* Search Systems: Elasticsearch, Solr, or custom retrieval engines.
* Solid understanding of distributed systems, APIs, and cloud infrastructure (Azure, AWS, or GCP).
* Experience in an Agile working environment and at least one related project management tool (Azure DevOps, Jira, etc.).
* Comfortable presenting results to cross functional partners and help them understand technical trade offs.
* Brings a collaborative, problem solving and growth mindset to all interactions with a strong focus on delivery.
* Experience with vector databases and large\-scale embedding retrieval.
* Familiarity with reinforcement learning for ranking.
* Background in eCommerce or consumer\-facing search systems.
* Strong focus on reliability, scalability, and performance tuning.
**Qualifications**
* Bachelor's Degree or equivalent level preferred
* General Experience: Substantial general work experience together with comprehensive job related experience in own area of expertise to fully competent level. (Over 6 years to 10 years)
**Virtual Requirements**
 At DICK’S, we thrive on innovation and authenticity. That said, to protect the integrity and security of our hiring process, we ask that candidates do not use AI tools (like ChatGPT or others) during interviews or assessments.
 To ensure a smooth and secure experience, please note the following:
* Cameras must be on during all virtual interviews.
* AI tools are not permitted to be used by the candidate during any part of the interview process.
* Offers are contingent upon a satisfactory background check which may include ID verification.
 If you have any questions or need accommodations, we’re here to help. Thanks for helping us keep the process fair and secure for everyone!
 Targeted Pay Range: $83,000\.00 \- $138,200\.00\. This is part of a competitive total rewards package that could include other components such as: incentive, equity and benefits. Individual pay is determined by a number of factors including experience, location, internal pay equity, and other relevant business considerations. We review all teammate pay regularly to ensure competitive and equitable pay.DICK'S Sporting Goods complies with all state paid leave requirements. We also offer a generous suite of benefits. To learn more, visit www.benefityourliferesources.com.</t>
        </is>
      </c>
    </row>
    <row r="22">
      <c r="A22" t="inlineStr">
        <is>
          <t>li-4340570352</t>
        </is>
      </c>
      <c r="B22" t="inlineStr">
        <is>
          <t>Sr. AI/ML Engineer II (6182)</t>
        </is>
      </c>
      <c r="C22" t="inlineStr">
        <is>
          <t>MetroStar</t>
        </is>
      </c>
      <c r="D22" t="inlineStr">
        <is>
          <t>linkedin</t>
        </is>
      </c>
      <c r="E22" t="inlineStr"/>
      <c r="F22" t="inlineStr"/>
      <c r="G22" t="inlineStr">
        <is>
          <t>Washington, DC</t>
        </is>
      </c>
      <c r="H22" t="inlineStr"/>
      <c r="I22" t="inlineStr">
        <is>
          <t>As 
 **Sr. AI/ML Engineer II** 
 , you’ll lead design, development, evaluation, and operationalization of AI/ML models for IC missions—spanning feature engineering, training, evaluation, drift monitoring, and deployment across classified fabrics (MLOps at scale). AI/ML Lead on team consisting of software, AI/ML, Database, Cybersecurity Engineers as well as additional supporting skillsets for a wide\-ranging mission focused on building, enhancing, maintaining, and modernizing a large collection of analytic programs.
 We know that you can’t have great technology services without amazing people. At MetroStar, we are
 **obsessed** 
 with
 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Own model lifecycle (data curation, training, eval, bias/robustness testing, lineage) and MLOps pipelines.
* Partner with product and mission SMEs to translate analytic needs into performant, explainable models.
* Implement model risk mgmt (traceability, audit, and RMF‑aligned documentation) and observability at runtime.
* Coach engineers; establish coding, review, and evaluation standards.
* Prepare AI models and analytic products for quality assurance testing, documentation, and approval.
**What you’ll need to succeed:** 
* 8\+ years in AI/ML engineering or data science with operational deployments.
* Advanced degree in CS/Data Science/related.
* Active TS/SCI.
* Proficiency with Python/Scala, modern ML frameworks, and containerized, cloud‑native deployment.
 SALARY RANGE:  $105,000 \- $212,000 
 The salary range for this position is determined based on qualifications, skills, and relevant experience. The final salary offered will be determined based on several factors including: 
* The candidate's professional background and relevant work experience
* The specific responsibilities of the role and organizational needs
* Internal equity and alignment with current team compensation
* This role is also eligible for additional compensation, subject to the terms and policies of MetroStar, which may include:
+ Performance\-based bonuses
+ Company\-paid training and/or certifications
+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 This role may also be eligible for bonuses and/or additional incentives based on individual and company performance.
**Benefits** 
 : All full\-time employees are eligible to participate in our benefits programs:
* Health, dental, and vision insurance
* 401(k) retirement plan with company match
* Paid time off (PTO) and holidays
* Parental Leave and dependent care
* Flexible work arrangements
* Professional development opportunities
*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row>
    <row r="23">
      <c r="A23" t="inlineStr">
        <is>
          <t>li-4370180526</t>
        </is>
      </c>
      <c r="B23" t="inlineStr">
        <is>
          <t>AI Engineer</t>
        </is>
      </c>
      <c r="C23" t="inlineStr">
        <is>
          <t>Bright Vision Technologies</t>
        </is>
      </c>
      <c r="D23" t="inlineStr">
        <is>
          <t>linkedin</t>
        </is>
      </c>
      <c r="E23" t="inlineStr"/>
      <c r="F23" t="inlineStr"/>
      <c r="G23" t="inlineStr">
        <is>
          <t>Dallas, TX</t>
        </is>
      </c>
      <c r="H23" t="inlineStr"/>
      <c r="I23" t="inlineStr">
        <is>
          <t>Bright Vision Technologies is a forward\-thinking software development company dedicated to building innovative solutions that help businesses automate and optimize their operations.
 We leverage cutting\-edge artificial intelligence technologies to build scalable, secure, and production\-grade intelligent systems. As we continue to grow, we’re looking for a skilled
 **AI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
**Company:** 
 Bright Vision Technologies ( www.bvteck.com )
**Job Title:** 
 AI Engineer
**Job Location:** 
 Dallas, TX
**Onsite/Hybrid:** 
 Remote
**FULL\-TIME ROLE WITH BRIGHT VISION**
**Environment:**
 Artificial Intelligence, Machine Learning, Python, TensorFlow, PyTorch, Scikit\-learn, Deep Learning, Model Training \&amp; Evaluation, Feature Engineering, Data Pipelines, RESTful APIs, Model Deployment, Cloud Platforms (AWS / Azure / GCP), Docker, Kubernetes, Linux, CI/CD pipelines, Git, Agile methodologies
**BUT STRICTLY NO C2C/1099/3RD PARTY COMPANIES. ALL OUR ROLES ARE W2 AND NO 3RD PARTY BROKERING PLEASE.**
 For every role, a
 **coding test is required** 
 , so apply only if you are
 **confident and technically strong** 
 .
 We prefer
 **at least 3 to 5 years real time experience** 
 .
 If you are an
 **AI Engineer** 
 with the above skills and are looking for an
 **H\-1 B sponsorship** 
 this year, please send your resume immediately to Sreedhar
 **@bvteck.com** 
 .
 we are committed to providing equal employment opportunities and fostering an inclusive work environment. We encourage applications from all qualified individuals regardless of race, ethnicity, religion, gender identity, sexual orientation, age, disability, or any other protected status. If you require accommodations during the recruitment process, please let us know.
**Position offered by “No Fee agency.”**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Powered by JazzHR
 4cFkj23Crz</t>
        </is>
      </c>
    </row>
    <row r="24">
      <c r="A24" t="inlineStr">
        <is>
          <t>li-4359247806</t>
        </is>
      </c>
      <c r="B24" t="inlineStr">
        <is>
          <t>Applied AI Engineer (Startups)</t>
        </is>
      </c>
      <c r="C24" t="inlineStr">
        <is>
          <t>Anthropic</t>
        </is>
      </c>
      <c r="D24" t="inlineStr">
        <is>
          <t>linkedin</t>
        </is>
      </c>
      <c r="E24" t="inlineStr"/>
      <c r="F24" t="inlineStr"/>
      <c r="G24" t="inlineStr">
        <is>
          <t>San Francisco, CA</t>
        </is>
      </c>
      <c r="H24" t="inlineStr"/>
      <c r="I24"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an Applied AI Engineer on the Startups team at Anthropic, you will be a trusted technical advisor helping the top AI\-native startups build on the Claude Developer Platform as they grow from early product to scale. You'll lead deep technical engagements, partnering directly with startup engineering teams to help them develop their products on top of Claude—advising on implementation, agent design, and working alongside them to build at the frontier of AI.
 Working closely with Applied AI Architects, Account Executives, and Anthropic's Product and Engineering teams, you'll guide startups through deep technical engagements. You'll leverage your AI engineering expertise to develop custom evaluation frameworks, design scalable architectures, and create the technical resources that enable startups to succeed with Claude.
**Responsibilities**
* Serve as a deep technical advisor to high\-potential startups, working alongside them to build innovative use cases that push the boundaries of AI
* Work hands\-on with startup engineering teams: pair programming, architecture reviews, and code contributions that accelerate their development
* Develop prototypes and technical documentation—including evaluation suites, AI engineering techniques, and architecture diagrams—that enable startups to build and scale with Claude
* Collaborate closely with Applied AI Architects to maintain context and continuity across customer engagements
* Identify patterns across engagements and contribute insights back to Product, Engineering, and the broader Applied AI team
* Create technical content for startup audiences including documentation, tutorials, and sample code
* Foster community engagement through hackathons, webinars, technical office hours, and startup\-focused events
* Travel to customer sites for workshops, implementation support, and relationship building
**You May Be a Good Fit If You Have**
* 4\+ years of experience as a Software Engineer, Forward Deployed Engineer, or technical founder
* Production experience building LLM\-powered applications, including prompting, context engineering, agent architectures, evaluation frameworks, and deployment at scale
* Strong programming skills with proficiency in Python and experience building production applications
* Experience with startups or high\-growth companies
* Ability to context\-switch across industries (healthcare, fintech, etc.) and use cases
* Builder credibility that earns trust with technical founders and engineering teams—you've shipped products and can speak from experience
* Strong technical communication skills with the ability to translate complex AI concepts into architectural decisions and actionable implementation plans
* Experience facilitating technical workshops, hackathons, or developer\-focused events
* Passion for making powerful technology safe and beneficial
 The annual compensation range for this role is listed below.
 For sales roles, the range provided is the role’s On Target Earnings ("OTE") range, meaning that the range includes both the sales commissions/sales bonuses target and annual base salary for the role.
**Annual Salary**
 $200,000—$320,000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25">
      <c r="A25" t="inlineStr">
        <is>
          <t>li-4370173211</t>
        </is>
      </c>
      <c r="B25" t="inlineStr">
        <is>
          <t>Full Stack AI Engineer– Python + Pyspark</t>
        </is>
      </c>
      <c r="C25" t="inlineStr">
        <is>
          <t>Staples</t>
        </is>
      </c>
      <c r="D25" t="inlineStr">
        <is>
          <t>linkedin</t>
        </is>
      </c>
      <c r="E25" t="inlineStr"/>
      <c r="F25" t="inlineStr"/>
      <c r="G25" t="inlineStr">
        <is>
          <t>Framingham, MA</t>
        </is>
      </c>
      <c r="H25" t="inlineStr"/>
      <c r="I25" t="inlineStr">
        <is>
          <t>**Work Model/ Location: Onsite, Framingham, MA**
**About Staples**
 Staples is an Equal Opportunity Employer who values the diversity of our people, products, and services. All qualified applicants will receive consideration for employment without regard to race, color, religion, sex, national origin, protected veteran status, disability, or any other basis protected by federal, state, or local law.
**Team Summary**
 Our digital solutions team is more than a traditional IT organization. We are a passionate, collaborative, agile, inventive, customer\-centric, and results\-oriented group of problem solvers. We are intellectually curious, embrace advancements in technology, and seek to adapt these technologies to drive Staples forward. Anticipating the needs of our customers and business partners, we deliver reliable, customer\-focused technology services that make a difference.
**Role Summary**
 The Software Engineer III – SEO AI blends advanced software engineering expertise with modern optimization strategies for traditional search engines, conversational AI/answer engines, and generative search platforms. This role designs and builds scalable services, APIs, and data structures that improve discoverability, relevance, authority signals, and performance across evolving search and AI ecosystems. The ideal candidate is a creative problem solver with strong engineering fundamentals who can translate optimization goals into robust technical solutions, effectively partner with engineering, product, and content teams, and proactively identify and address roadblocks before they occur. This position is typically assigned to important and/or complex initiatives, requires independent judgment in day\-to\-day execution, and is relied upon to mentor junior engineers while operating with regular supervisory review at defined milestones.
**What you’ll be doing** 
 :
* Design, develop, test, deploy, and maintain scalable, high\-performance applications and services that power digital experiences and search\-facing capabilities.
* Build and optimize backend systems, APIs, and microservices using modern programming languages and frameworks; ensure reliability, security, maintainability, and observability.
* Implement and enforce engineering best practices including automated testing, code reviews, secure coding, and performance profiling.
* Develop and maintain CI/CD pipelines and DevOps practices to support frequent, safe releases, ensuring SEO\-critical requirements are validated automatically.
* Partner with product managers, architects, and cross\-functional engineering teams to refine requirements, estimate efforts, and deliver high\-impact features on schedule.
* Troubleshoot complex production issues, perform root cause analysis, and implement long\-term fixes.
* Implement technical SEO best practices (schema markup, metadata strategies, canonicalization, internal linking, crawl/index controls, and web performance optimization).
* Establish automated checks and dashboards to monitor crawlability, index coverage, structured data validity, and search performance trends.
* Collaborate with content, marketing, and analytics partners to ensure code\-level SEO enhancements support measurable business goals.
* Structure and optimize data for AI\-driven answer engines and generative search platforms, implementing semantic markup and entity models to improve retrieval precision and answer coverage.
* Integrate AI/ML tools and implement feedback loops to continuously improve generative optimization performance.
* Mentor and train junior engineers, provide technical guidance, and lead project segments as needed.
**What you bring to the table:**
* Creative problem solving with strong analytical thinking; adept at debugging complex issues and proposing durable solutions.
* Proactive ownership\-mindset that identifies needs, communicates early, and drives progress without waiting for direction.
* Strong collaboration skills, able to influence across teams and align stakeholders with different priorities.
* High standards for quality—values testing, observability, performance, and clean, maintainable design.
**What’s needed – Basic Qualifications:**
* Bachelor’s degree in computer science, Software Engineering, Information Systems, or a closely related field, or equivalent combination of education, training, and relevant experience.
* 5\+ years’ professional experience building and supporting production software systems (web applications, services, APIs, or microservices).
* Ability to manage ambiguity in a rapidly changing search/AI landscape and convert uncertainty into structured plans
* 3\+ years of coding experience utilizing: Python, Pyspark and Java
* 3\+ years’ experience designing and implementing backend services/APIs (REST and/or GraphQL) focused on scalability, reliability, and security.
* 2\+ years’ hands\-on experience implementing technical SEO in code (structured data/schema, metadata, crawl/index controls, site architecture, performance optimization).
* Demonstrated experience with automated testing and code quality practices.
* Experience deploying and operating services in a cloud environment (AWS/Azure/GCP) and implementing CI/CD pipelines.
* Ability to define and instrument KPIs for technical initiatives (e.g., performance metrics, crawl/index coverage, structured data validity, error budgets).
**What’s needed – Preferred Qualifications:**
* 7\+ years of professional software engineering experience, including demonstrated ownership of complex systems or major project segments.
* 1\+ year experience with AEO implementation patterns (semantic markup, entity modeling, knowledge panel/voice/assistant optimization, conversational intent alignment).
* 1\+ year experience supporting GEO initiatives for LLM/generative search (e.g., RAG\-friendly content/data structuring, generative output evaluation, feedback loops).
* Experience with knowledge graphs or entity\-resolution pipelines.
* Experience building SEO/AI optimization automation (auditing tools, validation pipelines, structured data testing, regression prevention).
* Familiarity with information retrieval concepts and/or basic ML integration for optimization workflows.
* Proven track record leading a small project or major project segment through requirements, delivery planning, stakeholder alignment, and measurable outcomes.
**We Offer:** 
* Inclusive culture with associate\-led Business Resource Groups
* Flexible PTO (22 days) and Holiday Schedule (7 observed paid holidays)
* Online and Retail Discounts, Company Match 401(k), Physical and Mental Health Wellness programs, and more!  https://careers.staples.com/Staples\-Life/Benefits
**Work Model/ Location: Onsite, Framingham, MA**
 The salary range represents the expected compensation for this role at the time of posting. The specific base pay may be influenced by a variety of factors to include the candidate's experience, skill set, education, geography, business considerations, and internal equity. In addition to base pay, this role may be eligible for bonuses, or other forms of variable compensation.
 It is unlawful in Massachusetts to require or administer a lie detector test as a condition of employment or continued employment. An employer who violates this law shall be subject to criminal penalties and civil liability.</t>
        </is>
      </c>
    </row>
    <row r="26">
      <c r="A26" t="inlineStr">
        <is>
          <t>li-4322291187</t>
        </is>
      </c>
      <c r="B26" t="inlineStr">
        <is>
          <t>Senior ML Engineer, Dynamic World Perception</t>
        </is>
      </c>
      <c r="C26" t="inlineStr">
        <is>
          <t>Stack AV</t>
        </is>
      </c>
      <c r="D26" t="inlineStr">
        <is>
          <t>linkedin</t>
        </is>
      </c>
      <c r="E26" t="inlineStr"/>
      <c r="F26" t="inlineStr"/>
      <c r="G26" t="inlineStr"/>
      <c r="H26" t="inlineStr"/>
      <c r="I26" t="inlineStr">
        <is>
          <t>**About Stack**
 Stack is developing revolutionary AI and advanced autonomous systems designed to enhance safety, reliability, and efficiency of modern operations. Stack's autonomous technology incorporates cutting\-edge advancements in artificial intelligence, robotics, machine learning, and cloud technologies, empowering us to create innovative solutions that address the needs and challenges of the dynamic trucking transportation industry. With decades of experience creating and deploying real world systems for demanding environments, the Stack team is dedicated to developing an autonomous solution ecosystem tailored to the trucking industry's unique demands.
**About The Role**
 The Dynamic World Perception team is responsible for real\-time detection of road actors and properties. This includes developing occupancy networks and other perception algorithms to accurately identify and classify all dynamic elements within the driving environment. We're looking for a Staff or Senior Engineer to lead the development, maintenance, and enhancement of our long\-range detection capabilities, ensuring the required safety and performance standards are met or exceeded.
**Responsibilities**
* Work in the team to deliver state\-of\-the\-art long\-range detection capabilities.
* Contribute to expansion and fusion of existing detection models to support long\-range performance.
* Contribute to improvement of model frameworks, architecture, and data pipelines.
* Develop robust software for onboard vehicle deployment, optimizing for real\-time, resource\-constrained, and safety\-critical environments.
* Drive highly cross\-functional features and work streams from problem statement to delivery.
* Contribute to the technical direction of the team and broader perception org.
* Align stakeholders with strong presentation and communication skills.
* Lead challenging technical topics and build consensus.
**Qualifications**
* Extensive experience architecting, training, and deploying deep learning models into real\-world environments.
* Track record of driving applied research projects from start to completion, including conception, problem definition, experimentation, iteration, and finally publication or productization.
* Experience delivering detection, segmentation, and/or tracking solutions for real\-time robotic applications.
* Prior experience in sensor fusion is highly desirable.
* Strong experience in software engineering and machine learning algorithm design.
* Strength in C\+\+ and experience with Python.
*We are proud to be an equal opportunity workplace. We believe that diverse teams produce the best ideas and outcomes. We are committed to building a culture of inclusion, entrepreneurship, and innovation across gender, race, age, sexual orientation, religion, disability, and identity.*
***Check out our Privacy Policy.***
**Please Note:** 
 Pursuant to its business activities and use of technology, Stack AV complies with all applicable U.S. national security laws, regulations, and administrative requirements, which can restrict Stack AV’s ability to employ certain persons in certain positions pursuant to a range of national security\-related requirements. As such, this position may be contingent upon Stack AV verifying a candidate’s residence, U.S. person status, and/or citizenship status. This position may also involve working with software and technologies subject to U.S. export control regulations. Under these regulations, it may be necessary for Stack AV to obtain a U.S. government export license prior to releasing its technologies to certain persons. If Stack AV determines that a candidate’s residence, U.S. person status, and/or citizenship status will require a license, prohibit the candidate from working in this position, or otherwise be subject to national security\-related restrictions, Stack AV expressly reserves the right to either consider the candidate for a different position that is not subject to such restrictions, on whatever terms and conditions Stack AV shall establish in its sole discretion, or, in the alternative, decline to move forward with the candidate’s application.</t>
        </is>
      </c>
    </row>
    <row r="27">
      <c r="A27" t="inlineStr">
        <is>
          <t>li-4325867401</t>
        </is>
      </c>
      <c r="B27" t="inlineStr">
        <is>
          <t>Director, AI/ML Engineer</t>
        </is>
      </c>
      <c r="C27" t="inlineStr">
        <is>
          <t>Kyndryl</t>
        </is>
      </c>
      <c r="D27" t="inlineStr">
        <is>
          <t>linkedin</t>
        </is>
      </c>
      <c r="E27" t="inlineStr"/>
      <c r="F27" t="inlineStr"/>
      <c r="G27" t="inlineStr">
        <is>
          <t>Dallas, TX</t>
        </is>
      </c>
      <c r="H27" t="inlineStr"/>
      <c r="I27" t="inlineStr">
        <is>
          <t>**Who We Are**
 At Kyndryl, we design, build, manage and modernize the mission\-critical technology systems that the world depends on every day. So why work at Kyndryl? We are always moving forward – always pushing ourselves to go further in our efforts to build a more equitable, inclusive world for our employees, our customers and our communities.
**The Role**
 Kyndryl is at the forefront of AI innovation, building cutting\-edge platforms that empower enterprises to leverage the full potential of artificial intelligence. We believe in creating intelligent, autonomous systems that redefine productivity and problem\-solving. Join a dynamic team where your contributions directly shape the future of AI. We are looking for a skilled AI/ML Prompt Engineer to design, develop, and deploy advanced generative AI models that power a platform for creating business applications. You’ll work at the intersection of AI innovation and practical application, building intelligent systems that automate app generation, enhance user customization, and solve real\-world business challenges. Collaborating with architects, developers, and product teams, you’ll bring cutting\-edge AI capabilities to life in a scalable, production\-ready environment.
 Key Responsibilities:
 Build, train, and fine\-tune generative AI models (e.g., LLMs, GANs, VAEs) to support features like automated code generation, UI design, workflow creation, or data synthesis.
* Collaborate with the software architect to integrate AI models into the platform via APIs, ensuring seamless interaction with backend and frontend systems.
* Design and optimize data preprocessing pipelines to prepare high\-quality datasets for training and inference, tailored to business application needs.
* Enhance model efficiency (e.g., latency, memory usage) for real\-time or near\-real\-time application generation, using techniques like quantization or pruning.
* Research and experiment with state\-of\-the\-art GenAI techniques to improve platform capabilities, such as natural language understanding, image generation, or predictive analytics.
* Rigorously evaluate model outputs for accuracy, relevance, and robustness, ensuring generated applications meet user expectations and industry standards.
* Work with DevOps to deploy AI models into production, leveraging cloud infrastructure (e.g., AWS, Azure, Google) and containerized environments (e.g., Kubernetes, EKS, AKS, GKE).
* Implement monitoring tools to track model performance and drift in production, iterating based on real\-world feedback.
 \#AgenticAI
 Your Future at Kyndryl
 Every position at Kyndryl offers a way forward to grow your career. We have opportunities that you won’t find anywhere else, including hands\-on experience, learning opportunities, and the chance to certify in all four major platforms. Whether you want to broaden your knowledge base or narrow your scope and specialize in a specific sector, you can find your opportunity here.
 Kyndryl currently does not require employees to be fully vaccinated against COVID\-19, however, if you are hired to work at a client, customer, or partner location, you may be required to show proof of vaccination to align with their respective COVID\-19 vaccination policies. Those who believe they are eligible may apply for a medical or religious accommodation prior to the start of employment.
**Who You Are**
 Who You Are
 You’re good at what you do and possess the required experience to prove it. However, equally as important – you have a growth mindset; keen to drive your own personal and professional development. You are customer\-focused – someone who prioritizes customer success in their work. And finally, you’re open and borderless – naturally inclusive in how you work with others.
**Required Skills And Experience**
* 4\+ years in AI/ML engineering, with at least 1\-2 years focused on generative AI models or similar technologies.
* Strong proficiency in Python and AI/ML frameworks (e.g., TensorFlow, PyTorch, Hugging Face).
* Experience with model training, fine\-tuning, and deployment in production environments.
* Familiarity with cloud AI platforms (e.g., AWS AgenticAI, Google AI Platform, Azure AI Foundry) and distributed computing.
* Knowledge of data engineering tools (e.g., Pandas, Spark) and version control (e.g., Git).
* Hands\-on experience with generative models (e.g., GPT, Stable Diffusion, BERT) and their application in automation, content creation, or predictive tasks.
* Ability to tackle complex challenges, from dataset biases to model scalability, with creative and practical solutions.
* Capable of explaining AI concepts and trade\-offs to technical and non\-technical team members.
* Design, develop, and iterate on prompts to elicit optimal responses from AI models for various use cases.
* Analyze AI outputs to identify patterns, biases, or inconsistencies and adjust prompts accordingly.
* Master’s degree or PHD in Computer Science, Data Science, Mathematics, or a related field (or equivalent experience).
**Preferred Skills And Experience**
* Experience with low\-code/no\-code platforms or business application development.
* Background in natural language processing (NLP) or computer vision, depending on platform focus.
* Familiarity with reinforcement learning or prompt engineering for LLMs.
* Contributions to AI research, open\-source projects, or a portfolio of GenAI work.
 Why Join Us
* Work on the next frontier: build data infrastructure for Agentic AI, a transformative technology.
* Startup energy and enterprise scale: agile innovation backed by global resources.
* Direct impact: your work enables AI\-native transformation at enterprise scale.
* Career Growth: Opportunity to lead and innovate in data engineering for AI systems.
 The compensation range for the position in the U.S. is $173,280 to $329,280 based on a full\-time schedule.
 Your actual compensation may vary depending on your geography, job\-related skills and experience. For part time roles, the compensation will be adjusted appropriately. The pay or salary range will not be below any applicable state, city or local minimum wage requirement.
 There is a different applicable compensation range for the following work locations:
 California: $190,560 to $395,040
 Colorado: $173,280 to $329,280
 New York City: $207,840 to $395,040
 Washington: $190,560 to $362,160
 Washington DC: $190,560 to $362,160
 This position will be eligible for Kyndryl’s discretionary annual bonus program, based on performance and subject to the terms of Kyndryl’s applicable plans. You may also receive a comprehensive benefits package which includes medical and dental coverage, disability, retirement benefits, paid leave, and paid time off. Note: If this is a sales commission eligible role, you will be eligible to participate in a sales commission plan in lieu of the annual discretionary bonus program.
 Applications will be accepted on a rolling basis.
 All qualified applicants will receive consideration for employment without regard to race, color, religion, sex, sexual orientation, gender identity, national origin, disability, or status as a protected veteran.
**Being You**
 Diversity is a whole lot more than what we look like or where we come from, it’s how we think and who we are. We welcome people of all cultures, backgrounds, and experiences. But we’re not doing it single\-handily: Our Kyndryl Inclusion Networks are only one of many ways we create a workplace where all Kyndryls can find and provide support and advice. This dedication to welcoming everyone into our company means that Kyndryl gives you – and everyone next to you – the ability to bring your whole self to work, individually and collectively, and support the activation of our equitable culture. That’s the Kyndryl Way.
**What You Can Expect**
 With state\-of\-the\-art resources and Fortune 100 clients, every day is an opportunity to innovate, build new capabilities, new relationships, new processes, and new value. Kyndryl cares about your well\-being and prides itself on offering benefits that give you choice, reflect the diversity of our employees and support you and your family through the moments that matter – wherever you are in your life journey. Our employee learning programs give you access to the best learning in the industry to receive certifications, including Microsoft, Google, Amazon, Skillsoft, and many more. Through our company\-wide volunteering and giving platform, you can donate, start fundraisers, volunteer, and search over 2 million non\-profit organizations. At Kyndryl, we invest heavily in you, we want you to succeed so that together, we will all succeed.
**Get Referred!**
 If you know someone that works at Kyndryl, when asked ‘How Did You Hear About Us’ during the application process, select ‘Employee Referral’ and enter your contact's Kyndryl email address.</t>
        </is>
      </c>
    </row>
    <row r="28">
      <c r="A28" t="inlineStr">
        <is>
          <t>li-4329342667</t>
        </is>
      </c>
      <c r="B28" t="inlineStr">
        <is>
          <t>Senior Machine Learning Engineer-AI Assurance</t>
        </is>
      </c>
      <c r="C28" t="inlineStr">
        <is>
          <t>Pacific Northwest National Laboratory</t>
        </is>
      </c>
      <c r="D28" t="inlineStr">
        <is>
          <t>linkedin</t>
        </is>
      </c>
      <c r="E28" t="inlineStr"/>
      <c r="F28" t="inlineStr"/>
      <c r="G28" t="inlineStr">
        <is>
          <t>Seattle, WA</t>
        </is>
      </c>
      <c r="H28" t="inlineStr"/>
      <c r="I28" t="inlineStr">
        <is>
          <t>**Overview**
 At PNNL, our core capabilities are divided among major departments that we refer to as Directorates within the Lab, focused on a specific area of scientific research or other function, with its own leadership team and dedicated budget.
 Our Science \&amp; Technology directorates include National Security, Earth and Biological Sciences, Physical and Computational Sciences, and Energy and Environment. In addition, we have an Environmental Molecular Sciences Laboratory, a Department of Energy, Office of Science user facility housed on the PNNL campus.
 The National Security Directorate (NSD) drives science\-based, mission\-focused solutions to take on complex, real\-world threats to our nation and the world.
 The AI and Data Analytics Division, part of NSD, combines profound domain expertise and creative integration of advanced hardware and software to deliver computational solutions that address complex data and analytic challenges. Working in multidisciplinary teams, we connect foundational research to engineering to operations, providing the tools to innovate quickly and field results faster. Our strengths are integrated across the data analytics lifecycle, from data acquisition and management to analysis and decision support.
**Responsibilities**
 PNNL is seeking a Senior Data Scientist \- ML Engineer\-AI Assurance who has deep experience refactoring and modularizing research code for maintainability, extensibility, and reusability. The selected candidate must be able to collaborate effectively across research and engineering teams to align research goals with deployment requirements, and to develop packages, APIs, and interfaces that enable straightforward integration into mission\-relevant environments. They should be fluent in Python and modern ML frameworks, and comfortable working with unstructured, experimental code.
**Key Responsibilities**
* Lead refactors, modularization, and optimization of research code for maintainability and scalability
* Drive collaboration with researchers to understand algorithmic intent and with engineers to ensure integration into broader systems
* Mentor junior staff on best practices to integrate research into broader systems
* Design and develop tools and APIs to enable integrations into mission\-relevant environments and workflows
* Write clear, well\-documented code and participate in code reviews
* Conduct work in secure environments and execute work from an operational security perspective
**This position is based in either Richland, WA or Seattle, WA and requires an onsite presence.**
**Qualifications**
 Minimum Qualifications:
* BS/BA and 5\+ years of relevant work experience \-OR\-
* MS/MA and 3\+ years of relevant work experience \-OR\-
* PhD with 1\+ year of relevant experience
**Preferred Qualifications**
* Degree in computer science, engineering, mathematics, or related fields
* Experience in research engineering, ML engineering, AI systems integration, or applied data science
* Strong proficiency in Python and experience with ML frameworks (e.g., PyTorch, TensorFlow, Hugging Face)
* Comfort navigating research codebases (Jupyter notebooks, unstructured scripts) and translating them into production\-ready components
* Excellent communication and cross\-functional collaboration skills
* SCI Clearance
**Hazardous Working Conditions/Environment**
 Not applicable.
**Additional Information**
 This position requires the ability to obtain and maintain a federal security clearance.
 A security clearance background investigation includes review of your employment, education, financial, and criminal history, as well as interviews with you and your personal references, neighbors, and co\-workers to determine trustworthiness, reliability, and loyalty to the United States. The investigation also examines your foreign connections, drug and alcohol use, foreign influence, and overall conduct.
**Requirements**
* U.S. Citizenship
* Background Investigation: Applicants selected will be subject to a Federal background investigation and must meet eligibility requirements for access to classified matter in accordance with 10 CFR 710, Appendix B.
* Drug Testing: All Security Clearance positions are Testing Designated Positions, which means that the applicant selected for hire is subject to pre\-employment drug testing, and post\-employment random drug testing. In addition, applicants must be able to demonstrate non\-use of illegal drugs, including marijuana, for the 12 consecutive months preceding completion of the requisite Questionnaire for National Security Positions (QNSP).
 Note: Applicants will be considered ineligible for security clearance processing by the U.S. Department of Energy if non\-use of illegal drugs, including marijuana, for 12 months cannot be demonstrated.
**Testing Designated Position**
 This position is a Testing Designated Position (TDP). The candidate selected for this position will be subject to pre\-employment and random drug testing for illegal drugs, including marijuana, consistent with the Controlled Substances Act and the PNNL Workplace Substance Abuse Program.
**About PNNL**
 Pacific Northwest National Laboratory (PNNL) is a world\-class research institution powered by a highly educated, diverse workforce committed to the values of Integrity, Creativity, Collaboration, Impact, and Courage. Every year, scores of dynamic, driven people come to PNNL to work with renowned researchers on meaningful science, innovations and outcomes for the U.S. Department of Energy and other sponsors; here is your chance to be one of them!
 At PNNL, you will find an exciting research environment and excellent benefits including health insurance, and flexible work schedules. PNNL is located in eastern Washington State—the dry side of Washington known for its stellar outdoor recreation and affordable cost of living. The Lab’s campus is only a 45\-minute flight (or \~3 hour drive) from Seattle or Portland, and is serviced by the convenient PSC airport, connected to 8 major hubs.
**Commitment to Excellence and Equal Employment Opportunity**
 Our laboratory is committed to fostering a work environment where all individuals are treated with fairness and respect while solving critical challenges in fundamental sciences, national security, and energy resiliency. We are an Equal Employment Opportunity employer.
 Pacific Northwest National Laboratory (PNNL) is an Equal Opportunity Employer. PNNL considers all applicants for employment without regard to race, religion, color, sex, national origin, age, disability, genetic information (including family medical history), protected veteran status, and any other status or characteristic protected by federal, state, and/or local laws.
 We are committed to providing reasonable accommodations for individuals with disabilities and disabled veterans in our job application procedures and in employment. If you need assistance or an accommodation due to a disability, contact us at careers@pnnl.gov.
**Drug Free Workplace**
 PNNL is committed to a drug\-free workplace supported by Workplace Substance Abuse Program (WSAP) and complies with federal laws prohibiting the possession and use of illegal drugs.
 If you are offered employment at PNNL, you must pass a drug test prior to commencing employment. PNNL complies with federal law regarding illegal drug use. Under federal law, marijuana remains an illegal drug. If you test positive for any illegal controlled substance, including marijuana, your offer of employment will be withdrawn.
**Security, Credentialing, And Eligibility Requirements**
 As a national laboratory, PNNL is responsible for adhering to the Homeland Security Presidential Directive 12 (HSPD\-12\) and Department of Energy (DOE) Order 473\.1A, which require new employees to obtain and maintain a HSPD\-12 Personal Identify Verification (PIV) Credential. To obtain this credential, new employees must successfully complete the applicable tier of federal background investigation post hire and receive a favorable federal adjudication. The tier of federal background investigation will be determined by job duties and national security or public trust responsibilities associated with the job. All tiers of investigation include a declaration of illegal drug activities, including use, supply, possession, or manufacture within the last 1 to 7 years (depending on the applicable tier of investigation). Illegal drug activities include marijuana and cannabis derivatives, which are still considered illegal under federal law, regardless of state laws.
**For Foreign National Candidates**
 If you have not resided in the U.S. for three consecutive years, you are not eligible for the PIV credential and instead will need to obtain a favorable Local Site Specific Only (LSSO) Federal risk determination to maintain employment. Once you meet the three\-year residency requirement thereafter, you will be required to obtain a PIV credential to maintain employment. The tier of federal background investigation required to obtain the PIV credential will be determined by job duties at the time you become eligible for the PIV credential.
**Mandatory Requirements**
 Please be aware that the Department of Energy (DOE) prohibits DOE employees and contractors from having any affiliation with the foreign government of a country DOE has identified as a “country of risk” without explicit approval by DOE and Battelle. If you are offered a position at PNNL and currently have any affiliation with the government of one of these countries, you will be required to disclose this information and recuse yourself of that affiliation or receive approval from DOE and Battelle prior to your first day of employment.
**Rockstar Rewards**
 Employees and their families are offered medical insurance, dental insurance, vision insurance, robust telehealth care options, several mental health benefits, free wellness coaching, health savings account, flexible spending accounts, basic life insurance, disability insurance\*, employee assistance program, business travel insurance, tuition assistance, relocation, backup childcare, legal benefits, supplemental parental bonding leave, surrogacy and adoption assistance, and fertility support. Employees are automatically enrolled in our company\-funded pension plan\* and may enroll in our 401 (k) savings plan with company match\*. Employees may accrue up to 120 vacation hours per year and may receive ten paid holidays per year.
* Research Associates excluded.
* All benefits are dependent upon eligibility.
 Click Here For Rockstar Rewards
**Notice to Applicants**
 PNNL lists the full pay range for the position in the job posting. Starting pay is calculated from the minimum of the pay range and actual placement in the range is determined based on an individual’s relevant job\-related skills, qualifications, and experience. This approach is applicable to all positions, with the exception of positions governed by collective bargaining agreements and certain limited\-term positions which have specific pay rules.
 As part of our commitment to fair compensation practices, we do not ask for or consider current or past salaries in making compensation offers at hire. Instead, our compensation offers are determined by the specific requirements of the position, prevailing market trends, applicable collective bargaining agreements, pay equity for the position type, and individual qualifications and skills relevant to the performance of the position.
**Minimum Salary**
 USD $140,200\.00/Yr.
**Maximum Salary**
 USD $228,800\.00/Yr.</t>
        </is>
      </c>
    </row>
    <row r="29">
      <c r="A29" t="inlineStr">
        <is>
          <t>li-4340436324</t>
        </is>
      </c>
      <c r="B29" t="inlineStr">
        <is>
          <t>Senior Quant/ML Engineer - Fixed Income -  Artificial Intelligence</t>
        </is>
      </c>
      <c r="C29" t="inlineStr">
        <is>
          <t>Bloomberg</t>
        </is>
      </c>
      <c r="D29" t="inlineStr">
        <is>
          <t>linkedin</t>
        </is>
      </c>
      <c r="E29" t="inlineStr"/>
      <c r="F29" t="inlineStr"/>
      <c r="G29" t="inlineStr">
        <is>
          <t>New York, NY</t>
        </is>
      </c>
      <c r="H29" t="inlineStr"/>
      <c r="I29" t="inlineStr">
        <is>
          <t>Senior Quant/ML Engineer \- Fixed Income \- Artificial Intelligence
 Location
 New York
 Business Area
 Engineering and CTO
 Ref \#
 10045737
**Description \&amp; Requirements**
 Bloomberg’s Engineering Artificial Intelligence department has 400\+ AI practitioners building highly sought after products and features that shape global markets. In our fast\-paced Fixed Income domain, you’ll apply mathematics, statistics, machine learning and modern programming frameworks over vast data sources to accurately price millions of securities. You will research methods to offer transparency and accuracy within Fixed Income markets, and you will move Bloomberg’s business forward by assessing, improving, and implementing modern asset pricing models.
 We are looking for people who are naturally curious, take ownership, are relentless problem solvers, and have the desire to continuously innovate, learn, and grow within the field of Fixed Income and Credit pricing.
**You'll Have The Opportunity To**
* Conduct research and analysis to solve complex technical challenges in financial asset pricing within a highly collaborative environment.
* Conceptualize pricing methodologies, develop and continuously improve mathematical and data\-driven models, all while translating algorithms into code.
* Increase your competency of technical skills as you work on models as research projects, from idea to productionization.
* Integrate cutting\-edge academic and industry research into models and methodologies, staying ahead of emerging developments to drive continuous innovation.
* Collaborate with cross\-functional teams to develop, test, monitor and maintain robust production systems.
**You'll Need To Have**
* Ph.D. in the fields of Mathematics, Physics, Statistics, Electrical Engineering, Computer Science, Operations Research, Machine Learning or a similar field from a top tier institution.
* 3\+ years of proven experience on Fixed Income valuation within the buy or sell side. A track record designing, building, evaluating, and maintaining statistical and/or Machine Learning solutions in production is a plus.
* Experience working with, analyzing and extracting patterns and insights from medium size and large datasets is a must.
* Proficiency in probability and statistics to support time modeling of financial processes, advanced machine learning, pattern recognition, etc.
* Strong practical computing skills to support the delivery of statistical and ML models. Experience with object oriented languages is a plus.
* A creative, rigorous approach to developing and testing novel methods and technologies.
* A track record of authoring publications in top conferences and journals is a strong plus.
**We Offer You**
* A flat structure and very collaborative environment of like\-minded individuals with strong passion for solving technically challenging problems in an open communication environment.
* State of the art tech stack to support your day\-to\-day activities.
* Tangible growth in skills and impact through the cross\-collaboration between AI, Product and technology teams in an open and transparent manner.
* The ability to work in financial asset pricing in a supportive environment with work\-life balance and a casual office environment.
 Salary Range \= 165000 \- 260000 USD Annually \+ Benefits \+ Bonus
 The referenced salary range is based on the Company's good faith belief at the time of posting. Actual compensation may vary based on factors such as geographic location, work experience, market conditions, education/training and skill level.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
 Discover what makes Bloomberg unique \- watch our for an inside look at our culture, values, and the people behind our success.</t>
        </is>
      </c>
    </row>
    <row r="30">
      <c r="A30" t="inlineStr">
        <is>
          <t>li-4369162278</t>
        </is>
      </c>
      <c r="B30" t="inlineStr">
        <is>
          <t>AI/ML Engineer</t>
        </is>
      </c>
      <c r="C30" t="inlineStr">
        <is>
          <t>Jobs via Dice</t>
        </is>
      </c>
      <c r="D30" t="inlineStr">
        <is>
          <t>linkedin</t>
        </is>
      </c>
      <c r="E30" t="inlineStr"/>
      <c r="F30" t="inlineStr"/>
      <c r="G30" t="inlineStr">
        <is>
          <t>Phoenix, AZ</t>
        </is>
      </c>
      <c r="H30" t="inlineStr"/>
      <c r="I30" t="inlineStr">
        <is>
          <t>RESPONSIBILITIES:
 Kforce has a client that is seeking an AI/ML Engineer in Phoenix, AZ.
 Duties/Day\-to\-Day Responsibilities:
* Develop machine learning and deep learning solutions for observability data to enhance IT operations
* Implement time series forecasting, anomaly detection, and event correlation models
* Integrate LLMs using prompt engineering, fine\-tuning, and RAG for incident summarization
* Build MCP client\-server architecture for seamless integration with the Grafana ecosystem
* The project also focuses on predicting emissions using ML models and enhancing observability through dynamic dashboards
 Machine Learning \&amp; Model Development:
 Design and develop ML/DL models for:
* Time series forecasting (system load, CPU/memory usage)
* Anomaly detection in logs, metrics, or traces
* Event classification and correlation to reduce alert noise
* Select, train, and tune models using TensorFlow, PyTorch, or scikit\-learn
* Evaluate model performance with precision, recall, F1\-score, and AUC
* Preprocess large observability datasets (Prometheus, Kafka, BigQuery)
* Deploy models using cloud\-native services (Google Cloud Platform Vertex AI, Azure ML, Docker/Kubernetes)
* Maintain retraining pipelines and monitor model drift
 LLM Integration for Observability Intelligence:
* Implement LLM\-based workflows for summarizing incidents or logs
* Develop and refine prompts for GPT, LLaMA, or other LLMs
* Integrate Retrieval\-Augmented Generation (RAG) with vector databases (FAISS, Pinecone)
* Control latency, hallucinations, and cost in production LLM pipelines
* Build or extend MCP client/server components for Grafana
* Surface ML outputs (anomaly scores, predictions) in dashboards
* Collaborate with observability engineers to integrate ML insights into monitoring tools
* Work with data engineers on pipeline performance and data ingestion
* Translate ML outputs into actionable insights for platform teams
 REQUIREMENTS:
* 6\- 8 years of designing and developing ML algorithms and DL applications for observability data (AIOps)
* Hands\-on experience in time series forecasting, anomaly detection, and event classification
* Experience integrating LLMs with prompt engineering, fine\-tuning, and RAG
* Working knowledge of MCP client and server development for Grafana or similar
* Programming: Python, R
* ML Frameworks: TensorFlow or PyTorch, scikit\-learn
* Cloud Platforms: Google Cloud and/or Azure
* Front\-End: React or Angular or Vue.js, or jQuery
* Design Tools: Figma or Adobe XD or Sketch
* Databases: MySQL or MongoDB or PostgreSQL
* Server\-Side Languages: Python or Node.js or Java
* Version Control: Git and related systems
* Testing: Familiarity with testing frameworks and methodologies
* Development Methodologies: Agile
* Soft Skills: Strong communication and collaboration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31">
      <c r="A31" t="inlineStr">
        <is>
          <t>li-4329402419</t>
        </is>
      </c>
      <c r="B31" t="inlineStr">
        <is>
          <t>Senior Machine Learning Engineer-AI Assurance</t>
        </is>
      </c>
      <c r="C31" t="inlineStr">
        <is>
          <t>Pacific Northwest National Laboratory</t>
        </is>
      </c>
      <c r="D31" t="inlineStr">
        <is>
          <t>linkedin</t>
        </is>
      </c>
      <c r="E31" t="inlineStr"/>
      <c r="F31" t="inlineStr"/>
      <c r="G31" t="inlineStr">
        <is>
          <t>Richland, WA</t>
        </is>
      </c>
      <c r="H31" t="inlineStr"/>
      <c r="I31" t="inlineStr">
        <is>
          <t>**Overview**
 At PNNL, our core capabilities are divided among major departments that we refer to as Directorates within the Lab, focused on a specific area of scientific research or other function, with its own leadership team and dedicated budget.
 Our Science \&amp; Technology directorates include National Security, Earth and Biological Sciences, Physical and Computational Sciences, and Energy and Environment. In addition, we have an Environmental Molecular Sciences Laboratory, a Department of Energy, Office of Science user facility housed on the PNNL campus.
 The National Security Directorate (NSD) drives science\-based, mission\-focused solutions to take on complex, real\-world threats to our nation and the world.
 The AI and Data Analytics Division, part of NSD, combines profound domain expertise and creative integration of advanced hardware and software to deliver computational solutions that address complex data and analytic challenges. Working in multidisciplinary teams, we connect foundational research to engineering to operations, providing the tools to innovate quickly and field results faster. Our strengths are integrated across the data analytics lifecycle, from data acquisition and management to analysis and decision support.
**Responsibilities**
 PNNL is seeking a Senior Data Scientist \- ML Engineer\-AI Assurance who has deep experience refactoring and modularizing research code for maintainability, extensibility, and reusability. The selected candidate must be able to collaborate effectively across research and engineering teams to align research goals with deployment requirements, and to develop packages, APIs, and interfaces that enable straightforward integration into mission\-relevant environments. They should be fluent in Python and modern ML frameworks, and comfortable working with unstructured, experimental code.
**Key Responsibilities**
* Lead refactors, modularization, and optimization of research code for maintainability and scalability
* Drive collaboration with researchers to understand algorithmic intent and with engineers to ensure integration into broader systems
* Mentor junior staff on best practices to integrate research into broader systems
* Design and develop tools and APIs to enable integrations into mission\-relevant environments and workflows
* Write clear, well\-documented code and participate in code reviews
* Conduct work in secure environments and execute work from an operational security perspective
**This position is based in either Richland, WA or Seattle, WA and requires an onsite presence.**
**Qualifications**
 Minimum Qualifications:
* BS/BA and 5\+ years of relevant work experience \-OR\-
* MS/MA and 3\+ years of relevant work experience \-OR\-
* PhD with 1\+ year of relevant experience
**Preferred Qualifications**
* Degree in computer science, engineering, mathematics, or related fields
* Experience in research engineering, ML engineering, AI systems integration, or applied data science
* Strong proficiency in Python and experience with ML frameworks (e.g., PyTorch, TensorFlow, Hugging Face)
* Comfort navigating research codebases (Jupyter notebooks, unstructured scripts) and translating them into production\-ready components
* Excellent communication and cross\-functional collaboration skills
* SCI Clearance
**Hazardous Working Conditions/Environment**
 Not applicable.
**Additional Information**
 This position requires the ability to obtain and maintain a federal security clearance.
 A security clearance background investigation includes review of your employment, education, financial, and criminal history, as well as interviews with you and your personal references, neighbors, and co\-workers to determine trustworthiness, reliability, and loyalty to the United States. The investigation also examines your foreign connections, drug and alcohol use, foreign influence, and overall conduct.
**Requirements**
* U.S. Citizenship
* Background Investigation: Applicants selected will be subject to a Federal background investigation and must meet eligibility requirements for access to classified matter in accordance with 10 CFR 710, Appendix B.
* Drug Testing: All Security Clearance positions are Testing Designated Positions, which means that the applicant selected for hire is subject to pre\-employment drug testing, and post\-employment random drug testing. In addition, applicants must be able to demonstrate non\-use of illegal drugs, including marijuana, for the 12 consecutive months preceding completion of the requisite Questionnaire for National Security Positions (QNSP).
 Note: Applicants will be considered ineligible for security clearance processing by the U.S. Department of Energy if non\-use of illegal drugs, including marijuana, for 12 months cannot be demonstrated.
**Testing Designated Position**
 This position is a Testing Designated Position (TDP). The candidate selected for this position will be subject to pre\-employment and random drug testing for illegal drugs, including marijuana, consistent with the Controlled Substances Act and the PNNL Workplace Substance Abuse Program.
**About PNNL**
 Pacific Northwest National Laboratory (PNNL) is a world\-class research institution powered by a highly educated, diverse workforce committed to the values of Integrity, Creativity, Collaboration, Impact, and Courage. Every year, scores of dynamic, driven people come to PNNL to work with renowned researchers on meaningful science, innovations and outcomes for the U.S. Department of Energy and other sponsors; here is your chance to be one of them!
 At PNNL, you will find an exciting research environment and excellent benefits including health insurance, and flexible work schedules. PNNL is located in eastern Washington State—the dry side of Washington known for its stellar outdoor recreation and affordable cost of living. The Lab’s campus is only a 45\-minute flight (or \~3 hour drive) from Seattle or Portland, and is serviced by the convenient PSC airport, connected to 8 major hubs.
**Commitment to Excellence and Equal Employment Opportunity**
 Our laboratory is committed to fostering a work environment where all individuals are treated with fairness and respect while solving critical challenges in fundamental sciences, national security, and energy resiliency. We are an Equal Employment Opportunity employer.
 Pacific Northwest National Laboratory (PNNL) is an Equal Opportunity Employer. PNNL considers all applicants for employment without regard to race, religion, color, sex, national origin, age, disability, genetic information (including family medical history), protected veteran status, and any other status or characteristic protected by federal, state, and/or local laws.
 We are committed to providing reasonable accommodations for individuals with disabilities and disabled veterans in our job application procedures and in employment. If you need assistance or an accommodation due to a disability, contact us at careers@pnnl.gov.
**Drug Free Workplace**
 PNNL is committed to a drug\-free workplace supported by Workplace Substance Abuse Program (WSAP) and complies with federal laws prohibiting the possession and use of illegal drugs.
 If you are offered employment at PNNL, you must pass a drug test prior to commencing employment. PNNL complies with federal law regarding illegal drug use. Under federal law, marijuana remains an illegal drug. If you test positive for any illegal controlled substance, including marijuana, your offer of employment will be withdrawn.
**Security, Credentialing, And Eligibility Requirements**
 As a national laboratory, PNNL is responsible for adhering to the Homeland Security Presidential Directive 12 (HSPD\-12\) and Department of Energy (DOE) Order 473\.1A, which require new employees to obtain and maintain a HSPD\-12 Personal Identify Verification (PIV) Credential. To obtain this credential, new employees must successfully complete the applicable tier of federal background investigation post hire and receive a favorable federal adjudication. The tier of federal background investigation will be determined by job duties and national security or public trust responsibilities associated with the job. All tiers of investigation include a declaration of illegal drug activities, including use, supply, possession, or manufacture within the last 1 to 7 years (depending on the applicable tier of investigation). Illegal drug activities include marijuana and cannabis derivatives, which are still considered illegal under federal law, regardless of state laws.
**For Foreign National Candidates**
 If you have not resided in the U.S. for three consecutive years, you are not eligible for the PIV credential and instead will need to obtain a favorable Local Site Specific Only (LSSO) Federal risk determination to maintain employment. Once you meet the three\-year residency requirement thereafter, you will be required to obtain a PIV credential to maintain employment. The tier of federal background investigation required to obtain the PIV credential will be determined by job duties at the time you become eligible for the PIV credential.
**Mandatory Requirements**
 Please be aware that the Department of Energy (DOE) prohibits DOE employees and contractors from having any affiliation with the foreign government of a country DOE has identified as a “country of risk” without explicit approval by DOE and Battelle. If you are offered a position at PNNL and currently have any affiliation with the government of one of these countries, you will be required to disclose this information and recuse yourself of that affiliation or receive approval from DOE and Battelle prior to your first day of employment.
**Rockstar Rewards**
 Employees and their families are offered medical insurance, dental insurance, vision insurance, robust telehealth care options, several mental health benefits, free wellness coaching, health savings account, flexible spending accounts, basic life insurance, disability insurance\*, employee assistance program, business travel insurance, tuition assistance, relocation, backup childcare, legal benefits, supplemental parental bonding leave, surrogacy and adoption assistance, and fertility support. Employees are automatically enrolled in our company\-funded pension plan\* and may enroll in our 401 (k) savings plan with company match\*. Employees may accrue up to 120 vacation hours per year and may receive ten paid holidays per year.
* Research Associates excluded.
* All benefits are dependent upon eligibility.
 Click Here For Rockstar Rewards
**Notice to Applicants**
 PNNL lists the full pay range for the position in the job posting. Starting pay is calculated from the minimum of the pay range and actual placement in the range is determined based on an individual’s relevant job\-related skills, qualifications, and experience. This approach is applicable to all positions, with the exception of positions governed by collective bargaining agreements and certain limited\-term positions which have specific pay rules.
 As part of our commitment to fair compensation practices, we do not ask for or consider current or past salaries in making compensation offers at hire. Instead, our compensation offers are determined by the specific requirements of the position, prevailing market trends, applicable collective bargaining agreements, pay equity for the position type, and individual qualifications and skills relevant to the performance of the position.
**Minimum Salary**
 USD $140,200\.00/Yr.
**Maximum Salary**
 USD $228,800\.00/Yr.</t>
        </is>
      </c>
    </row>
    <row r="32">
      <c r="A32" t="inlineStr">
        <is>
          <t>li-4342341006</t>
        </is>
      </c>
      <c r="B32" t="inlineStr">
        <is>
          <t>Lead AI Engineer</t>
        </is>
      </c>
      <c r="C32" t="inlineStr">
        <is>
          <t>FINRA</t>
        </is>
      </c>
      <c r="D32" t="inlineStr">
        <is>
          <t>linkedin</t>
        </is>
      </c>
      <c r="E32" t="inlineStr"/>
      <c r="F32" t="inlineStr"/>
      <c r="G32" t="inlineStr">
        <is>
          <t>Rockville, MD</t>
        </is>
      </c>
      <c r="H32" t="inlineStr"/>
      <c r="I32" t="inlineStr">
        <is>
          <t>Working independently, the Lead AI Engineer owns development of software products and works on improving the overall quality of the product throughout the software development life cycle and mentors other Software Engineers. Reports directly to a Director or Senior Director.
**Key Responsibilities**
**AI Development \&amp; Implementation**
* Create and manage the AI development process and overall infrastructure for AI\-powered products
* Build AI models that generate accurate predictions at scale. This includes
+ Context optimization
+ Comprehensive evaluation
* Transform machine learning models into APIs for seamless integration with other applications
* Develop and maintain infrastructures for data transformation and ingestion
**Data Management \&amp; Analysis**
* Locate, extract, and pull data from diverse sources to support AI model development
* Conduct comprehensive statistical analysis and interpret results to guide organizational decision\-making
* Automate critical infrastructure components for the data science team
* Ensure data quality and integrity throughout the AI development pipeline
**Collaboration \&amp; Communication**
* Coordinate effectively with cross\-functional team members, including data scientists, software engineers, and product managers
* Explain the functionality and business value of AI models to stakeholders across various technical backgrounds
* Collaborate with product teams to understand requirements and translate them into technical solutions
* Present findings and recommendations to both technical and non\-technical audiences
**Technical Infrastructure**
* Develop and maintain scalable AI infrastructure and deployment pipelines with a focus on leveraging GenAI APIs
* Optimize model performance and ensure efficient resource utilization
+ Token optimization
+ Compute optimization
+ Cost optimization
* Implement best practices for model versioning, testing, and monitoring
* Stay current with emerging AI technologies and industry best practices
**Soft Skills**
* Strong analytical and problem\-solving abilities
* Excellent communication skills with ability to explain complex technical concepts
* Collaborative mindset with experience working in cross\-functional teams
* Detail\-oriented with strong project management capabilities
* Continuous learning mindset to stay updated with rapidly evolving AI landscape
* Expertise in popular genAI frameworks and tools such as Strands, ADK, Deepeval, and AWS Agentcore.
 Education \&amp; Experience Requirements:
* Bachelor’s degree in Computer Science, Information Systems or related discipline with at least 7 years of related experience, or equivalent training and/or work experience
* System design experience
* Experience in object\-oriented development
* Experience with cloud technologies
* Experience in data storage technologies
* Experience in performance tuning and optimization
* Experience in DevOps and CI\\CD technologies
* Experience test automation and unit testing
* Experience software security
 Working Conditions:
 Hybrid work environment, with defined in\-person presence requirements.
 Occasional travel and extended hours may be required.
 For work that is performed in CA, CO, FL, TX, IL, PA, MA, MD, VA, Washington, DC, NY and NJ, please refer to the chart below for the salary range for the corresponding location. In addition to location, actual compensation is based on various factors, including but not limited to, the candidate’s skill set, level of experience, education, and internal peer compensation comparisons.
 CA: Minimum Salary $128,000, Maximum Salary $242,600
 CO/FL/TX: Minimum Salary $111,400, Maximum Salary $202,100
 IL\*/PA: Minimum Salary $122,800, Maximum Salary $222,400
 MA/MD/VA/Washington, DC: Minimum Salary $128,000, Maximum Salary $232,500
 NY\*/NJ: Minimum Salary $128,000, Maximum Salary $242,600
* Including positions performed outside the state but reporting to an office or manager in that state.
 Candidates can expect salary offers that range from the minimum to the mid\-point of the salary range. FINRA provides full pay ranges so that the candidate can consider their growth potential while at FINRA.
**To be considered for this position, please submit an application.** 
**Applications are accepted on an ongoing basis.**
*The information provided above has been designed to indicate the general nature and level of work of the position. It is not a comprehensive inventory of all duties, responsibilities and qualifications required.*
***Please note: If the “Apply Now” button on a job board posting does not take you directly to the FINRA Careers site, enter www.finra.org/careers into your browser to reach our site directly.***
 FINRA strives to make our career site accessible to all users. If you need a disability\-related accommodation for completing the application process, please contact FINRA's Employee Relations team at 240\.386\.4865 or by email at EmployeeRelations@finra.org. Please note that this process is exclusively for inquiries regarding application accommodations.
 Employees may be eligible for a discretionary bonus in addition to base pay. Non\-exempt employees are also eligible for overtime pay in accordance with federal, state, or local law. As part of its dedication to employee wellness, FINRA provides comprehensive health, dental and vision insurance. Additional insurance includes basic life, accidental death and dismemberment, supplemental life, spouse/domestic partner and dependent life, and spouse/domestic partner and dependent accidental death and dismemberment, short\- and long\-term disability, long\-term care, business travel accident, disability and legal. FINRA offers immediate participation and vesting in a 401(k) plan with company match and eligibility for participation in an additional FINRA\-funded retirement contribution, tuition reimbursement, commuter benefits, and other benefits that support employee wellness, such as adoption assistance, backup family care, surrogacy benefits, employee assistance, and wellness programs.
 Time Off and Paid Leave\*
 FINRA encourages its employees to focus on their health and wellness in many ways, including through a generous time\-off program of 15 days of paid time off, 5 personal days and 9 sick days, unless otherwise required by law (all pro\-rated in the first year). Additionally, we are proud to support our communities by providing two volunteer service days (based on full\-time schedule). Other paid leave includes military leave, jury duty leave, bereavement leave, voting and election official leave for federal, state or local primary and general elections, care of a family member leave (available after 90 days of employment); and childbirth and parental leave (available after 90 days of employment). Full\-time employees receive nine paid holidays.
* Based on full\-time schedule
**Important Information**
 FINRA’s Code of Conduct imposes restrictions on employees’ investments and requires financial disclosures that are uniquely related to our role as a securities regulator. FINRA employees are required to disclose to FINRA all brokerage accounts that they maintain, and those in which they control trading or have a financial interest (including any trust account of which they are a trustee or beneficiary and all accounts of a spouse, domestic partner or minor child who lives with the employee) and to authorize their broker\-dealers to provide FINRA with duplicate statements for all of those accounts.
 **All of those accounts are subject to the Code’s investment and securities account restrictions, and new employees must comply with those investment restrictions—including disposing of any security issued by a company on FINRA’s Prohibited Company List or obtaining a written waiver from their Executive Vice President—by the date they begin employment with FINRA. Employees may only maintain securities accounts that must be disclosed to FINRA at one or more securities firms that provide an electronic feed (e\-feed) of data to FINRA, and must move securities accounts from other securities firms to a firm that provides an e\-feed within three months of beginning employment.**
 You can read more about these restrictions here.
 As standard practice, employees must also execute FINRA’s Employee Confidentiality and Invention Assignment Agreement without qualification or modification and comply with the company’s policy on nepotism.
**Search Firm Representatives**
 Please be advised that FINRA is not seeking assistance or accepting unsolicited resumes from search firms for this employment opportunity. Regardless of past practice, a valid written agreement and task order must be in place before any resumes are submitted to FINRA. All resumes submitted by search firms to any employee at FINRA without a valid written agreement and task order in place will be deemed the sole property of FINRA and no fee will be paid in the event that person is hired by FINRA.
 FINRA strives to make our career site accessible to all users. If you need a disability\-related accommodation for completing the application process, please contact FINRA's Employee Relations team at 240\.386\.4865 or by email at EmployeeRelations@finra.org. Please note that this process is exclusively for inquiries regarding application accommodations.
 All qualified applicants will receive consideration for employment without regard to age, citizenship status, color, disability, marital status, national origin, race, religion, sex, veteran status or any other classification protected by federal, state, or local laws.
 FINRA abides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FINRA abides by the requirements of 41 CFR 60\-300\.5(a). This regulation prohibits discrimination against qualified protected veterans and requires affirmative action by covered prime contractors and subcontractors to employ and advance in employment qualified protected veterans.
 ©2025 FINRA. All rights reserved. FINRA is a registered trademark of the Financial Industry Regulatory Authority, Inc.</t>
        </is>
      </c>
    </row>
    <row r="33">
      <c r="A33" t="inlineStr">
        <is>
          <t>li-4370180583</t>
        </is>
      </c>
      <c r="B33" t="inlineStr">
        <is>
          <t>GenAI Engineer</t>
        </is>
      </c>
      <c r="C33" t="inlineStr">
        <is>
          <t>Inherent Technologies</t>
        </is>
      </c>
      <c r="D33" t="inlineStr">
        <is>
          <t>linkedin</t>
        </is>
      </c>
      <c r="E33" t="inlineStr"/>
      <c r="F33" t="inlineStr"/>
      <c r="G33" t="inlineStr">
        <is>
          <t>Tampa, FL</t>
        </is>
      </c>
      <c r="H33" t="inlineStr"/>
      <c r="I33" t="inlineStr">
        <is>
          <t>**Position: GenAI Engineer**
**Location: Tampa FL \*\*\*From Day 1 Onsite\*\*\***
**Duration: 1 Years**
**Responsibilities**
 We are looking for a versatile Full\-Stack AI Engineer proficient in backend and frontend development with strong experience in AI/ML technologies. The ideal candidate will work closely with cross\-functional teams to develop scalable web applications featuring a Node.js and Python backend, React\-based frontend, and AI/ML\-powered functionalities leveraging tools like Scikit\-learn, TensorFlow, Azure ML, and Langchain. The role requires a passion for cutting\-edge machine learning integrations and delivering high\-quality, performant software. AI System Key Responsibilities Backend Development:
 Design, develop, and maintain scalable backend services and APIs primarily using Node.js with TypeScript and Python.
 Integrate AI/ML models and workflows into backend systems to enable intelligent application features.
 Ensure robust application architecture, security, and performance optimization.
**Frontend Development**
 Build responsive, user\-friendly interfaces using React and TypeScript following best practices and design principles.
 Collaborate with UX/UI designers and product teams to deliver seamless user experiences.
 Implement state management, routing, and component libraries to support complex application workflows.
**AI/ML Integration**
 Develop and deploy machine learning models using Scikit\-learn and TensorFlow, with cloud\-based orchestration through Azure ML.
 Integrate AI functionalities using frameworks like Langchain and JavaScript\-based libraries into web applications.
 Collaborate with data scientists and ML engineers to operationalize AI solutions in production\-grade applications.</t>
        </is>
      </c>
    </row>
    <row r="34">
      <c r="A34" t="inlineStr">
        <is>
          <t>li-4325811919</t>
        </is>
      </c>
      <c r="B34" t="inlineStr">
        <is>
          <t>Senior Generative AI Engineer (Engineer Machine Learning 5) - 26231</t>
        </is>
      </c>
      <c r="C34" t="inlineStr">
        <is>
          <t>Mission Technologies, a division of HII</t>
        </is>
      </c>
      <c r="D34" t="inlineStr">
        <is>
          <t>linkedin</t>
        </is>
      </c>
      <c r="E34" t="inlineStr"/>
      <c r="F34" t="inlineStr"/>
      <c r="G34" t="inlineStr">
        <is>
          <t>Annapolis Junction, MD</t>
        </is>
      </c>
      <c r="H34" t="inlineStr"/>
      <c r="I34" t="inlineStr">
        <is>
          <t>Requisition Number: 26231
 Required Travel: 0 \- 10%
 Employment Type: Full Time/Salaried/Exempt
 Anticipated Salary Range: $161,070\.00 \- $265,000\.00
 Security Clearance: Ability to Obtain
 Level of Experience: Senior
**Meet HII’s Mission Technologies Division**
 Our team of more than 7,000 professionals worldwide delivers all\-domain expertise and advanced technologies in service of mission partners across the globe. Mission Technologies is leading the next evolution of national defense – the data evolution \- by accelerating a breadth of national security solutions for government and commercial customers. Our capabilities range from C5ISR, AI and Big Data, cyber operations and synthetic training environments to fleet sustainment, environmental remediation and the largest family of unmanned underwater vehicles in every class. Find the role that’s right for you. Apply today. We look forward to meeting you.
 To learn more about Mission Technologies, click here for a short video: https://vimeo.com/732533072
**Who We Are**
 HII\-Mission Technologies is seeking a
 **Senior Generative AI Engineer** 
 to join the team. This will be a
 **remote** 
 position, with occasional travel to the team’s office in
 **Annapolis Junction, MD** 
 . This role will support the team in creating and managing end\-to\-end generative AI solutions. The team supports AI and digital modernization for both internal use and for external clients, with applications from intelligence analysis to manufacturing optimization.
**Key Responsibilities**
* Operational AI Implementation: Research, develop, and apply machine learning, deep learning, and large language model (LLM) techniques for deployment in operational environments.
* Full Stack Design and Development: Rapidly design and create prototype applications to demonstrate AI capabilities. Transition prototypes to production by designing and implementing well\-architected, scalable software stacks.
* Client Engagement: Support meetings with internal clients and external customers as a subject matter expert in AI and advanced software solutions, with a focus on cloud technologies and generative AI.
* Manage and deliver on multiple concurrent projects across different customer environments.
* Collaborate across a wide array of individuals at varying levels of technical skills.
* Effective writing and speaking ability to communicate complex strategies and technical concepts to non\-technical stakeholders and leaders.
**What You Need To Have**
* 15 years relevant experience with Bachelors in related field; 13 years relevant experience with Masters in related field; 10 years relevant experience with PhD or Juris Doctorate in related field; or High School Diploma or equivalent and 19 years relevant experience.
* Experience with all of the following:
+ Programming languages: Python
+ Containerized development and deployment: Docker, Rancher, and/or K8s.
+ Cloud engineering: Azure, AWS, or GCP.
+ Databases: SQL, NoSQL, and/or vector databases.
+ CI/CD pipeline management.
+ DevSecOps design/deployment principles.
+ Hands\-on experience with current open\-source LLMs and ecosystem tools (e.g., model serving, fine\-tuning, prompt engineering, embeddings).
+ Experience developing generative AI products or platforms, including multimodal use cases (e.g., text, vision, audio, document understanding).
* Ability to travel to customer location(s) occasionally with advance notice.
* Clearance: Must have the ability to obtain and maintain a Secret clearance.
**Bonus Points For**
* Bachelors in Data Science, Computer Science, Mathematics, or equivalent technologies/experience.
* Experience with:
+ UI/UX development: JavaScript (Angular, React).
+ Backend development: REST API, web apps, microservices.
* Experience supporting feature development and maintenance for an enterprise\-scale application.
* Experience building multi\-step agentic workflows and orchestrators using frameworks such as LangChain, LangGraph,
* LlamaIndex, PromptGraph, or custom in\-house pipelines.
 HII is more than a job \- it’s an opportunity to build a new future. We offer competitive benefits such as best\-in\-class medical, dental and vision plan choices; wellness resources; employee assistance programs; Savings Plan Options (401(k)); financial planning tools, life insurance; employee discounts; paid holidays and paid time off; tuition reimbursement; as well as early childhood and post\-secondary education scholarships. Bonus/other non\-recurrent compensation is occasionally offered for qualified positions, and if applicable to this role will be addressed by the recruiter at the screening phase of application.
**Why HII**
 We build the world’s most powerful, survivable naval ships and defense technology solutions that safeguard our seas, sky, land, space and cyber. Our workforce includes skilled tradespeople; artificial intelligence, machine learning (AI/ML) experts; engineers; technologists; scientists; logistics experts; and business administration professionals.
 Recognized as one of America’s top large company employers, we are a values and ethics driven organization that puts people’s safety and well\-being first. Regardless of your role or where you serve, at HII, you’ll find a supportive and welcoming environment, competitive benefits, and valuable educational and training programs for continual career growth at every stage of your career.
**Together we are working to ensure a future where everyone can be free and thrive.**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**Do You Need Assistance?**
 If you need a reasonable accommodation for any part of the employment process, please send an e\-mail to
 **buildyourcareer@hii\-co.com** 
 and let us know the nature of your request and your contact information. Reasonable accommodations are considered on a case\-by\-case basis. Please note that only those inquiries concerning a request for reasonable accommodation will be responded to from this email address. Additionally, you may also call
 **1\-844\-849\-8463** 
 for assistance. Press \#3 for HII Mission Technologies.</t>
        </is>
      </c>
    </row>
    <row r="35">
      <c r="A35" t="inlineStr">
        <is>
          <t>li-4370026741</t>
        </is>
      </c>
      <c r="B35" t="inlineStr">
        <is>
          <t>Lead AI Engineer</t>
        </is>
      </c>
      <c r="C35" t="inlineStr">
        <is>
          <t>Piper Companies</t>
        </is>
      </c>
      <c r="D35" t="inlineStr">
        <is>
          <t>linkedin</t>
        </is>
      </c>
      <c r="E35" t="inlineStr"/>
      <c r="F35" t="inlineStr"/>
      <c r="G35" t="inlineStr">
        <is>
          <t>Durham, NC</t>
        </is>
      </c>
      <c r="H35" t="inlineStr"/>
      <c r="I35" t="inlineStr">
        <is>
          <t>Piper Companies is seeking a Senior AI Engineer Lead to join a prominent technology organization is to launch and scale a new AI solutions for business operations and customer experiences.
 **The Senior AI Engineering Lead will sit hybrid in Durham, NC.**
**Responsibilities of the Senior AI Engineering Lead include:**
* Partnering with the CTO to stand up the Emerging Intelligence Group and deliver early strategic wins.
* Building and deploying LLM‑powered applications, RAG pipelines, and scalable APIs.
* Integrating AI capabilities across web, mobile, and enterprise systems in collaboration with Product Engineering.
* Establishing AI governance and serving as the technical bridge between data, engineering, and product teams.
**Qualifications for the Senior AI Engineering Lead include:**
* 8\+ years of experience across software engineering and AI product development, with proven delivery of production AI systems.
* Hands‑on experience with LLMs, RAG architectures, vector databases, and frameworks like LangChain or Hugging Face.
* Strong proficiency in AWS (Bedrock, Lambda, S3\), full‑stack development, and SQL/NoSQL platforms.
* Skilled communicator with familiarity in MLOps, responsible AI principles, and conversational UX.
**Compensation for the Senior AI Engineering Lead includes:**
* $140,000 – $170,000 annually.
* Comprehensive benefits package including Medical, Dental, Vision, 401(k), and PTO.
* Paid holidays and sick leave as required by law.
* Hybrid in Durham, NC.
 This job opens for applications on 2/6/2026\. Applications for this role will be accepted for at least 30 days from the posting date.
 Keywords: LLM, Large Language Models, Generative AI, Agentic AI, RAG, Retrieval\-Augmented Generation, Vector Databases, Embeddings, Transformers, LangChain, Hugging Face, LlamaIndex, GPT, Claude, Llama, AI Governance, Responsible AI, Conversational AI, AWS, AWS Bedrock, AWS Lambda, S3, Cloud Architecture, Serverless, CI/CD, MLOps, Model Deployment, Full\-Stack Development</t>
        </is>
      </c>
    </row>
    <row r="36">
      <c r="A36" t="inlineStr">
        <is>
          <t>li-4308194371</t>
        </is>
      </c>
      <c r="B36" t="inlineStr">
        <is>
          <t>Senior/Staff Machine Learning Engineer - Bidding (Bangkok based, relocation provided)</t>
        </is>
      </c>
      <c r="C36" t="inlineStr">
        <is>
          <t>Agoda</t>
        </is>
      </c>
      <c r="D36" t="inlineStr">
        <is>
          <t>linkedin</t>
        </is>
      </c>
      <c r="E36" t="inlineStr"/>
      <c r="F36" t="inlineStr"/>
      <c r="G36" t="inlineStr">
        <is>
          <t>Seattle, WA</t>
        </is>
      </c>
      <c r="H36" t="inlineStr"/>
      <c r="I36"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Engineering department oversees all Agoda’s ML and software related requirements. Our goal is to enable and increase Agoda’s business through creative approaches and the implementation of powerful resources such as operational and analytical databases, ML driven solutions, queue systems and data monitoring tools. We hire the brightest minds from around the world to take on this challenge and equip them with the knowledge and tools that contribute to their personal growth and success while supporting our company’s culture of diversity and experimentation. The role the engineering team plays at Agoda is critical as business users, product managers,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ML engineering squad, but also the reward. We work across structured and non\-structured data at scale. For example, our current ML models process millions of images every day to try and enhance the experience that our users get from our app.
**Why Agoda Engineering Team (ML role)?**
 Our engineering teams are at the intersection of business analytics, ml engineering, data warehousing and software engineering. Our job involves dealing with distributed systems, stream processing, ml modeling and computation at tens of PB Scale. We focus on software engineering related to data replication, storage, centralized computation, and Data API’s. By providing our users with ML products/tools, shared frameworks, and ML services, we enable our company to validate strategic decisions, make smarter choices, and react to the fast\-changing world. We are a small but passionate team with people from different nationalities working together on a single goal.
**In this Role, you will get to:**
* Lead the team technically in improving scalability, stability, accuracy, speed and efficiency of our existing ML systems and processes. Build, administer and scale ML processing pipelines.
* Be comfortable navigating the following technology stack: Python3, Scala Spark, scripting (Bash/Python), Hadoop, SQL, S3 etc.
* Should be able to understand internals of ML models such as LightGBM, Random Forest, CNN, Regression models, etc
* Design, build, test and deploy new libraries, frameworks or full systems for our core systems while keeping to the highest standards of testing and code quality.
* Work with experienced engineers and product owners to identify and build tools to automate many large\-scale data management / analysis tasks.
* We believe in end\-to\-end ownership; this role will involve taking and building systems that enable us to deliver ML models to production at a scale.
**What You’ll need to Succeed:**
* Bachelor’s degree in computer science /information systems/engineering/related field 6\+ years of experience in software engineering with a minimum of 4\+ years in ML
* Expert in SQL, Python3, and JVM based programming language – ie, Java or Scala
* Expert in software design/design patterns, functional programming and object\-oriented programming.
* Analytical problem\-solving capabilities \&amp; experience. A strong engineering driven mindset will be required to succeed in this role.
**It’s great if you have:**
* Good understanding of Hadoop ecosystems and Big Data architecture and techologies
* Experience working with Open\-source products
* Experience with Scala development
* Working in an agile environment using test driven methodologies
* Systems administration skills in Linux
**Benefits**
* Hybrid Working Model
* WFH Set Up Allowance
* 30 Days of Remote Working from anywhere globally every year
* Employee discount for accommodation globally
* Global team of 90\+ nationalities
* 40\+ offices and 25\+ countries
* Annual CSR / Volunteer Time off
* Benevity Subscription for employee donations
* Volunteering opportunities globally
* Free Headspace subscription
* Free Odilo \&amp; Udemy subscriptions
* Access to Employee Assistance Program (third party for personal and workplace support)
* Enhanced Parental Leave
* Life, TPD \&amp; Accident Insurance
 \#telaviv \#jerusalem \#IT \#ENG \#4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\#newdelhi \#Pune \#Hyderabad \#Bangalore \#Mumbai \#Bengaluru \#Chennai \#Kolkata \#Lucknow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\#tokyo \#osaka \#kualalumpur \#amsterdam \#oslo \#manila \#warsaw \#krakow \#bucharest \#moscow \#saintpetersburg \#capetown \#johannesburg \#seoul \#barcelona \#madrid \#stockholm \#zurich \#taipei \#bangkok \#Phuket \#istanbul \#london \#manchester \#edinburgh \#kiev \#hcmc \#hanoi \#wroclaw \#poznan \#katowice \#rio \#salvador \#IT \#4 \#5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37">
      <c r="A37" t="inlineStr">
        <is>
          <t>li-4308189951</t>
        </is>
      </c>
      <c r="B37" t="inlineStr">
        <is>
          <t>Senior/Staff Machine Learning Engineer - Bidding (Bangkok based, relocation provided)</t>
        </is>
      </c>
      <c r="C37" t="inlineStr">
        <is>
          <t>Agoda</t>
        </is>
      </c>
      <c r="D37" t="inlineStr">
        <is>
          <t>linkedin</t>
        </is>
      </c>
      <c r="E37" t="inlineStr"/>
      <c r="F37" t="inlineStr"/>
      <c r="G37" t="inlineStr">
        <is>
          <t>Los Angeles, CA</t>
        </is>
      </c>
      <c r="H37" t="inlineStr"/>
      <c r="I37"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Engineering department oversees all Agoda’s ML and software related requirements. Our goal is to enable and increase Agoda’s business through creative approaches and the implementation of powerful resources such as operational and analytical databases, ML driven solutions, queue systems and data monitoring tools. We hire the brightest minds from around the world to take on this challenge and equip them with the knowledge and tools that contribute to their personal growth and success while supporting our company’s culture of diversity and experimentation. The role the engineering team plays at Agoda is critical as business users, product managers,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ML engineering squad, but also the reward. We work across structured and non\-structured data at scale. For example, our current ML models process millions of images every day to try and enhance the experience that our users get from our app.
**Why Agoda Engineering Team (ML role)?**
 Our engineering teams are at the intersection of business analytics, ml engineering, data warehousing and software engineering. Our job involves dealing with distributed systems, stream processing, ml modeling and computation at tens of PB Scale. We focus on software engineering related to data replication, storage, centralized computation, and Data API’s. By providing our users with ML products/tools, shared frameworks, and ML services, we enable our company to validate strategic decisions, make smarter choices, and react to the fast\-changing world. We are a small but passionate team with people from different nationalities working together on a single goal.
**In this Role, you will get to:**
* Lead the team technically in improving scalability, stability, accuracy, speed and efficiency of our existing ML systems and processes. Build, administer and scale ML processing pipelines.
* Be comfortable navigating the following technology stack: Python3, Scala Spark, scripting (Bash/Python), Hadoop, SQL, S3 etc.
* Should be able to understand internals of ML models such as LightGBM, Random Forest, CNN, Regression models, etc
* Design, build, test and deploy new libraries, frameworks or full systems for our core systems while keeping to the highest standards of testing and code quality.
* Work with experienced engineers and product owners to identify and build tools to automate many large\-scale data management / analysis tasks.
* We believe in end\-to\-end ownership; this role will involve taking and building systems that enable us to deliver ML models to production at a scale.
**What You’ll need to Succeed:**
* Bachelor’s degree in computer science /information systems/engineering/related field 6\+ years of experience in software engineering with a minimum of 4\+ years in ML
* Expert in SQL, Python3, and JVM based programming language – ie, Java or Scala
* Expert in software design/design patterns, functional programming and object\-oriented programming.
* Analytical problem\-solving capabilities \&amp; experience. A strong engineering driven mindset will be required to succeed in this role.
**It’s great if you have:**
* Good understanding of Hadoop ecosystems and Big Data architecture and techologies
* Experience working with Open\-source products
* Experience with Scala development
* Working in an agile environment using test driven methodologies
* Systems administration skills in Linux
**Benefits**
* Hybrid Working Model
* WFH Set Up Allowance
* 30 Days of Remote Working from anywhere globally every year
* Employee discount for accommodation globally
* Global team of 90\+ nationalities
* 40\+ offices and 25\+ countries
* Annual CSR / Volunteer Time off
* Benevity Subscription for employee donations
* Volunteering opportunities globally
* Free Headspace subscription
* Free Odilo \&amp; Udemy subscriptions
* Access to Employee Assistance Program (third party for personal and workplace support)
* Enhanced Parental Leave
* Life, TPD \&amp; Accident Insurance
 \#telaviv \#jerusalem \#IT \#ENG \#4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\#newdelhi \#Pune \#Hyderabad \#Bangalore \#Mumbai \#Bengaluru \#Chennai \#Kolkata \#Lucknow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\#tokyo \#osaka \#kualalumpur \#amsterdam \#oslo \#manila \#warsaw \#krakow \#bucharest \#moscow \#saintpetersburg \#capetown \#johannesburg \#seoul \#barcelona \#madrid \#stockholm \#zurich \#taipei \#bangkok \#Phuket \#istanbul \#london \#manchester \#edinburgh \#kiev \#hcmc \#hanoi \#wroclaw \#poznan \#katowice \#rio \#salvador \#IT \#4 \#5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38">
      <c r="A38" t="inlineStr">
        <is>
          <t>li-4308192963</t>
        </is>
      </c>
      <c r="B38" t="inlineStr">
        <is>
          <t>Senior/Staff Machine Learning Engineer - Bidding (Bangkok based, relocation provided)</t>
        </is>
      </c>
      <c r="C38" t="inlineStr">
        <is>
          <t>Agoda</t>
        </is>
      </c>
      <c r="D38" t="inlineStr">
        <is>
          <t>linkedin</t>
        </is>
      </c>
      <c r="E38" t="inlineStr"/>
      <c r="F38" t="inlineStr"/>
      <c r="G38" t="inlineStr">
        <is>
          <t>Portland, OR</t>
        </is>
      </c>
      <c r="H38" t="inlineStr"/>
      <c r="I38"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Engineering department oversees all Agoda’s ML and software related requirements. Our goal is to enable and increase Agoda’s business through creative approaches and the implementation of powerful resources such as operational and analytical databases, ML driven solutions, queue systems and data monitoring tools. We hire the brightest minds from around the world to take on this challenge and equip them with the knowledge and tools that contribute to their personal growth and success while supporting our company’s culture of diversity and experimentation. The role the engineering team plays at Agoda is critical as business users, product managers,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ML engineering squad, but also the reward. We work across structured and non\-structured data at scale. For example, our current ML models process millions of images every day to try and enhance the experience that our users get from our app.
**Why Agoda Engineering Team (ML role)?**
 Our engineering teams are at the intersection of business analytics, ml engineering, data warehousing and software engineering. Our job involves dealing with distributed systems, stream processing, ml modeling and computation at tens of PB Scale. We focus on software engineering related to data replication, storage, centralized computation, and Data API’s. By providing our users with ML products/tools, shared frameworks, and ML services, we enable our company to validate strategic decisions, make smarter choices, and react to the fast\-changing world. We are a small but passionate team with people from different nationalities working together on a single goal.
**In this Role, you will get to:**
* Lead the team technically in improving scalability, stability, accuracy, speed and efficiency of our existing ML systems and processes. Build, administer and scale ML processing pipelines.
* Be comfortable navigating the following technology stack: Python3, Scala Spark, scripting (Bash/Python), Hadoop, SQL, S3 etc.
* Should be able to understand internals of ML models such as LightGBM, Random Forest, CNN, Regression models, etc
* Design, build, test and deploy new libraries, frameworks or full systems for our core systems while keeping to the highest standards of testing and code quality.
* Work with experienced engineers and product owners to identify and build tools to automate many large\-scale data management / analysis tasks.
* We believe in end\-to\-end ownership; this role will involve taking and building systems that enable us to deliver ML models to production at a scale.
**What You’ll need to Succeed:**
* Bachelor’s degree in computer science /information systems/engineering/related field 6\+ years of experience in software engineering with a minimum of 4\+ years in ML
* Expert in SQL, Python3, and JVM based programming language – ie, Java or Scala
* Expert in software design/design patterns, functional programming and object\-oriented programming.
* Analytical problem\-solving capabilities \&amp; experience. A strong engineering driven mindset will be required to succeed in this role.
**It’s great if you have:**
* Good understanding of Hadoop ecosystems and Big Data architecture and techologies
* Experience working with Open\-source products
* Experience with Scala development
* Working in an agile environment using test driven methodologies
* Systems administration skills in Linux
**Benefits**
* Hybrid Working Model
* WFH Set Up Allowance
* 30 Days of Remote Working from anywhere globally every year
* Employee discount for accommodation globally
* Global team of 90\+ nationalities
* 40\+ offices and 25\+ countries
* Annual CSR / Volunteer Time off
* Benevity Subscription for employee donations
* Volunteering opportunities globally
* Free Headspace subscription
* Free Odilo \&amp; Udemy subscriptions
* Access to Employee Assistance Program (third party for personal and workplace support)
* Enhanced Parental Leave
* Life, TPD \&amp; Accident Insurance
 \#telaviv \#jerusalem \#IT \#ENG \#4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\#newdelhi \#Pune \#Hyderabad \#Bangalore \#Mumbai \#Bengaluru \#Chennai \#Kolkata \#Lucknow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\#tokyo \#osaka \#kualalumpur \#amsterdam \#oslo \#manila \#warsaw \#krakow \#bucharest \#moscow \#saintpetersburg \#capetown \#johannesburg \#seoul \#barcelona \#madrid \#stockholm \#zurich \#taipei \#bangkok \#Phuket \#istanbul \#london \#manchester \#edinburgh \#kiev \#hcmc \#hanoi \#wroclaw \#poznan \#katowice \#rio \#salvador \#IT \#4 \#5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39">
      <c r="A39" t="inlineStr">
        <is>
          <t>li-4308196279</t>
        </is>
      </c>
      <c r="B39" t="inlineStr">
        <is>
          <t>Senior/Staff Machine Learning Engineer - Bidding (Bangkok based, relocation provided)</t>
        </is>
      </c>
      <c r="C39" t="inlineStr">
        <is>
          <t>Agoda</t>
        </is>
      </c>
      <c r="D39" t="inlineStr">
        <is>
          <t>linkedin</t>
        </is>
      </c>
      <c r="E39" t="inlineStr"/>
      <c r="F39" t="inlineStr"/>
      <c r="G39" t="inlineStr">
        <is>
          <t>Oakland, CA</t>
        </is>
      </c>
      <c r="H39" t="inlineStr"/>
      <c r="I39"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Engineering department oversees all Agoda’s ML and software related requirements. Our goal is to enable and increase Agoda’s business through creative approaches and the implementation of powerful resources such as operational and analytical databases, ML driven solutions, queue systems and data monitoring tools. We hire the brightest minds from around the world to take on this challenge and equip them with the knowledge and tools that contribute to their personal growth and success while supporting our company’s culture of diversity and experimentation. The role the engineering team plays at Agoda is critical as business users, product managers,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ML engineering squad, but also the reward. We work across structured and non\-structured data at scale. For example, our current ML models process millions of images every day to try and enhance the experience that our users get from our app.
**Why Agoda Engineering Team (ML role)?**
 Our engineering teams are at the intersection of business analytics, ml engineering, data warehousing and software engineering. Our job involves dealing with distributed systems, stream processing, ml modeling and computation at tens of PB Scale. We focus on software engineering related to data replication, storage, centralized computation, and Data API’s. By providing our users with ML products/tools, shared frameworks, and ML services, we enable our company to validate strategic decisions, make smarter choices, and react to the fast\-changing world. We are a small but passionate team with people from different nationalities working together on a single goal.
**In this Role, you will get to:**
* Lead the team technically in improving scalability, stability, accuracy, speed and efficiency of our existing ML systems and processes. Build, administer and scale ML processing pipelines.
* Be comfortable navigating the following technology stack: Python3, Scala Spark, scripting (Bash/Python), Hadoop, SQL, S3 etc.
* Should be able to understand internals of ML models such as LightGBM, Random Forest, CNN, Regression models, etc
* Design, build, test and deploy new libraries, frameworks or full systems for our core systems while keeping to the highest standards of testing and code quality.
* Work with experienced engineers and product owners to identify and build tools to automate many large\-scale data management / analysis tasks.
* We believe in end\-to\-end ownership; this role will involve taking and building systems that enable us to deliver ML models to production at a scale.
**What You’ll need to Succeed:**
* Bachelor’s degree in computer science /information systems/engineering/related field 6\+ years of experience in software engineering with a minimum of 4\+ years in ML
* Expert in SQL, Python3, and JVM based programming language – ie, Java or Scala
* Expert in software design/design patterns, functional programming and object\-oriented programming.
* Analytical problem\-solving capabilities \&amp; experience. A strong engineering driven mindset will be required to succeed in this role.
**It’s great if you have:**
* Good understanding of Hadoop ecosystems and Big Data architecture and techologies
* Experience working with Open\-source products
* Experience with Scala development
* Working in an agile environment using test driven methodologies
* Systems administration skills in Linux
**Benefits**
* Hybrid Working Model
* WFH Set Up Allowance
* 30 Days of Remote Working from anywhere globally every year
* Employee discount for accommodation globally
* Global team of 90\+ nationalities
* 40\+ offices and 25\+ countries
* Annual CSR / Volunteer Time off
* Benevity Subscription for employee donations
* Volunteering opportunities globally
* Free Headspace subscription
* Free Odilo \&amp; Udemy subscriptions
* Access to Employee Assistance Program (third party for personal and workplace support)
* Enhanced Parental Leave
* Life, TPD \&amp; Accident Insurance
 \#telaviv \#jerusalem \#IT \#ENG \#4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\#newdelhi \#Pune \#Hyderabad \#Bangalore \#Mumbai \#Bengaluru \#Chennai \#Kolkata \#Lucknow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\#tokyo \#osaka \#kualalumpur \#amsterdam \#oslo \#manila \#warsaw \#krakow \#bucharest \#moscow \#saintpetersburg \#capetown \#johannesburg \#seoul \#barcelona \#madrid \#stockholm \#zurich \#taipei \#bangkok \#Phuket \#istanbul \#london \#manchester \#edinburgh \#kiev \#hcmc \#hanoi \#wroclaw \#poznan \#katowice \#rio \#salvador \#IT \#4 \#5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40">
      <c r="A40" t="inlineStr">
        <is>
          <t>li-4308402149</t>
        </is>
      </c>
      <c r="B40" t="inlineStr">
        <is>
          <t>Senior/Staff Machine Learning Engineer - Bidding (Bangkok based, relocation provided)</t>
        </is>
      </c>
      <c r="C40" t="inlineStr">
        <is>
          <t>Agoda</t>
        </is>
      </c>
      <c r="D40" t="inlineStr">
        <is>
          <t>linkedin</t>
        </is>
      </c>
      <c r="E40" t="inlineStr"/>
      <c r="F40" t="inlineStr"/>
      <c r="G40" t="inlineStr">
        <is>
          <t>Boston, MA</t>
        </is>
      </c>
      <c r="H40" t="inlineStr"/>
      <c r="I40"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Engineering department oversees all Agoda’s ML and software related requirements. Our goal is to enable and increase Agoda’s business through creative approaches and the implementation of powerful resources such as operational and analytical databases, ML driven solutions, queue systems and data monitoring tools. We hire the brightest minds from around the world to take on this challenge and equip them with the knowledge and tools that contribute to their personal growth and success while supporting our company’s culture of diversity and experimentation. The role the engineering team plays at Agoda is critical as business users, product managers,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ML engineering squad, but also the reward. We work across structured and non\-structured data at scale. For example, our current ML models process millions of images every day to try and enhance the experience that our users get from our app.
**Why Agoda Engineering Team (ML role)?**
 Our engineering teams are at the intersection of business analytics, ml engineering, data warehousing and software engineering. Our job involves dealing with distributed systems, stream processing, ml modeling and computation at tens of PB Scale. We focus on software engineering related to data replication, storage, centralized computation, and Data API’s. By providing our users with ML products/tools, shared frameworks, and ML services, we enable our company to validate strategic decisions, make smarter choices, and react to the fast\-changing world. We are a small but passionate team with people from different nationalities working together on a single goal.
**In this Role, you will get to:**
* Lead the team technically in improving scalability, stability, accuracy, speed and efficiency of our existing ML systems and processes. Build, administer and scale ML processing pipelines.
* Be comfortable navigating the following technology stack: Python3, Scala Spark, scripting (Bash/Python), Hadoop, SQL, S3 etc.
* Should be able to understand internals of ML models such as LightGBM, Random Forest, CNN, Regression models, etc
* Design, build, test and deploy new libraries, frameworks or full systems for our core systems while keeping to the highest standards of testing and code quality.
* Work with experienced engineers and product owners to identify and build tools to automate many large\-scale data management / analysis tasks.
* We believe in end\-to\-end ownership; this role will involve taking and building systems that enable us to deliver ML models to production at a scale.
**What You’ll need to Succeed:**
* Bachelor’s degree in computer science /information systems/engineering/related field 6\+ years of experience in software engineering with a minimum of 4\+ years in ML
* Expert in SQL, Python3, and JVM based programming language – ie, Java or Scala
* Expert in software design/design patterns, functional programming and object\-oriented programming.
* Analytical problem\-solving capabilities \&amp; experience. A strong engineering driven mindset will be required to succeed in this role.
**It’s great if you have:**
* Good understanding of Hadoop ecosystems and Big Data architecture and techologies
* Experience working with Open\-source products
* Experience with Scala development
* Working in an agile environment using test driven methodologies
* Systems administration skills in Linux
**Benefits**
* Hybrid Working Model
* WFH Set Up Allowance
* 30 Days of Remote Working from anywhere globally every year
* Employee discount for accommodation globally
* Global team of 90\+ nationalities
* 40\+ offices and 25\+ countries
* Annual CSR / Volunteer Time off
* Benevity Subscription for employee donations
* Volunteering opportunities globally
* Free Headspace subscription
* Free Odilo \&amp; Udemy subscriptions
* Access to Employee Assistance Program (third party for personal and workplace support)
* Enhanced Parental Leave
* Life, TPD \&amp; Accident Insurance
 \#telaviv \#jerusalem \#IT \#ENG \#4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\#newdelhi \#Pune \#Hyderabad \#Bangalore \#Mumbai \#Bengaluru \#Chennai \#Kolkata \#Lucknow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\#tokyo \#osaka \#kualalumpur \#amsterdam \#oslo \#manila \#warsaw \#krakow \#bucharest \#moscow \#saintpetersburg \#capetown \#johannesburg \#seoul \#barcelona \#madrid \#stockholm \#zurich \#taipei \#bangkok \#Phuket \#istanbul \#london \#manchester \#edinburgh \#kiev \#hcmc \#hanoi \#wroclaw \#poznan \#katowice \#rio \#salvador \#IT \#4 \#5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41">
      <c r="A41" t="inlineStr">
        <is>
          <t>li-4308189953</t>
        </is>
      </c>
      <c r="B41" t="inlineStr">
        <is>
          <t>Senior/Staff Machine Learning Engineer - Bidding (Bangkok based, relocation provided)</t>
        </is>
      </c>
      <c r="C41" t="inlineStr">
        <is>
          <t>Agoda</t>
        </is>
      </c>
      <c r="D41" t="inlineStr">
        <is>
          <t>linkedin</t>
        </is>
      </c>
      <c r="E41" t="inlineStr"/>
      <c r="F41" t="inlineStr"/>
      <c r="G41" t="inlineStr">
        <is>
          <t>Chicago, IL</t>
        </is>
      </c>
      <c r="H41" t="inlineStr"/>
      <c r="I41"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Engineering department oversees all Agoda’s ML and software related requirements. Our goal is to enable and increase Agoda’s business through creative approaches and the implementation of powerful resources such as operational and analytical databases, ML driven solutions, queue systems and data monitoring tools. We hire the brightest minds from around the world to take on this challenge and equip them with the knowledge and tools that contribute to their personal growth and success while supporting our company’s culture of diversity and experimentation. The role the engineering team plays at Agoda is critical as business users, product managers,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ML engineering squad, but also the reward. We work across structured and non\-structured data at scale. For example, our current ML models process millions of images every day to try and enhance the experience that our users get from our app.
**Why Agoda Engineering Team (ML role)?**
 Our engineering teams are at the intersection of business analytics, ml engineering, data warehousing and software engineering. Our job involves dealing with distributed systems, stream processing, ml modeling and computation at tens of PB Scale. We focus on software engineering related to data replication, storage, centralized computation, and Data API’s. By providing our users with ML products/tools, shared frameworks, and ML services, we enable our company to validate strategic decisions, make smarter choices, and react to the fast\-changing world. We are a small but passionate team with people from different nationalities working together on a single goal.
**In this Role, you will get to:**
* Lead the team technically in improving scalability, stability, accuracy, speed and efficiency of our existing ML systems and processes. Build, administer and scale ML processing pipelines.
* Be comfortable navigating the following technology stack: Python3, Scala Spark, scripting (Bash/Python), Hadoop, SQL, S3 etc.
* Should be able to understand internals of ML models such as LightGBM, Random Forest, CNN, Regression models, etc
* Design, build, test and deploy new libraries, frameworks or full systems for our core systems while keeping to the highest standards of testing and code quality.
* Work with experienced engineers and product owners to identify and build tools to automate many large\-scale data management / analysis tasks.
* We believe in end\-to\-end ownership; this role will involve taking and building systems that enable us to deliver ML models to production at a scale.
**What You’ll need to Succeed:**
* Bachelor’s degree in computer science /information systems/engineering/related field 6\+ years of experience in software engineering with a minimum of 4\+ years in ML
* Expert in SQL, Python3, and JVM based programming language – ie, Java or Scala
* Expert in software design/design patterns, functional programming and object\-oriented programming.
* Analytical problem\-solving capabilities \&amp; experience. A strong engineering driven mindset will be required to succeed in this role.
**It’s great if you have:**
* Good understanding of Hadoop ecosystems and Big Data architecture and techologies
* Experience working with Open\-source products
* Experience with Scala development
* Working in an agile environment using test driven methodologies
* Systems administration skills in Linux
**Benefits**
* Hybrid Working Model
* WFH Set Up Allowance
* 30 Days of Remote Working from anywhere globally every year
* Employee discount for accommodation globally
* Global team of 90\+ nationalities
* 40\+ offices and 25\+ countries
* Annual CSR / Volunteer Time off
* Benevity Subscription for employee donations
* Volunteering opportunities globally
* Free Headspace subscription
* Free Odilo \&amp; Udemy subscriptions
* Access to Employee Assistance Program (third party for personal and workplace support)
* Enhanced Parental Leave
* Life, TPD \&amp; Accident Insurance
 \#telaviv \#jerusalem \#IT \#ENG \#4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\#newdelhi \#Pune \#Hyderabad \#Bangalore \#Mumbai \#Bengaluru \#Chennai \#Kolkata \#Lucknow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\#tokyo \#osaka \#kualalumpur \#amsterdam \#oslo \#manila \#warsaw \#krakow \#bucharest \#moscow \#saintpetersburg \#capetown \#johannesburg \#seoul \#barcelona \#madrid \#stockholm \#zurich \#taipei \#bangkok \#Phuket \#istanbul \#london \#manchester \#edinburgh \#kiev \#hcmc \#hanoi \#wroclaw \#poznan \#katowice \#rio \#salvador \#IT \#4 \#5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42">
      <c r="A42" t="inlineStr">
        <is>
          <t>li-4369100426</t>
        </is>
      </c>
      <c r="B42" t="inlineStr">
        <is>
          <t>Delivery Excellence - AI Engineer - Senior Manager</t>
        </is>
      </c>
      <c r="C42" t="inlineStr">
        <is>
          <t>Jobs via Dice</t>
        </is>
      </c>
      <c r="D42" t="inlineStr">
        <is>
          <t>linkedin</t>
        </is>
      </c>
      <c r="E42" t="inlineStr"/>
      <c r="F42" t="inlineStr"/>
      <c r="G42" t="inlineStr">
        <is>
          <t>New York, NY</t>
        </is>
      </c>
      <c r="H42" t="inlineStr"/>
      <c r="I42" t="inlineStr">
        <is>
          <t>**Industry/Sector**
 Not Applicable
**Specialism**
 Data Science
**Management Level**
 Senior Manager
**Job Description \&amp; Summary**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The Opportunity
 As part of the AI Engineering team you will lead the creation and delivery of innovative data solutions that harness the power of generative AI and cloud\-native technologies. As a Senior Manager, you will serve as a strategic advisor, guiding teams through complex challenges while fostering a culture of excellence and collaboration. This role offers the chance to influence the future of AI applications, driving impactful results for clients and contributing to the firm's success.
**Responsibilities**
* Lead the development and implementation of advanced data solutions
* Secure the delivery of impactful results through strategic project management
* Cultivate meaningful relationships with stakeholders to align on objectives
* Utilize cloud\-native technologies to enhance operational effectiveness
* Mentor and develop team members to build top\-performing groups
 What You Must Have
* Bachelor's Degree
* At least 10 years of experience
 What Sets You Apart
* Proven experience in AI application development
* Demonstrating thought leadership in advanced AI domains
* Building intuitive storytelling and analytics tools
* Evaluating model performance using key metrics
* Familiarity with API evaluation and testing tools
* Developing rapid proofs\-of\-concept solutions
* Applying generative AI concepts to architect solutions
* Designing LLM solutions using Python
**Travel Requirements**
 Up to 20%
**Job Posting End Date**
 Learn more about how we work: ;br\&gt;
 PwC does not intend to hire experienced or entry level job seekers who will need, now or in the future, PwC sponsorship through the H\-1B lottery, except as set forth within the following policy: ;br\&gt;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t>
        </is>
      </c>
    </row>
    <row r="43">
      <c r="A43" t="inlineStr">
        <is>
          <t>li-4308411042</t>
        </is>
      </c>
      <c r="B43" t="inlineStr">
        <is>
          <t>Senior/Staff Machine Learning Engineer - Bidding (Bangkok based, relocation provided)</t>
        </is>
      </c>
      <c r="C43" t="inlineStr">
        <is>
          <t>Agoda</t>
        </is>
      </c>
      <c r="D43" t="inlineStr">
        <is>
          <t>linkedin</t>
        </is>
      </c>
      <c r="E43" t="inlineStr"/>
      <c r="F43" t="inlineStr"/>
      <c r="G43" t="inlineStr">
        <is>
          <t>Philadelphia, PA</t>
        </is>
      </c>
      <c r="H43" t="inlineStr"/>
      <c r="I43"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Engineering department oversees all Agoda’s ML and software related requirements. Our goal is to enable and increase Agoda’s business through creative approaches and the implementation of powerful resources such as operational and analytical databases, ML driven solutions, queue systems and data monitoring tools. We hire the brightest minds from around the world to take on this challenge and equip them with the knowledge and tools that contribute to their personal growth and success while supporting our company’s culture of diversity and experimentation. The role the engineering team plays at Agoda is critical as business users, product managers,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ML engineering squad, but also the reward. We work across structured and non\-structured data at scale. For example, our current ML models process millions of images every day to try and enhance the experience that our users get from our app.
**Why Agoda Engineering Team (ML role)?**
 Our engineering teams are at the intersection of business analytics, ml engineering, data warehousing and software engineering. Our job involves dealing with distributed systems, stream processing, ml modeling and computation at tens of PB Scale. We focus on software engineering related to data replication, storage, centralized computation, and Data API’s. By providing our users with ML products/tools, shared frameworks, and ML services, we enable our company to validate strategic decisions, make smarter choices, and react to the fast\-changing world. We are a small but passionate team with people from different nationalities working together on a single goal.
**In this Role, you will get to:**
* Lead the team technically in improving scalability, stability, accuracy, speed and efficiency of our existing ML systems and processes. Build, administer and scale ML processing pipelines.
* Be comfortable navigating the following technology stack: Python3, Scala Spark, scripting (Bash/Python), Hadoop, SQL, S3 etc.
* Should be able to understand internals of ML models such as LightGBM, Random Forest, CNN, Regression models, etc
* Design, build, test and deploy new libraries, frameworks or full systems for our core systems while keeping to the highest standards of testing and code quality.
* Work with experienced engineers and product owners to identify and build tools to automate many large\-scale data management / analysis tasks.
* We believe in end\-to\-end ownership; this role will involve taking and building systems that enable us to deliver ML models to production at a scale.
**What You’ll need to Succeed:**
* Bachelor’s degree in computer science /information systems/engineering/related field 6\+ years of experience in software engineering with a minimum of 4\+ years in ML
* Expert in SQL, Python3, and JVM based programming language – ie, Java or Scala
* Expert in software design/design patterns, functional programming and object\-oriented programming.
* Analytical problem\-solving capabilities \&amp; experience. A strong engineering driven mindset will be required to succeed in this role.
**It’s great if you have:**
* Good understanding of Hadoop ecosystems and Big Data architecture and techologies
* Experience working with Open\-source products
* Experience with Scala development
* Working in an agile environment using test driven methodologies
* Systems administration skills in Linux
**Benefits**
* Hybrid Working Model
* WFH Set Up Allowance
* 30 Days of Remote Working from anywhere globally every year
* Employee discount for accommodation globally
* Global team of 90\+ nationalities
* 40\+ offices and 25\+ countries
* Annual CSR / Volunteer Time off
* Benevity Subscription for employee donations
* Volunteering opportunities globally
* Free Headspace subscription
* Free Odilo \&amp; Udemy subscriptions
* Access to Employee Assistance Program (third party for personal and workplace support)
* Enhanced Parental Leave
* Life, TPD \&amp; Accident Insurance
 \#telaviv \#jerusalem \#IT \#ENG \#4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\#newdelhi \#Pune \#Hyderabad \#Bangalore \#Mumbai \#Bengaluru \#Chennai \#Kolkata \#Lucknow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\#tokyo \#osaka \#kualalumpur \#amsterdam \#oslo \#manila \#warsaw \#krakow \#bucharest \#moscow \#saintpetersburg \#capetown \#johannesburg \#seoul \#barcelona \#madrid \#stockholm \#zurich \#taipei \#bangkok \#Phuket \#istanbul \#london \#manchester \#edinburgh \#kiev \#hcmc \#hanoi \#wroclaw \#poznan \#katowice \#rio \#salvador \#IT \#4 \#5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44">
      <c r="A44" t="inlineStr">
        <is>
          <t>li-4308408086</t>
        </is>
      </c>
      <c r="B44" t="inlineStr">
        <is>
          <t>Senior/Staff Machine Learning Engineer - Bidding (Bangkok based, relocation provided)</t>
        </is>
      </c>
      <c r="C44" t="inlineStr">
        <is>
          <t>Agoda</t>
        </is>
      </c>
      <c r="D44" t="inlineStr">
        <is>
          <t>linkedin</t>
        </is>
      </c>
      <c r="E44" t="inlineStr"/>
      <c r="F44" t="inlineStr"/>
      <c r="G44" t="inlineStr">
        <is>
          <t>Detroit, MI</t>
        </is>
      </c>
      <c r="H44" t="inlineStr"/>
      <c r="I44"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Engineering department oversees all Agoda’s ML and software related requirements. Our goal is to enable and increase Agoda’s business through creative approaches and the implementation of powerful resources such as operational and analytical databases, ML driven solutions, queue systems and data monitoring tools. We hire the brightest minds from around the world to take on this challenge and equip them with the knowledge and tools that contribute to their personal growth and success while supporting our company’s culture of diversity and experimentation. The role the engineering team plays at Agoda is critical as business users, product managers,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ML engineering squad, but also the reward. We work across structured and non\-structured data at scale. For example, our current ML models process millions of images every day to try and enhance the experience that our users get from our app.
**Why Agoda Engineering Team (ML role)?**
 Our engineering teams are at the intersection of business analytics, ml engineering, data warehousing and software engineering. Our job involves dealing with distributed systems, stream processing, ml modeling and computation at tens of PB Scale. We focus on software engineering related to data replication, storage, centralized computation, and Data API’s. By providing our users with ML products/tools, shared frameworks, and ML services, we enable our company to validate strategic decisions, make smarter choices, and react to the fast\-changing world. We are a small but passionate team with people from different nationalities working together on a single goal.
**In this Role, you will get to:**
* Lead the team technically in improving scalability, stability, accuracy, speed and efficiency of our existing ML systems and processes. Build, administer and scale ML processing pipelines.
* Be comfortable navigating the following technology stack: Python3, Scala Spark, scripting (Bash/Python), Hadoop, SQL, S3 etc.
* Should be able to understand internals of ML models such as LightGBM, Random Forest, CNN, Regression models, etc
* Design, build, test and deploy new libraries, frameworks or full systems for our core systems while keeping to the highest standards of testing and code quality.
* Work with experienced engineers and product owners to identify and build tools to automate many large\-scale data management / analysis tasks.
* We believe in end\-to\-end ownership; this role will involve taking and building systems that enable us to deliver ML models to production at a scale.
**What You’ll need to Succeed:**
* Bachelor’s degree in computer science /information systems/engineering/related field 6\+ years of experience in software engineering with a minimum of 4\+ years in ML
* Expert in SQL, Python3, and JVM based programming language – ie, Java or Scala
* Expert in software design/design patterns, functional programming and object\-oriented programming.
* Analytical problem\-solving capabilities \&amp; experience. A strong engineering driven mindset will be required to succeed in this role.
**It’s great if you have:**
* Good understanding of Hadoop ecosystems and Big Data architecture and techologies
* Experience working with Open\-source products
* Experience with Scala development
* Working in an agile environment using test driven methodologies
* Systems administration skills in Linux
**Benefits**
* Hybrid Working Model
* WFH Set Up Allowance
* 30 Days of Remote Working from anywhere globally every year
* Employee discount for accommodation globally
* Global team of 90\+ nationalities
* 40\+ offices and 25\+ countries
* Annual CSR / Volunteer Time off
* Benevity Subscription for employee donations
* Volunteering opportunities globally
* Free Headspace subscription
* Free Odilo \&amp; Udemy subscriptions
* Access to Employee Assistance Program (third party for personal and workplace support)
* Enhanced Parental Leave
* Life, TPD \&amp; Accident Insurance
 \#telaviv \#jerusalem \#IT \#ENG \#4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\#newdelhi \#Pune \#Hyderabad \#Bangalore \#Mumbai \#Bengaluru \#Chennai \#Kolkata \#Lucknow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\#tokyo \#osaka \#kualalumpur \#amsterdam \#oslo \#manila \#warsaw \#krakow \#bucharest \#moscow \#saintpetersburg \#capetown \#johannesburg \#seoul \#barcelona \#madrid \#stockholm \#zurich \#taipei \#bangkok \#Phuket \#istanbul \#london \#manchester \#edinburgh \#kiev \#hcmc \#hanoi \#wroclaw \#poznan \#katowice \#rio \#salvador \#IT \#4 \#5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45">
      <c r="A45" t="inlineStr">
        <is>
          <t>li-4308193840</t>
        </is>
      </c>
      <c r="B45" t="inlineStr">
        <is>
          <t>Senior/Staff Machine Learning Engineer - Bidding (Bangkok based, relocation provided)</t>
        </is>
      </c>
      <c r="C45" t="inlineStr">
        <is>
          <t>Agoda</t>
        </is>
      </c>
      <c r="D45" t="inlineStr">
        <is>
          <t>linkedin</t>
        </is>
      </c>
      <c r="E45" t="inlineStr"/>
      <c r="F45" t="inlineStr"/>
      <c r="G45" t="inlineStr">
        <is>
          <t>San Jose, CA</t>
        </is>
      </c>
      <c r="H45" t="inlineStr"/>
      <c r="I45"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Engineering department oversees all Agoda’s ML and software related requirements. Our goal is to enable and increase Agoda’s business through creative approaches and the implementation of powerful resources such as operational and analytical databases, ML driven solutions, queue systems and data monitoring tools. We hire the brightest minds from around the world to take on this challenge and equip them with the knowledge and tools that contribute to their personal growth and success while supporting our company’s culture of diversity and experimentation. The role the engineering team plays at Agoda is critical as business users, product managers,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ML engineering squad, but also the reward. We work across structured and non\-structured data at scale. For example, our current ML models process millions of images every day to try and enhance the experience that our users get from our app.
**Why Agoda Engineering Team (ML role)?**
 Our engineering teams are at the intersection of business analytics, ml engineering, data warehousing and software engineering. Our job involves dealing with distributed systems, stream processing, ml modeling and computation at tens of PB Scale. We focus on software engineering related to data replication, storage, centralized computation, and Data API’s. By providing our users with ML products/tools, shared frameworks, and ML services, we enable our company to validate strategic decisions, make smarter choices, and react to the fast\-changing world. We are a small but passionate team with people from different nationalities working together on a single goal.
**In this Role, you will get to:**
* Lead the team technically in improving scalability, stability, accuracy, speed and efficiency of our existing ML systems and processes. Build, administer and scale ML processing pipelines.
* Be comfortable navigating the following technology stack: Python3, Scala Spark, scripting (Bash/Python), Hadoop, SQL, S3 etc.
* Should be able to understand internals of ML models such as LightGBM, Random Forest, CNN, Regression models, etc
* Design, build, test and deploy new libraries, frameworks or full systems for our core systems while keeping to the highest standards of testing and code quality.
* Work with experienced engineers and product owners to identify and build tools to automate many large\-scale data management / analysis tasks.
* We believe in end\-to\-end ownership; this role will involve taking and building systems that enable us to deliver ML models to production at a scale.
**What You’ll need to Succeed:**
* Bachelor’s degree in computer science /information systems/engineering/related field 6\+ years of experience in software engineering with a minimum of 4\+ years in ML
* Expert in SQL, Python3, and JVM based programming language – ie, Java or Scala
* Expert in software design/design patterns, functional programming and object\-oriented programming.
* Analytical problem\-solving capabilities \&amp; experience. A strong engineering driven mindset will be required to succeed in this role.
**It’s great if you have:**
* Good understanding of Hadoop ecosystems and Big Data architecture and techologies
* Experience working with Open\-source products
* Experience with Scala development
* Working in an agile environment using test driven methodologies
* Systems administration skills in Linux
**Benefits**
* Hybrid Working Model
* WFH Set Up Allowance
* 30 Days of Remote Working from anywhere globally every year
* Employee discount for accommodation globally
* Global team of 90\+ nationalities
* 40\+ offices and 25\+ countries
* Annual CSR / Volunteer Time off
* Benevity Subscription for employee donations
* Volunteering opportunities globally
* Free Headspace subscription
* Free Odilo \&amp; Udemy subscriptions
* Access to Employee Assistance Program (third party for personal and workplace support)
* Enhanced Parental Leave
* Life, TPD \&amp; Accident Insurance
 \#telaviv \#jerusalem \#IT \#ENG \#4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\#newdelhi \#Pune \#Hyderabad \#Bangalore \#Mumbai \#Bengaluru \#Chennai \#Kolkata \#Lucknow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\#tokyo \#osaka \#kualalumpur \#amsterdam \#oslo \#manila \#warsaw \#krakow \#bucharest \#moscow \#saintpetersburg \#capetown \#johannesburg \#seoul \#barcelona \#madrid \#stockholm \#zurich \#taipei \#bangkok \#Phuket \#istanbul \#london \#manchester \#edinburgh \#kiev \#hcmc \#hanoi \#wroclaw \#poznan \#katowice \#rio \#salvador \#IT \#4 \#5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46">
      <c r="A46" t="inlineStr">
        <is>
          <t>li-4361735052</t>
        </is>
      </c>
      <c r="B46" t="inlineStr">
        <is>
          <t>Senior Data Scientist / Machine Learning Engineer</t>
        </is>
      </c>
      <c r="C46" t="inlineStr">
        <is>
          <t>ChatGPT Jobs</t>
        </is>
      </c>
      <c r="D46" t="inlineStr">
        <is>
          <t>linkedin</t>
        </is>
      </c>
      <c r="E46" t="inlineStr"/>
      <c r="F46" t="inlineStr"/>
      <c r="G46" t="inlineStr">
        <is>
          <t>New York, NY</t>
        </is>
      </c>
      <c r="H46" t="inlineStr"/>
      <c r="I46" t="inlineStr">
        <is>
          <t>**Job Description**
 Senior Data Scientist
**Location:** 
 Manhattan, NY
* On\-site, Remote
**Pay:** 
 $50 \- $58/hr
**Type:** 
 Contractor
**Posted:** 
 15 hours ago
**Job Description**
**Job Title:** 
 Senior Data Scientist / Machine Learning Engineer
**Job Location:** 
 Hybrid; 3 days onsite in New York, NY, 2 days remote
**Job Type:** 
 Contract, 12 months\+
**Pay Rate Range:** 
 $50\-$58/hr W2 (depending on experience)
**Interview Mode:** 
 First Round remote, 2nd onsite
**Job Summary:** 
 Our Fortune 500 client is seeking a highly skilled Senior Data Scientist / Machine Learning Engineer to design, build, and maintain advanced analytics and machine learning solutions that drive diagnostic and predictive insights. This role blends hands\-on data science, ML engineering, and MLOps, with a strong focus on developing production\-ready models, ensuring data quality, and translating complex data into actionable insights for both technical and non\-technical stakeholders. The ideal candidate brings deep experience in Python, SQL, PySpark, Azure Databricks, machine learning, and modern AI techniques, along with the ability to collaborate cross\-functionally with Data Engineering, Analytics, and Architecture teams.
 Key Responsibilities
* Advanced Analytics \&amp; Machine Learning: Design, develop, and optimize machine learning models including forecasting, classification, and clustering solutions. Apply data mining and statistical techniques to uncover trends, patterns, and insights from large, complex datasets. Perform feature engineering, model training, validation, and performance tuning. Explore and deploy modern AI, GenAI, and NLP approaches to enhance automation and analytical capabilities. Support A/B testing and experimental design to evaluate model and business performance.
* Data Preparation \&amp; Quality: Prepare and analyze structured and unstructured data for advanced analytics and modeling. Develop scripts and tools for data cleansing, validation, enrichment, and transformation. Partner with Data Engineering to ensure efficient, reliable data pipelines and scalable data access. Identify data quality issues, perform root cause analysis, and recommend remediation strategies. Troubleshoot and resolve dashboard and reporting data issues to ensure accuracy and consistency.
* MLOps \&amp; Engineering: Design, deploy, and maintain production\-grade machine learning models. Apply MLOps best practices for model versioning, monitoring, retraining, and performance tracking. Write high\-quality, maintainable code following software engineering best practices. Leverage cloud\-based infrastructure to support scalable analytics and ML workloads.
* Analytics, Insights \&amp; Reporting: Conduct deep\-dive analyses to support diagnostic, predictive, and prescriptive use cases. Communicate complex analytical findings in clear, concise terms to both technical and business audiences. Support the development of dashboards, metrics, and analytical solutions using tools such as Power BI and DAX.
* Cross\-Functional Collaboration: Work closely with architects, engineers, analysts, and business stakeholders to define analytical requirements. Contribute to conceptual data model design, workflow optimization, and analytics standards. Promote best practices in data science, machine learning, analytics, and data governance.
**Required Qualifications**
* Bachelor's or Master's degree in Computer Science, Data Science, Machine Learning, Statistics, Mathematics, or a related field.
* 7\+ years of experience in data science and machine learning engineering.
* Strong experience with machine learning algorithms, predictive modeling, and data mining.
* Proficiency in Python (required) for data science and ML workloads.
* Strong SQL (required) skills with relational databases.
* Proficiency in PySpark (required) for large\-scale data processing.
* Experience with Azure Databricks, Oracle, and modern data science libraries such as scikit\-learn, pandas, and NumPy.
* Experience with GenAI and large language models.
* Hands\-on experience with MLOps and deploying ML models into production.
* Experience with Natural Language Processing (NLP).
* Minimum 3 years of experience with data visualization tools such as Power BI, including DAX queries and best practices.
* Strong ability to interpret complex datasets and produce actionable insights.
* Excellent communication, analytical, and problem\-solving skills.
**Preferred Qualifications**
* Knowledge of statistical methods and experimental design.
* Experience with A/B testing frameworks.
* Familiarity with cloud\-native analytics and ML infrastructure.</t>
        </is>
      </c>
    </row>
    <row r="47">
      <c r="A47" t="inlineStr">
        <is>
          <t>li-4370044122</t>
        </is>
      </c>
      <c r="B47" t="inlineStr">
        <is>
          <t>Machine Learning Engineer</t>
        </is>
      </c>
      <c r="C47" t="inlineStr">
        <is>
          <t>ImpetusIT</t>
        </is>
      </c>
      <c r="D47" t="inlineStr">
        <is>
          <t>linkedin</t>
        </is>
      </c>
      <c r="E47" t="inlineStr"/>
      <c r="F47" t="inlineStr"/>
      <c r="G47" t="inlineStr">
        <is>
          <t>Bellevue, WA</t>
        </is>
      </c>
      <c r="H47" t="inlineStr"/>
      <c r="I47" t="inlineStr">
        <is>
          <t>One of our staffing partners is helping a Ecommerce client hire a
 **Machine learning engineer** 
 Salary offered $60\-70k per year
 Direct applicants only no c2c or company candidates due to low margins. The staffing company or client will reach directly to the applicants.
**Responsibilities:** 
* Design, train, and fine\-tune Large Language Models (LLMs) for various applications
* Develop advanced NLP solutions for text generation, summarization, and semantic search
* Optimize transformer\-based architectures for performance and scalability
* Leverage prompt engineering and model customization to enhance AI outputs
* Deploy, monitor, and optimize AI models in cloud environments
* Strong background in
 **Machine Learning, Deep Learning, and NLP**
* Hands\-on experience with LLMs (GPT, Llama, PaLM, or similar)
* Proficiency in
 **Python, TensorFlow, PyTorch, and Hugging Face** 
 libraries
* Knowledge of transformer architectures, attention mechanisms, and reinforcement learning
* Experience with AI model deployment and optimization techniques</t>
        </is>
      </c>
    </row>
    <row r="48">
      <c r="A48" t="inlineStr">
        <is>
          <t>li-4370189195</t>
        </is>
      </c>
      <c r="B48" t="inlineStr">
        <is>
          <t>Applied AI Engineer</t>
        </is>
      </c>
      <c r="C48" t="inlineStr">
        <is>
          <t>Kredete Labs</t>
        </is>
      </c>
      <c r="D48" t="inlineStr">
        <is>
          <t>linkedin</t>
        </is>
      </c>
      <c r="E48" t="inlineStr"/>
      <c r="F48" t="inlineStr"/>
      <c r="G48" t="inlineStr">
        <is>
          <t>New York, NY</t>
        </is>
      </c>
      <c r="H48" t="inlineStr"/>
      <c r="I48" t="inlineStr">
        <is>
          <t>**Kredete Labs \| New York, NY \| On\-site** 
 We're building the complete operating system for businesses; One platform. Banking, cards, payments, crypto, AI agents, CRM, HRIS, collaboration—everything.
 You'll build all of this.
**What you'll do:** 
* Build autonomous AI agents for every department (CFO, CRO, CSM, CTO, SDR, Recruiter)
* Implement AI features across all products (fraud detection, churn prediction, expense categorization, lead scoring)
* Design prompts and fine\-tune models for financial and business workflows
* Build company knowledge graph (vector DB, RAG systems)
* Evaluate and optimize AI quality (accuracy, latency, cost)
* Train custom models when LLMs aren't enough
**Who you are:** 
* 3\+ years production ML/AI experience (not just research)
* Deep expertise with LLMs (Claude, GPT\-4, fine\-tuning, prompt engineering)
* Shipped AI products that users love
* Use LangChain, vector databases (Pinecone/Weaviate), evaluation frameworks
* Comfortable building fast with Cursor \+ Claude code
* Excited to make every feature intelligent</t>
        </is>
      </c>
    </row>
    <row r="49">
      <c r="A49" t="inlineStr">
        <is>
          <t>li-4361706308</t>
        </is>
      </c>
      <c r="B49" t="inlineStr">
        <is>
          <t>AI Engineer</t>
        </is>
      </c>
      <c r="C49" t="inlineStr">
        <is>
          <t>scalr</t>
        </is>
      </c>
      <c r="D49" t="inlineStr">
        <is>
          <t>linkedin</t>
        </is>
      </c>
      <c r="E49" t="inlineStr"/>
      <c r="F49" t="inlineStr"/>
      <c r="G49" t="inlineStr"/>
      <c r="H49" t="inlineStr"/>
      <c r="I49" t="inlineStr">
        <is>
          <t>**AI Engineer / Research Engineer** 
 SF \- $180k\-$220k \+ strong early equity
 My client builds and trains custom reasoning models for Fortune 100 customers, focusing on post\-training research and real\-world deployment of LLMs and VLMs. The team includes alumni from Google Research (Gemini, AlphaFold), DeepMind, and top Y Combinator engineering teams, and actively contributes to applied AI research.
**Role Overview** 
* Train and deploy large\-scale LLMs and VLMs in production
* Own work end\-to\-end from experimentation through deployment
* Work directly with customers on custom model training and delivery
**Responsibilities** 
* Train and fine\-tune foundation models for enterprise use cases
* Build and maintain distributed training pipelines and data infrastructure
* Contribute to applied research in reasoning and post\-training techniques
* Ship production\-quality code used by customers
**Required Qualifications** 
* Hands\-on LLM and or VLM training experience
* Experience with distributed training and training infrastructure
* Strong Python with PyTorch, or JAX or TensorFlow
* Ability to ship reliable production code
* 2–5 years industry experience, senior profiles welcome
* Exceptional recent graduates considered with extensive hands\-on training work
**Preferred Qualifications** 
* Model optimization experience
* Founder or early\-stage startup background
* Experience at a leading AI research lab
**Skills and Attributes** 
* Strong communication in ambiguous, customer\-facing environments
* High ownership and autonomy
* Output\-driven and comfortable moving fast
* Regular use of AI tooling in daily workflows</t>
        </is>
      </c>
    </row>
    <row r="50">
      <c r="A50" t="inlineStr">
        <is>
          <t>li-4370039571</t>
        </is>
      </c>
      <c r="B50" t="inlineStr">
        <is>
          <t>Founding Machine Learning Engineer (Startup)</t>
        </is>
      </c>
      <c r="C50" t="inlineStr">
        <is>
          <t>MAiZU, Inc</t>
        </is>
      </c>
      <c r="D50" t="inlineStr">
        <is>
          <t>linkedin</t>
        </is>
      </c>
      <c r="E50" t="inlineStr"/>
      <c r="F50" t="inlineStr"/>
      <c r="G50" t="inlineStr">
        <is>
          <t>Austin, Texas Metropolitan Area</t>
        </is>
      </c>
      <c r="H50" t="inlineStr"/>
      <c r="I50" t="inlineStr">
        <is>
          <t>This position is available only to Austin, TX and San Antonio, TX residents.
 MAiZU is an Austin\-based wearable healthtech startup building a next\-generation wearable that applies
 **advanced biosensing and AI to real\-world physiological data** 
 .
 We’re looking for a
 **highly experienced Machine Learning / AI Engineer** 
 to join our founding team and deliver an
 **investor\-ready proof of concept** 
 that demonstrates the capabilities of our software.
 This is a
 **high\-ownership role** 
 for someone who thrives in early\-stage startups and understands one thing deeply:
 **speed and execution matter.** 
**What You’ll Do** 
 For the proof of concept, you will build a lean but real ML/AI system that can:
* ingest structured physiological signal data (simplified for POC)
* analyze patterns using machine learning (time\-series \+ signal processing)
* connect to basic biosensor inputs
* output interpretable readings demonstrating the software pipeline is functional and scalable
 The goal: show that the system works, is scalable, and sets the stage for hardware development, clinical validation, and full product rollout.
**What We’re Looking For** 
 You are:
* highly experienced in machine learning and applied AI
* comfortable building
 **end\-to\-end prototypes quickly**
* capable of designing scalable ML architectures
* able to work independently in a fast\-moving startup environment
* strong in:
* Python
* ML pipelines
* time\-series / signal processing
* model training and evaluation
* basic API or demo interface development
* **available to start within 7 days of hire**
**Bonus points:** 
* experience with biosensors, wearables, or physiological signal data
* experience in digital health, diagnostics, or regulated industries
**Timeline** 
 We are looking for someone who can
 **deliver the proof of concept in 4–5 weeks** 
 , in time to begin our pre\-seed raise.
**Compensation** 
 Equity\-only role during the POC:
* **0\.25% equity** 
 , conditional on a successful pre\-seed raise with your proof of concept
* opportunity to continue long\-term with the company under:
* **up to 5% total equity**
* **4\-year vesting schedule with a 1\-year cliff**
**Additional perks for this stage:** 
* coworking and mentorship access at
 **Capital Factory**
* coworking and mentorship access at
 **Gevity Labs**
**Post\-funding:** 
* salary of
 **$40,000/year** 
 to continue as a software engineer
**Location** 
**Austin, TX residents only** 
 — local collaboration is required.</t>
        </is>
      </c>
    </row>
    <row r="51">
      <c r="A51" t="inlineStr">
        <is>
          <t>li-4341555512</t>
        </is>
      </c>
      <c r="B51" t="inlineStr">
        <is>
          <t>Machine Learning Engineer</t>
        </is>
      </c>
      <c r="C51" t="inlineStr">
        <is>
          <t>Advanced Space</t>
        </is>
      </c>
      <c r="D51" t="inlineStr">
        <is>
          <t>linkedin</t>
        </is>
      </c>
      <c r="E51" t="inlineStr"/>
      <c r="F51" t="inlineStr"/>
      <c r="G51" t="inlineStr">
        <is>
          <t>Westminster, CO</t>
        </is>
      </c>
      <c r="H51" t="inlineStr"/>
      <c r="I51" t="inlineStr">
        <is>
          <t>**About Us**
 The team at Advanced Space is leading humanity back to the Moon and pioneering innovative solutions in the space industry. Based in Westminster Colorado, this incredible team is looking for a Machine Learning Engineer who’s eager to push the state of the art in the aerospace industry.
 ML Engineers at Advanced Space work closely with engineers in other disciplines (i.e., aerospace, systems). This position is responsible for designing, building, and testing machine learning models and systems that can solve real\-world problems in domains such as spacecraft autonomy, anomaly detection and classification, natural language processing, uncertainty quantification, and multimodal signal detection \&amp; characterization. This position will be headquartered at our Westminster, Colorado offices and is primarily an on\-premises position.
 Advanced Space exists to support the sustainable exploration, development, and settlement of space and operates with four core values: We are customer obsessed and mission focused; when we see it, we solve it; we are one team, motivated by our vision; and we bring technical excellence and inexhaustible curiosity.
**Essential Duties And Responsibilities**
* Apply ML first principles and engineering intuition to projects such as fast \&amp; accurate models of physical systems, spacecraft navigation, spacecraft autonomy, signal extraction from noisy data, natural language processing, internal company tools, multi\-agent reinforcement learning, and approximate optimal maneuver design.
* Lead the development of advanced ML models and AI\-driven solutions.
* Research and implement emerging ML technologies and techniques.
* Improve model interpretability, scalability, and efficiency.
* Contribute to strategic decision\-making and technical roadmaps.
* Work with interdisciplinary, cross\-functional teams to apply machine learning / artificial intelligence algorithms to a variety of problems in the space industry.
* Find, digest and apply knowledge from research publications to assigned tasks.
* Stay up\-to\-date on the latest research in the industry by reading technical papers and attending technical conferences.
* Participate in technical interviews.
**Skills, Certifications, Eligibility Requirements**
* B.S. in Computer Science, Machine Learning, Software Engineering, Aerospace Engineering, or another physical science or engineering discipline or equivalent work experience.
* 5\-8 years of relevant experience.
* Handle a broad range of tasks, from bug fixes to feature development.
* Software/algorithm component design.
* A basic understanding of aerospace engineering.
* Strong understanding of algorithms, data structures, and system design principles.
* Has started to specialize in certain areas and contribute to process details for those areas.
* Strong understanding of the basics of neural networks (i.e., feedforward, recurrence, convolution, attention).
* Able to understand and implement new methods.
* Familiarity with a variety of methods (i.e. reinforcement learning, supervised/unsupervised learning, principal components analysis, clustering, regression, classification).
* Understands system design and architecture. Able to apply methods from other domains to our problems. Makes creative use of internet and LLM resources.
* Confident in writing a neural network model from scratch
* Makes effective use of tools to track model training.
* Understands train/test/validation splits.
* Understands when to be suspicious of a model's unexpectedly good results.
* Proficient with PyTorch, TensorFlow, Jax, or equivalent.
**Preferred Skills**
* Proficient in an engineering field (aerospace or another).
* Confident in deploying a model to a server or edge device.
**Compensation And Benefits**
* Base Salary Range – $122,284 \- $144,284 based on role, employee experience, and location
* Signing bonus
* Quarterly Performance bonuses
* Company provided health insurance and 401K plan upon eligibility
* Unlimited vacation time and extensive flexibility
* Relocation Assistance
**Eligibility Requirements**
* US Person
* Security clearance not needed</t>
        </is>
      </c>
    </row>
    <row r="52">
      <c r="A52" t="inlineStr">
        <is>
          <t>li-4370053002</t>
        </is>
      </c>
      <c r="B52" t="inlineStr">
        <is>
          <t>Agentic / Applied AI Engineer</t>
        </is>
      </c>
      <c r="C52" t="inlineStr">
        <is>
          <t>Kamet Consulting Group</t>
        </is>
      </c>
      <c r="D52" t="inlineStr">
        <is>
          <t>linkedin</t>
        </is>
      </c>
      <c r="E52" t="inlineStr"/>
      <c r="F52" t="inlineStr"/>
      <c r="G52" t="inlineStr"/>
      <c r="H52" t="inlineStr"/>
      <c r="I52" t="inlineStr">
        <is>
          <t>About the Role
 We’re looking for an 
 **Agentic / Applied AI Engineer** 
  to help build the core intelligence layer of our platform — an agentic AI system that can 
 **reason through complex, real\-world workflows** 
 , make decisions with constraints, and produce outputs that are 
 **structured, reliable, and audit\-ready** 
 .
 This role is ideal for someone who has built AI systems beyond demos — including 
 **multi\-step LLM workflows** 
 , tool orchestration, retrieval systems, evaluation pipelines, and production\-grade reliability patterns.
 You will be part of a small team where your work directly shapes product capability, architecture choices, and customer outcomes.
**Location:** 
  Hyderabad (Hybrid preferred)
**Experience:** 
  5\+ years (with 2\+ years in applied ML / LLM systems strongly preferred)
 What You’ll Build
 You will design and implement agentic workflows such as:
* **Intake agents** 
  that collect, validate, and normalize messy business inputs into structured schemas
* **Planning agents** 
  that reason across constraints (timelines, dependencies, approvals, sequencing)
* **Tool\-using agents** 
  that call internal services, databases, and external APIs reliably
* **Retrieval \+ grounding systems** 
  that cite sources and reduce hallucinations
* **Supervisor / router patterns** 
  that pick the right tool/agent strategy per request
* **Evaluation harnesses** 
  that track accuracy, consistency, drift, and regressions over time
- 
 ResponsibilitiesAgentic Workflow Engineering
 * Design multi\-step agentic workflows using patterns like 
 **Plan → Execute → Validate → Retry**
* Implement tool calling systems with strong contracts (typed inputs/outputs)
* Build safety mechanisms: timeouts, retries, fallbacks, confidence checks, guardrails
 Retrieval \&amp; Grounding (RAG)
 * Implement retrieval pipelines (vector \+ hybrid search) with chunking, metadata, filters, and ranking
* Ensure outputs are 
 **traceable and explainable** 
 , with citations and provenance where needed
 Reliability \&amp; Evaluation
 * Build evaluation pipelines (offline \+ online) to measure:
* correctness, completeness, consistency, and failure modes
* grounding quality (is it supported by sources?)
* cost and latency tradeoffs
* Create regression tests for agent behavior as prompts/models/tools evolve
 Production Engineering
 * Work closely with product \+ full\-stack engineers to ship agentic features end\-to\-end
* Optimize for 
 **cost, latency, and scalability** 
  (caching, batching, model routing)
* Instrument agent traces, logs, and telemetry for debugging and iteration
 Required Qualifications
 * **5\+ years** 
  of software engineering experience (Python\-heavy preferred)
* Strong hands\-on experience building production systems with:
* **Python** 
  (FastAPI preferred), data pipelines, async workflows
* **LLM applications** 
  using OpenAI / Anthropic / Azure OpenAI / open\-source models
* structured outputs (JSON schema), validation, parsing, error recovery
* Solid understanding of:
* retrieval, ranking, embeddings, vector databases
* agent tool calling patterns \+ prompt orchestration
* reliability engineering for non\-deterministic systems
 Preferred Qualifications (Strong Plus)
 * Experience with 
 **LangGraph** 
 , 
 **LangChain** 
 , 
 **LlamaIndex** 
 , or custom orchestration frameworks
* Experience implementing:
* hybrid search (BM25 \+ vectors), rerankers
* vector DBs (Pinecone, Weaviate, FAISS, pgvector, Milvus)
* Exposure to enterprise workflows or regulated domains (healthcare, pharma, fintech)
* Comfort with “systems thinking”: state machines, DAG workflows, Temporal/Airflow\-style patterns
* Experience with eval tooling: 
 **Ragas** 
 , 
 **promptfoo** 
 , 
 **DeepEval** 
 , 
 **LangSmith** 
 , or custom test harnesses
 Tech Stack (Typical)
 * Python, FastAPI
* Postgres, Redis
* Vector DBs (pgvector / Pinecone / Weaviate)
* OpenAI / Azure OpenAI \+ model routing
* Docker, CI/CD (GitHub Actions), cloud deployment
* Observability (OpenTelemetry, structured logs, traces)
 What Success Looks Like (First 60–90 Days)
 * Build and ship at least 
 **one production\-grade agent workflow**
* Establish an evaluation harness \+ baseline test dataset
* Improve reliability metrics (fewer failures, better completion, better grounding)
* Help define the platform patterns used across all future agents
 What We Value
 * You care about 
 **real outputs** 
  more than “cool demos”
* You design for 
 **edge cases and failure modes**
* You communicate clearly and can explain tradeoffs
* You move fast, but you build systems that don’t collapse at scale
 Compensation \&amp; Role Structure
 * Competitive salary aligned to Hyderabad market \+ experience
* High ownership, strong growth, and direct product impact
* Flexible work setup (hybrid preferred)</t>
        </is>
      </c>
    </row>
    <row r="53">
      <c r="A53" t="inlineStr">
        <is>
          <t>li-4370057030</t>
        </is>
      </c>
      <c r="B53" t="inlineStr">
        <is>
          <t>Staff Machine Learning Engineer</t>
        </is>
      </c>
      <c r="C53" t="inlineStr">
        <is>
          <t>Lumicity</t>
        </is>
      </c>
      <c r="D53" t="inlineStr">
        <is>
          <t>linkedin</t>
        </is>
      </c>
      <c r="E53" t="inlineStr"/>
      <c r="F53" t="inlineStr"/>
      <c r="G53" t="inlineStr"/>
      <c r="H53" t="inlineStr"/>
      <c r="I53" t="inlineStr">
        <is>
          <t>Vehicles are becoming software\-defined, data\-rich platforms — generating massive real\-time telemetry across performance, diagnostics, safety, and environment. A fast\-growing automotive software company is building AI and agent\-based systems that help manufacturers turn this data into intelligent, real\-time insights and automated vehicle support. They are hiring a Senior / Staff AI Engineer to lead advanced applied AI initiatives in this space.
 Role
 Lead end\-to\-end AI development for production systems that combine
 **LLMs, RAG, time\-series, computer vision, and classical ML** 
 . This is a hands\-on senior role requiring both
 **breadth and depth across ML/AI** 
 , with impact on real\-world, large\-scale deployments.
 What You’ll Do
* Build and deploy AI models and services end to end
* Apply LLMs, RAG, retrieval, and agent\-style AI systems
* Work across multiple AI domains (LLM, CV, time\-series, ML)
* Fine\-tune large models for domain use cases
* Design vector search and retrieval pipelines
* Turn large, complex datasets into production AI solutions
* Partner with cross\-functional teams to deliver scalable systems
 Requirements
* 7\+ years in ML/AI engineering or applied AI
* Strong breadth \+ depth across ML/AI techniques
* Experience with LLMs and modern AI stacks
* Python or C\+\+ plus PyTorch / Scikit\-learn / data tooling
* Vector DB \&amp; retrieval stacks (FAISS, HNSW, Chroma, Elasticsearch)
* Data engineering tools (Spark, Databricks, Dataflow) \+ SQL
* Parallelization and production deployment experience
* Strong software engineering practices
 Strong Plus
* Automotive, mobility, embedded, or edge AI experience
* AI in safety\-critical or large\-scale production systems</t>
        </is>
      </c>
    </row>
    <row r="54">
      <c r="A54" t="inlineStr">
        <is>
          <t>li-4361715892</t>
        </is>
      </c>
      <c r="B54" t="inlineStr">
        <is>
          <t>Senior AI Engineer</t>
        </is>
      </c>
      <c r="C54" t="inlineStr">
        <is>
          <t>ChatGPT Jobs</t>
        </is>
      </c>
      <c r="D54" t="inlineStr">
        <is>
          <t>linkedin</t>
        </is>
      </c>
      <c r="E54" t="inlineStr"/>
      <c r="F54" t="inlineStr"/>
      <c r="G54" t="inlineStr"/>
      <c r="H54" t="inlineStr"/>
      <c r="I54" t="inlineStr">
        <is>
          <t>**Job Description**
 Senior AI Engineer
 Doctor Evidence
 Remote Nationwide,
* Remote
* Full\-Time
 Salary: DOE
 Title: Senior AI Engineer
 Reports to: VP, Software Engineering / Chief Architect
 Status: Employee, Exempt
 Location: Remote (must be located in the US)
 Hire Date: Immediate
**Company Summary**
 Dr.Evidence is the preeminent AI\-powered insights platform for life sciences, enabling teams to generate rapid and relevant insights grounded in published medical literature, clinical trial data, drug labels, regulatory documents and beyond, delivering value from drug discovery through commercialization. We push the boundaries of healthcare technology and allow for new possibilities in science, enabling more informed decision making and faster time\-to\-market for accelerated impact.
**Research \&amp; Development (r\&amp;d) Organization Summary**
 The Dr.Evidence R\&amp;D organization includes software engineers, QA/QC engineers, product management, scrum masters, and business analysts. R\&amp;D is responsible for all aspects of product development, from ideation to maintenance. Our software engineers are experienced, talented, precise, and move at a fast pace to ensure speed\-to\-market goals for our customers are met.
**Responsibilities**
* Research \&amp; Prototyping
+ Rapidly prototype state\-of\-the\-art ML/NLP/LLM architectures using frameworks like Python, PyTorch, Hugging Face, and LangChain/LangGraph.
+ Assess open\-source and commercial models (e.g., Llama 3, Mistral, GPT\-series, Qwen, and other modern LLM architectures) for accuracy, latency, cost, hallucination risk, and compliance.
+ Run structured model evaluations (accuracy, relevance, precision/recall, hallucination checks).
* Model Development \&amp; Training
+ Build scalable training pipelines for supervised and self\-supervised learning paradigms.
+ Implement efficient techniques such as LoRA/QLoRA, instruction tuning, and quantization when needed.
+ Develop agentic workflows (tool\-calling, iterative reasoning, ranking, and multi\-step pipelines) for real\-world use cases.
+ Improve and maintain existing ML pipelines.
+ Optimize inference performance with batching, quantization, and efficient serving frameworks.
* Retrieval\-Augmented Generation (RAG) \&amp; Search
+ Design and optimize RAG systems that integrate with internal data sources.
+ Build hybrid retrieval using Elasticsearch/BM25 \+ vector search (PGVector or other vector DBs).
+ Tune chunking, embeddings, reranking, and hallucination\-prevention strategies for long documents.
* Data Engineering for AI
+ Prepare and refine text datasets for training, evaluation, and fine\-tuning.
+ Generate synthetic training data using LLMs to improve extraction accuracy, classification, and reasoning.
+ Build small, targeted datasets for fine\-tuning domain\-specific models.
* LLM Specialization
+ Fine\-tune and align open\-source LLMs for domain\-specific tasks (RAG, agents, tool\-calling, reasoning).
+ Implement safety layers: prompt guards, output filters, adversarial robustness testing.
* Productionization \&amp; MLOps
+ Containerize models with Docker; orchestrate with Docker Swarm.
+ Build monitoring for model quality, latency, hallucinations, and regressions.
+ Collaborate with DevOps and Architecture teams on cost, performance, and scalability decisions.
+ Implement observability around prompts, retrieval, and model outputs.
* Cross\-Functional Impact
+ Collaborate with Product to define AI roadmaps and success metrics.
+ Partner with Product and Engineering to design new AI capabilities across modules.
**Qualifications**
* Education: MS/PhD in CS, ML, Data Science, or related field; or BS \+ 5\+ years of intensive AI industry experience.
* Core Technical Skills:
+ Languages: Python (expert); familiarity with modern web stacks (e.g., PERN) is a plus.
+ Experience with PyTorch, Hugging Face Transformers, and common LLM tooling (PEFT, LoRA, QLoRA).
+ Strong understanding of NLP: tokenization, embeddings, chunking, NER, classification, summarization.
+ Experience with RAG pipelines, vector databases, retrieval/ranking strategies.
+ Experience designing and running model evaluation pipelines.
+ Comfortable with Docker\-based deployments and cloud environments.
+ Knowledge of Elasticsearch.
* Proven Track Record:
+ Shipped at least 3 production LLM\-powered features (e.g., chatbots, summarizers, agents).
+ Experience working with modern large\-scale models.
+ Experience designing clean, maintainable architectures for LLM features.
+ Strong documentation and communication skills.</t>
        </is>
      </c>
    </row>
    <row r="55">
      <c r="A55" t="inlineStr">
        <is>
          <t>li-4370033951</t>
        </is>
      </c>
      <c r="B55" t="inlineStr">
        <is>
          <t>AI Engineer</t>
        </is>
      </c>
      <c r="C55" t="inlineStr">
        <is>
          <t>Haystack</t>
        </is>
      </c>
      <c r="D55" t="inlineStr">
        <is>
          <t>linkedin</t>
        </is>
      </c>
      <c r="E55" t="inlineStr"/>
      <c r="F55" t="inlineStr"/>
      <c r="G55" t="inlineStr"/>
      <c r="H55" t="inlineStr"/>
      <c r="I55" t="inlineStr">
        <is>
          <t>**AI/ML Operations Manager \| Chicago, IL \| Hybrid \| $119,300 \- $160,000** 
 We're working with Ulta Beauty on this exciting opportunity."]
 Ulta Beauty is seeking a highly skilled and experienced AI/ML Operations Manager to lead the operationalization and governance of our rapidly evolving AI/ML landscape. This role is critical in ensuring the robust, ethical, and efficient deployment of AI/ML solutions across the enterprise. The successful candidate will be a hands\-on leader, adept at building and optimizing operational frameworks, and deeply knowledgeable in the latest AI/ML platforms and methodologies.
**The Role** 
 • Establish and refine AI/ML operational governance frameworks aligned with Ulta Beauty’s standards, covering the entire AI/ML lifecycle.
 • Oversee key AI/ML platforms like Databricks and Google Cloud Platform (GCP) for optimal performance, scalability, and cost\-efficiency.
 • Develop and manage robust processes for AI/ML model deployment, monitoring, maintenance, and retraining, implementing MLOps best practices.
 • Cultivate strong relationships with AI/ML technology vendors, ensuring effective partnership and strategic alignment.
 • Identify, assess, and mitigate risks associated with AI/ML systems, ensuring compliance with policies and regulations.
**What You'll Need** 
 • Bachelor’s degree in Computer Science, Data Science, Engineering, or a related quantitative field.
 • 5\+ years in AI/ML operations or MLOps, with at least 2 years in a leadership/managerial capacity.
 • Proven experience establishing and managing operational governance frameworks for AI/ML systems.
 • Strong hands\-on experience with Google Cloud Platform (GCP) and Databricks platform.
 • Familiarity with LLMs, SLMs, MCP, and Agentic AI concepts and practical applications.
**What's On Offer** 
 • Opportunity to shape the future of AI/ML at a leading beauty retailer.
 • Collaborate with whip\-smart colleagues in a dynamic, fast\-paced environment.
 • Competitive pay range: $119,300\.00 \- $160,000\.00 / Year with bonus opportunities.
 • Comprehensive benefits package including health, dental, vision, life, and disability.
**Apply via Haystack today!**</t>
        </is>
      </c>
    </row>
    <row r="56">
      <c r="A56" t="inlineStr">
        <is>
          <t>li-4370036610</t>
        </is>
      </c>
      <c r="B56" t="inlineStr">
        <is>
          <t>Founding AI Engineer</t>
        </is>
      </c>
      <c r="C56" t="inlineStr">
        <is>
          <t>Arbor</t>
        </is>
      </c>
      <c r="D56" t="inlineStr">
        <is>
          <t>linkedin</t>
        </is>
      </c>
      <c r="E56" t="inlineStr"/>
      <c r="F56" t="inlineStr"/>
      <c r="G56" t="inlineStr"/>
      <c r="H56" t="inlineStr"/>
      <c r="I56" t="inlineStr">
        <is>
          <t>About Arbor
 We’re building the AI\-powered operating system for building materials—an industry measured in trillions that still runs on phone calls, PDFs, and tribal knowledge. Every order today touches a tangle of vendors, warehouses, distributors, and retailers. Humans navigate it manually: looking up inventory, calling suppliers, negotiating lead times, comparing prices, and emailing quotes. It’s slow, expensive, and doesn’t scale.
 Arbor is an end\-to\-end procurement and order management platform for contractor\-grade supplies, discontinued products, and hard\-to\-find SKUs. We serve contractors, developers, and government buyers who are done wasting hours sourcing materials and getting punished on price. Now we’re building an agentic system that handles the entire order fulfillment workflow—from the moment an order comes in to the moment a quote goes out—faster, smarter, and more reliably than any human team.
 The Role
 This is our first dedicated AI hire. You won’t be “supporting an AI initiative.” You’ll architect and build the core agentic system that replaces manual order fulfillment with intelligent, autonomous workflows.
 You’ll design and build the full agentic stack: an orchestrator that plans and adapts in real time, specialist sub\-agents that execute tasks in parallel, a knowledge system that encodes domain expertise, a context engine that keeps agents focused and cost\-efficient, and a memory layer that makes the system smarter with every order it processes. The goal is a system that fulfills orders 100x faster and 100x more intelligently than what humans do today.
 The Mission
 Build production AI systems that make the building materials supply chain radically more intelligent—faster sourcing, better pricing, higher win rates, fewer mistakes, and a buying experience contractors actually trust.
 What You’ll Build
 You’ll own the end\-to\-end design, deployment, and iteration of the agentic system that powers order fulfillment. These aren’t separate projects; they’re layers that work together to make the process autonomous.
 1\) Orchestrator Agent
 Build the central intelligence that manages every order from intake to quote. The orchestrator analyzes incoming orders, builds a plan, executes or delegates work, observes results, and re\-plans on the fly when things change—a vendor is closed, inventory is out of stock, a better source appears. It decides at each step whether to act directly or spin up specialist sub\-agents for parallel work. This isn’t a hardcoded pipeline; it’s a reasoning loop that adapts mid\-execution like an experienced human operator would.
 2\) Multi\-Agent Architecture
 Design the sub\-agent system that lets the platform do many things at once. When an order needs sourcing from multiple channels, the orchestrator fans out to parallel sub\-agents—each with its own focused context and specialized tools. One checks warehouse inventory, another searches distributor networks, another calls a vendor—all simultaneously. Sub\-agents return structured results back to the orchestrator, which merges them and decides next steps. The result: workflows that took 45 minutes sequentially now complete in minutes.
 3\) Domain Knowledge System
 Encode what experienced operators know into a structured, navigable knowledge base. Different order types—special orders, B2B distributor sourcing, big\-box retail, warehouse stock—each have their own flows, tricks, and pitfalls. The agent should navigate this knowledge progressively, loading what it needs as challenges arise rather than carrying everything upfront. When domain experts learn something new, they should be able to update the knowledge base without touching code.
 4\) Context Engineering
 Keep agents fast, focused, and cost\-efficient across long, complex workflows. As orders involve dozens of tool calls and multiple sub\-agents, naive context management breaks down—the model drowns in irrelevant data and costs spiral. You’ll build the systems that keep context lean and targeted: compressing large results into summaries, curating what each sub\-agent sees, retaining errors so the model learns from mistakes, and optimizing for cache efficiency to dramatically reduce LLM costs at scale.
 5\) Memory \+ Learning System
 Make the system smarter with every order it processes. Today, each session starts from zero. You’ll build the memory layer that captures what the system learns—which vendors are reliable, what prices are competitive, which supply chain paths work for which products, how stores prefer to communicate—and feeds that intelligence back into future workflows. After handling dozens of similar orders, the agent should know the vendor landscape cold and move straight to the best source without wasting time on discovery.
 6\) Real\-Time Visibility
 Give operators and customers full transparency into what the system is doing. When the agent is sourcing from three channels in parallel, users should see live progress—which sub\-agents are running, what they’ve found, and what’s still in progress. Build a unified event system that drives the UI in real time, eliminating polling and giving everyone a single source of truth for every order.
 7\) Unified Tool System
 Unify all the platform’s capabilities—inventory checks, vendor search, phone calls, web research, email, quoting—under a consistent interface. Every tool should return structured, compact results that keep agent context lean. Organize tools by domain so the agent can load relevant capabilities as needed rather than carrying every tool definition from the start.
**This is not research. This is not a demo. These systems will process real orders for real customers—fast.** 
 What “Great” Looks Like
 Within months, your work should visibly change the business:
* An order that took a human 45 minutes to source is fulfilled autonomously in minutes
* The agent sources from multiple channels in parallel instead of sequentially, dramatically cutting turnaround time
* After handling dozens of similar orders, the system knows the vendor landscape well enough to go straight to the best source
* Pricing quotes improve margin because the system has context on what’s competitive across hundreds of data points
* New order types are handled by updating the knowledge base—no code changes required
* LLM costs drop significantly through smart context management and caching strategies
 Who This Is For
 We’re looking for an AI engineer who has built production agentic systems end\-to\-end—not just prompt chains or RAG pipelines, but real multi\-agent architectures with orchestration, task decomposition, context management, and tool integration. Someone who understands the difference between a pipeline and an agent, and has felt the pain of making agents reliable in production.
 This role fits you if you:
* Have shipped LLM\-based agentic systems to production (not “a demo,” not “a notebook”)
* Understand multi\-agent orchestration: when to delegate vs. execute directly, how to manage sub\-agent context, how to handle coordination and error recovery
* Have thought deeply about context engineering—how to keep agents focused and cost\-efficient across long, complex workflows
* Can handle being the only AI specialist in the room while partnering tightly with product, engineering, and operators
* Like ambiguity because you’re good at turning ambiguity into shipped software
* Care about outcomes: orders fulfilled faster, margins improved, costs reduced, customers delighted
* Are missionary\-oriented—you want to build something that transforms an old, traditional industry and makes a massive impact
 What We’re Looking For (Technical)
* Strong Python/TypeScript \+ ability to build production services (APIs, event\-driven architectures, observability)
* Deep LLM application development: agents, tool/function calling, multi\-agent orchestration, routing, evals
* Production context engineering: token management, caching strategies, progressive context loading
* Experience designing agentic architectures: orchestrator patterns, task decomposition, parallel execution, error recovery
* Comfort with the hard tradeoffs: latency, reliability, unit economics, security, monitoring
 Bonus Points
* Voice AI / real\-time phone agents
* Multi\-modal workflows (images / spec sheets / PDFs)
* Supply chain, procurement, or marketplace systems
* Event\-driven architectures or real\-time systems
* Building structured memory or knowledge systems for AI agents
 What We Don’t Care About
 Your degree. Whether you’ve worked at a “name brand” company. Years of experience as a proxy for ability. We care about what you’ve built, how you think about agentic systems, and whether you can ship.
 Why Arbor
**A real wedge.** 
 We’re not “a construction app.” We move physical inventory and sit directly in the decision path: what to buy, when, from whom, and at what price.
**The perfect problem for agents.** 
 Order fulfillment in building materials is a complex, multi\-step, multi\-channel workflow with real\-world messiness—vendor quirks, regional pricing, seasonal patterns, phone trees, and negotiation. If you can build agents that handle this, you can build agents that handle anything.
**A compounding data advantage.** 
 Every order the system processes makes the next one faster and cheaper. The intelligence compounds into a moat that’s impossible to replicate without running the workflows.
**Founding\-level ownership.** 
 You’ll define the AI roadmap, architecture, and quality bar. If we’re right, you’ll also help build the team.
**No cosplay.** 
 No committees, no AI theater, no slide decks pretending to be progress. We ship.
**A missionary’s opportunity.** 
 If you want to build something that has a huge impact and makes a real difference in an old, traditional industry—this is it.
 Compensation
 Competitive salary \+ meaningful equity. If you want the highest upside of your career, you want ownership this early.</t>
        </is>
      </c>
    </row>
    <row r="57">
      <c r="A57" t="inlineStr">
        <is>
          <t>li-4361801195</t>
        </is>
      </c>
      <c r="B57" t="inlineStr">
        <is>
          <t>Senior AI Engineer</t>
        </is>
      </c>
      <c r="C57" t="inlineStr">
        <is>
          <t>ChatGPT Jobs</t>
        </is>
      </c>
      <c r="D57" t="inlineStr">
        <is>
          <t>linkedin</t>
        </is>
      </c>
      <c r="E57" t="inlineStr"/>
      <c r="F57" t="inlineStr"/>
      <c r="G57" t="inlineStr"/>
      <c r="H57" t="inlineStr"/>
      <c r="I57" t="inlineStr">
        <is>
          <t>**Job Description**
 Senior AI Engineer
* Company: Further
* Location: Cleveland, OH (On\-site, Remote)
* Salary: $101\.30K \- $139\.20K/yr (Estimated pay)
* Type: Full\-time
* Posted: 8 hours ago
**Job Description:**
 Further is seeking a Senior AI Engineer to lead the development of our cloud\-based (Google Cloud), commercial AI products. You will bridge the gap between experimental data science prototypes and production\-grade software. You will architect the robust systems and LLMOps workflows necessary to transform AI models into reliable, enterprise\-ready applications. By designing stable backend architectures and seamless integration layers, you will ensure our AI solutions are not just functional, but ethical, efficient, and high\-value products that meet the rigorous demands of our commercial clients.
**Experience Required:**
* 6\+ years of software engineering experience with at least 3 years dedicated to AI/ML application development.
* Expert proficiency in Python AI application development and modern API architecture (REST, GraphQL, gRPC) using enterprise standards like static type checking and data validation.
* Deep experience building production applications with LLM frameworks such as LangChain, LangGraph or LlamaIndex.
* Hands\-on expertise with vector databases (Pinecone, Weaviate, PostgreSQL) and search algorithms.
* Strong understanding of LLMOps principles, including model registry, versioning, and serving infrastructure specifically in Google Cloud.
* Experience in Typescript development for prototyping and integrations.
* Proficiency with git workflows and understanding of standard application development processes.
**Preferred Qualifications:**
* Knowledge of advanced prompt engineering and fine\-tuning techniques (LoRA, PEFT).
* Experience optimizing inference costs and latency for large\-scale deployments.
* Previous experience in a client\-facing consulting role, managing diverse stakeholders and navigating complex organizational structures.
**Responsibilities:**
* Define the end\-to\-end architecture for AI products on Google Cloud Platform (GCP), ensuring high availability, security, and cost\-effectiveness.
* Architect and develop high\-performance backend services and APIs using Python (FastAPI) to serve large language models at scale.
* Design advanced Retrieval\-Augmented Generation (RAG) systems, selecting and managing vector databases and optimizing embedding strategies for accuracy and speed.
* Build robust integration layers that connect AI agents securely to external enterprise systems, CRMs, and legacy databases.
* Conduct code reviews, provide technical guidance, and foster a culture of continuous learning and innovation within the engineering team.
* Collaborate with infrastructure teams to define deployment strategies, ensuring solutions scale dynamically under load.
* Lead the implementation of rigorous evaluation frameworks to monitor model performance, drift, and cost in real\-time.
**First Year Goals:**
* Develop reusable internal libraries and architectural patterns and standards to accelerate the delivery of AI solutions across multiple client engagements.
* Mentor engineers on best practices for building deterministic software around probabilistic AI models.
**Benefits:**
 Total rewards program includes net\-zero cost medical option, company contributions to your HSA, fertility support, fully\-paid parental leave, a monthly stipend for your lifestyle spending account, and much more.</t>
        </is>
      </c>
    </row>
    <row r="58">
      <c r="A58" t="inlineStr">
        <is>
          <t>li-4370040289</t>
        </is>
      </c>
      <c r="B58" t="inlineStr">
        <is>
          <t>AI Engineer</t>
        </is>
      </c>
      <c r="C58" t="inlineStr">
        <is>
          <t>Piper Companies</t>
        </is>
      </c>
      <c r="D58" t="inlineStr">
        <is>
          <t>linkedin</t>
        </is>
      </c>
      <c r="E58" t="inlineStr"/>
      <c r="F58" t="inlineStr"/>
      <c r="G58" t="inlineStr"/>
      <c r="H58" t="inlineStr"/>
      <c r="I58" t="inlineStr">
        <is>
          <t>Piper Companies is seeking an AI Engineer to join a global medical technology company. The AI Engineer will implement and operate key functions on an AI platform to support software development.
 **The AI Engineer will sit remote.**
**Responsibilities of the AI Engineer** 
**include:**
* Building production ready agentic AI systems.
* Designing and implementing CI/CD pipelines for AI model deployment.
* Deploying and managing AI workloads on Azure using cognitive services.
* Accelerating software development while remaining compliant.
**Qualifications for the AI Engineer** 
**include:**
* 5\+ years of professional experience in engineering with deployment of Large Language Models (LLM)
* Strong proficiency API and integration experience with REST/GraphQL development
* Extensive experience in database experience with both SQL and NoSQL
* Highly experienced in regulated industries such as healthcare.
* Remote.
**Compensation for the AI Engineer** 
**includes:**
* $150,000 – $180,000 annually with a
* Comprehensive benefit: Medical, Dental, Vison, 401k, PTO, holidays, sick leave as required by law.
 This job opens for applications on 2/6/2026\. Applications for this job will be accepted for at least 30 days from the posting date.
 Keywords: Software, AI, Engineer, AI Engineer, LLMs, Digital Health, Graph/QL, API, SQL, NoSQL, Vector Databases, Software Development, CI/CD. Azure, AKS, Azure ML, Azure OpenAI, Cognitive Servies, IaC, Terraform, ARM, DevOps, GitHub, JIRA, AI/AM, AWS, GCP, Docker, Grafana, Bicep, Prometheus, Kubernetes, MLFlow, Prompt Engineering</t>
        </is>
      </c>
    </row>
    <row r="59">
      <c r="A59" t="inlineStr">
        <is>
          <t>li-4368874365</t>
        </is>
      </c>
      <c r="B59" t="inlineStr">
        <is>
          <t>Senior AI Engineer</t>
        </is>
      </c>
      <c r="C59" t="inlineStr">
        <is>
          <t>Assail</t>
        </is>
      </c>
      <c r="D59" t="inlineStr">
        <is>
          <t>linkedin</t>
        </is>
      </c>
      <c r="E59" t="inlineStr"/>
      <c r="F59" t="inlineStr"/>
      <c r="G59" t="inlineStr">
        <is>
          <t>Boston, MA</t>
        </is>
      </c>
      <c r="H59" t="inlineStr"/>
      <c r="I59" t="inlineStr">
        <is>
          <t>**Focus:** 
 Model Intelligence, Reasoning Quality, and Adversarial Robustness
**Level:** 
 Senior / Staff
**Experience** 
* **6\+ years** 
 professional software engineering experience
* **3\+ years** 
 building and operating AI/ML systems in production
* Demonstrated ownership of LLM\-backed features from design → deployment → iteration
**Responsibilities** 
**Model Development \&amp; Fine\-Tuning** 
* Own and evolve our
 **proprietary 14B\+ parameter security\-focused LLM** 
 , built using LoRA/QLoRA adapters on an open\-source foundation model
* Manage the full fine\-tuning lifecycle: dataset curation, training runs, adapter merging, and deployment
* Expand model capabilities across
 **mobile security testing, API penetration testing, and code deobfuscation** 
 domains
* Optimize inference performance using
 **vLLM** 
 for high\-throughput, low\-latency serving with multi\-model routing
**Agentic \&amp; Tool\-Based Workflows** 
* Design and extend our
 **gRPC\-based agent swarm architecture** 
 ("Polemos" orchestrator) for autonomous security testing
* Build agents capable of
 **controlled tool use** 
 for multi\-step penetration testing workflows
* Enforce strict tenant isolation, execution boundaries, and audit trails to prevent misuse or data exfiltration
* Work with
 **Kafka pub/sub** 
 for real\-time agent coordination and event streaming
**Knowledge \&amp; Retrieval Systems** 
* Architect and maintain retrieval pipelines using
 **Qdrant** 
 for vector similarity search and
 **Neo4j** 
 for episodic memory and relationship graphs
* Design context injection strategies for grounding model outputs in
 **OWASP standards (MASWE, MASTG, MASVS, API Top 10\)**
* Prevent data leakage and unintended retrieval in adversarial or malformed inputs
**Prompt Engineering \&amp; Training Data** 
* Build and curate
 **domain\-specific training datasets** 
 (we have 340k\+ deobfuscation pairs and growing)
* Standardize prompt management and versioning across our inference endpoints
* Enforce structured outputs using schemas and validators to ensure deterministic downstream behavior
**Evaluation, Benchmarking \&amp; Quality Control** 
* Build and maintain
 **golden datasets** 
 for automated regression testing of model outputs
* Design evaluations that measure:
* Accuracy and recall on security findings
* False positives / hallucination rates
* Adversarial and misuse scenarios
* Red\-team model behavior against prompt injection, tool injection, and malformed inputs
**Security\-Grade Output \&amp; Evidence** 
* Ensure AI\-generated findings are
 **evidence\-backed, reproducible, and auditable**
* Design outputs suitable for security reports, including reproduction steps and supporting artifacts
* Integrate findings with compliance frameworks (OWASP MASWE/MASTG mapping)
**Technical Requirements** 
**Core Languages** 
* **Python (Expert)**
* SQL (for analysis, evaluation datasets, and metrics)
**AI / ML Stack** 
* **PyTorch** 
 (required)
* **Hugging Face Transformers** 
 and
 **PEFT** 
 for LoRA/QLoRA fine\-tuning
* **vLLM** 
 for production inference serving
* Experience with
 **BitsAndBytes** 
 quantization (INT4/INT8\) for memory\-efficient training
* Familiarity with training optimization tools (Unsloth, DeepSpeed, or similar)
**Infrastructure \&amp; Communication** 
* **gRPC** 
 and
 **Protobuf** 
 for service communication
* **Apache Kafka** 
 for event streaming and agent coordination
* **FastAPI** 
 for API development
**Retrieval \&amp; Storage** 
* Vector databases:
 **Qdrant** 
 (primary) or equivalent (Milvus, Pinecone)
* Graph databases:
 **Neo4j** 
 for relationship modeling
* Experience debugging embedding quality and retrieval failures
**Observability \&amp; Experimentation** 
* **Prometheus** 
 metrics and custom tracing for model observability
* Experiment tracking with
 **Weights \&amp; Biases** 
 or equivalent
* Ability to instrument and debug hallucinations, retrieval misses, and tool failures
**Required Domain Awareness** 
* Defending against
 **prompt injection and tool injection**
* Preventing data exfiltration through RAG or tool misuse
* Designing AI systems for
 **adversarial user behavior**
* Understanding the implications of handling sensitive security data (PII, credentials, logs)
* Multi\-tenant isolation patterns in AI systems
**Preferred Experience** 
* Prior work in
 **cybersecurity, mobile security, or adversarial ML environments**
* Familiarity with
 **OWASP standards** 
 (MASWE, MASTG, MASVS, API Security Top 10\)
* Experience with
 **Android code deobfuscation** 
 (ProGuard/R8 patterns)
* Background in API penetration testing methodologies
* Demonstrated leadership in AI system design or ownership of critical production features
**What This Role Is Not** 
* Not a research\-only role
* Not a "prompt tinkerer" position
* Not a chatbot\-for\-PDFs job
 This role owns
 **reasoning quality, safety, and correctness** 
 in an adversarial security product—you'll be directly shaping the intelligence behind autonomous penetration testing agents.</t>
        </is>
      </c>
    </row>
    <row r="60">
      <c r="A60" t="inlineStr">
        <is>
          <t>li-4361735052</t>
        </is>
      </c>
      <c r="B60" t="inlineStr">
        <is>
          <t>Senior Data Scientist / Machine Learning Engineer</t>
        </is>
      </c>
      <c r="C60" t="inlineStr">
        <is>
          <t>ChatGPT Jobs</t>
        </is>
      </c>
      <c r="D60" t="inlineStr">
        <is>
          <t>linkedin</t>
        </is>
      </c>
      <c r="E60">
        <f>HYPERLINK("https://www.linkedin.com/jobs/view/4361735052", "https://www.linkedin.com/jobs/view/4361735052")</f>
        <v/>
      </c>
      <c r="F60" t="inlineStr"/>
      <c r="G60" t="inlineStr">
        <is>
          <t>New York, NY</t>
        </is>
      </c>
      <c r="H60" t="inlineStr"/>
      <c r="I60" t="inlineStr">
        <is>
          <t>**Job Description**
 Senior Data Scientist
**Location:** 
 Manhattan, NY
* On\-site, Remote
**Pay:** 
 $50 \- $58/hr
**Type:** 
 Contractor
**Posted:** 
 15 hours ago
**Job Description**
**Job Title:** 
 Senior Data Scientist / Machine Learning Engineer
**Job Location:** 
 Hybrid; 3 days onsite in New York, NY, 2 days remote
**Job Type:** 
 Contract, 12 months\+
**Pay Rate Range:** 
 $50\-$58/hr W2 (depending on experience)
**Interview Mode:** 
 First Round remote, 2nd onsite
**Job Summary:** 
 Our Fortune 500 client is seeking a highly skilled Senior Data Scientist / Machine Learning Engineer to design, build, and maintain advanced analytics and machine learning solutions that drive diagnostic and predictive insights. This role blends hands\-on data science, ML engineering, and MLOps, with a strong focus on developing production\-ready models, ensuring data quality, and translating complex data into actionable insights for both technical and non\-technical stakeholders. The ideal candidate brings deep experience in Python, SQL, PySpark, Azure Databricks, machine learning, and modern AI techniques, along with the ability to collaborate cross\-functionally with Data Engineering, Analytics, and Architecture teams.
 Key Responsibilities
* Advanced Analytics \&amp; Machine Learning: Design, develop, and optimize machine learning models including forecasting, classification, and clustering solutions. Apply data mining and statistical techniques to uncover trends, patterns, and insights from large, complex datasets. Perform feature engineering, model training, validation, and performance tuning. Explore and deploy modern AI, GenAI, and NLP approaches to enhance automation and analytical capabilities. Support A/B testing and experimental design to evaluate model and business performance.
* Data Preparation \&amp; Quality: Prepare and analyze structured and unstructured data for advanced analytics and modeling. Develop scripts and tools for data cleansing, validation, enrichment, and transformation. Partner with Data Engineering to ensure efficient, reliable data pipelines and scalable data access. Identify data quality issues, perform root cause analysis, and recommend remediation strategies. Troubleshoot and resolve dashboard and reporting data issues to ensure accuracy and consistency.
* MLOps \&amp; Engineering: Design, deploy, and maintain production\-grade machine learning models. Apply MLOps best practices for model versioning, monitoring, retraining, and performance tracking. Write high\-quality, maintainable code following software engineering best practices. Leverage cloud\-based infrastructure to support scalable analytics and ML workloads.
* Analytics, Insights \&amp; Reporting: Conduct deep\-dive analyses to support diagnostic, predictive, and prescriptive use cases. Communicate complex analytical findings in clear, concise terms to both technical and business audiences. Support the development of dashboards, metrics, and analytical solutions using tools such as Power BI and DAX.
* Cross\-Functional Collaboration: Work closely with architects, engineers, analysts, and business stakeholders to define analytical requirements. Contribute to conceptual data model design, workflow optimization, and analytics standards. Promote best practices in data science, machine learning, analytics, and data governance.
**Required Qualifications**
* Bachelor's or Master's degree in Computer Science, Data Science, Machine Learning, Statistics, Mathematics, or a related field.
* 7\+ years of experience in data science and machine learning engineering.
* Strong experience with machine learning algorithms, predictive modeling, and data mining.
* Proficiency in Python (required) for data science and ML workloads.
* Strong SQL (required) skills with relational databases.
* Proficiency in PySpark (required) for large\-scale data processing.
* Experience with Azure Databricks, Oracle, and modern data science libraries such as scikit\-learn, pandas, and NumPy.
* Experience with GenAI and large language models.
* Hands\-on experience with MLOps and deploying ML models into production.
* Experience with Natural Language Processing (NLP).
* Minimum 3 years of experience with data visualization tools such as Power BI, including DAX queries and best practices.
* Strong ability to interpret complex datasets and produce actionable insights.
* Excellent communication, analytical, and problem\-solving skills.
**Preferred Qualifications**
* Knowledge of statistical methods and experimental design.
* Experience with A/B testing frameworks.
* Familiarity with cloud\-native analytics and ML infrastructure.</t>
        </is>
      </c>
    </row>
    <row r="61">
      <c r="A61" t="inlineStr">
        <is>
          <t>li-4370059238</t>
        </is>
      </c>
      <c r="B61" t="inlineStr">
        <is>
          <t>Data Scientist (Applied AI / ML Engineering)</t>
        </is>
      </c>
      <c r="C61" t="inlineStr">
        <is>
          <t>Jobs via Dice</t>
        </is>
      </c>
      <c r="D61" t="inlineStr">
        <is>
          <t>linkedin</t>
        </is>
      </c>
      <c r="E61">
        <f>HYPERLINK("https://www.linkedin.com/jobs/view/4370059238", "https://www.linkedin.com/jobs/view/4370059238")</f>
        <v/>
      </c>
      <c r="F61" t="inlineStr"/>
      <c r="G61" t="inlineStr">
        <is>
          <t>Bellevue, WA</t>
        </is>
      </c>
      <c r="H61" t="inlineStr"/>
      <c r="I61" t="inlineStr">
        <is>
          <t>**Overview**
 We are reimagining the marketing research discipline by building AI\-powered tools that help researchers and data scientists move from question to insight faster. We've already delivered millions in cost savings for Microsoft and are scaling the next generation of intelligent, production\-ready capabilities. In this role as a
 **Data Scientist** 
 , you will design, build, and operate AI\-enabled applications on top of our marketing research data ecosystem. You'll partner closely with product, engineering, and research stakeholders to translate real user needs into secure, reliable experiences\-bringing strong software engineering fundamentals (architecture, coding, testing, and deployment) plus applied AI expertise (LLMs, retrieval, evaluation, and monitoring). You'll join a collaborative team that values clear problem statements, thoughtful trade\-offs, and continuous learning. Our work spans the spectrum from rapid MVPs and prototypes to hardened, scaled production services\-always with clear criteria for quality, security, and user impact. You will have room to focus deeply, iterate with users, and ship improvements end\-to\-end\-from prototype to production\-while measuring impact with well\-defined quality and adoption metrics.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Translate user and business needs into technical designs for AI\-enabled features; write clear specs, define success metrics, and align on trade\-offs with stakeholders.
* Design and build production services and application capabilities that integrate LLMs (prompting, tool use/agents, RAG, embeddings) with enterprise data.
* Implement end\-to\-end evaluation for features and iterate based on data, user feedback, and telemetry.
* Use proficient engineering judgment to choose the right approach for the moment (prototype/MVP vs. production), and define the "graduation" path: requirements, testing, evaluation, monitoring, and operational readiness.
* Own reliability in production: monitoring, alerting, incident response, performance optimization, and proactive risk mitigation.
* Build and maintain CI/CD, automated testing, and safe deployment practices for AI systems (including prompt/model configuration management where applicable).
* Partner with Responsible AI, security, and privacy stakeholders to ensure solutions are compliant, trustworthy, and designed for real\-world use.
* Embody our culture and values.
**Qualifications**
**Required/minimum qualifications**
* Doctorate in Data Science, Mathematics, Statistics, Econometrics, Economics, Operations Research, Computer Science, or related field
+ OR Master's Degree in Data Science, Mathematics, Statistics, Econometrics, Economics, Operations Research, Computer Science, or related field AND 1\+ year(s) data\-science experience (e.g., hands\-on Python development, design and build production services and application capabilities that integrate LLMs, translate user and business needs into technical designs for AI\-enabled features) or consulting experience
+ OR Bachelor's Degree in Data Science, Mathematics, Statistics, Econometrics, Economics, Operations Research, Computer Science, or related field AND 2\+ years data\-science experience (e.g., hands\-on Python development, design and build production services and application capabilities that integrate LLMs, translate user and business needs into technical designs for AI\-enabled features)
+ OR equivalent experience.
**Additional Or Preferred Qualifications**
* Doctorate in Data Science, Mathematics, Statistics, Econometrics, Economics, Operations Research, Computer Science, or related field AND 1\+ year(s) data\-science experience (e.g., hands\-on Python development, design and build production services and application capabilities that integrate LLMs, translate user and business needs into technical designs for AI\-enabled features)
+ OR Master's Degree in Data Science, Mathematics, Statistics, Econometrics, Economics, Operations Research, Computer Science, or related field AND 3\+ years data\-science experience (e.g., hands\-on Python development, design and build production services and application capabilities that integrate LLMs, translate user and business needs into technical designs for AI\-enabled features)
+ OR Bachelor's Degree in Data Science, Mathematics, Statistics, Econometrics, Economics, Operations Research, Computer Science, or related field AND 5\+ years data\-science experience (e.g., hands\-on Python development, design and build production services and application capabilities that integrate LLMs, translate user and business needs into technical designs for AI\-enabled features)
+ OR equivalent experience.
* Hands\-on experience building LLM\-enabled applications (prompting, tool use/agents, RAG, embeddings) and integrating them with real data sources.
* Proficient software engineering fundamentals: data structures, APIs/services, code quality, testing, and debugging in distributed systems.
* Proficiency in Python and at least one of: C\#, Java, Go, or TypeScript/JavaScript; working knowledge of SQL.
* Ability to communicate clearly with cross\-functional partners and make pragmatic trade\-offs based on constraints, risk, and impact.
* Experience with Azure and applied AI tooling (e.g., Azure ML, Azure OpenAI / OpenAI, PromptFlow, Databricks, Microsoft Fabric) and production CI/CD pipelines.
* Experience designing LLM evaluation approaches (golden sets, human\-in\-the\-loop review, A/B tests), and building telemetry/quality dashboards.
 Data Science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62">
      <c r="A62" t="inlineStr">
        <is>
          <t>li-4370052429</t>
        </is>
      </c>
      <c r="B62" t="inlineStr">
        <is>
          <t>AI/ML Engineer (FULLTIME TELEWORK)</t>
        </is>
      </c>
      <c r="C62" t="inlineStr">
        <is>
          <t>Jobs via Dice</t>
        </is>
      </c>
      <c r="D62" t="inlineStr">
        <is>
          <t>linkedin</t>
        </is>
      </c>
      <c r="E62">
        <f>HYPERLINK("https://www.linkedin.com/jobs/view/4370052429", "https://www.linkedin.com/jobs/view/4370052429")</f>
        <v/>
      </c>
      <c r="F62">
        <f>HYPERLINK("https://click.appcast.io/t/jfmehqwDfMV5YsM8dceNiE61V18pIvn4b-X5M-_m-_0=&amp;urlHash=-7u8", "https://click.appcast.io/t/jfmehqwDfMV5YsM8dceNiE61V18pIvn4b-X5M-_m-_0=&amp;urlHash=-7u8")</f>
        <v/>
      </c>
      <c r="G62" t="inlineStr">
        <is>
          <t>Fort Worth, TX</t>
        </is>
      </c>
      <c r="H62" t="inlineStr"/>
      <c r="I62" t="inlineStr">
        <is>
          <t>**Job Description**
**What We're Doing**
 At Lockheed Martin \- Data Analytics Innovations (DAI), we're advancing the future of defense through cutting\-edge data science and artificial intelligence. Our mission is to develop and deploy advanced analytic tools that utilize Artificial Intelligence/Machine Learning (AI/ML) to enable proactive decision\-making and enhance mission readiness. From predictive analytics to Condition\-Based Maintenance (CBM), we are delivering AI\-driven solutions across all Lockheed Martin Business Areas\-improving platform availability, reducing operational costs, optimizing supply chains, and more.
**The Work**
 As a key member of our team, you will:
 Drive innovation in platform readiness, operational decision\-making, and system maintenance through AI/ML
 Build and integrate tools to monitor, explain, and enhance AI model performance
 Collaborate cross\-functionally to understand use cases and deliver scalable, production\-grade solutions
**Who We Are**
 We are a multidisciplinary team of data scientists, software engineers, and AI/ML specialists focused on solving complex problems that have a tangible impact on national security and defense. We work in a fast\-paced, collaborative environment, united by a passion for technology, innovation, and excellence. At Lockheed Martin, you'll have access to top\-tier resources, technical mentorship, and the opportunity to contribute to meaningful work that supports global missions.
**Who You Are**
 You're a motivated, curious, and collaborative AI/ML engineer or data scientist who is ready to tackle real\-world challenges. You bring both technical skill and a drive to continuously learn and grow.
**Why Join Us**
 At Lockheed Martin, we believe that innovation thrives in an environment of collaboration and innovation; You'll not only work on groundbreaking technologies but also shape the future of aerospace, defense, and intelligence. We offer:
 Medical {many choices of plans; some LM locations have on\-site medical}
 Dental
 401k {with generous matching}
 Paid time off
 Work/life balance, family\-friendly environment
 Career development, career\-growth, and lots of learning opportunities for aspiring minds
 Fun, talented and witty teammates
 Knowledgeable, supportive and engaged leadership
 Diverse, inclusive and community\-minded organization
 Generous Tuition Reimbursement
 If you're ready to take on mission\-critical problems with AI at scale, we want to hear from you.
**Basic Qualifications**
 U.S. Citizenship
 Bachelor's degree in Artificial Intelligence, Computer Science/Engineering, Math, Physics, or related discipline with course work in AI/ML
 Strong understanding of software development principles, including design patterns, automated testing, version control, authentication and authorization, security, and data integration
 Experience with scripting languages and tools such as Python, with the ability to learn and transition to new programming languages as needed
 Experience with artificial intelligence, machine learning, and deep learning
**Desired Skills**
 Master's degree in Artificial Intelligence, Computer Science/Engineering, Math, Physics, or related discipline
 1\+ years of AI/ML related professional experience or equivalent related experience and education
 Experience in architecting, developing, fine\-tuning, and deploying generative AI models (such as LLMs) and other advanced AI/ML models
 Experience with multiple technologies including PyTorch, TensorFlow, Keras, and/or sci\-kit learn
 Experience with Supervised Learning and/or Reinforcement Learning
 Familiarity with AI/ML principles, SDKs, and API utilization across multiple platforms
 Experience with DevOps tools and concepts: Docker, Git (GitLab, GitHub), Continuous Integration (CI), Continuous Deployment (CD)
 Experience with application of data structures, algorithms, and software engineering principles
 Experience with agile development methodologies (e.g., Scrum, Kanban).
**EEO**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Full\-time Remote Telework: The employee selected for this position will work remotely full time at a location other than a Lockheed Martin designated office/job site. Employees may travel to a Lockheed Martin office for periodic meetings.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**National Pay Statement**
**Pay Rate:** 
 The annual base salary range for this position in California, Massachusetts, and New York (excluding most major metropolitan areas), Colorado, Hawaii, Illinois, Maryland, Minnesota, New Jersey, Vermont, Washington or Washington DC is $89,300 \- $157,435\.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**Premium Pay Statement**
**Pay Rate:** 
 The annual base salary range for this position in most major metropolitan areas in California, Massachusetts, and New York is $102,700 \- $177,905\.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t>
        </is>
      </c>
    </row>
    <row r="63">
      <c r="A63" t="inlineStr">
        <is>
          <t>li-4370044122</t>
        </is>
      </c>
      <c r="B63" t="inlineStr">
        <is>
          <t>Machine Learning Engineer</t>
        </is>
      </c>
      <c r="C63" t="inlineStr">
        <is>
          <t>ImpetusIT</t>
        </is>
      </c>
      <c r="D63" t="inlineStr">
        <is>
          <t>linkedin</t>
        </is>
      </c>
      <c r="E63">
        <f>HYPERLINK("https://www.linkedin.com/jobs/view/4370044122", "https://www.linkedin.com/jobs/view/4370044122")</f>
        <v/>
      </c>
      <c r="F63" t="inlineStr"/>
      <c r="G63" t="inlineStr">
        <is>
          <t>Bellevue, WA</t>
        </is>
      </c>
      <c r="H63" t="inlineStr"/>
      <c r="I63" t="inlineStr">
        <is>
          <t>One of our staffing partners is helping a Ecommerce client hire a
 **Machine learning engineer** 
 Salary offered $60\-70k per year
 Direct applicants only no c2c or company candidates due to low margins. The staffing company or client will reach directly to the applicants.
**Responsibilities:** 
* Design, train, and fine\-tune Large Language Models (LLMs) for various applications
* Develop advanced NLP solutions for text generation, summarization, and semantic search
* Optimize transformer\-based architectures for performance and scalability
* Leverage prompt engineering and model customization to enhance AI outputs
* Deploy, monitor, and optimize AI models in cloud environments
* Strong background in
 **Machine Learning, Deep Learning, and NLP**
* Hands\-on experience with LLMs (GPT, Llama, PaLM, or similar)
* Proficiency in
 **Python, TensorFlow, PyTorch, and Hugging Face** 
 libraries
* Knowledge of transformer architectures, attention mechanisms, and reinforcement learning
* Experience with AI model deployment and optimization techniques</t>
        </is>
      </c>
    </row>
    <row r="64">
      <c r="A64" t="inlineStr">
        <is>
          <t>li-4370189195</t>
        </is>
      </c>
      <c r="B64" t="inlineStr">
        <is>
          <t>Applied AI Engineer</t>
        </is>
      </c>
      <c r="C64" t="inlineStr">
        <is>
          <t>Kredete Labs</t>
        </is>
      </c>
      <c r="D64" t="inlineStr">
        <is>
          <t>linkedin</t>
        </is>
      </c>
      <c r="E64">
        <f>HYPERLINK("https://www.linkedin.com/jobs/view/4370189195", "https://www.linkedin.com/jobs/view/4370189195")</f>
        <v/>
      </c>
      <c r="F64" t="inlineStr"/>
      <c r="G64" t="inlineStr">
        <is>
          <t>New York, NY</t>
        </is>
      </c>
      <c r="H64" t="inlineStr"/>
      <c r="I64" t="inlineStr">
        <is>
          <t>**Kredete Labs \| New York, NY \| On\-site** 
 We're building the complete operating system for businesses; One platform. Banking, cards, payments, crypto, AI agents, CRM, HRIS, collaboration—everything.
 You'll build all of this.
**What you'll do:** 
* Build autonomous AI agents for every department (CFO, CRO, CSM, CTO, SDR, Recruiter)
* Implement AI features across all products (fraud detection, churn prediction, expense categorization, lead scoring)
* Design prompts and fine\-tune models for financial and business workflows
* Build company knowledge graph (vector DB, RAG systems)
* Evaluate and optimize AI quality (accuracy, latency, cost)
* Train custom models when LLMs aren't enough
**Who you are:** 
* 3\+ years production ML/AI experience (not just research)
* Deep expertise with LLMs (Claude, GPT\-4, fine\-tuning, prompt engineering)
* Shipped AI products that users love
* Use LangChain, vector databases (Pinecone/Weaviate), evaluation frameworks
* Comfortable building fast with Cursor \+ Claude code
* Excited to make every feature intelligent</t>
        </is>
      </c>
    </row>
    <row r="65">
      <c r="A65" t="inlineStr">
        <is>
          <t>li-4370176240</t>
        </is>
      </c>
      <c r="B65" t="inlineStr">
        <is>
          <t>Machine Learning Engineer</t>
        </is>
      </c>
      <c r="C65" t="inlineStr">
        <is>
          <t>Tempus AI</t>
        </is>
      </c>
      <c r="D65" t="inlineStr">
        <is>
          <t>linkedin</t>
        </is>
      </c>
      <c r="E65">
        <f>HYPERLINK("https://www.linkedin.com/jobs/view/4370176240", "https://www.linkedin.com/jobs/view/4370176240")</f>
        <v/>
      </c>
      <c r="F65" t="inlineStr"/>
      <c r="G65" t="inlineStr"/>
      <c r="H65" t="inlineStr"/>
      <c r="I65" t="inlineStr">
        <is>
          <t>**About The Company**
 Tempus AI is at the forefront of advancing healthcare through innovative data\-driven solutions. Our proprietary platform seamlessly integrates real\-world evidence, including genomics, medical imaging, clinical notes, and other complex data sources, to deliver real\-time, actionable insights to healthcare professionals. By harnessing cutting\-edge artificial intelligence and machine learning technologies, Tempus aims to revolutionize precision medicine, improve patient outcomes, and accelerate medical research. Our commitment to innovation, collaboration, and ethical standards positions us as a leader in the healthcare AI industry, dedicated to transforming the future of clinical care and research.
**About The Role**
 We are seeking a highly experienced Staff Machine Learning Engineer specializing in Oncology foundation models to join our dynamic AI team. In this pivotal role, you will be responsible for designing, building, and maintaining the foundational data infrastructure that powers Tempus’s most advanced multimodal generative AI models. Your expertise will directly influence the development of systems that analyze diverse and complex data types such as genomics, pathology images, radiology scans, and clinical notes. This position offers an exciting opportunity to impact clinical decision\-making and medical research by enabling scalable, efficient, and compliant data pipelines. As a technical leader, you will collaborate across teams to optimize data workflows, improve model performance, and ensure the robustness of our healthcare AI solutions.
**Qualifications**
* Master’s degree in Computer Science, Artificial Intelligence, Software Engineering, or a related field.
* 8\+ years of industry experience in designing, building, and operating large\-scale data pipelines and infrastructure.
* Proficiency with distributed data processing frameworks such as Apache Spark, Ray, or Dask.
* Hands\-on experience with large\-scale ML data handling tools like Hugging Face Datasets, MosaicML Streaming, or WebDataset.
* Strong programming skills in Python and familiarity with MLOps platforms like MLflow, Kubeflow, or SageMaker Pipelines.
* Experience working with heterogeneous datasets, including genomics, medical imaging, and clinical data.
* Understanding of training large models, foundation models, LLMs, and multimodal systems.
* Leadership skills with the ability to mentor junior engineers and collaborate effectively with cross\-functional teams.
* Excellent communication skills for explaining complex technical concepts to diverse audiences.
**Responsibilities**
* Architect and develop sophisticated data processing workflows for multimodal training data ingestion, processing, and preparation.
* Manage the entire data lifecycle, ensuring data quality, compliance, and security across diverse sources.
* Develop strategies for efficient data ingestion from internal databases, third\-party APIs, biomedical datasets, and proprietary sources.
* Optimize data storage solutions for large\-scale training and knowledge retrieval.
* Collaborate with infrastructure teams to leverage cloud\-native services, primarily on GCP, for performance, cost\-efficiency, and security.
* Engineer connectors and data loaders for accessing knowledge graphs, biomedical literature, structured databases, and ontologies.
* Implement and maintain monitoring, logging, and alerting systems for data pipeline health, data drift, and quality assurance.
* Analyze and troubleshoot data workflow bottlenecks related to storage, network bandwidth, and compute resources.
* Continuously seek opportunities to optimize costs associated with processing and storing large datasets in the cloud environment.
* Provide technical leadership and mentorship to team members, fostering a culture of innovation and continuous improvement.
**Benefits**
* Competitive salary range based on location and experience.
* Comprehensive health insurance plans including medical, dental, and vision coverage.
* Incentive compensation and restricted stock units (RSUs).
* Flexible work arrangements, including remote work options.
* Generous paid time off and holiday policies.
* Opportunities for professional development and continuous learning.
* Collaborative and inclusive work environment fostering innovation and growth.
 Equal Opportunity
 Tempus AI is an equal opportunity employer. We celebrate diversity and are committed to creating an inclusive environment for all employees. We do not discriminate based on race, religion, color, national origin, gender, sexual orientation, age, marital status, veteran status, disability, or any other protected characteristic. We believe that diverse perspectives enhance our innovation and success, and we welcome applicants from all backgrounds to join our team.</t>
        </is>
      </c>
    </row>
    <row r="66">
      <c r="A66" t="inlineStr">
        <is>
          <t>li-4370300410</t>
        </is>
      </c>
      <c r="B66" t="inlineStr">
        <is>
          <t>Entry level AI/ML Engineer: SVL</t>
        </is>
      </c>
      <c r="C66" t="inlineStr">
        <is>
          <t>Lensa</t>
        </is>
      </c>
      <c r="D66" t="inlineStr">
        <is>
          <t>linkedin</t>
        </is>
      </c>
      <c r="E66">
        <f>HYPERLINK("https://www.linkedin.com/jobs/view/4370300410", "https://www.linkedin.com/jobs/view/4370300410")</f>
        <v/>
      </c>
      <c r="F66" t="inlineStr"/>
      <c r="G66" t="inlineStr">
        <is>
          <t>San Jose, CA</t>
        </is>
      </c>
      <c r="H66" t="inlineStr"/>
      <c r="I6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IBM. Clicking "Apply Now" or "Read more" on Lensa redirects you to the job board/employer site. Any information collected there is subject to their terms and privacy notice.
**Introduction**
 IBM Automation and AI group is seeking an entry level AI/ML Engineer specializing in machine learning and Large Language Models (LLMs) to join our AI/ML Center of Excellence team at the IBM Silicon Valley Lab location. In this role, you will collaborate with cross\-functional product teams to implement cutting\-edge AI/ML capabilities across IBM's Automation product portfolio. You will lead efforts in data collection for LLM training and evaluation, integrate LLM technologies into existing and new products, and establish best practices for AI/ML feature implementation by product teams.
**Your Role And Responsibilities**
 Data Collection and Management for LLM Evaluation and Training
* Design and implement robust data collection pipelines for diverse LLM training datasets leveraging the IBM AI Model \&amp; Data Catalog.
* Develop data quality assessment frameworks to ensure training data meets IBM's high standards
* Create annotation guidelines and workflows for specialized domain\-specific datasets
* Implement data governance protocols that ensure compliance with privacy regulations and ethical AI principles following the IBM Data \&amp; Model Governance process and tooling.
* Establish evaluation datasets and benchmarks to measure LLM performance across various use cases leveraging \[1] FM\-Eval and Unitxt.
 LLM Integration and Implementation
* Architect solutions to integrate LLMs with IBM's existing and emerging products and ecosystem
* Develop APIs and interfaces that enable seamless interaction between LLMs and other software components
* Optimize LLM deployment for various computing environments (cloud, edge, on\-premises)
* Implement techniques for model compression, quantization, and optimization to improve inference efficiency and minimize resource requirements
* Design and implement prompt engineering frameworks for consistent LLM behavior across products
 AI/ML Best Practices and Innovation
* Establish technical standards and best practices for AI/ML feature implementation
* Create reusable components and design patterns for common LLM use cases
* Develop monitoring systems to track model performance, drift, and potential biases
* Research and implement techniques for responsible AI, including explainability and fairness
* Collaborate with product teams to identify opportunities for AI\-driven innovation
 References
 Visible links
* https://github.ibm.com/IBM\-Research\-AI/fm\-eval
**Required Technical And Professional Expertise**
* Bachelor's or master's degree or higher in Computer Science, Machine Learning, AI, or related technical field
* Less than one year of experience in machine learning engineering or data science roles
* Demonstrated knowledge of NLP and large language models (e.g., transformer architectures) including model evaluation and algorithm design.
* Strong programming skills in Python and familiarity with ML frameworks (PyTorch, TensorFlow, or JAX)
* Experience with data processing pipelines and working with large datasets
* Knowledge of MLOps practices and tools for model deployment and monitoring
* Ability to work independently and collaborate effectively across diverse teams.
* Strong communication skills to explain complex AI concepts to diverse audiences
* Problem\-solving mindset with ability to navigate technical and business constraints
**Preferred Technical And Professional Experience**
* Experience with fine\-tuning and prompt engineering for LLMs
* Deep understanding of transformer architectures and attention mechanisms
* Proficiency in vector databases and embedding technologies
* Knowledge of model serving frameworks (TensorRT, ONNX, TorchServe)
* Familiarity with cloud platforms (IBM Cloud, AWS, Azure, GCP)
* Commitment to continuous learning in the rapidly evolving field of AI
 IBM is committed to creating a diverse environment and is proud to be an equal\-opportunity employer. All qualified applicants will receive consideration for employment without regard to race, color, religion, sex, gender, gender identity or expression, sexual orientation, national origin, caste, genetics, pregnancy, disability, neurodivergence, age, veteran status, or other characteristics. IBM is also committed to compliance with all fair employment practices regarding citizenship and immigration status.
 If you have questions about this posting, please contact support@lensa.com</t>
        </is>
      </c>
    </row>
    <row r="67">
      <c r="A67" t="inlineStr">
        <is>
          <t>li-4361706308</t>
        </is>
      </c>
      <c r="B67" t="inlineStr">
        <is>
          <t>AI Engineer</t>
        </is>
      </c>
      <c r="C67" t="inlineStr">
        <is>
          <t>scalr</t>
        </is>
      </c>
      <c r="D67" t="inlineStr">
        <is>
          <t>linkedin</t>
        </is>
      </c>
      <c r="E67">
        <f>HYPERLINK("https://www.linkedin.com/jobs/view/4361706308", "https://www.linkedin.com/jobs/view/4361706308")</f>
        <v/>
      </c>
      <c r="F67" t="inlineStr"/>
      <c r="G67" t="inlineStr"/>
      <c r="H67" t="inlineStr"/>
      <c r="I67" t="inlineStr">
        <is>
          <t>**AI Engineer / Research Engineer** 
 SF \- $180k\-$220k \+ strong early equity
 My client builds and trains custom reasoning models for Fortune 100 customers, focusing on post\-training research and real\-world deployment of LLMs and VLMs. The team includes alumni from Google Research (Gemini, AlphaFold), DeepMind, and top Y Combinator engineering teams, and actively contributes to applied AI research.
**Role Overview** 
* Train and deploy large\-scale LLMs and VLMs in production
* Own work end\-to\-end from experimentation through deployment
* Work directly with customers on custom model training and delivery
**Responsibilities** 
* Train and fine\-tune foundation models for enterprise use cases
* Build and maintain distributed training pipelines and data infrastructure
* Contribute to applied research in reasoning and post\-training techniques
* Ship production\-quality code used by customers
**Required Qualifications** 
* Hands\-on LLM and or VLM training experience
* Experience with distributed training and training infrastructure
* Strong Python with PyTorch, or JAX or TensorFlow
* Ability to ship reliable production code
* 2–5 years industry experience, senior profiles welcome
* Exceptional recent graduates considered with extensive hands\-on training work
**Preferred Qualifications** 
* Model optimization experience
* Founder or early\-stage startup background
* Experience at a leading AI research lab
**Skills and Attributes** 
* Strong communication in ambiguous, customer\-facing environments
* High ownership and autonomy
* Output\-driven and comfortable moving fast
* Regular use of AI tooling in daily workflows</t>
        </is>
      </c>
    </row>
    <row r="68">
      <c r="A68" t="inlineStr">
        <is>
          <t>li-4370039571</t>
        </is>
      </c>
      <c r="B68" t="inlineStr">
        <is>
          <t>Founding Machine Learning Engineer (Startup)</t>
        </is>
      </c>
      <c r="C68" t="inlineStr">
        <is>
          <t>MAiZU, Inc</t>
        </is>
      </c>
      <c r="D68" t="inlineStr">
        <is>
          <t>linkedin</t>
        </is>
      </c>
      <c r="E68">
        <f>HYPERLINK("https://www.linkedin.com/jobs/view/4370039571", "https://www.linkedin.com/jobs/view/4370039571")</f>
        <v/>
      </c>
      <c r="F68" t="inlineStr"/>
      <c r="G68" t="inlineStr">
        <is>
          <t>Austin, Texas Metropolitan Area</t>
        </is>
      </c>
      <c r="H68" t="inlineStr"/>
      <c r="I68" t="inlineStr">
        <is>
          <t>This position is available only to Austin, TX and San Antonio, TX residents.
 MAiZU is an Austin\-based wearable healthtech startup building a next\-generation wearable that applies
 **advanced biosensing and AI to real\-world physiological data** 
 .
 We’re looking for a
 **highly experienced Machine Learning / AI Engineer** 
 to join our founding team and deliver an
 **investor\-ready proof of concept** 
 that demonstrates the capabilities of our software.
 This is a
 **high\-ownership role** 
 for someone who thrives in early\-stage startups and understands one thing deeply:
 **speed and execution matter.** 
**What You’ll Do** 
 For the proof of concept, you will build a lean but real ML/AI system that can:
* ingest structured physiological signal data (simplified for POC)
* analyze patterns using machine learning (time\-series \+ signal processing)
* connect to basic biosensor inputs
* output interpretable readings demonstrating the software pipeline is functional and scalable
 The goal: show that the system works, is scalable, and sets the stage for hardware development, clinical validation, and full product rollout.
**What We’re Looking For** 
 You are:
* highly experienced in machine learning and applied AI
* comfortable building
 **end\-to\-end prototypes quickly**
* capable of designing scalable ML architectures
* able to work independently in a fast\-moving startup environment
* strong in:
* Python
* ML pipelines
* time\-series / signal processing
* model training and evaluation
* basic API or demo interface development
* **available to start within 7 days of hire**
**Bonus points:** 
* experience with biosensors, wearables, or physiological signal data
* experience in digital health, diagnostics, or regulated industries
**Timeline** 
 We are looking for someone who can
 **deliver the proof of concept in 4–5 weeks** 
 , in time to begin our pre\-seed raise.
**Compensation** 
 Equity\-only role during the POC:
* **0\.25% equity** 
 , conditional on a successful pre\-seed raise with your proof of concept
* opportunity to continue long\-term with the company under:
* **up to 5% total equity**
* **4\-year vesting schedule with a 1\-year cliff**
**Additional perks for this stage:** 
* coworking and mentorship access at
 **Capital Factory**
* coworking and mentorship access at
 **Gevity Labs**
**Post\-funding:** 
* salary of
 **$40,000/year** 
 to continue as a software engineer
**Location** 
**Austin, TX residents only** 
 — local collaboration is required.</t>
        </is>
      </c>
    </row>
    <row r="69">
      <c r="A69" t="inlineStr">
        <is>
          <t>li-4370181093</t>
        </is>
      </c>
      <c r="B69" t="inlineStr">
        <is>
          <t>Machine Learning Engineer</t>
        </is>
      </c>
      <c r="C69" t="inlineStr">
        <is>
          <t>Coinbase</t>
        </is>
      </c>
      <c r="D69" t="inlineStr">
        <is>
          <t>linkedin</t>
        </is>
      </c>
      <c r="E69">
        <f>HYPERLINK("https://www.linkedin.com/jobs/view/4370181093", "https://www.linkedin.com/jobs/view/4370181093")</f>
        <v/>
      </c>
      <c r="F69">
        <f>HYPERLINK("https://www.wiraa.com/job-description/usFEADC7A9A4E0E82A7CCEE18099746A2E?source=Linkedin&amp;urlHash=3a_X", "https://www.wiraa.com/job-description/usFEADC7A9A4E0E82A7CCEE18099746A2E?source=Linkedin&amp;urlHash=3a_X")</f>
        <v/>
      </c>
      <c r="G69" t="inlineStr"/>
      <c r="H69" t="inlineStr"/>
      <c r="I69" t="inlineStr">
        <is>
          <t>**About The Company** 
 Coinbase is a leading global cryptocurrency exchange and financial technology company committed to increasing economic freedom worldwide. Established with the vision to create an open financial system accessible to everyone, Coinbase offers a secure and user\-friendly platform for buying, selling, and managing digital assets. With a focus on innovation, security, and regulatory compliance, Coinbase has become a trusted name in the digital currency space, empowering millions of users across the globe. The company's mission is to build an open financial system for the world, leveraging blockchain technology to revolutionize traditional finance and create new opportunities for economic participation.
**About The Role** 
 We are seeking a highly skilled and experienced Staff Machine Learning Engineer to join our AI team at Coinbase. In this pivotal role, you will lead the development and deployment of advanced machine learning models aimed at optimizing our operations, enhancing security, and improving user experience. Your expertise will be instrumental in designing scalable ML pipelines, fine\-tuning large language models (LLMs), and creating automated risk assessment systems that directly impact millions of users. This role offers a unique opportunity to apply cutting\-edge ML and Generative AI (GenAI) techniques to solve real\-world challenges in digital finance, contributing to the transformation of our platform’s operational efficiency and security posture.
**Qualifications** 
* 8\+ years of industry experience in Machine Learning or a PhD with 5\+ years of relevant experience
* Master’s degree in Machine Learning, Computer Science, or a related technical field; PhD preferred
* Proven experience working with Payment Risk, Credit Risk, or Account Takeover models
* Strong programming skills with the ability to leverage auto\-code generation techniques for scalable ML applications
* Deep understanding of modern ML techniques including Deep Neural Networks (DNNs), transformers, and large language models (LLMs)
* Experience building, deploying, and maintaining production\-grade ML systems at scale
* Ability to balance model complexity with production requirements such as latency and availability
* Excellent communication skills for effective collaboration with domain experts and cross\-functional teams
* Knowledge of regulatory requirements in financial services (nice to have)
* Familiarity with crypto and blockchain technology (nice to have)
**Responsibilities** 
* Define and execute the technical strategy for a portfolio of machine learning projects focused on operational optimization and risk mitigation
* Design, develop, and fine\-tune models, including LLMs, to automate document processing and risk assessment tasks
* Create real\-time ML pipelines capable of detecting and preventing risks proactively
* Collaborate with domain experts to translate their knowledge into effective ML features and models
* Develop explainable AI systems that can justify their risk assessments to ensure transparency and trust
* Work with platform teams to deploy models at scale, ensuring high availability, low latency, and robustness
* Continuously monitor, evaluate, and improve the performance of deployed models
* Stay updated with the latest advancements in ML and GenAI, integrating innovative techniques into projects
**Benefits** 
* Competitive salary range of $218,025—$256,500 USD, commensurate with experience
* Target bonus, equity, and comprehensive benefits package including medical, dental, vision insurance
* 401(k) retirement plan with company matching
* Opportunities for professional growth and development in a pioneering technology environment
* Collaborative and innovative work culture that encourages feedback and continuous learning
* Participation in company\-wide offsites and team\-building activities
* Flexible work arrangements with a hybrid work model combining remote and in\-person participation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protected characteristic under applicable law. We are committed to creating an inclusive environment and will consider qualified applicants with criminal histories in a manner consistent with legal requirements.</t>
        </is>
      </c>
    </row>
    <row r="70">
      <c r="A70" t="inlineStr">
        <is>
          <t>li-4370198478</t>
        </is>
      </c>
      <c r="B70" t="inlineStr">
        <is>
          <t>Agentic AI/ML Engineer</t>
        </is>
      </c>
      <c r="C70" t="inlineStr">
        <is>
          <t>Lensa</t>
        </is>
      </c>
      <c r="D70" t="inlineStr">
        <is>
          <t>linkedin</t>
        </is>
      </c>
      <c r="E70">
        <f>HYPERLINK("https://www.linkedin.com/jobs/view/4370198478", "https://www.linkedin.com/jobs/view/4370198478")</f>
        <v/>
      </c>
      <c r="F70" t="inlineStr"/>
      <c r="G70" t="inlineStr">
        <is>
          <t>Frisco, TX</t>
        </is>
      </c>
      <c r="H70" t="inlineStr"/>
      <c r="I70"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The Hartford. Clicking "Apply Now" or "Read more" on Lensa redirects you to the job board/employer site. Any information collected there is subject to their terms and privacy notice.
 Data Engineer \- GE08AE
 We're determined to make a difference and are proud to be an insurance company that goes well beyond coverages and policies. Working here means having every opportunity to achieve your goals \- and to help others accomplish theirs, too. Join our team as we help shape the future.
**About Us**
 The Hartford is on a mission to create trustworthy, reliable, and transparent AIML systems, changing insurance and underwriting for good.
 We are driven by a strong determination to create a meaningful impact and take pride in being an insurance company that extends far beyond the realms of policies and coverages. When you choose to be a part of our team, you open the door to endless opportunities for personal and professional growth, as well as the chance to empower others in reaching their aspirations.
**Overview Of The Role**
 We believe Generative AI is another tool in our arsenal and modern application needs a solution that unifies both traditional ML and LLM powered cognitive AI into one continuum. Our technology, platform, people and process fully embrace this strategy.
 We are seeking an junior AIML Engineer who will be responsible for building and testing production\-grade AI systems. This is a hands\-on role, requiring experience in software and/or AI engineering, understanding of Generative/Agentic AI concepts and cloud computing exposure.
 Someone who is an engineer at heart will fit into this role easily.
 This role can have a Hybrid or Remote work arrangement. Candidates who live near one of our office locations (Hartford, CT, Charlotte, NC, Columbus, OH, Frisco, TX, Chicago, IL) will have the expectation of working in an office 3 days a week (Tuesday through Thursday) Candidates who do not live near an office will have a remote work arrangement, with the expectation of coming into an office as business needs arise
**Responsibilities**
* Develop and test AI/ML solutions for multiple use cases spanning underwriting, claims, operations, and/or corporate functions.
* Collaborate with Data Science Practitioners, LOB IT leads, EA, Data, and AI architects to develop solutions and integrate into operational processes and systems supporting various functions.
* Build and maintain scalable Agentic AI systems.
* Build full stack AI Agents with latest Agentic AI/UI frameworks \&amp; standards. Such as A2A, AAIF, A2UI, Agent skills, and MCP.
* Build reusable components, APIs, SDKs, Agents, MCP tools for the enterprise.
* Apply context engineering and prompt tuning techniques.
* Develop advanced RAG systems, with hybrid search and metadata filtering.
* Instrument AI observability using OpenTelemetry (OTel) tooling.
* Build scalable, fault\-tolerant solutions on AWS and/or GCP in a multi cloud ecosystem.
**Skills**
* Strong technical knowledge on AIML and software engineering .
* Able to communicate effectively with both technical and non\-technical teams.
* Strong planning, and execution skills. Self motivated.
* Ability to understand and align deliverables based on customer requirements.
* Innovative, curious, and focused on continuous learning, able to turn new ideas into practical solutions.
* Result oriented, demonstrating ownership, accountability, and urgency in delivering business outcomes.
**Education, Experience, Certification \&amp; Licenses**
* A bachelor's or master's degree in computer science, Software Engineering, Data Science, or a closely related discipline.
* 3\+ years of experience in Machine Learning, Software Engineering or related field, with at least 1\+ years focused on AI or ML
* 1\+ years of experience in GenAI/Agentic AI, RAG, semantic search, embedding models and LLMs.
* Strong programming skills in Python.
* Experience with AI Agent frameworks such as ADK, LangChain, LangGraph, and/or CrewAI.
* Hands\-on experience in GenAI tools and services on Google cloud platform (Vertex AI/Gemini Ent).
* Experience with Agile development methodologies, including SAFe.
* Experience with NodeJS , JavaScript, Typescript, React is a plus.
* Understanding of data structures, NoSQL and RDBMS is a plus.
**Candidate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$100,960 \- $151,440
 Equal Opportunity Employer/Sex/Race/Color/Veterans/Disability/Sexual Orientation/Gender Identity or Expression/Religion/Age
 If you have questions about this posting, please contact support@lensa.com</t>
        </is>
      </c>
    </row>
    <row r="71">
      <c r="A71" t="inlineStr">
        <is>
          <t>li-4341555512</t>
        </is>
      </c>
      <c r="B71" t="inlineStr">
        <is>
          <t>Machine Learning Engineer</t>
        </is>
      </c>
      <c r="C71" t="inlineStr">
        <is>
          <t>Advanced Space</t>
        </is>
      </c>
      <c r="D71" t="inlineStr">
        <is>
          <t>linkedin</t>
        </is>
      </c>
      <c r="E71">
        <f>HYPERLINK("https://www.linkedin.com/jobs/view/4341555512", "https://www.linkedin.com/jobs/view/4341555512")</f>
        <v/>
      </c>
      <c r="F71">
        <f>HYPERLINK("https://job-boards.greenhouse.io/advancedspace/jobs/4068976009&amp;urlHash=psus", "https://job-boards.greenhouse.io/advancedspace/jobs/4068976009&amp;urlHash=psus")</f>
        <v/>
      </c>
      <c r="G71" t="inlineStr">
        <is>
          <t>Westminster, CO</t>
        </is>
      </c>
      <c r="H71" t="inlineStr"/>
      <c r="I71" t="inlineStr">
        <is>
          <t>**About Us**
 The team at Advanced Space is leading humanity back to the Moon and pioneering innovative solutions in the space industry. Based in Westminster Colorado, this incredible team is looking for a Machine Learning Engineer who’s eager to push the state of the art in the aerospace industry.
 ML Engineers at Advanced Space work closely with engineers in other disciplines (i.e., aerospace, systems). This position is responsible for designing, building, and testing machine learning models and systems that can solve real\-world problems in domains such as spacecraft autonomy, anomaly detection and classification, natural language processing, uncertainty quantification, and multimodal signal detection \&amp; characterization. This position will be headquartered at our Westminster, Colorado offices and is primarily an on\-premises position.
 Advanced Space exists to support the sustainable exploration, development, and settlement of space and operates with four core values: We are customer obsessed and mission focused; when we see it, we solve it; we are one team, motivated by our vision; and we bring technical excellence and inexhaustible curiosity.
**Essential Duties And Responsibilities**
* Apply ML first principles and engineering intuition to projects such as fast \&amp; accurate models of physical systems, spacecraft navigation, spacecraft autonomy, signal extraction from noisy data, natural language processing, internal company tools, multi\-agent reinforcement learning, and approximate optimal maneuver design.
* Lead the development of advanced ML models and AI\-driven solutions.
* Research and implement emerging ML technologies and techniques.
* Improve model interpretability, scalability, and efficiency.
* Contribute to strategic decision\-making and technical roadmaps.
* Work with interdisciplinary, cross\-functional teams to apply machine learning / artificial intelligence algorithms to a variety of problems in the space industry.
* Find, digest and apply knowledge from research publications to assigned tasks.
* Stay up\-to\-date on the latest research in the industry by reading technical papers and attending technical conferences.
* Participate in technical interviews.
**Skills, Certifications, Eligibility Requirements**
* B.S. in Computer Science, Machine Learning, Software Engineering, Aerospace Engineering, or another physical science or engineering discipline or equivalent work experience.
* 5\-8 years of relevant experience.
* Handle a broad range of tasks, from bug fixes to feature development.
* Software/algorithm component design.
* A basic understanding of aerospace engineering.
* Strong understanding of algorithms, data structures, and system design principles.
* Has started to specialize in certain areas and contribute to process details for those areas.
* Strong understanding of the basics of neural networks (i.e., feedforward, recurrence, convolution, attention).
* Able to understand and implement new methods.
* Familiarity with a variety of methods (i.e. reinforcement learning, supervised/unsupervised learning, principal components analysis, clustering, regression, classification).
* Understands system design and architecture. Able to apply methods from other domains to our problems. Makes creative use of internet and LLM resources.
* Confident in writing a neural network model from scratch
* Makes effective use of tools to track model training.
* Understands train/test/validation splits.
* Understands when to be suspicious of a model's unexpectedly good results.
* Proficient with PyTorch, TensorFlow, Jax, or equivalent.
**Preferred Skills**
* Proficient in an engineering field (aerospace or another).
* Confident in deploying a model to a server or edge device.
**Compensation And Benefits**
* Base Salary Range – $122,284 \- $144,284 based on role, employee experience, and location
* Signing bonus
* Quarterly Performance bonuses
* Company provided health insurance and 401K plan upon eligibility
* Unlimited vacation time and extensive flexibility
* Relocation Assistance
**Eligibility Requirements**
* US Person
* Security clearance not needed</t>
        </is>
      </c>
    </row>
    <row r="72">
      <c r="A72" t="inlineStr">
        <is>
          <t>li-4370053002</t>
        </is>
      </c>
      <c r="B72" t="inlineStr">
        <is>
          <t>Agentic / Applied AI Engineer</t>
        </is>
      </c>
      <c r="C72" t="inlineStr">
        <is>
          <t>Kamet Consulting Group</t>
        </is>
      </c>
      <c r="D72" t="inlineStr">
        <is>
          <t>linkedin</t>
        </is>
      </c>
      <c r="E72">
        <f>HYPERLINK("https://www.linkedin.com/jobs/view/4370053002", "https://www.linkedin.com/jobs/view/4370053002")</f>
        <v/>
      </c>
      <c r="F72" t="inlineStr"/>
      <c r="G72" t="inlineStr"/>
      <c r="H72" t="inlineStr"/>
      <c r="I72" t="inlineStr">
        <is>
          <t>About the Role
 We’re looking for an 
 **Agentic / Applied AI Engineer** 
  to help build the core intelligence layer of our platform — an agentic AI system that can 
 **reason through complex, real\-world workflows** 
 , make decisions with constraints, and produce outputs that are 
 **structured, reliable, and audit\-ready** 
 .
 This role is ideal for someone who has built AI systems beyond demos — including 
 **multi\-step LLM workflows** 
 , tool orchestration, retrieval systems, evaluation pipelines, and production\-grade reliability patterns.
 You will be part of a small team where your work directly shapes product capability, architecture choices, and customer outcomes.
**Location:** 
  Hyderabad (Hybrid preferred)
**Experience:** 
  5\+ years (with 2\+ years in applied ML / LLM systems strongly preferred)
 What You’ll Build
 You will design and implement agentic workflows such as:
* **Intake agents** 
  that collect, validate, and normalize messy business inputs into structured schemas
* **Planning agents** 
  that reason across constraints (timelines, dependencies, approvals, sequencing)
* **Tool\-using agents** 
  that call internal services, databases, and external APIs reliably
* **Retrieval \+ grounding systems** 
  that cite sources and reduce hallucinations
* **Supervisor / router patterns** 
  that pick the right tool/agent strategy per request
* **Evaluation harnesses** 
  that track accuracy, consistency, drift, and regressions over time
- 
 ResponsibilitiesAgentic Workflow Engineering
 * Design multi\-step agentic workflows using patterns like 
 **Plan → Execute → Validate → Retry**
* Implement tool calling systems with strong contracts (typed inputs/outputs)
* Build safety mechanisms: timeouts, retries, fallbacks, confidence checks, guardrails
 Retrieval \&amp; Grounding (RAG)
 * Implement retrieval pipelines (vector \+ hybrid search) with chunking, metadata, filters, and ranking
* Ensure outputs are 
 **traceable and explainable** 
 , with citations and provenance where needed
 Reliability \&amp; Evaluation
 * Build evaluation pipelines (offline \+ online) to measure:
* correctness, completeness, consistency, and failure modes
* grounding quality (is it supported by sources?)
* cost and latency tradeoffs
* Create regression tests for agent behavior as prompts/models/tools evolve
 Production Engineering
 * Work closely with product \+ full\-stack engineers to ship agentic features end\-to\-end
* Optimize for 
 **cost, latency, and scalability** 
  (caching, batching, model routing)
* Instrument agent traces, logs, and telemetry for debugging and iteration
 Required Qualifications
 * **5\+ years** 
  of software engineering experience (Python\-heavy preferred)
* Strong hands\-on experience building production systems with:
* **Python** 
  (FastAPI preferred), data pipelines, async workflows
* **LLM applications** 
  using OpenAI / Anthropic / Azure OpenAI / open\-source models
* structured outputs (JSON schema), validation, parsing, error recovery
* Solid understanding of:
* retrieval, ranking, embeddings, vector databases
* agent tool calling patterns \+ prompt orchestration
* reliability engineering for non\-deterministic systems
 Preferred Qualifications (Strong Plus)
 * Experience with 
 **LangGraph** 
 , 
 **LangChain** 
 , 
 **LlamaIndex** 
 , or custom orchestration frameworks
* Experience implementing:
* hybrid search (BM25 \+ vectors), rerankers
* vector DBs (Pinecone, Weaviate, FAISS, pgvector, Milvus)
* Exposure to enterprise workflows or regulated domains (healthcare, pharma, fintech)
* Comfort with “systems thinking”: state machines, DAG workflows, Temporal/Airflow\-style patterns
* Experience with eval tooling: 
 **Ragas** 
 , 
 **promptfoo** 
 , 
 **DeepEval** 
 , 
 **LangSmith** 
 , or custom test harnesses
 Tech Stack (Typical)
 * Python, FastAPI
* Postgres, Redis
* Vector DBs (pgvector / Pinecone / Weaviate)
* OpenAI / Azure OpenAI \+ model routing
* Docker, CI/CD (GitHub Actions), cloud deployment
* Observability (OpenTelemetry, structured logs, traces)
 What Success Looks Like (First 60–90 Days)
 * Build and ship at least 
 **one production\-grade agent workflow**
* Establish an evaluation harness \+ baseline test dataset
* Improve reliability metrics (fewer failures, better completion, better grounding)
* Help define the platform patterns used across all future agents
 What We Value
 * You care about 
 **real outputs** 
  more than “cool demos”
* You design for 
 **edge cases and failure modes**
* You communicate clearly and can explain tradeoffs
* You move fast, but you build systems that don’t collapse at scale
 Compensation \&amp; Role Structure
 * Competitive salary aligned to Hyderabad market \+ experience
* High ownership, strong growth, and direct product impact
* Flexible work setup (hybrid preferred)</t>
        </is>
      </c>
    </row>
    <row r="73">
      <c r="A73" t="inlineStr">
        <is>
          <t>li-4370057030</t>
        </is>
      </c>
      <c r="B73" t="inlineStr">
        <is>
          <t>Staff Machine Learning Engineer</t>
        </is>
      </c>
      <c r="C73" t="inlineStr">
        <is>
          <t>Lumicity</t>
        </is>
      </c>
      <c r="D73" t="inlineStr">
        <is>
          <t>linkedin</t>
        </is>
      </c>
      <c r="E73">
        <f>HYPERLINK("https://www.linkedin.com/jobs/view/4370057030", "https://www.linkedin.com/jobs/view/4370057030")</f>
        <v/>
      </c>
      <c r="F73" t="inlineStr"/>
      <c r="G73" t="inlineStr"/>
      <c r="H73" t="inlineStr"/>
      <c r="I73" t="inlineStr">
        <is>
          <t>Vehicles are becoming software\-defined, data\-rich platforms — generating massive real\-time telemetry across performance, diagnostics, safety, and environment. A fast\-growing automotive software company is building AI and agent\-based systems that help manufacturers turn this data into intelligent, real\-time insights and automated vehicle support. They are hiring a Senior / Staff AI Engineer to lead advanced applied AI initiatives in this space.
 Role
 Lead end\-to\-end AI development for production systems that combine
 **LLMs, RAG, time\-series, computer vision, and classical ML** 
 . This is a hands\-on senior role requiring both
 **breadth and depth across ML/AI** 
 , with impact on real\-world, large\-scale deployments.
 What You’ll Do
* Build and deploy AI models and services end to end
* Apply LLMs, RAG, retrieval, and agent\-style AI systems
* Work across multiple AI domains (LLM, CV, time\-series, ML)
* Fine\-tune large models for domain use cases
* Design vector search and retrieval pipelines
* Turn large, complex datasets into production AI solutions
* Partner with cross\-functional teams to deliver scalable systems
 Requirements
* 7\+ years in ML/AI engineering or applied AI
* Strong breadth \+ depth across ML/AI techniques
* Experience with LLMs and modern AI stacks
* Python or C\+\+ plus PyTorch / Scikit\-learn / data tooling
* Vector DB \&amp; retrieval stacks (FAISS, HNSW, Chroma, Elasticsearch)
* Data engineering tools (Spark, Databricks, Dataflow) \+ SQL
* Parallelization and production deployment experience
* Strong software engineering practices
 Strong Plus
* Automotive, mobility, embedded, or edge AI experience
* AI in safety\-critical or large\-scale production systems</t>
        </is>
      </c>
    </row>
    <row r="74">
      <c r="A74" t="inlineStr">
        <is>
          <t>li-4370033951</t>
        </is>
      </c>
      <c r="B74" t="inlineStr">
        <is>
          <t>AI Engineer</t>
        </is>
      </c>
      <c r="C74" t="inlineStr">
        <is>
          <t>Haystack</t>
        </is>
      </c>
      <c r="D74" t="inlineStr">
        <is>
          <t>linkedin</t>
        </is>
      </c>
      <c r="E74">
        <f>HYPERLINK("https://www.linkedin.com/jobs/view/4370033951", "https://www.linkedin.com/jobs/view/4370033951")</f>
        <v/>
      </c>
      <c r="F74" t="inlineStr"/>
      <c r="G74" t="inlineStr"/>
      <c r="H74" t="inlineStr"/>
      <c r="I74" t="inlineStr">
        <is>
          <t>**AI/ML Operations Manager \| Chicago, IL \| Hybrid \| $119,300 \- $160,000** 
 We're working with Ulta Beauty on this exciting opportunity."]
 Ulta Beauty is seeking a highly skilled and experienced AI/ML Operations Manager to lead the operationalization and governance of our rapidly evolving AI/ML landscape. This role is critical in ensuring the robust, ethical, and efficient deployment of AI/ML solutions across the enterprise. The successful candidate will be a hands\-on leader, adept at building and optimizing operational frameworks, and deeply knowledgeable in the latest AI/ML platforms and methodologies.
**The Role** 
 • Establish and refine AI/ML operational governance frameworks aligned with Ulta Beauty’s standards, covering the entire AI/ML lifecycle.
 • Oversee key AI/ML platforms like Databricks and Google Cloud Platform (GCP) for optimal performance, scalability, and cost\-efficiency.
 • Develop and manage robust processes for AI/ML model deployment, monitoring, maintenance, and retraining, implementing MLOps best practices.
 • Cultivate strong relationships with AI/ML technology vendors, ensuring effective partnership and strategic alignment.
 • Identify, assess, and mitigate risks associated with AI/ML systems, ensuring compliance with policies and regulations.
**What You'll Need** 
 • Bachelor’s degree in Computer Science, Data Science, Engineering, or a related quantitative field.
 • 5\+ years in AI/ML operations or MLOps, with at least 2 years in a leadership/managerial capacity.
 • Proven experience establishing and managing operational governance frameworks for AI/ML systems.
 • Strong hands\-on experience with Google Cloud Platform (GCP) and Databricks platform.
 • Familiarity with LLMs, SLMs, MCP, and Agentic AI concepts and practical applications.
**What's On Offer** 
 • Opportunity to shape the future of AI/ML at a leading beauty retailer.
 • Collaborate with whip\-smart colleagues in a dynamic, fast\-paced environment.
 • Competitive pay range: $119,300\.00 \- $160,000\.00 / Year with bonus opportunities.
 • Comprehensive benefits package including health, dental, vision, life, and disability.
**Apply via Haystack today!**</t>
        </is>
      </c>
    </row>
    <row r="75">
      <c r="A75" t="inlineStr">
        <is>
          <t>li-4361715892</t>
        </is>
      </c>
      <c r="B75" t="inlineStr">
        <is>
          <t>Senior AI Engineer</t>
        </is>
      </c>
      <c r="C75" t="inlineStr">
        <is>
          <t>ChatGPT Jobs</t>
        </is>
      </c>
      <c r="D75" t="inlineStr">
        <is>
          <t>linkedin</t>
        </is>
      </c>
      <c r="E75">
        <f>HYPERLINK("https://www.linkedin.com/jobs/view/4361715892", "https://www.linkedin.com/jobs/view/4361715892")</f>
        <v/>
      </c>
      <c r="F75" t="inlineStr"/>
      <c r="G75" t="inlineStr"/>
      <c r="H75" t="inlineStr"/>
      <c r="I75" t="inlineStr">
        <is>
          <t>**Job Description**
 Senior AI Engineer
 Doctor Evidence
 Remote Nationwide,
* Remote
* Full\-Time
 Salary: DOE
 Title: Senior AI Engineer
 Reports to: VP, Software Engineering / Chief Architect
 Status: Employee, Exempt
 Location: Remote (must be located in the US)
 Hire Date: Immediate
**Company Summary**
 Dr.Evidence is the preeminent AI\-powered insights platform for life sciences, enabling teams to generate rapid and relevant insights grounded in published medical literature, clinical trial data, drug labels, regulatory documents and beyond, delivering value from drug discovery through commercialization. We push the boundaries of healthcare technology and allow for new possibilities in science, enabling more informed decision making and faster time\-to\-market for accelerated impact.
**Research \&amp; Development (r\&amp;d) Organization Summary**
 The Dr.Evidence R\&amp;D organization includes software engineers, QA/QC engineers, product management, scrum masters, and business analysts. R\&amp;D is responsible for all aspects of product development, from ideation to maintenance. Our software engineers are experienced, talented, precise, and move at a fast pace to ensure speed\-to\-market goals for our customers are met.
**Responsibilities**
* Research \&amp; Prototyping
+ Rapidly prototype state\-of\-the\-art ML/NLP/LLM architectures using frameworks like Python, PyTorch, Hugging Face, and LangChain/LangGraph.
+ Assess open\-source and commercial models (e.g., Llama 3, Mistral, GPT\-series, Qwen, and other modern LLM architectures) for accuracy, latency, cost, hallucination risk, and compliance.
+ Run structured model evaluations (accuracy, relevance, precision/recall, hallucination checks).
* Model Development \&amp; Training
+ Build scalable training pipelines for supervised and self\-supervised learning paradigms.
+ Implement efficient techniques such as LoRA/QLoRA, instruction tuning, and quantization when needed.
+ Develop agentic workflows (tool\-calling, iterative reasoning, ranking, and multi\-step pipelines) for real\-world use cases.
+ Improve and maintain existing ML pipelines.
+ Optimize inference performance with batching, quantization, and efficient serving frameworks.
* Retrieval\-Augmented Generation (RAG) \&amp; Search
+ Design and optimize RAG systems that integrate with internal data sources.
+ Build hybrid retrieval using Elasticsearch/BM25 \+ vector search (PGVector or other vector DBs).
+ Tune chunking, embeddings, reranking, and hallucination\-prevention strategies for long documents.
* Data Engineering for AI
+ Prepare and refine text datasets for training, evaluation, and fine\-tuning.
+ Generate synthetic training data using LLMs to improve extraction accuracy, classification, and reasoning.
+ Build small, targeted datasets for fine\-tuning domain\-specific models.
* LLM Specialization
+ Fine\-tune and align open\-source LLMs for domain\-specific tasks (RAG, agents, tool\-calling, reasoning).
+ Implement safety layers: prompt guards, output filters, adversarial robustness testing.
* Productionization \&amp; MLOps
+ Containerize models with Docker; orchestrate with Docker Swarm.
+ Build monitoring for model quality, latency, hallucinations, and regressions.
+ Collaborate with DevOps and Architecture teams on cost, performance, and scalability decisions.
+ Implement observability around prompts, retrieval, and model outputs.
* Cross\-Functional Impact
+ Collaborate with Product to define AI roadmaps and success metrics.
+ Partner with Product and Engineering to design new AI capabilities across modules.
**Qualifications**
* Education: MS/PhD in CS, ML, Data Science, or related field; or BS \+ 5\+ years of intensive AI industry experience.
* Core Technical Skills:
+ Languages: Python (expert); familiarity with modern web stacks (e.g., PERN) is a plus.
+ Experience with PyTorch, Hugging Face Transformers, and common LLM tooling (PEFT, LoRA, QLoRA).
+ Strong understanding of NLP: tokenization, embeddings, chunking, NER, classification, summarization.
+ Experience with RAG pipelines, vector databases, retrieval/ranking strategies.
+ Experience designing and running model evaluation pipelines.
+ Comfortable with Docker\-based deployments and cloud environments.
+ Knowledge of Elasticsearch.
* Proven Track Record:
+ Shipped at least 3 production LLM\-powered features (e.g., chatbots, summarizers, agents).
+ Experience working with modern large\-scale models.
+ Experience designing clean, maintainable architectures for LLM features.
+ Strong documentation and communication skills.</t>
        </is>
      </c>
    </row>
    <row r="76">
      <c r="A76" t="inlineStr">
        <is>
          <t>li-4361801195</t>
        </is>
      </c>
      <c r="B76" t="inlineStr">
        <is>
          <t>Senior AI Engineer</t>
        </is>
      </c>
      <c r="C76" t="inlineStr">
        <is>
          <t>ChatGPT Jobs</t>
        </is>
      </c>
      <c r="D76" t="inlineStr">
        <is>
          <t>linkedin</t>
        </is>
      </c>
      <c r="E76">
        <f>HYPERLINK("https://www.linkedin.com/jobs/view/4361801195", "https://www.linkedin.com/jobs/view/4361801195")</f>
        <v/>
      </c>
      <c r="F76" t="inlineStr"/>
      <c r="G76" t="inlineStr"/>
      <c r="H76" t="inlineStr"/>
      <c r="I76" t="inlineStr">
        <is>
          <t>**Job Description**
 Senior AI Engineer
* Company: Further
* Location: Cleveland, OH (On\-site, Remote)
* Salary: $101\.30K \- $139\.20K/yr (Estimated pay)
* Type: Full\-time
* Posted: 8 hours ago
**Job Description:**
 Further is seeking a Senior AI Engineer to lead the development of our cloud\-based (Google Cloud), commercial AI products. You will bridge the gap between experimental data science prototypes and production\-grade software. You will architect the robust systems and LLMOps workflows necessary to transform AI models into reliable, enterprise\-ready applications. By designing stable backend architectures and seamless integration layers, you will ensure our AI solutions are not just functional, but ethical, efficient, and high\-value products that meet the rigorous demands of our commercial clients.
**Experience Required:**
* 6\+ years of software engineering experience with at least 3 years dedicated to AI/ML application development.
* Expert proficiency in Python AI application development and modern API architecture (REST, GraphQL, gRPC) using enterprise standards like static type checking and data validation.
* Deep experience building production applications with LLM frameworks such as LangChain, LangGraph or LlamaIndex.
* Hands\-on expertise with vector databases (Pinecone, Weaviate, PostgreSQL) and search algorithms.
* Strong understanding of LLMOps principles, including model registry, versioning, and serving infrastructure specifically in Google Cloud.
* Experience in Typescript development for prototyping and integrations.
* Proficiency with git workflows and understanding of standard application development processes.
**Preferred Qualifications:**
* Knowledge of advanced prompt engineering and fine\-tuning techniques (LoRA, PEFT).
* Experience optimizing inference costs and latency for large\-scale deployments.
* Previous experience in a client\-facing consulting role, managing diverse stakeholders and navigating complex organizational structures.
**Responsibilities:**
* Define the end\-to\-end architecture for AI products on Google Cloud Platform (GCP), ensuring high availability, security, and cost\-effectiveness.
* Architect and develop high\-performance backend services and APIs using Python (FastAPI) to serve large language models at scale.
* Design advanced Retrieval\-Augmented Generation (RAG) systems, selecting and managing vector databases and optimizing embedding strategies for accuracy and speed.
* Build robust integration layers that connect AI agents securely to external enterprise systems, CRMs, and legacy databases.
* Conduct code reviews, provide technical guidance, and foster a culture of continuous learning and innovation within the engineering team.
* Collaborate with infrastructure teams to define deployment strategies, ensuring solutions scale dynamically under load.
* Lead the implementation of rigorous evaluation frameworks to monitor model performance, drift, and cost in real\-time.
**First Year Goals:**
* Develop reusable internal libraries and architectural patterns and standards to accelerate the delivery of AI solutions across multiple client engagements.
* Mentor engineers on best practices for building deterministic software around probabilistic AI models.
**Benefits:**
 Total rewards program includes net\-zero cost medical option, company contributions to your HSA, fertility support, fully\-paid parental leave, a monthly stipend for your lifestyle spending account, and much more.</t>
        </is>
      </c>
    </row>
    <row r="77">
      <c r="A77" t="inlineStr">
        <is>
          <t>li-4368874365</t>
        </is>
      </c>
      <c r="B77" t="inlineStr">
        <is>
          <t>Senior AI Engineer</t>
        </is>
      </c>
      <c r="C77" t="inlineStr">
        <is>
          <t>Assail</t>
        </is>
      </c>
      <c r="D77" t="inlineStr">
        <is>
          <t>linkedin</t>
        </is>
      </c>
      <c r="E77">
        <f>HYPERLINK("https://www.linkedin.com/jobs/view/4368874365", "https://www.linkedin.com/jobs/view/4368874365")</f>
        <v/>
      </c>
      <c r="F77" t="inlineStr"/>
      <c r="G77" t="inlineStr">
        <is>
          <t>Boston, MA</t>
        </is>
      </c>
      <c r="H77" t="inlineStr"/>
      <c r="I77" t="inlineStr">
        <is>
          <t>**Focus:** 
 Model Intelligence, Reasoning Quality, and Adversarial Robustness
**Level:** 
 Senior / Staff
**Experience** 
* **6\+ years** 
 professional software engineering experience
* **3\+ years** 
 building and operating AI/ML systems in production
* Demonstrated ownership of LLM\-backed features from design → deployment → iteration
**Responsibilities** 
**Model Development \&amp; Fine\-Tuning** 
* Own and evolve our
 **proprietary 14B\+ parameter security\-focused LLM** 
 , built using LoRA/QLoRA adapters on an open\-source foundation model
* Manage the full fine\-tuning lifecycle: dataset curation, training runs, adapter merging, and deployment
* Expand model capabilities across
 **mobile security testing, API penetration testing, and code deobfuscation** 
 domains
* Optimize inference performance using
 **vLLM** 
 for high\-throughput, low\-latency serving with multi\-model routing
**Agentic \&amp; Tool\-Based Workflows** 
* Design and extend our
 **gRPC\-based agent swarm architecture** 
 ("Polemos" orchestrator) for autonomous security testing
* Build agents capable of
 **controlled tool use** 
 for multi\-step penetration testing workflows
* Enforce strict tenant isolation, execution boundaries, and audit trails to prevent misuse or data exfiltration
* Work with
 **Kafka pub/sub** 
 for real\-time agent coordination and event streaming
**Knowledge \&amp; Retrieval Systems** 
* Architect and maintain retrieval pipelines using
 **Qdrant** 
 for vector similarity search and
 **Neo4j** 
 for episodic memory and relationship graphs
* Design context injection strategies for grounding model outputs in
 **OWASP standards (MASWE, MASTG, MASVS, API Top 10\)**
* Prevent data leakage and unintended retrieval in adversarial or malformed inputs
**Prompt Engineering \&amp; Training Data** 
* Build and curate
 **domain\-specific training datasets** 
 (we have 340k\+ deobfuscation pairs and growing)
* Standardize prompt management and versioning across our inference endpoints
* Enforce structured outputs using schemas and validators to ensure deterministic downstream behavior
**Evaluation, Benchmarking \&amp; Quality Control** 
* Build and maintain
 **golden datasets** 
 for automated regression testing of model outputs
* Design evaluations that measure:
* Accuracy and recall on security findings
* False positives / hallucination rates
* Adversarial and misuse scenarios
* Red\-team model behavior against prompt injection, tool injection, and malformed inputs
**Security\-Grade Output \&amp; Evidence** 
* Ensure AI\-generated findings are
 **evidence\-backed, reproducible, and auditable**
* Design outputs suitable for security reports, including reproduction steps and supporting artifacts
* Integrate findings with compliance frameworks (OWASP MASWE/MASTG mapping)
**Technical Requirements** 
**Core Languages** 
* **Python (Expert)**
* SQL (for analysis, evaluation datasets, and metrics)
**AI / ML Stack** 
* **PyTorch** 
 (required)
* **Hugging Face Transformers** 
 and
 **PEFT** 
 for LoRA/QLoRA fine\-tuning
* **vLLM** 
 for production inference serving
* Experience with
 **BitsAndBytes** 
 quantization (INT4/INT8\) for memory\-efficient training
* Familiarity with training optimization tools (Unsloth, DeepSpeed, or similar)
**Infrastructure \&amp; Communication** 
* **gRPC** 
 and
 **Protobuf** 
 for service communication
* **Apache Kafka** 
 for event streaming and agent coordination
* **FastAPI** 
 for API development
**Retrieval \&amp; Storage** 
* Vector databases:
 **Qdrant** 
 (primary) or equivalent (Milvus, Pinecone)
* Graph databases:
 **Neo4j** 
 for relationship modeling
* Experience debugging embedding quality and retrieval failures
**Observability \&amp; Experimentation** 
* **Prometheus** 
 metrics and custom tracing for model observability
* Experiment tracking with
 **Weights \&amp; Biases** 
 or equivalent
* Ability to instrument and debug hallucinations, retrieval misses, and tool failures
**Required Domain Awareness** 
* Defending against
 **prompt injection and tool injection**
* Preventing data exfiltration through RAG or tool misuse
* Designing AI systems for
 **adversarial user behavior**
* Understanding the implications of handling sensitive security data (PII, credentials, logs)
* Multi\-tenant isolation patterns in AI systems
**Preferred Experience** 
* Prior work in
 **cybersecurity, mobile security, or adversarial ML environments**
* Familiarity with
 **OWASP standards** 
 (MASWE, MASTG, MASVS, API Security Top 10\)
* Experience with
 **Android code deobfuscation** 
 (ProGuard/R8 patterns)
* Background in API penetration testing methodologies
* Demonstrated leadership in AI system design or ownership of critical production features
**What This Role Is Not** 
* Not a research\-only role
* Not a "prompt tinkerer" position
* Not a chatbot\-for\-PDFs job
 This role owns
 **reasoning quality, safety, and correctness** 
 in an adversarial security product—you'll be directly shaping the intelligence behind autonomous penetration testing agents.</t>
        </is>
      </c>
    </row>
    <row r="78">
      <c r="A78" t="inlineStr">
        <is>
          <t>li-4370038949</t>
        </is>
      </c>
      <c r="B78" t="inlineStr">
        <is>
          <t>Machine Learning Engineer</t>
        </is>
      </c>
      <c r="C78" t="inlineStr">
        <is>
          <t>Jobs via Dice</t>
        </is>
      </c>
      <c r="D78" t="inlineStr">
        <is>
          <t>linkedin</t>
        </is>
      </c>
      <c r="E78">
        <f>HYPERLINK("https://www.linkedin.com/jobs/view/4370038949", "https://www.linkedin.com/jobs/view/4370038949")</f>
        <v/>
      </c>
      <c r="F78">
        <f>HYPERLINK("https://click.appcast.io/t/RSO47SWkMrbth75Dwo998j29qxL83I6030QCdeMwzUc=&amp;urlHash=FMA8", "https://click.appcast.io/t/RSO47SWkMrbth75Dwo998j29qxL83I6030QCdeMwzUc=&amp;urlHash=FMA8")</f>
        <v/>
      </c>
      <c r="G78" t="inlineStr">
        <is>
          <t>California, United States</t>
        </is>
      </c>
      <c r="H78" t="inlineStr"/>
      <c r="I78" t="inlineStr">
        <is>
          <t>**Our Mission**
 At Palo Alto Networks ,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Summary**
 Job Summary
 As a Machine Learning Engineer on our Internet Security Research Team, you will be a key innovator transforming ideas into products for our next\-generation security platform. You will work with data scientists and security researchers to implement projects that detect and defend against emerging web security threats. This role is part of our dedicated 2026 New Hire cohort, with an anticipated start date in August 2026\.
 Key Responsibilities
 Perform in\-depth data analysis to deeply understand security data and the threat domain.
 Design, train, and evaluate machine learning algorithms to significantly improve the analytical performance of threat detection models.
 Build and productionize machine learning models and develop the distributed systems that utilize them to analyze and categorize enormous volumes of URLs.
 Design and build robust, scalable machine learning systems, carefully balancing cost with model performance.
 Establish automated training pipelines and develop data analytics tools to incrementally enhance model performance on a growing dataset.
 Proactively collaborate with data scientists, security researchers, and Product Managers to gather requirements, design, and implement systems.
 Challenge existing approaches curiously and positively to simplify complex systems and improve efficiency.
 Work effectively with other engineers and SREs on release, deployment, and operational processes, ensuring alignment and accountability.
**Qualifications**
 Required Qualifications
 MS or PhD in Machine Learning, Computer Science, Data Science, or a related field, with graduation expected between December 2025 and July 2026\.
 Proficiency in at least one programming language such as Python, Java, or Golang.
 Experience applying supervised and/or unsupervised machine learning algorithms on various data types.
 Extensive knowledge of ML frameworks and libraries (e.g., Scikit\-learn, MLlib, Tensorflow, Keras, Kubeflow).
 Experience with big data technologies and infrastructure, such as Hadoop or Spark.
**Preferred Qualifications**
 Working knowledge of Natural Language Processing (NLP) techniques or document classification.
 Familiarity with advanced machine learning architectures like transformers and convolutional networks.
 Experience with cloud platforms (Google Cloud Platform, AWS) and container\-based development (Docker, Kubernetes).
 Ability to design, implement, and deploy system components, including regression and integration testing.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the annual range listed below. The offered compensation may also include restricted stock units and a bonus. A description of our employee benefits may be found here.
 $129,100\.00 \- $208,825\.00/yr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t>
        </is>
      </c>
    </row>
    <row r="79">
      <c r="A79" t="inlineStr">
        <is>
          <t>li-4370046273</t>
        </is>
      </c>
      <c r="B79" t="inlineStr">
        <is>
          <t>Staff Full Stack / AI Engineer</t>
        </is>
      </c>
      <c r="C79" t="inlineStr">
        <is>
          <t>Piper Companies</t>
        </is>
      </c>
      <c r="D79" t="inlineStr">
        <is>
          <t>linkedin</t>
        </is>
      </c>
      <c r="E79">
        <f>HYPERLINK("https://www.linkedin.com/jobs/view/4370046273", "https://www.linkedin.com/jobs/view/4370046273")</f>
        <v/>
      </c>
      <c r="F79">
        <f>HYPERLINK("https://careers.pipercompanies.com/details/159386/staff_full_stack_ai_engineer&amp;urlHash=kNSk", "https://careers.pipercompanies.com/details/159386/staff_full_stack_ai_engineer&amp;urlHash=kNSk")</f>
        <v/>
      </c>
      <c r="G79" t="inlineStr">
        <is>
          <t>Raleigh, NC</t>
        </is>
      </c>
      <c r="H79" t="inlineStr"/>
      <c r="I79" t="inlineStr">
        <is>
          <t>Piper Companies is seeking a
 **Staff Full Stack / AI Engineer** 
 to join an innovative organization in the mobile and web\-based learning platform industry. The
 **Staff Full Stack / AI Engineer** 
 role is ideal for a seasoned professional passionate about building scalable applications and leveraging AI/ML technologies to enhance user experiences.
**Responsibilities of the Staff Full Stack / AI Engineer:**
* Design, develop, and maintain full\-stack applications for mobile and web\-based learning platforms.
* Collaborate with the R\&amp;D team to research, test, and implement emerging technologies and frameworks.
* Integrate AI/ML models into production systems to improve personalization and learning outcomes.
* Build and optimize APIs and backend services using Node.js and TypeScript.
* Work with MongoDB or other NoSQL databases to ensure efficient data storage and retrieval.
* Participate in code reviews, performance tuning, and troubleshooting to maintain high\-quality standards.
* Contribute to architectural decisions and mentor junior engineers on best practices.
**Qualifications of the Staff Full Stack / AI Engineer:**
* 8\+ years of professional experience in software engineering, with strong expertise in TypeScript and Node.js.
* Proven experience with AI/ML concepts and practical implementation in production environments.
* Hands\-on experience with MongoDB or other NoSQL databases.
* Strong understanding of modern web and mobile application development practices.
* Ability to learn and adapt quickly to new technologies in support of R\&amp;D initiatives.
* Excellent problem\-solving skills and a collaborative mindset.
**Compensation for the Staff Full Stack / AI Engineer includes:**
* Salary range: $175,000 \- $210,000
* Comprehensive benefits package including medical, dental, vision, 401(k), and PTO
* Flexible work arrangements
 This job opens for applications on 2/7/2026\. Applications for this job will be accepted for at least 30 days from the posting date.
 \#REMOTE</t>
        </is>
      </c>
    </row>
    <row r="80">
      <c r="A80" t="inlineStr">
        <is>
          <t>li-4370056401</t>
        </is>
      </c>
      <c r="B80" t="inlineStr">
        <is>
          <t>Senior Machine Learning Engineer, GAI Search Relevance - Moveworks</t>
        </is>
      </c>
      <c r="C80" t="inlineStr">
        <is>
          <t>Jobs via Dice</t>
        </is>
      </c>
      <c r="D80" t="inlineStr">
        <is>
          <t>linkedin</t>
        </is>
      </c>
      <c r="E80">
        <f>HYPERLINK("https://www.linkedin.com/jobs/view/4370056401", "https://www.linkedin.com/jobs/view/4370056401")</f>
        <v/>
      </c>
      <c r="F80" t="inlineStr"/>
      <c r="G80" t="inlineStr">
        <is>
          <t>Mountain View, CA</t>
        </is>
      </c>
      <c r="H80" t="inlineStr"/>
      <c r="I80"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**Senior Machine Learning Engineer, GAI Search Relevance
 What You Will Do**
 We are looking for a search relevance engineer to work with a team to improve a search based question answering platform. At Moveworks, we build search technology to answer enterprise users' tech questions instantly, by combining modern information retrieval methodology with the latest advancement in natural language understanding. Our core Search product value is achieved through the capability of accurately retrieving, matching and ranking text snippets extracted from heterogeneous knowledge sources, as direct answers to users' requests. You will play a critical role in boosting answer quality by meeting the challenges such as lexical gap, semantic text understanding, and data sparsity.
 We're building a team that indexes on moving fast, solving challenging product/engineering problems and providing value to our customers. To be successful, you'll be partnering with product, user experience, customer success and other engineering teams to identify, define and build elegant solutions.
* Craft new ranking features and optimizing existing ones to enhance relevance metrics
* Develop algorithm framework to support diversified ranking features
* Design platform and tooling to enable parallel ranking experiments
* Develop metrics to evaluate ranking performance
**Qualifications**
**What You Bring To The Table**
* First\-hand experience in traditional information retrieval techniques, or machine learning based ranking models
* Capable of deriving insights from query logs analysis and identifying areas of improvement for search quality
* Background in text processing, information retrieval, natural language understanding, or machine learning
**Nice to Have**
* Experience in Golang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is>
      </c>
    </row>
    <row r="81">
      <c r="A81" t="inlineStr">
        <is>
          <t>li-4370045502</t>
        </is>
      </c>
      <c r="B81" t="inlineStr">
        <is>
          <t>Staff Machine Learning Engineer, GAI Search Relevance - Moveworks</t>
        </is>
      </c>
      <c r="C81" t="inlineStr">
        <is>
          <t>Jobs via Dice</t>
        </is>
      </c>
      <c r="D81" t="inlineStr">
        <is>
          <t>linkedin</t>
        </is>
      </c>
      <c r="E81">
        <f>HYPERLINK("https://www.linkedin.com/jobs/view/4370045502", "https://www.linkedin.com/jobs/view/4370045502")</f>
        <v/>
      </c>
      <c r="F81" t="inlineStr"/>
      <c r="G81" t="inlineStr">
        <is>
          <t>Mountain View, CA</t>
        </is>
      </c>
      <c r="H81" t="inlineStr"/>
      <c r="I81"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**What You Will Do**
 We are looking for a search relevance engineer to work with a team to improve a search based question answering platform. At Moveworks, we build search technology to answer enterprise users' tech questions instantly, by combining modern information retrieval methodology with the latest advancement in natural language understanding. Our core Search product value is achieved through the capability of accurately retrieving, matching and ranking text snippets extracted from heterogeneous knowledge sources, as direct answers to users' requests. You will play a critical role in boosting answer quality by meeting the challenges such as lexical gap, semantic text understanding, and data sparsity.
 We're building a team that indexes on moving fast, solving challenging product/engineering problems and providing value to our customers. To be successful, you'll be partnering with product, user experience, customer success and other engineering teams to identify, define and build elegant solutions.
* Craft new ranking features and optimizing existing ones to enhance relevance metrics
* Develop algorithm framework to support diversified ranking features
* Design platform and tooling to enable parallel ranking experiments
* Develop metrics to evaluate ranking performance
**Qualifications**
**What You Bring To The Table**
* First\-hand experience in traditional information retrieval techniques, or machine learning based ranking models
* Capable of deriving insights from query logs analysis and identifying areas of improvement for search quality
* Background in text processing, information retrieval, natural language understanding, or machine learning
**Nice to Have**
* Experience in Golang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is>
      </c>
    </row>
    <row r="82">
      <c r="A82" t="inlineStr">
        <is>
          <t>li-4370040828</t>
        </is>
      </c>
      <c r="B82" t="inlineStr">
        <is>
          <t>Senior Applied AI Engineer</t>
        </is>
      </c>
      <c r="C82" t="inlineStr">
        <is>
          <t>Jobs via Dice</t>
        </is>
      </c>
      <c r="D82" t="inlineStr">
        <is>
          <t>linkedin</t>
        </is>
      </c>
      <c r="E82">
        <f>HYPERLINK("https://www.linkedin.com/jobs/view/4370040828", "https://www.linkedin.com/jobs/view/4370040828")</f>
        <v/>
      </c>
      <c r="F82">
        <f>HYPERLINK("https://click.appcast.io/t/lQbf_8BnIZzkBNZ8erh4Wjy0Pjflfv4n6VMYFwkbafQ=&amp;urlHash=yRNX", "https://click.appcast.io/t/lQbf_8BnIZzkBNZ8erh4Wjy0Pjflfv4n6VMYFwkbafQ=&amp;urlHash=yRNX")</f>
        <v/>
      </c>
      <c r="G82" t="inlineStr">
        <is>
          <t>Redmond, WA</t>
        </is>
      </c>
      <c r="H82" t="inlineStr"/>
      <c r="I82" t="inlineStr">
        <is>
          <t>**Overview**
 Microsoft is seeking a
 **Senior Applied AI Engineer** 
 to join a pioneering team focused on building the future of automated business workflows through Agentic AI systems and Digital Collaborators. This role is part of the Software Engineering discipline and combines strong engineering fundamentals with deep applied AI expertise.
 You will work at the intersection of generative AI, large language models (LLMs), and Conversational and autonomous agent architectures, building intelligent systems capable of reasoning, planning, and executing complex, multi\-step tasks across enterprise environments.
 As part of the Microsoft Dynamics organization, you will help shape the next generation of intelligent assistants and digital collaborators that deliver real business outcomes at scale. You will take applied AI solutions from experimentation through production deployment, influencing system architecture, product direction, and customer experience.
**Culture \&amp; Values**
 You'll be part of an inclusive, customer\-driven team that values growth mindset, collaboration, and continuous learning. Our team is passionate about building AI solutions that empower users and transform industries. We operate at the forefront of AI innovation, with a strong sense of ownership, creativity, and purpose.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build, and ship AI\-powered software systems leveraging generative AI, LLMs, and agentic reasoning frameworks.
* Develop and integrate autonomous AI agents capable of task decomposition, multi\-step planning, memory, tool usage, and dynamic decision\-making across enterprise workflows.
* Apply state\-of\-the\-art techniques including foundation models, prompt engineering, retrieval\-augmented generation (RAG), multi\-agent architectures, and classical machine learning where appropriate.
* Fine\-tune and adapt foundation models using domain\-specific data, and evaluate model behavior across relevance, quality, hallucination, bias, latency, and cost.
* Build rapid prototypes and translate them into production\-grade systems, contributing to deployment, debugging, monitoring, and operational excellence.
* Design and implement evaluation frameworks and automated evaluators, using offline experiments, shadow testing, online experimentation, and telemetry to measure impact and guide iteration.
* Partner closely with product managers, researchers, and engineers to bring agentic capabilities into Microsoft's business and productivity platforms.
* Write high\-quality, well\-documented, and maintainable code, along with clear technical design specifications.
* Mentor engineers and contribute to raising the overall engineering and applied AI bar across the team.
* Apply Responsible AI principles throughout the development lifecycle, proactively identifying and mitigating risks related to fairness, bias, privacy, security, and misuse.
**Qualifications**
**Required Qualifications:**
* Bachelor's Degree in Computer Science, Engineering, Data Science, Math, Business, or related field AND 4\+ years experience in engineering, product/technical program management, data analysis, or product development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8\+ years of professional software development experience with at least one of the following: C\#, C\+\+, or Java.
* 8\+ years of professional experience building cloud applications, preferably full stack.
* 3\+ years of experience with GenAI, LLMs, or agentic systems.
* Experience designing and implementing enterprise\-scale services.
* Experience delivering Dynamics 365 and/or Power Platform solutions is desirable.
* Experience in agentic AI development and leveraging AI tools for development.
* Verbal, written, and cross\-team collaboration skills.
* Team player and collaborator across time zones and diverse stakeholder groups.
* Passion for improving software quality and engineering excellence.
* Experience developing, debugging, and supporting code in object\-oriented languages, as well as writing database queries.
* Experience building infrastructure using Microsoft Azure technologies such as Service Fabric, App Service, and Docker.
 \#BICjosbs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83">
      <c r="A83" t="inlineStr">
        <is>
          <t>li-4370039965</t>
        </is>
      </c>
      <c r="B83" t="inlineStr">
        <is>
          <t>Staff/Sr Staff AI Engineer Scientist</t>
        </is>
      </c>
      <c r="C83" t="inlineStr">
        <is>
          <t>Jobs via Dice</t>
        </is>
      </c>
      <c r="D83" t="inlineStr">
        <is>
          <t>linkedin</t>
        </is>
      </c>
      <c r="E83">
        <f>HYPERLINK("https://www.linkedin.com/jobs/view/4370039965", "https://www.linkedin.com/jobs/view/4370039965")</f>
        <v/>
      </c>
      <c r="F83">
        <f>HYPERLINK("https://click.appcast.io/t/Neuwqd5Q8DEZBSQfDPwfoXYFx3XuIDkC51Y_YFthF7k=&amp;urlHash=-W5j", "https://click.appcast.io/t/Neuwqd5Q8DEZBSQfDPwfoXYFx3XuIDkC51Y_YFthF7k=&amp;urlHash=-W5j")</f>
        <v/>
      </c>
      <c r="G83" t="inlineStr">
        <is>
          <t>California, United States</t>
        </is>
      </c>
      <c r="H83" t="inlineStr"/>
      <c r="I83" t="inlineStr">
        <is>
          <t>**Our Mission**
 At Palo Alto Networks ,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Summary**
 Your Career
 As a Staff, Senior Staff AI Engineer/AI Scientist for Enterprise AI Solutions, you will be a critical technical leader responsible for the hands\-on design, development, and implementation of AI\-powered solutions that solve challenging business problems across IT and various enterprise functions (Sales, Marketing, Finance, HR, Legal, etc.). You will work closely with Principal and Distinguished Architects to translate high\-level strategies into concrete AI solution designs and robust, scalable, and ethical implementations. This role demands deep technical expertise, a strong ability to solve complex problems, and a commitment to mentoring other engineers, leveraging our Enterprise AI Platform to deliver measurable business impact
 Your Impact
 AI Solution Implementation: Lead the design and implementation of AI solutions, translating business problems into AI designs, and managing model selection, data requirements, and integration for AI applications.
 Platform Development: Develop and implement core components of the enterprise AI/ML platform, ensuring scalability and security. Contribute to the lifecycle of traditional and Generative AI model deployment and real\-time inference systems.
 System Optimization: Design and optimize large\-scale AI/ML systems for performance, reliability, and developer\-friendliness, focusing on low latency and high throughput in real\-time AI applications.
 Technology Adoption: Evaluate and integrate new AI tools, frameworks, and cloud solutions, aligning with architectural guidelines. Lead POCs for emerging AI innovations.
 Architectural Best Practices: Champion design standards and best practices for AI systems, guiding junior engineers.
 Technical Leadership: Mentor AI/ML engineers, lead design discussions, and perform code reviews, fostering engineering excellence.
 Cross\-Functional Collaboration: Partner with Data Scientists, ML Engineers, Product Managers, and IT stakeholders to develop production\-grade AI solutions.
 Responsible AI \&amp; Quality: Ensure AI systems comply with responsible AI principles and security policies. Implement automated testing and monitoring.
 Innovation \&amp; Research: Apply cutting\-edge AI/ML techniques to solve problems and improve solutions, staying updated on advancements in Generative AI and LLMs.
**Qualifications**
 Your Experience
 8\+ years in software engineering, with 5\+ years in Data science/AI/ML experience.
 Experience deploying enterprise AI/ML systems.
 Understanding of the AI lifecycle.
 Experience with distributed systems and streaming data.
 Hands\-on experience with Generative AI and LLMs.
 Proficiency in AI/ML frameworks and cloud platforms.
 Strong programming skills (Python and C\+\+).
 Excellent communication skills.
 Masters/Bachelors degree in Computer Science or related field.
 Preferred Qualifications:
 PhD degree in Computer Science , Applied Mathematics , Machine Learning or related computation field.
 Experience with open\-source AI projects.
 Prior technical lead role for AI/ML projects.
 Familiarity with cybersecurity principles for AI.
 What we are looking for?
 Deep Technical Expertise: Strong foundation in machine learning (theory and application), deep learning, statistical modeling, and relevant programming languages (Python, R) and libraries (TensorFlow, PyTorch, scikit\-learn).
 Proven Research \&amp; Innovation: Track record of conceiving and executing novel research, publishing in top\-tier conferences/journals, or delivering innovative AI solutions with significant business impact.
 System Design \&amp; Scalability: Ability to design, build, and deploy scalable and robust AI systems. Understanding of MLOps and data engineering principles.
 Problem Solving \&amp; Critical Thinking: Excellent analytical skills to tackle complex, ambiguous problems and break them down into manageable parts.
 Leadership \&amp; Mentorship: Experience in leading projects, guiding junior team members, and influencing technical direction.
 Communication \&amp; Collaboration: Ability to clearly communicate complex technical concepts to diverse audiences (technical and non\-technical) and collaborate effectively with cross\-functional teams.
 Business Acumen \&amp; Impact Focus: Understanding of how AI can drive business value and ability to translate research/technical work into tangible outcomes.
 Continuous Learning: Passion for staying up\-to\-date with the latest advancements in AI.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the annual range listed below. The offered compensation may also include restricted stock units and a bonus. A description of our employee benefits may be found here.
 $145,000\.00 \- $235,500\.00/yr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2026-02-08T02:44:43Z</dcterms:created>
  <dcterms:modified xsi:type="dcterms:W3CDTF">2026-02-08T02:44:43Z</dcterms:modified>
</cp:coreProperties>
</file>