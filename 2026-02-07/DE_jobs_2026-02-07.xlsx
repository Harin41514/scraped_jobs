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in-158e99cbf49be60c</t>
        </is>
      </c>
      <c r="B2" t="inlineStr">
        <is>
          <t>Lead Data Engineer</t>
        </is>
      </c>
      <c r="C2" t="inlineStr">
        <is>
          <t>Ness Digital Engineering</t>
        </is>
      </c>
      <c r="D2" t="inlineStr">
        <is>
          <t>indeed</t>
        </is>
      </c>
      <c r="E2" t="inlineStr"/>
      <c r="F2" t="inlineStr"/>
      <c r="G2" t="inlineStr">
        <is>
          <t>Boston, MA, US</t>
        </is>
      </c>
      <c r="H2" s="2" t="n">
        <v>46059</v>
      </c>
      <c r="I2" t="inlineStr">
        <is>
          <t>**Job Title: Lead Data Engineer / Data Architect****Location:** New York City, NY; Secondary location \- Boston, MA (Onsite – 5 days/week)**About the Role:**  
We are seeking an experienced Lead Data Engineer / Data Architect to spearhead the design, development, and implementation of our enterprise data platform. This role will be instrumental in shaping and driving our data engineering roadmap, ensuring scalability, performance, and innovation. The ideal candidate combines deep technical expertise with strong leadership skills and a solid understanding of financial services data domains.**Key Responsibilities:*** Lead the **data architecture and engineering strategy**, ensuring alignment with business and technology roadmaps.
* Design and implement **data models, pipelines, and data integration frameworks** across multiple platforms.
* Partner with stakeholders to translate business requirements into **scalable data solutions**.
* Performance Optimization: Optimize data pipelines for performance, scalability, and reliability, including query tuning and resource management within Snowflake.
* Drive adoption of **best practices in data engineering design patterns** and modern cloud architectures.
* Data Quality Assurance: Implement and monitor data validation procedures to ensure data accuracy and consistency across systems.
* Collaboration and Communication: Work closely with project managers, data architects, and business analysts to align project milestones and deliverables with business goals.
* Mentor and guide data engineering teams (onsite \&amp; offshore) to deliver high\-quality outcomes.
* Ensure compliance with data governance, security, and privacy standards.
* Documentation: Create and maintain detailed documentation of data pipelines, data flow diagrams, and transformation logic.
* Issue Resolution: Troubleshoot and resolve issues related to data pipelines, including job failures and performance bottlenecks.
**Required Qualifications:*** Bachelor’s degree in Computer Science, Information Technology, or a related field.
* 8\+ years of experience in data engineering with a strong focus on **Data Architecture**, **Data Modelling** (Conceptual, Logical, Physical), ELT processes and data pipeline development.
* Hands\-on experience with **Snowflake** cloud data platform, including data sharing, secure views, and performance optimization.
* **Proficiency in SQL** and familiarity with data integration and ETL/ELT tools.
* **AWS Technologies** (Glue, EMR)
* **Python** for data engineering workflows
* Strong understanding of **data engineering design patterns**
* Strong problem\-solving skills and the ability to work independently to meet deadlines.
* Excellent communication skills for effectively interacting with technical and non\-technical stakeholders.
**Preferred Qualifications:*** Certifications in Snowflake or relevant data technologies.
* Experience in the financial services sector, especially asset management / alternative investments, with an understanding of data security and compliance requirements.
* Familiarity with cloud platforms (e.g., AWS, Azure) and data orchestration tools (e.g., Apache Airflow).
* Knowledge of data visualization tools (e.g., Tableau, Power BI).
**Why Join Us:**  
At Ness, you will work with diverse, talented professionals who are dedicated to making an impact through technology. We encourage applicants of all backgrounds to apply—even if you don’t meet every requirement, we’d love to connect with you if this role excites you. We’re committed to creating an inclusive workplace that celebrates each team member’s unique talents.
With flexible remote options, diverse projects, and access to development resources, joining Ness means building a career that’s meaningful and impactful.
Ready to Start Your Journey?</t>
        </is>
      </c>
    </row>
    <row r="3">
      <c r="A3" t="inlineStr">
        <is>
          <t>in-54295ab5f79c38bb</t>
        </is>
      </c>
      <c r="B3" t="inlineStr">
        <is>
          <t>Staff Data Engineer - UMER Platforms</t>
        </is>
      </c>
      <c r="C3" t="inlineStr">
        <is>
          <t>Johnson Controls</t>
        </is>
      </c>
      <c r="D3" t="inlineStr">
        <is>
          <t>indeed</t>
        </is>
      </c>
      <c r="E3" t="inlineStr"/>
      <c r="F3" t="inlineStr"/>
      <c r="G3" t="inlineStr">
        <is>
          <t>Milwaukee, WI, US</t>
        </is>
      </c>
      <c r="H3" s="2" t="n">
        <v>46059</v>
      </c>
      <c r="I3" t="inlineStr">
        <is>
          <t>**Build your best future with the Johnson Controls team**
As a global leader in smart, healthy and sustainable buildings, our mission is to reimagine the performance of buildings to serve people, places and the planet. Join a winning team that enables you to build your best future! Our teams are uniquely positioned to support a multitude of industries across the globe. You will have the opportunity to develop yourself through meaningful work projects and learning opportunities. We strive to provide our employees with an experience, focused on supporting their physical, financial, and emotional wellbeing. Become a member of the Johnson Controls family and thrive in an empowering company culture where your voice and ideas will be heard – your next great opportunity is just a few clicks away!
**What we offer:**
* Competitive salary
* Paid vacation/holidays/sick time
* Comprehensive benefits package including 401K, medical, dental, and vision care
* On the job/cross training opportunities
* Encouraging and collaborative team environment
* Dedication to safety through our Zero Harm policy
**What you will do:**
* Develop, enhance, and maintain .NET Framework and .NET Core applications, including APIs, backend services, and business‑critical workflows.
* Troubleshoot application issues, implement new features, refactor legacy code, and ensure high‑quality development practices through code reviews and standards.
* Manage CI/CD pipelines, deployments, and configuration using Azure DevOps and IIS.
* Provide hands‑on production support for .NET applications, SQL Server databases, and data pipelines, ensuring high availability and timely resolution of incidents.
* Monitor application and data pipeline health, investigate alerts, perform root‑cause analysis, and implement long‑term corrective actions.
* Support on‑call rotations and collaborate with cross‑functional teams to maintain operational stability and performance.
* Analyze logs, failure points, and upstream/downstream data flows to quickly diagnose and resolve issues.
* Analyze operational and source data to implement and maintain Slowly Changing Dimensions (SCD Type 2\), including change detection, historization, and surrogate key management.
* Build and optimize SQL Server, SSIS, and Snowflake/ADF pipelines to capture attribute changes accurately and maintain a complete historical record.
* Perform data profiling, validation, and reconciliation to ensure data quality and trustworthy analytical outputs.
* Snowflake Architecture \&amp; Modeling: Develop data models (star/snowflake schemas) and database objects (views, tables, stored procedures, user\-defined functions) in Snowflake.
**What we look for:**
* C\# / .NET programming
* SQL / T‑SQL proficiency
* SSIS fundamentals
* IIS application hosting basics
* Production support \+ troubleshooting
* Data warehousing basics
* SCD Type 2 change tracking concepts
* Azure \+ DevOps basics (pipelines, repos, deployments)
* Cloud Platforms: Experience with Snowflake/Azure cloud environments.
* Minimum 5\+ years of Relevant Experience.
* Bachelor’s or master’s degree in computer science, Data Engineering, or related field.
* Proven experience as a Application Data Support Engineer.
This will be a hybrid position at our Glendale, WI office.
HIRING SALARY RANGE: $89,000 \- $134,000 (Salary to be determined by the education, experience, knowledge, skills, and abilities of the applicant, internal equity, location and alignment with market data.) The posted salary range reflects the target compensation for this role. However, we recognize that exceptional candidates may bring unique skills and experiences that exceed the typical profile. If you believe your background warrants consideration beyond the stated range, we encourage you to apply. To support an efficient and fair hiring process, we may use technology assisted tools, including artificial intelligence (AI), to help identify and evaluate candidates. All hiring decisions are ultimately made by human reviewers. This position includes a competitive benefits package. For details, please visit the About Us tab on the Johnson Controls Careers site at https://jobs.johnsoncontrols.com/about\-us
 \#LI\-Hybrid</t>
        </is>
      </c>
    </row>
    <row r="4">
      <c r="A4" t="inlineStr">
        <is>
          <t>in-eea9477df031b85c</t>
        </is>
      </c>
      <c r="B4" t="inlineStr">
        <is>
          <t>Data Engineer</t>
        </is>
      </c>
      <c r="C4" t="inlineStr">
        <is>
          <t>BV Teck</t>
        </is>
      </c>
      <c r="D4" t="inlineStr">
        <is>
          <t>indeed</t>
        </is>
      </c>
      <c r="E4" t="inlineStr"/>
      <c r="F4" t="inlineStr"/>
      <c r="G4" t="inlineStr">
        <is>
          <t>Dallas, TX, US</t>
        </is>
      </c>
      <c r="H4" s="2" t="n">
        <v>46059</v>
      </c>
      <c r="I4" t="inlineStr">
        <is>
          <t>**Role \- Data Engineer**  
Bright Vision Technologies is a forward\-thinking software development company dedicated to building innovative solutions that help businesses automate and optimize their operations.  
We leverage cutting\-edge data engineering technologies to build scalable, reliable, and high\-performance data platforms. As we continue to grow, we’re looking for a skilled **Data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Data Engineer  
**Job Location:** Bridgewater, New Jersey \- 08807  
**Onsite/Hybrid:** Remote  
**FULL\-TIME ROLE WITH BRIGHT VISION**  
**Job Description:**  
**Environment:**  
Python, SQL, Data Warehousing, ETL/ELT pipelines, Apache Spark, Airflow, Kafka, Hadoop ecosystem, Snowflake / Redshift / BigQuery, Data Modeling, RESTful APIs, Cloud Platforms (AWS / Azure / GCP), Docker, Kubernetes (basic), CI/CD pipelines, Git, Linux, Agile methodologies  
**BUT STRICTLY NO C2C/1099/3RD PARTY COMPANIES. ALL OUR ROLES ARE W2 AND NO 3RD PARTY BROKERING PLEASE.**  
For every role, a **coding test is required**, so apply only if you are **confident and technically strong**.  
We prefer **at least 3 to 5 years real time experience**.  
If you are a **Data Engineer** with the above skills and are looking for an **H\-1 B sponsorship** this year, please send your resume immediately to **Sreedhar@bvteck.com**.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IEDe8bl7tU</t>
        </is>
      </c>
    </row>
    <row r="5">
      <c r="A5" t="inlineStr">
        <is>
          <t>in-2958de6a3ba8f366</t>
        </is>
      </c>
      <c r="B5" t="inlineStr">
        <is>
          <t>Real-Time Data Engineer</t>
        </is>
      </c>
      <c r="C5" t="inlineStr">
        <is>
          <t>BV Teck</t>
        </is>
      </c>
      <c r="D5" t="inlineStr">
        <is>
          <t>indeed</t>
        </is>
      </c>
      <c r="E5" t="inlineStr"/>
      <c r="F5" t="inlineStr"/>
      <c r="G5" t="inlineStr">
        <is>
          <t>Dallas, TX, US</t>
        </is>
      </c>
      <c r="H5" s="2" t="n">
        <v>46059</v>
      </c>
      <c r="I5" t="inlineStr">
        <is>
          <t>Real\-Time Data Engineer  
Bright Vision Technologies is a forward\-thinking software development company dedicated to building innovative solutions that help businesses automate and optimize their operations.  
We leverage cutting\-edge real\-time data processing technologies to build scalable, low\-latency, and fault\-tolerant streaming platforms. As we continue to grow, we’re looking for a skilled **Real\-Time Data Engineer (Flink / Spark Streaming)**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Real\-Time Data Engineer (Flink / Spark Streaming)  
**Job Location:** Dallas, TX  
**Onsite/Hybrid:** Remote  
**FULL\-TIME ROLE WITH BRIGHT VISION**  
**Job Description****:**  
**Environment:**  
Apache Flink, Spark Streaming, Apache Kafka, Event\-Driven Architecture, Real\-Time Data Pipelines, Java / Scala / Python, Windowing \&amp; State Management, Stream Processing Semantics, SQL, NoSQL Databases, Cloud Platforms (AWS / Azure / GCP), Docker, Linux, CI/CD pipelines, Monitoring \&amp; Alerting, Git, Agile methodologies  
**BUT STRICTLY NO C2C/1099/3RD PARTY COMPANIES. ALL OUR ROLES ARE W2 AND NO 3RD PARTY BROKERING PLEASE.**  
For every role, a **coding test is required**, so apply only if you are **confident and technically strong**.  
We prefer **at least 3 to 5 years real time experience**.  
If you are a **Real\-Time Data Engineer (Flink / Spark Streaming)** with the above skills and are looking for an **H\-1 B sponsorship** this year, please send your resume immediately to Sreedhar**@bvteck.com**.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azZTp37bH9</t>
        </is>
      </c>
    </row>
    <row r="6">
      <c r="A6" t="inlineStr">
        <is>
          <t>in-9dd692d1ea13ac6a</t>
        </is>
      </c>
      <c r="B6" t="inlineStr">
        <is>
          <t>Azure Data Engineer</t>
        </is>
      </c>
      <c r="C6" t="inlineStr">
        <is>
          <t>BV Teck</t>
        </is>
      </c>
      <c r="D6" t="inlineStr">
        <is>
          <t>indeed</t>
        </is>
      </c>
      <c r="E6" t="inlineStr"/>
      <c r="F6" t="inlineStr"/>
      <c r="G6" t="inlineStr">
        <is>
          <t>Dallas, TX, US</t>
        </is>
      </c>
      <c r="H6" s="2" t="n">
        <v>46059</v>
      </c>
      <c r="I6" t="inlineStr">
        <is>
          <t>Role: **Azure Data Engineer**  
Bright Vision Technologies is a forward\-thinking software development company dedicated to building innovative solutions that help businesses automate and optimize their operations.
We leverage cutting\-edge technologies to create scalable, secure, and user\-friendly applications. As we continue to grow, we’re looking for a skilled to join our dynamic team and contribute to our mission of transforming business processes through technology.
This is a fantastic opportunity to join an established and well\-respected organization offering tremendous career growth potential.
Job Title: **Azure Data Engineer**
Job Location: Dallas, TX  
Onsite/Hybrid: Remote  
Job Description:
We are seeking a highly skilled **Azure Data Engineer** to design, build, and optimize enterprise\-grade data solutions on Microsoft Azure. The ideal candidate will have extensive experience in data architecture, ETL pipelines, big data processing, and cloud\-native analytics, with a strong focus on scalability, performance, and security.  
* **Technical Expertise**:
	+ Azure Synapse, Azure SQL, Azure Data Lake, Azure Data Factory.
	+ Databricks, Spark, Python, SQL, Scala.
	+ Event Hub, Stream Analytics, Cosmos DB.
	+ Power BI for visualization and reporting.
	+ Strong knowledge of data warehousing, ETL, and big data concepts.
**Soft Skills**:
* Strong analytical and problem\-solving skills.
* Excellent communication and stakeholder management.
* Ability to lead projects and work in Agile/Scrum environments.
**Education*** Bachelor's or Master's degree in Computer Science, Engineering, or related field
**Visa \&amp; Compliance*** Candidates must be eligible for **new H\-1B filing**
* OPT, STEM OPT, CPT (with required experience), H\-1B transfer, EAD, Non\-H1b looking for H1b sponsorship.
* All filings will be handled as per USCIS and DOL compliance guidelines
**Why Join Us*** Opportunity to work with leading enterprise clients
* Transparent H\-1B process and long\-term project visibility
* Strong recruiter and legal support
* Career growth across multiple technology domains
If you are a **Cloud Engineer** with the above skills and are looking for an **H\-1 B sponsorship** this year, please send your resume immediately to **Sreedhar@bvteck.com**.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p4Tl8lsR2d</t>
        </is>
      </c>
    </row>
    <row r="7">
      <c r="A7" t="inlineStr">
        <is>
          <t>in-e203385fa10cd39d</t>
        </is>
      </c>
      <c r="B7" t="inlineStr">
        <is>
          <t>AI Data Engineer - Cortex AI</t>
        </is>
      </c>
      <c r="C7" t="inlineStr">
        <is>
          <t>Techtorch</t>
        </is>
      </c>
      <c r="D7" t="inlineStr">
        <is>
          <t>indeed</t>
        </is>
      </c>
      <c r="E7" t="inlineStr"/>
      <c r="F7" t="inlineStr"/>
      <c r="G7" t="inlineStr">
        <is>
          <t>US</t>
        </is>
      </c>
      <c r="H7" s="2" t="n">
        <v>46059</v>
      </c>
      <c r="I7" t="inlineStr">
        <is>
          <t>**About TechTorch**
-------------------
TechTorch is a high\-growth enterprise technology consultancy that partners with the world’s leading private equity\-backed businesses. We deliver **AI\-powered solutions, accelerators, and data\-driven transformation initiatives** that drive measurable value at speed and scale.
Our mission is to redefine enterprise technology consulting for private equity. We combine the agility of a scale\-up with the discipline and rigor demanded by the most sophisticated investors and operators.
TechTorch was founded by seasoned leaders — including former Bain consultants, CIOs, and tech executives — with deep expertise in technology, transformation, and value creation. We are not a typical startup. We were built to succeed and to deliver results that matter.
**About the Team**
------------------
TechTorch data and AI teams design and build modern data platforms that power analytics, AI agents, and GenAI\-enabled business workflows. We work across Snowflake, AWS, and enterprise systems to enable scalable data products, AI\-driven insights, and automation for private equity\-backed organizations.
Teams operate globally and collaborate across data engineering, analytics, AI, and delivery disciplines to deliver high\-impact, production\-grade solutions.
**About the Role**
------------------
As an **AI Data Engineer**, you will design and build modern data pipelines and AI\-ready data platforms with **Snowflake as the core warehouse**, leveraging **Snowflake Cortex AI**, **AWS Bedrock**, and other mainstream AI services. Your work will enable advanced analytics, LLM\-powered use cases, and AI\-driven automation across enterprise environments.
This role sits at the intersection of **data engineering and applied AI**. You will ensure data is high\-quality, well\-modeled, and accessible for downstream analytics, machine learning, and GenAI applications.
**What You’ll Do**
------------------
* Design, build, and maintain scalable data pipelines using Snowflake as the central data platform
* Develop AI\-ready data models and feature layers to support analytics, ML, and GenAI use cases
* Leverage **Snowflake Cortex AI** for embedding, classification, summarization, and AI\-assisted analytics
* Integrate and operationalize AI workflows using **AWS Bedrock** and related AWS services (e.g., Lambda, Step Functions)
* Build and optimize ELT pipelines using tools such as **dbt**, SQL, and Python
* Integrate data from diverse sources including APIs, SaaS platforms, databases, and event streams
* Ensure data quality, observability, and governance across pipelines and AI workloads
* Collaborate with AI engineers, data scientists, and business teams to translate use cases into scalable data solutions
* Document data models, pipelines, and AI\-related design decisions clearly for long\-term maintainability
**Who You Are**
---------------
* 4\+ years of experience in data engineering, with strong hands\-on Snowflake experience
* Practical experience building AI\-enabled data solutions or preparing data for ML/LLM workloads
* Strong proficiency in SQL and Python for data transformation and pipeline development
* Experience with **Snowflake Cortex AI** or similar warehouse\-native AI capabilities
* Hands\-on experience with **AWS**, ideally including **AWS Bedrock**, Lambda, S3, and IAM
* Experience with ELT tooling such as **dbt**, Airflow, or similar orchestration frameworks
* Solid understanding of data modeling, data warehousing, and performance optimization
* Comfortable working in cloud\-native, enterprise environments with high delivery expectations
* Strong communication skills and ability to collaborate across technical and business teams
**Nice to Have**
----------------
* Experience with vector databases or embedding workflows (e.g., Snowflake, OpenSearch, Pinecone)
* Familiarity with LLM orchestration frameworks (e.g., LangChain, Bedrock Agents)
* Experience supporting AI agents, RAG pipelines, or GenAI analytics use cases
* Exposure to regulated or security\-conscious environments
**Our Values**
--------------
Client First — We focus relentlessly on delivering outcomes that create value for our clients
We, Not Me — We win together. Collaboration drives transformation at scale
Get Stuff Done — We execute with speed and precision — because in PE, time matters
AI First — We embed AI at the core, enabling scalable, high\-leverage solutions
Own It — We take accountability for results, delivering on what we promise
Agile Mindset — We adapt quickly and proactively seek better ways to move forward
**What We Offer**
-----------------
* Opportunity to work on **AI\-first data platforms** using Snowflake Cortex and AWS Bedrock
* High\-impact role at the intersection of data engineering and applied AI
* Exposure to private equity\-backed enterprise transformation programs
* Global, collaborative team with strong technical standards
* Flexible, remote\-first working environment with autonomy and ownership</t>
        </is>
      </c>
    </row>
    <row r="8">
      <c r="A8" t="inlineStr">
        <is>
          <t>in-a0336c6e0fae8fb9</t>
        </is>
      </c>
      <c r="B8" t="inlineStr">
        <is>
          <t>Staff Data Engineer - Data Quality</t>
        </is>
      </c>
      <c r="C8" t="inlineStr">
        <is>
          <t>HCA Healthcare</t>
        </is>
      </c>
      <c r="D8" t="inlineStr">
        <is>
          <t>indeed</t>
        </is>
      </c>
      <c r="E8" t="inlineStr"/>
      <c r="F8" t="inlineStr"/>
      <c r="G8" t="inlineStr">
        <is>
          <t>Nashville, TN, US</t>
        </is>
      </c>
      <c r="H8" s="2" t="n">
        <v>46059</v>
      </c>
      <c r="I8" t="inlineStr">
        <is>
          <t>##### **Introduction**
Experience the HCA Healthcare difference where colleagues are trusted, valued members of our healthcare team. Grow your career with an organization committed to delivering respectful, compassionate care, and where the unique and intrinsic worth of each individual is recognized. Submit your application for the opportunity below: Staff Data Engineer HCA Healthcare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We are seeking a(an) Staff Data Engineer for our team to ensure that we continue to provide all patients with high quality, efficient care. Did you get into our industry for these reasons? We are an amazing team that works hard to support each other and are seeking a phenomenal addition like you who feels patient care is as meaningful as we do. We want you to apply!
##### **Job Summary and Qualifications**
The Staff Data Engineer serves as a primary development resource for design, writing code, test, implementation, document functionality, and maintain of NextGen solutions for the GCP Cloud enterprise data initiatives. The role requires working closely with data teams, frequently in a matrixed environment as part of a broader project team. This role requires ‘self\-starters’ who are proficient in problem solving and capable of bringing clarity to complex situations. The culture of the organization places an emphasis on teamwork, so social and interpersonal skills are equally important as technical capability. Due to the emerging and fast\-evolving nature of GCP technology and practice, the position requires that one stay well\-informed of technological advancements and be proficient at putting new innovations into effective practice.  
In addition, this candidate will have a history of increasing responsibility in a small multi\-role team. This position requires a candidate who can analyze business requirements, perform design tasks, construct, test, and implement solutions with minimal supervision. This candidate will have a record of accomplishment of participation in successful projects in a fast\-paced, mixed team (consultant and employee) environment. In addition, the applicant must be willing to mentor other developers to prepare them for assuming the responsibilities.  
As a Staff Data Engineer, you will collaborate closely with all team members to create a modular, scalable solution that addresses current needs, but will also serve as a foundation for future success. The position will be critical in building the team’s engineering practices in test driven development, continuous integration, and automated deployment and is a hands\-on team member who actively coaches the team to solve complex problems.
At HCA DT\&amp;I, your deliverables will influence patient care. Every process, technology, and decision matters. This role will provide application development for specific business environments. Focus on setting technical direction on groups of applications and similar technologies as well as taking responsibility for technically robust solutions encompassing all business, architecture, and technology constraints.
Work with data engineers, data architects, data scientists, and other internal stakeholders to understand product requirements and then design, build, and monitor data platforms and pipelines that meet today's requirements but can gracefully scale.
* Implement automated workflows that lower manual/operational costs, define and uphold SLAs for timely delivery of data, and move the company closer to democratizing data.
* Enable a self\-service data architecture supporting query exploration, dashboards, data catalog, and rich data discovery.
* Promote a collaborative team environment that prioritizes effective communication, team member growth, and success of the team over success of the individual.
* Design and create real\-time data pipelines that accelerate the time from idea to insight.
* Adheres to and supports data engineering best practices, processes, and standards.
* Produce high quality, modular, reusable code that incorporates best practices and serves as an example for less experienced engineers.
* Helps promote and support data security best practices that align with industry standards and regulatory and legal requirements.
* Help mentor team members on complex data projects and following the Agile process.
* Help lead data analysis efforts and solution proposals to data related and data architecture problems.
* Help lead implementation of unit and integration tests and promote and conduct performance testing where appropriate.
* Be a leader in the HCA data community. Evangelize data engineering best practices and standards, participate, or present at community events, and encourage the continual growth and development of others.
* Be curious. Be growth minded. Encourage and enable this in others.
* Demonstrate professional and personal maturity through self\-leadership.
* Build productive and healthy relationships within the department and other teams to foster growth of our culture, our people, and our platforms.
* Practices and adheres to the “Code of Conduct” philosophy and “Mission and Value Statement.”
* Perform other duties as assigned.
* Responsible for building and supporting a GCP based ecosystem designed for enterprise\-wide analysis of structured, semi\-structured, and unstructured data.
* Work independently, and complete tasks on\-schedule by exercising strong judgment and problem\-solving skills.
* Analyze requirements, design AI/ML based solutions, and integrate those solutions for customer environments.
* Proven experience effectively prioritizing workload to meet deadlines and work objectives.
* Works in an environment with rapidly changing business requirements and priorities
* Shares knowledge and experience to contribute to growth of overall team capabilities.
* Actively participate in technical group discussions and adopt any modern technologies to improve the development and operations.
A successful candidate will have:
* Bachelor's degree in computer science, related technical field, or equivalent experience required
* Master's degree in computer science or related field preferred
* 5\+ years of experience in Data Engineer required
* 1\+ year(s) of experience in Healthcare preferred
* 7\+ years of experience in Information Technology required
* Strong understanding of best practices and standards for GCP Data process design and implementation.
* 2\+ years hands\-on experience with GCP platform and experience with many of the following components:
* Cloud Run, GKE, Cloud Functions
* Pub/Sub,
* Bigtable, Cloud SQL, Cloud Spanner
* BigQuery, Dataflow, Data Fusion
* Cloud Composer, DataProc, CI/CD, Cloud Logging
* Vertex AI, NLP, GitHub
* 4\+ Years of hands\-on experience with many of the following components:
* Spark Streaming, Kafka
* SQL, JSON, Avro, Parquet
* Java, Python, or Scala
* Certifications (a plus, but not required):
* GCP Cloud Professional Data Engineer
"There is so much good to do in the world and so many different ways to do it."\- Dr. Thomas Frist, Sr.  
HCA Healthcare Co\-Founder
If you find this opportunity compelling, we encourage you to apply for our Staff Data Engineer opening. We promptly review all applications. Highly qualified candidates will be directly contacted by a member of our team.We are interviewing apply today!
*We are an equal opportunity employer. We do not discriminate on the basis of race, religion, color, national origin, gender, sexual orientation, age, marital status, veteran status, or disability status.*</t>
        </is>
      </c>
    </row>
    <row r="9">
      <c r="A9" t="inlineStr">
        <is>
          <t>in-7ecf0a152c58013a</t>
        </is>
      </c>
      <c r="B9" t="inlineStr">
        <is>
          <t>Data Analytics Engineer Level 3/4</t>
        </is>
      </c>
      <c r="C9" t="inlineStr">
        <is>
          <t>Northrop Grumman</t>
        </is>
      </c>
      <c r="D9" t="inlineStr">
        <is>
          <t>indeed</t>
        </is>
      </c>
      <c r="E9" t="inlineStr"/>
      <c r="F9" t="inlineStr"/>
      <c r="G9" t="inlineStr">
        <is>
          <t>Sunnyvale, CA, US</t>
        </is>
      </c>
      <c r="H9" s="2" t="n">
        <v>46057</v>
      </c>
      <c r="I9" t="inlineStr">
        <is>
          <t>RELOCATION ASSISTANCE: Relocation assistance may be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Mission Systems is a trusted provider of mission\-enabling solutions for global security. Our Engineering and Sciences (E\&amp;S) organization pushes the boundaries of innovation, redefines engineering capabilities, and drives advances in various sciences. Our team is chartered with providing the skills, innovative technologies to develop, design, produce and sustain optimized product lines across the sector while providing a decisive advantage to the warfighter. Come be a part of our mission!
Northrop Grumman Mission Systems is seeking a **Data Analytics Engineer Level 3 or 4** to support the development and ongoing support of world\-class US Navy machinery (turbines, generators, motors, and other system components based out of **Sunnyvale, CA**. In this role, you will leverage data to drive decision\-making within engineering, and production processes. Your work will involve analyzing complex data sets, developing insights to improve manufacturing efficiency and quality, and collaborating with cross\-functional teams to enhance production and design capabilities. If you are passionate about using data to improve manufacturing processes and enhance engineering outcomes, join our team and contribute to critical national defense projects.
**What You’ll get to Do:**
* Use classical analysis techniques to establish an understanding of machinery acoustic performance and resolve issues.
* Develop a variety of component and system level predictive / simulation models.
* Perform modal, vibration, modal, direct frequency response, and sound transmission analyses to predict performance and resolve issues.
* Gather data from tests, and analyze the results.
* Correlate model predictions to test data to validate the approach / model.
* Work closely with cross\-function internal and customer teams.
* Prepare technical reports and presentations summarizing findings and recommendations for internal and external stakeholders.
**Basic Qualifications for Data Analytics Engineer level 3:**
* Bachelor's Degree in STEM (Science, Technology, Engineering or Math) discipline with 5 years relevant work experience; or Master’s Degree in STEM (Science, Technology, Engineering or Math) with 3 years of relevant experience; or Ph.D in STEM (Science, Technology, Engineering or Math) with no relevant work experience.
* Experience with simulation software tools: Hypermesh, Nastran, Abaqus, MATLAB (or similar)
* Must be a US citizen.
* Ability to obtain and maintain a Secret Clearance.
**Basic Qualifications for Data Analytics Engineer level 4:**
* Bachelor’s Degree in STEM (Science, Technology, Engineering or Math) discipline with 8 years relevant work experience; or Master’s Degree in STEM (Science, Technology, Engineering or Math) discipline with 6 years relevant work experience; or Ph.D in STEM (Science, Technology, Engineering or Math) with 3 years of relevant work experience.
* Experience with simulation software tools: Hypermesh, Nastran, Abaqus, MATLAB (or similar)
* Must be a US citizen.
* Ability to obtain and maintain a Secret Clearance.
**Preferred Qualifications:**
* Experience in developing system\-level finite element models.
* Experience in performing a classical and finite element analysis solution types.
* Experience collecting and analyzing large data sets.
Primary Level Salary Range: $114,000\.00 \- $171,000\.00
Secondary Level Salary Range: $142,200\.00 \- $213,400\.00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0">
      <c r="A10" t="inlineStr">
        <is>
          <t>in-e690cbbaa0943663</t>
        </is>
      </c>
      <c r="B10" t="inlineStr">
        <is>
          <t>Data Engineer, Denied Party Screening, AWS Compliance &amp; Security Assurance</t>
        </is>
      </c>
      <c r="C10" t="inlineStr">
        <is>
          <t>Amazon.com</t>
        </is>
      </c>
      <c r="D10" t="inlineStr">
        <is>
          <t>indeed</t>
        </is>
      </c>
      <c r="E10" t="inlineStr"/>
      <c r="F10" t="inlineStr"/>
      <c r="G10" t="inlineStr">
        <is>
          <t>Seattle, WA, US</t>
        </is>
      </c>
      <c r="H10" s="2" t="n">
        <v>46029</v>
      </c>
      <c r="I10"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1">
      <c r="A11" t="inlineStr">
        <is>
          <t>in-d27024ce8779a24c</t>
        </is>
      </c>
      <c r="B11" t="inlineStr">
        <is>
          <t>Data Engineer, Denied Party Screening, AWS Compliance &amp; Security Assurance</t>
        </is>
      </c>
      <c r="C11" t="inlineStr">
        <is>
          <t>Amazon.com</t>
        </is>
      </c>
      <c r="D11" t="inlineStr">
        <is>
          <t>indeed</t>
        </is>
      </c>
      <c r="E11" t="inlineStr"/>
      <c r="F11" t="inlineStr"/>
      <c r="G11" t="inlineStr">
        <is>
          <t>Dallas, TX, US</t>
        </is>
      </c>
      <c r="H11" s="2" t="n">
        <v>46029</v>
      </c>
      <c r="I11"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2">
      <c r="A12" t="inlineStr">
        <is>
          <t>in-4939e68986a8ef79</t>
        </is>
      </c>
      <c r="B12" t="inlineStr">
        <is>
          <t>Data Engineer</t>
        </is>
      </c>
      <c r="C12" t="inlineStr">
        <is>
          <t>Amazon.com</t>
        </is>
      </c>
      <c r="D12" t="inlineStr">
        <is>
          <t>indeed</t>
        </is>
      </c>
      <c r="E12" t="inlineStr"/>
      <c r="F12" t="inlineStr"/>
      <c r="G12" t="inlineStr">
        <is>
          <t>San Francisco, CA, US</t>
        </is>
      </c>
      <c r="H12" s="2" t="n">
        <v>46001</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in-044bbc49ee53851d</t>
        </is>
      </c>
      <c r="B13" t="inlineStr">
        <is>
          <t>Data Engineer</t>
        </is>
      </c>
      <c r="C13" t="inlineStr">
        <is>
          <t>Amazon.com</t>
        </is>
      </c>
      <c r="D13" t="inlineStr">
        <is>
          <t>indeed</t>
        </is>
      </c>
      <c r="E13" t="inlineStr"/>
      <c r="F13" t="inlineStr"/>
      <c r="G13" t="inlineStr">
        <is>
          <t>Seattle, WA, US</t>
        </is>
      </c>
      <c r="H13" s="2" t="n">
        <v>46001</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in-daada3472521594d</t>
        </is>
      </c>
      <c r="B14" t="inlineStr">
        <is>
          <t>Delivery Consultant - Data Engineer, Data and Machine Learning, WWPS US Federal</t>
        </is>
      </c>
      <c r="C14" t="inlineStr">
        <is>
          <t>Amazon Web Services</t>
        </is>
      </c>
      <c r="D14" t="inlineStr">
        <is>
          <t>indeed</t>
        </is>
      </c>
      <c r="E14" t="inlineStr"/>
      <c r="F14" t="inlineStr"/>
      <c r="G14" t="inlineStr">
        <is>
          <t>Arlington, VA, US</t>
        </is>
      </c>
      <c r="H14" s="2" t="n">
        <v>45991</v>
      </c>
      <c r="I14"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in-36e1b84ae90acb63</t>
        </is>
      </c>
      <c r="B15" t="inlineStr">
        <is>
          <t>Delivery Consultant - Data Engineer, Data and Machine Learning, WWPS US Federal</t>
        </is>
      </c>
      <c r="C15" t="inlineStr">
        <is>
          <t>Amazon Web Services</t>
        </is>
      </c>
      <c r="D15" t="inlineStr">
        <is>
          <t>indeed</t>
        </is>
      </c>
      <c r="E15" t="inlineStr"/>
      <c r="F15" t="inlineStr"/>
      <c r="G15" t="inlineStr">
        <is>
          <t>Herndon, VA, US</t>
        </is>
      </c>
      <c r="H15" s="2" t="n">
        <v>45991</v>
      </c>
      <c r="I15"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in-9643fbb0ea6ac37c</t>
        </is>
      </c>
      <c r="B16" t="inlineStr">
        <is>
          <t>Manager Data Engineering 2</t>
        </is>
      </c>
      <c r="C16" t="inlineStr">
        <is>
          <t>Northrop Grumman</t>
        </is>
      </c>
      <c r="D16" t="inlineStr">
        <is>
          <t>indeed</t>
        </is>
      </c>
      <c r="E16" t="inlineStr"/>
      <c r="F16" t="inlineStr"/>
      <c r="G16" t="inlineStr">
        <is>
          <t>Falls Church, VA, US</t>
        </is>
      </c>
      <c r="H16" s="2" t="n">
        <v>46057</v>
      </c>
      <c r="I16" t="inlineStr">
        <is>
          <t>RELOCATION ASSISTANCE: No relocation assistance available
CLEARANCE TYPE: None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is looking for a highly organized, people\-focused engineering leader to lead our Data Engineering team within the Insights \&amp; Intelligence (i2\) organization. Remote location options are considered for the right candidate.
Insights \&amp; Intelligence (i2\) is reimagining decision making at Northrop Grumman. As part of our Chief Information \&amp; Digital Office (CIDO), i2 works with all enterprise domains and businesses to drive our data, analytics \&amp; AI transformation.
As a leader, you will manage a team of data and software engineers working across critical domains of the business. In this role, you will directly influence how we build our Databricks enterprise lakehouse and our culture of engineering excellence that enables the team to develop reliable data systems. You will have the opportunity to grow as an engineering leader, influencing the technical architecture and code standards on the team along with the technical roadmap and its execution.
**Key responsibilities:**
* Define and maintain a data engineering roadmap; align technical priorities with business objectives and the Northrop Grumman data strategy.
* Build and lead a high\-performing, collaborative team; mentoring engineers on design patterns, code quality, data architecture, and career development.
* Champion clean, modular architecture and enforce engineering best practices.
* Drive end\-to\-end delivery of data pipelines in Databricks, ensuring reliability, scalability, and performance while meeting roadmap milestones.
* Lead the migration to our Databricks enterprise lakehouse.
* Collaborate with leaders and teams across various functions, including business management, business development, facilities, human resources, supply chain, and manufacturing.
**Basic Qualifications:**
* Must have, at minimum, a Bachelor’s degree in Computer Science, Engineering, or a related field.
* Must have a minimum of 8 years of experience in software or data engineering with a relevant Bachelors Degree OR 6 years of experience in software or data engineering with a relevant Masters Degree.
* Must have a minimum of 2 years of experience in people management leading engineering teams.
* Must have proficiency with Databricks (or comparable modern data lakehouse platforms), cloud services (AWS), and data pipelines.
* Must have demonstrated skill in managing technical teams, process excellence, and meeting roadmap deliverables.
* Must have strong communication and stakeholder management skills, with a demonstrated ability to influence both technical and executive audiences.
**Preferred Qualifications**:
* Master’s degree or PhD in Engineering or related field.
* Experience integrating data from enterprise systems such as SAP, Workday, ServiceNow, and Salesforce.
* Deep domain expertise in one or more of the following areas: Finance, Supply Chain, Human Resources, or Manufacturing
Primary Level Salary Range: $133,200\.00 \- $219,800\.00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7">
      <c r="A17" t="inlineStr">
        <is>
          <t>in-41b0a3730770c097</t>
        </is>
      </c>
      <c r="B17" t="inlineStr">
        <is>
          <t>Manager Data Engineering 2</t>
        </is>
      </c>
      <c r="C17" t="inlineStr">
        <is>
          <t>Northrop Grumman</t>
        </is>
      </c>
      <c r="D17" t="inlineStr">
        <is>
          <t>indeed</t>
        </is>
      </c>
      <c r="E17" t="inlineStr"/>
      <c r="F17" t="inlineStr"/>
      <c r="G17" t="inlineStr">
        <is>
          <t>VA, US</t>
        </is>
      </c>
      <c r="H17" s="2" t="n">
        <v>46057</v>
      </c>
      <c r="I17" t="inlineStr">
        <is>
          <t>RELOCATION ASSISTANCE: No relocation assistance available
CLEARANCE TYPE: None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is looking for a highly organized, people\-focused engineering leader to lead our Data Engineering team within the Insights \&amp; Intelligence (i2\) organization. Remote location options are considered for the right candidate.
Insights \&amp; Intelligence (i2\) is reimagining decision making at Northrop Grumman. As part of our Chief Information \&amp; Digital Office (CIDO), i2 works with all enterprise domains and businesses to drive our data, analytics \&amp; AI transformation.
As a leader, you will manage a team of data and software engineers working across critical domains of the business. In this role, you will directly influence how we build our Databricks enterprise lakehouse and our culture of engineering excellence that enables the team to develop reliable data systems. You will have the opportunity to grow as an engineering leader, influencing the technical architecture and code standards on the team along with the technical roadmap and its execution.
**Key responsibilities:**
* Define and maintain a data engineering roadmap; align technical priorities with business objectives and the Northrop Grumman data strategy.
* Build and lead a high\-performing, collaborative team; mentoring engineers on design patterns, code quality, data architecture, and career development.
* Champion clean, modular architecture and enforce engineering best practices.
* Drive end\-to\-end delivery of data pipelines in Databricks, ensuring reliability, scalability, and performance while meeting roadmap milestones.
* Lead the migration to our Databricks enterprise lakehouse.
* Collaborate with leaders and teams across various functions, including business management, business development, facilities, human resources, supply chain, and manufacturing.
**Basic Qualifications:**
* Must have, at minimum, a Bachelor’s degree in Computer Science, Engineering, or a related field.
* Must have a minimum of 8 years of experience in software or data engineering with a relevant Bachelors Degree OR 6 years of experience in software or data engineering with a relevant Masters Degree.
* Must have a minimum of 2 years of experience in people management leading engineering teams.
* Must have proficiency with Databricks (or comparable modern data lakehouse platforms), cloud services (AWS), and data pipelines.
* Must have demonstrated skill in managing technical teams, process excellence, and meeting roadmap deliverables.
* Must have strong communication and stakeholder management skills, with a demonstrated ability to influence both technical and executive audiences.
**Preferred Qualifications**:
* Master’s degree or PhD in Engineering or related field.
* Experience integrating data from enterprise systems such as SAP, Workday, ServiceNow, and Salesforce.
* Deep domain expertise in one or more of the following areas: Finance, Supply Chain, Human Resources, or Manufacturing
Primary Level Salary Range: $133,200\.00 \- $219,800\.00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8">
      <c r="A18" t="inlineStr">
        <is>
          <t>in-bec6d93ce5cce3d4</t>
        </is>
      </c>
      <c r="B18" t="inlineStr">
        <is>
          <t>Senior Data Engineer</t>
        </is>
      </c>
      <c r="C18" t="inlineStr"/>
      <c r="D18" t="inlineStr">
        <is>
          <t>indeed</t>
        </is>
      </c>
      <c r="E18" t="inlineStr"/>
      <c r="F18" t="inlineStr"/>
      <c r="G18" t="inlineStr">
        <is>
          <t>Sunnyvale, CA, US</t>
        </is>
      </c>
      <c r="H18" s="2" t="n">
        <v>46059</v>
      </c>
      <c r="I18" t="inlineStr">
        <is>
          <t>**Your Impact**
===============
Join a small team building the next generation of Cyber Security products from the ground up. Led by industry veterans with a proven track record of success \- you will get to architect, build, and deliver hugely impactful products with this world class team. You will have the opportunity to grow your career and skills along with the company from the very start.
**Role Overview**
=================
Design, build, and maintain a scalable, open\-source data lakehouse architecture supporting petabyte\-scale analytics workloads. Responsible for architecting end\-to\-end data pipelines from ingestion through transformation to consumption, ensuring high performance, reliability, and data quality.
**Required Experience**
=======================
* A proven track record of success architecting, building, and running large scale data systems (PB scale)
* Experience with both batch and real\-time processing architectures
* Experience with open source Data Lakehouse components including \- Apache Iceberg, PostgresSQL, Neo4j, Apache Parquet, etc.
* Experience with tools for stream processing and data analytics \- Apache Kafka, Spark, Flink, etc.
* Understanding and experience with data transformation solutions
* Excellent programming experience with Python
* Strong communication and documentation skills
* Experience with CSP data platforms is a plus
* Understanding of data lineage, quality, and governance tooling is a plus</t>
        </is>
      </c>
    </row>
    <row r="19">
      <c r="A19" t="inlineStr">
        <is>
          <t>in-022c912bc9cf6158</t>
        </is>
      </c>
      <c r="B19" t="inlineStr">
        <is>
          <t>Data Engineer, Denied Party Screening, AWS Compliance &amp; Security Assurance</t>
        </is>
      </c>
      <c r="C19" t="inlineStr">
        <is>
          <t>Amazon.com</t>
        </is>
      </c>
      <c r="D19" t="inlineStr">
        <is>
          <t>indeed</t>
        </is>
      </c>
      <c r="E19" t="inlineStr"/>
      <c r="F19" t="inlineStr"/>
      <c r="G19" t="inlineStr">
        <is>
          <t>Dallas, TX, US</t>
        </is>
      </c>
      <c r="H19" s="2" t="n">
        <v>46029</v>
      </c>
      <c r="I19"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20">
      <c r="A20" t="inlineStr">
        <is>
          <t>in-9ffedf40641bbfbf</t>
        </is>
      </c>
      <c r="B20" t="inlineStr">
        <is>
          <t>Data Engineer, Denied Party Screening, AWS Compliance &amp; Security Assurance</t>
        </is>
      </c>
      <c r="C20" t="inlineStr">
        <is>
          <t>Amazon.com</t>
        </is>
      </c>
      <c r="D20" t="inlineStr">
        <is>
          <t>indeed</t>
        </is>
      </c>
      <c r="E20" t="inlineStr"/>
      <c r="F20" t="inlineStr"/>
      <c r="G20" t="inlineStr">
        <is>
          <t>Seattle, WA, US</t>
        </is>
      </c>
      <c r="H20" s="2" t="n">
        <v>46029</v>
      </c>
      <c r="I20"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21">
      <c r="A21" t="inlineStr">
        <is>
          <t>in-b591bee76ff58857</t>
        </is>
      </c>
      <c r="B21" t="inlineStr">
        <is>
          <t>Data Engineer</t>
        </is>
      </c>
      <c r="C21" t="inlineStr">
        <is>
          <t>Amazon.com</t>
        </is>
      </c>
      <c r="D21" t="inlineStr">
        <is>
          <t>indeed</t>
        </is>
      </c>
      <c r="E21" t="inlineStr"/>
      <c r="F21" t="inlineStr"/>
      <c r="G21" t="inlineStr">
        <is>
          <t>Seattle, WA, US</t>
        </is>
      </c>
      <c r="H21" s="2" t="n">
        <v>46001</v>
      </c>
      <c r="I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in-f0e4e247e8a50bce</t>
        </is>
      </c>
      <c r="B22" t="inlineStr">
        <is>
          <t>Data Engineer</t>
        </is>
      </c>
      <c r="C22" t="inlineStr">
        <is>
          <t>Amazon.com</t>
        </is>
      </c>
      <c r="D22" t="inlineStr">
        <is>
          <t>indeed</t>
        </is>
      </c>
      <c r="E22" t="inlineStr"/>
      <c r="F22" t="inlineStr"/>
      <c r="G22" t="inlineStr">
        <is>
          <t>San Francisco, CA, US</t>
        </is>
      </c>
      <c r="H22" s="2" t="n">
        <v>46001</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in-cd723bce4973422c</t>
        </is>
      </c>
      <c r="B23" t="inlineStr">
        <is>
          <t>Delivery Consultant - Data Engineer, Data and Machine Learning, WWPS US Federal</t>
        </is>
      </c>
      <c r="C23" t="inlineStr">
        <is>
          <t>Amazon Web Services</t>
        </is>
      </c>
      <c r="D23" t="inlineStr">
        <is>
          <t>indeed</t>
        </is>
      </c>
      <c r="E23" t="inlineStr"/>
      <c r="F23" t="inlineStr"/>
      <c r="G23" t="inlineStr">
        <is>
          <t>Herndon, VA, US</t>
        </is>
      </c>
      <c r="H23" s="2" t="n">
        <v>45991</v>
      </c>
      <c r="I23"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in-daa3348f71f5b4da</t>
        </is>
      </c>
      <c r="B24" t="inlineStr">
        <is>
          <t>Delivery Consultant - Data Engineer, Data and Machine Learning, WWPS US Federal</t>
        </is>
      </c>
      <c r="C24" t="inlineStr">
        <is>
          <t>Amazon Web Services</t>
        </is>
      </c>
      <c r="D24" t="inlineStr">
        <is>
          <t>indeed</t>
        </is>
      </c>
      <c r="E24" t="inlineStr"/>
      <c r="F24" t="inlineStr"/>
      <c r="G24" t="inlineStr">
        <is>
          <t>Arlington, VA, US</t>
        </is>
      </c>
      <c r="H24" s="2" t="n">
        <v>45991</v>
      </c>
      <c r="I24"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in-bec6d93ce5cce3d4</t>
        </is>
      </c>
      <c r="B25" t="inlineStr">
        <is>
          <t>Senior Data Engineer</t>
        </is>
      </c>
      <c r="C25" t="inlineStr"/>
      <c r="D25" t="inlineStr">
        <is>
          <t>indeed</t>
        </is>
      </c>
      <c r="E25">
        <f>HYPERLINK("https://www.indeed.com/viewjob?jk=bec6d93ce5cce3d4", "https://www.indeed.com/viewjob?jk=bec6d93ce5cce3d4")</f>
        <v/>
      </c>
      <c r="F25">
        <f>HYPERLINK("https://jobs.ashbyhq.com/cylake-inc/8045f74b-cb2c-4e5f-a443-0f968bc93ad7?utm_source=vVkjKwJ3Nn", "https://jobs.ashbyhq.com/cylake-inc/8045f74b-cb2c-4e5f-a443-0f968bc93ad7?utm_source=vVkjKwJ3Nn")</f>
        <v/>
      </c>
      <c r="G25" t="inlineStr">
        <is>
          <t>Sunnyvale, CA, US</t>
        </is>
      </c>
      <c r="H25" s="3" t="n">
        <v>46059</v>
      </c>
      <c r="I25" t="inlineStr">
        <is>
          <t>**Your Impact**
===============
Join a small team building the next generation of Cyber Security products from the ground up. Led by industry veterans with a proven track record of success \- you will get to architect, build, and deliver hugely impactful products with this world class team. You will have the opportunity to grow your career and skills along with the company from the very start.
**Role Overview**
=================
Design, build, and maintain a scalable, open\-source data lakehouse architecture supporting petabyte\-scale analytics workloads. Responsible for architecting end\-to\-end data pipelines from ingestion through transformation to consumption, ensuring high performance, reliability, and data quality.
**Required Experience**
=======================
* A proven track record of success architecting, building, and running large scale data systems (PB scale)
* Experience with both batch and real\-time processing architectures
* Experience with open source Data Lakehouse components including \- Apache Iceberg, PostgresSQL, Neo4j, Apache Parquet, etc.
* Experience with tools for stream processing and data analytics \- Apache Kafka, Spark, Flink, etc.
* Understanding and experience with data transformation solutions
* Excellent programming experience with Python
* Strong communication and documentation skills
* Experience with CSP data platforms is a plus
* Understanding of data lineage, quality, and governance tooling is a plus</t>
        </is>
      </c>
    </row>
    <row r="26">
      <c r="A26" t="inlineStr">
        <is>
          <t>in-022c912bc9cf6158</t>
        </is>
      </c>
      <c r="B26" t="inlineStr">
        <is>
          <t>Data Engineer, Denied Party Screening, AWS Compliance &amp; Security Assurance</t>
        </is>
      </c>
      <c r="C26" t="inlineStr">
        <is>
          <t>Amazon.com</t>
        </is>
      </c>
      <c r="D26" t="inlineStr">
        <is>
          <t>indeed</t>
        </is>
      </c>
      <c r="E26">
        <f>HYPERLINK("https://www.indeed.com/viewjob?jk=022c912bc9cf6158", "https://www.indeed.com/viewjob?jk=022c912bc9cf6158")</f>
        <v/>
      </c>
      <c r="F26">
        <f>HYPERLINK("https://www.amazon.jobs/jobs/3160403/data-engineer-denied-party-screening-aws-compliance--security-assurance?cmpid=DA_INAD200785B", "https://www.amazon.jobs/jobs/3160403/data-engineer-denied-party-screening-aws-compliance--security-assurance?cmpid=DA_INAD200785B")</f>
        <v/>
      </c>
      <c r="G26" t="inlineStr">
        <is>
          <t>Dallas, TX, US</t>
        </is>
      </c>
      <c r="H26" s="3" t="n">
        <v>46029</v>
      </c>
      <c r="I26"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27">
      <c r="A27" t="inlineStr">
        <is>
          <t>in-9ffedf40641bbfbf</t>
        </is>
      </c>
      <c r="B27" t="inlineStr">
        <is>
          <t>Data Engineer, Denied Party Screening, AWS Compliance &amp; Security Assurance</t>
        </is>
      </c>
      <c r="C27" t="inlineStr">
        <is>
          <t>Amazon.com</t>
        </is>
      </c>
      <c r="D27" t="inlineStr">
        <is>
          <t>indeed</t>
        </is>
      </c>
      <c r="E27">
        <f>HYPERLINK("https://www.indeed.com/viewjob?jk=9ffedf40641bbfbf", "https://www.indeed.com/viewjob?jk=9ffedf40641bbfbf")</f>
        <v/>
      </c>
      <c r="F27">
        <f>HYPERLINK("https://www.amazon.jobs/jobs/3160403/data-engineer-denied-party-screening-aws-compliance--security-assurance?cmpid=DA_INAD200785B", "https://www.amazon.jobs/jobs/3160403/data-engineer-denied-party-screening-aws-compliance--security-assurance?cmpid=DA_INAD200785B")</f>
        <v/>
      </c>
      <c r="G27" t="inlineStr">
        <is>
          <t>Seattle, WA, US</t>
        </is>
      </c>
      <c r="H27" s="3" t="n">
        <v>46029</v>
      </c>
      <c r="I27"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28">
      <c r="A28" t="inlineStr">
        <is>
          <t>in-b591bee76ff58857</t>
        </is>
      </c>
      <c r="B28" t="inlineStr">
        <is>
          <t>Data Engineer</t>
        </is>
      </c>
      <c r="C28" t="inlineStr">
        <is>
          <t>Amazon.com</t>
        </is>
      </c>
      <c r="D28" t="inlineStr">
        <is>
          <t>indeed</t>
        </is>
      </c>
      <c r="E28">
        <f>HYPERLINK("https://www.indeed.com/viewjob?jk=b591bee76ff58857", "https://www.indeed.com/viewjob?jk=b591bee76ff58857")</f>
        <v/>
      </c>
      <c r="F28">
        <f>HYPERLINK("https://www.amazon.jobs/jobs/3141339/data-engineer?cmpid=DA_INAD200785B", "https://www.amazon.jobs/jobs/3141339/data-engineer?cmpid=DA_INAD200785B")</f>
        <v/>
      </c>
      <c r="G28" t="inlineStr">
        <is>
          <t>Seattle, WA, US</t>
        </is>
      </c>
      <c r="H28" s="3" t="n">
        <v>46001</v>
      </c>
      <c r="I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in-f0e4e247e8a50bce</t>
        </is>
      </c>
      <c r="B29" t="inlineStr">
        <is>
          <t>Data Engineer</t>
        </is>
      </c>
      <c r="C29" t="inlineStr">
        <is>
          <t>Amazon.com</t>
        </is>
      </c>
      <c r="D29" t="inlineStr">
        <is>
          <t>indeed</t>
        </is>
      </c>
      <c r="E29">
        <f>HYPERLINK("https://www.indeed.com/viewjob?jk=f0e4e247e8a50bce", "https://www.indeed.com/viewjob?jk=f0e4e247e8a50bce")</f>
        <v/>
      </c>
      <c r="F29">
        <f>HYPERLINK("https://www.amazon.jobs/jobs/3141339/data-engineer?cmpid=DA_INAD200785B", "https://www.amazon.jobs/jobs/3141339/data-engineer?cmpid=DA_INAD200785B")</f>
        <v/>
      </c>
      <c r="G29" t="inlineStr">
        <is>
          <t>San Francisco, CA, US</t>
        </is>
      </c>
      <c r="H29" s="3" t="n">
        <v>46001</v>
      </c>
      <c r="I2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in-cd723bce4973422c</t>
        </is>
      </c>
      <c r="B30" t="inlineStr">
        <is>
          <t>Delivery Consultant - Data Engineer, Data and Machine Learning, WWPS US Federal</t>
        </is>
      </c>
      <c r="C30" t="inlineStr">
        <is>
          <t>Amazon Web Services</t>
        </is>
      </c>
      <c r="D30" t="inlineStr">
        <is>
          <t>indeed</t>
        </is>
      </c>
      <c r="E30">
        <f>HYPERLINK("https://www.indeed.com/viewjob?jk=cd723bce4973422c", "https://www.indeed.com/viewjob?jk=cd723bce4973422c")</f>
        <v/>
      </c>
      <c r="F30">
        <f>HYPERLINK("https://www.amazon.jobs/jobs/3134583/delivery-consultant--data-engineer-data-and-machine-learning-wwps-us-federal?cmpid=DA_INAD200785B", "https://www.amazon.jobs/jobs/3134583/delivery-consultant--data-engineer-data-and-machine-learning-wwps-us-federal?cmpid=DA_INAD200785B")</f>
        <v/>
      </c>
      <c r="G30" t="inlineStr">
        <is>
          <t>Herndon, VA, US</t>
        </is>
      </c>
      <c r="H30" s="3" t="n">
        <v>45991</v>
      </c>
      <c r="I30"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in-daa3348f71f5b4da</t>
        </is>
      </c>
      <c r="B31" t="inlineStr">
        <is>
          <t>Delivery Consultant - Data Engineer, Data and Machine Learning, WWPS US Federal</t>
        </is>
      </c>
      <c r="C31" t="inlineStr">
        <is>
          <t>Amazon Web Services</t>
        </is>
      </c>
      <c r="D31" t="inlineStr">
        <is>
          <t>indeed</t>
        </is>
      </c>
      <c r="E31">
        <f>HYPERLINK("https://www.indeed.com/viewjob?jk=daa3348f71f5b4da", "https://www.indeed.com/viewjob?jk=daa3348f71f5b4da")</f>
        <v/>
      </c>
      <c r="F31">
        <f>HYPERLINK("https://www.amazon.jobs/jobs/3134583/delivery-consultant--data-engineer-data-and-machine-learning-wwps-us-federal?cmpid=DA_INAD200785B", "https://www.amazon.jobs/jobs/3134583/delivery-consultant--data-engineer-data-and-machine-learning-wwps-us-federal?cmpid=DA_INAD200785B")</f>
        <v/>
      </c>
      <c r="G31" t="inlineStr">
        <is>
          <t>Arlington, VA, US</t>
        </is>
      </c>
      <c r="H31" s="3" t="n">
        <v>45991</v>
      </c>
      <c r="I31"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li-4370168467</t>
        </is>
      </c>
      <c r="B2" t="inlineStr">
        <is>
          <t>Data Engineer</t>
        </is>
      </c>
      <c r="C2" t="inlineStr">
        <is>
          <t>Fusemachines</t>
        </is>
      </c>
      <c r="D2" t="inlineStr">
        <is>
          <t>linkedin</t>
        </is>
      </c>
      <c r="E2" t="inlineStr"/>
      <c r="F2" t="inlineStr"/>
      <c r="G2" t="inlineStr"/>
      <c r="H2" t="inlineStr"/>
      <c r="I2" t="inlineStr">
        <is>
          <t>**About The Company**
 Fusemachines is a leading provider of AI strategy, talent, and education services dedicated to democratizing artificial intelligence. Founded by Sameer Maskey Ph.D., an Adjunct Associate Professor at Columbia University, the company has established a global presence with offices in Nepal, the United States, Canada, and the Dominican Republic, employing over 450 professionals. Fusemachines leverages its extensive expertise in AI to transform organizations worldwide, helping them harness the power of data and technology to achieve their strategic objectives. The company's mission centers on making AI accessible and beneficial for all, fostering innovation and growth through cutting\-edge solutions and talent development.
**About The Role**
 This is a remote, full\-time position designed for a highly skilled Senior Data Engineer or Technical Lead. The role involves designing, building, testing, optimizing, and maintaining robust data infrastructure and codebases that support data integration, storage, processing, and analytics. The successful candidate will oversee the development of data pipelines and workflows from ingestion to consumption, ensuring high data quality, accessibility, and security for business intelligence and advanced analytics.
 The role requires a deep understanding of programming languages, data management principles, and cloud technologies, with a focus on AWS and GCP platforms. The candidate will play a pivotal role in leading data engineering initiatives, guiding team members, and collaborating with cross\-functional teams to meet organizational data needs efficiently and effectively. This position offers an excellent opportunity to lead innovative projects, contribute to cloud migration efforts, and influence data strategy at a global scale.
**Qualifications**
* Bachelor’s degree in Computer Science, Information Systems, Engineering, or a related field.
* 5\+ years of experience in data engineering, with a strong background in AWS and GCP cloud platforms (certifications preferred).
* Proficiency in programming languages such as Python, SQL, and PySpark.
* Experience in designing and optimizing data pipelines, data lakes, and data warehouses using tools like Spark, DBT, Kafka, Airflow, and open\-source solutions.
* Knowledge of relational and NoSQL databases, including MySQL, Postgres, Cassandra, and MongoDB.
* Deep understanding of AWS services including Lambda, Kinesis, Redshift, S3, EMR, EC2, IAM, and CloudWatch.
* Hands\-on experience with orchestration tools like Airflow or Composer, and DevOps practices including GitHub, CI/CD, and Terraform.
* Strong problem\-solving, leadership, and project management skills, with excellent communication abilities across technical and non\-technical stakeholders.
* Experience working in Agile development environments.
**Responsibilities**
* Design, implement, deploy, test, and maintain scalable and efficient data architectures, establishing standards and best practices for data management.
* Ensure the scalability, reliability, performance, and security of data systems across the organization.
* Mentor and guide junior and mid\-level data engineers to foster skill development and best practices.
* Collaborate with product teams, data scientists, analysts, and engineering to gather requirements and develop reusable data solutions.
* Evaluate and adopt new technologies and tools to enhance data processing, integration, and analysis capabilities.
* Develop architecture, observability, and testing strategies to build reliable and maintainable data pipelines and infrastructure.
* Manage storage layers, including schema design, indexing, and performance tuning to optimize data access and processing.
* Address and resolve complex data engineering issues, including query bottlenecks and database performance challenges.
* Conduct discovery and assessment of existing data infrastructure and propose scalable architecture improvements.
* Implement data governance frameworks, including data cataloging, lineage, quality, and compliance practices.
* Define and document data engineering architectures, workflows, and data flows to ensure clarity and consistency.
* Continuously evaluate emerging technologies and methodologies to modernize data systems and support organizational growth.
* Participate actively in Agile ceremonies, contributing to continuous improvement and team collaboration.
**Benefits**
* Flexible remote work environment, promoting work\-life balance.
* Competitive salary packages aligned with experience and expertise.
* Opportunities for professional growth and development through training and certifications.
* Engagement in innovative projects with a global impact.
* Collaborative and inclusive work culture that values diversity and inclusion.
* Access to cutting\-edge tools and technologies in cloud computing and data engineering.
 Equal Opportunity
 Fusemachines is an equal opportunity employer. We celebrate diversity and are committed to creating an inclusive environment for all employees regardless of race, color, religion, sex, sexual orientation, gender identity, national origin, age, genetic information, disability, protected veteran status, or any other legally protected status.</t>
        </is>
      </c>
    </row>
    <row r="3">
      <c r="A3" t="inlineStr">
        <is>
          <t>li-4370177628</t>
        </is>
      </c>
      <c r="B3" t="inlineStr">
        <is>
          <t>Data Engineer</t>
        </is>
      </c>
      <c r="C3" t="inlineStr">
        <is>
          <t>Shrive Technologies</t>
        </is>
      </c>
      <c r="D3" t="inlineStr">
        <is>
          <t>linkedin</t>
        </is>
      </c>
      <c r="E3" t="inlineStr"/>
      <c r="F3" t="inlineStr"/>
      <c r="G3" t="inlineStr">
        <is>
          <t>San Jose, CA</t>
        </is>
      </c>
      <c r="H3" t="inlineStr"/>
      <c r="I3" t="inlineStr">
        <is>
          <t>*As a Business Intelligence Developer on the DCData team, you will be a key player in transforming raw data into actionable insights that inform critical business decisions for our data center operations. You will design, develop, and maintain BI solutions that provide clear and reliable data to leadership and stakeholders.*
**Responsibilities**
* Design, develop, and maintain end\-to\-end business intelligence solutions, including data models, pipelines, and interactive dashboards.
* Partner with cross\-functional teams, including engineers, product managers, and operations leaders, to understand business needs and translate them into technical requirements.
* Write and optimize complex SQL queries to extract, transform, and load (ETL) data from various data sources into our data warehouse.
* Develop and automate key performance indicator (KPI) frameworks and reports that track the performance and efficiency of data center operations.
* Create intuitive and compelling data visualizations using BI tools like Looker, Tableau, or Power BI to help stakeholders quickly grasp complex data trends.
* Ensure the integrity, accuracy, and security of data, and proactively troubleshoot any data\-related issues.
* Proactively identify opportunities to improve data collection, reporting processes, and overall data infrastructure.</t>
        </is>
      </c>
    </row>
    <row r="4">
      <c r="A4" t="inlineStr">
        <is>
          <t>li-4342523546</t>
        </is>
      </c>
      <c r="B4" t="inlineStr">
        <is>
          <t>Data Engineer</t>
        </is>
      </c>
      <c r="C4" t="inlineStr">
        <is>
          <t>Hasbro</t>
        </is>
      </c>
      <c r="D4" t="inlineStr">
        <is>
          <t>linkedin</t>
        </is>
      </c>
      <c r="E4" t="inlineStr"/>
      <c r="F4" t="inlineStr"/>
      <c r="G4" t="inlineStr">
        <is>
          <t>Renton, WA</t>
        </is>
      </c>
      <c r="H4" t="inlineStr"/>
      <c r="I4" t="inlineStr">
        <is>
          <t>At Hasbro, our mission is to entertain and connect generations of fans through the wonder of storytelling and exhilaration of play. We’re looking for adventurous and curious people who want to explore, experiment, and innovate to come up with the best ideas. Our culture has inspired our diverse team of highly skilled, highly creative, and highly committed individuals for 100 years and we believe the best is yet to come.
 Are you passionate about data? Then we want to hear from you! We have an opening for a Data Engineer to become part of our high\-profile Analytics group that is helping Hasbro connect more effectively with consumers through engaging products and entertainment. In this position, apply your skills in software engineering, cloud\-based analytics platforms, and working with business partners to grow our comprehensive analytics data ecosystem.
 What You'll Do
 In the role of Data Engineer at Hasbro, you will:
* Build highly scalable, reliable, and performant pipelines. These pipelines consume, integrate, and analyze large volumes of complex data using various proprietary and open\-source platforms and tools.
* Collaborate with engineers, producers, business partners, and analysts to elicit, translate, and prescribe requirements for their needs.
* Stay ahead of the technology curve and make recommendations about technologies to build current and future products.
* Support the progression of technology solutions from conception through release and into live operations.
* Implement processes, procedures, and documentation standards to ensure compliance with internal Technology and Corporate IT regulations.
 What You'll Bring
* 3\+ years of experience working with cloud data platforms like Redshift, Databricks, and Snowflake (Snowflake Preferred).
* More than one year of background working with Cloud Technologies (AWS preferred).
* Proficiency in Python and SQL.
* Background in data warehousing, data quality, and monitoring.
* Experience building scalable data pipelines and ETL processes.
* Experience working in a DevOps environment.
* Experience in managing data streams (KAFKA preferred).
* Experience integrating AI solutions into new and existing technologies to improve efficiency, streamline operations, and elevate the consumer experience.
* Bachelor’s degree or master’s degree or equivalent experience in computer science, Information Systems, or a related field.
 Nice\-to\-Have Skills
* Experience integrating with third\-party APIs.
* Experience with data pipeline orchestration tools such as Airflow.
* Familiarity with an Agile workflow environment.
 Why Join Us
 At Hasbro, you will work within an ambitious group where collaboration and fresh ideas fuel our efforts. Our goal is to offer outstanding products and experiences that deliver happiness to our consumers. Joining us means you can contribute to world\-class projects, grow your career, and be part of a company that prizes inclusion, inventiveness, and flawless delivery. Join us and help develop the future of play and entertainment!
**We are an Equal Opportunity / Affirmative Action Employer**
 Hasbro is committed to equality of opportunity in all aspects of employment. We are committed to making all employment decisions without regard to race, color, religion, sex, sexual orientation, gender identity or expression, national origin, age, marital status, or any other legally protected status.
 We will ensure that individuals with disabilities are provided reasonable accommodation to participate in the job application or interview process, to perform essential job functions, and to receive other benefits and privileges of employment. If you have a disability and require assistance in this application process and need to request an accommodation, please contact your recruiter or coordinator.
 The base salary range for this position is $124,800\.00 to $157,200\.00\. The hiring range will vary based on factors such as experience, skills, location and market conditions. Additionally, employees may be eligible for annual and long\-term incentives as part of their overall compensation package.
 Our Comprehensive Benefits Package Includes:
* Health \&amp; Wellness: Medical, Dental, and Vision Insurance
* Time Off to Recharge: Paid Vacation \&amp; Holidays
* Financial Well\-being: Generous 401(k) Match
* Life \&amp; Family Support: Paid Parental Leave
* Giving Back: Volunteer \&amp; Employee Giving Programs
* Level Up Your Skills: Tuition Reimbursement
* Exclusive Perks: Product Discounts \&amp; More!</t>
        </is>
      </c>
    </row>
    <row r="5">
      <c r="A5" t="inlineStr">
        <is>
          <t>li-4370185244</t>
        </is>
      </c>
      <c r="B5" t="inlineStr">
        <is>
          <t>Azure Data Engineer ADF</t>
        </is>
      </c>
      <c r="C5" t="inlineStr">
        <is>
          <t>Inherent Technologies</t>
        </is>
      </c>
      <c r="D5" t="inlineStr">
        <is>
          <t>linkedin</t>
        </is>
      </c>
      <c r="E5" t="inlineStr"/>
      <c r="F5" t="inlineStr"/>
      <c r="G5" t="inlineStr">
        <is>
          <t>Cincinnati, OH</t>
        </is>
      </c>
      <c r="H5" t="inlineStr"/>
      <c r="I5" t="inlineStr">
        <is>
          <t>Azure Data Engineer ADF and
 PySpark and python need
 Competencies: 10\+ years experience required
 Digital : Microsoft Azure
 Agile Way of Working
 Digital : Python
**Role Description**
 Take ownership of stories and drive them to completion through all phases of the entire 84\.51 SDLC.
 This includes external facing and internal applications as well as process improvement activities such as
 Develop distributed data processing data pipeline solutions
 Orchestrate multi\-step data transformation pipelines
 Perform unit, integration, and regression testing on packaged code
 Build transformation logic and code in an Object Oriented Programming style
 Enhance CICD pipelines in the path to production
 Create data quality checks for ingested and post processed data
 Ensure data observability via alerting and monitoring of automated pipeline solutions
 Maintain and enhance existing applications
 Build cloud resources via infrastructure as code
 Provide mentoring to junior team members
 Participate in retrospective reviews
 Participate in the estimation process for new work and releases
 Bring new perspectives to problems
 Be driven to improve yourself and the way things are done
**Essential Skills**
 Bachelors degree typically in Computer Science, Management Information Systems, Mathematics, Business Analytics or another technically strong program.
 2 years of proven professional data development experience
 2 years developing with SQL
 Proficient with software engineering best practices
 Proficient with data pipeline orchestration
 Proficient with automated testing (PyTest, etc)
 Proficient with VCS (Git, GitHub)
 Proficient using Python frameworks
 Proficient with Object Oriented Programming principles
 Proficient with Java and Sprint Framework
 Experience with distributed data processing (PySpark and/or Snowpark)
 Experience with Data Observability
 Experience with Data Quality checks and processes
**Experience With Cloud Technologies Services (Azure Preferred, GCP, AWS)**
 Experience with CICD
 Experience with dependency management (Conda, venv, etc)
 Experience with debugging enterprise applications
 Understanding of performance tuning enterprise processes
 Understanding of Infrastructure as Code
 Understanding SOLID principles
 Understanding of Agile Principles (Scrum)</t>
        </is>
      </c>
    </row>
    <row r="6">
      <c r="A6" t="inlineStr">
        <is>
          <t>li-4370179137</t>
        </is>
      </c>
      <c r="B6" t="inlineStr">
        <is>
          <t>Senior Data Engineer</t>
        </is>
      </c>
      <c r="C6" t="inlineStr">
        <is>
          <t>James Search Group</t>
        </is>
      </c>
      <c r="D6" t="inlineStr">
        <is>
          <t>linkedin</t>
        </is>
      </c>
      <c r="E6" t="inlineStr"/>
      <c r="F6" t="inlineStr"/>
      <c r="G6" t="inlineStr"/>
      <c r="H6" t="inlineStr"/>
      <c r="I6" t="inlineStr">
        <is>
          <t>**Senior Data Engineer (P\&amp;C Insurance)** 
 Fully Remote \| Full\-Time
 Base Salary: $120,000 – $150,000
**Partnering with a Leading P\&amp;C Insurance Carrier** 
 James Search Group is proud to partner with a highly rated Property \&amp; Casualty insurance carrier that is making significant investments in
 **data engineering, analytics, and machine learning** 
 . The company is building a centralized Data \&amp; ML/AI organization that unites experts across data architecture, engineering, analytics, governance, and modeling—creating a unique opportunity for growth, collaboration, and innovation.
 We are seeking a
 **Senior Data Engineer** 
 to design, build, and maintain the upstream components of a modern data platform. From ingestion and real\-time streaming to data quality frameworks, you’ll play a pivotal role in shaping the technical foundation of the company’s next\-generation data environment. This is a hands\-on role where you’ll be coding daily, mentoring peers, and collaborating closely with analytics engineers, data scientists, and business partners.
**Office Locations (Optional Hybrid):** 
 This is a remote\-first position, but you can also work from one of the carrier’s multiple U.S. office locations.
**What You’ll Do:** 
* Design, build, and optimize
 **scalable data pipelines** 
 for batch and real\-time processing.
* Implement
 **data ingestion frameworks** 
 including CDC from core systems, APIs, and third\-party platforms (Salesforce, Workday, Duck Creek, etc.).
* Develop and optimize
 **Apache Spark jobs on Databricks** 
 , leveraging Delta Lake, DLT pipelines, and lakehouse architectures.
* Ensure
 **data quality, lineage, and governance** 
 using Unity Catalog, CI/CD, and role\-based access/security controls.
* Partner with analytics engineers (dbt) to deliver clean, structured upstream data.
* Mentor peers, contribute to architecture decisions, and foster a culture of craftsmanship.
* Leverage
 **AWS services** 
 (S3, Glue, Lambda, etc.) and DevOps tools (GitHub, CI/CD) for scalable, production\-grade deployments.
**What You Bring:** 
* 3\-5\+ years of professional experience in
 **data engineering** 
 , ideally within insurance or financial services.
* Strong proficiency in
 **Python, SQL, and Spark** 
 for building and optimizing pipelines.
* Hands\-on expertise with
 **Databricks** 
 (Unity Catalog, Delta Lake, DLT pipelines) and/or Azure Data Services.
* Strong knowledge of
 **AWS data services** 
 , with the ability to adapt across cloud platforms (Azure, GCP).
* Familiarity with modern data architectures (medallion, lakehouse, streaming).
* Experience with GitHub, CI/CD pipelines, and testing frameworks.
* A problem\-solving mindset: balancing pragmatism with scalability, and a passion for working in collaborative teams.
**What’s In It for You:** 
* Competitive base salary ($120K–$150K)
* Performance\-based bonus
* Comprehensive benefits package
* 401(k) with company match
* Generous PTO and wellness programs
 This is a rare opportunity to join a
 **ground\-floor data transformation** 
 at a forward\-thinking P\&amp;C insurer, working with the latest tools and approaches to build something lasting.
 If you’re excited to design and deliver production\-grade data systems that directly empower analytics, AI, and business outcomes—we’d love to connect.</t>
        </is>
      </c>
    </row>
    <row r="7">
      <c r="A7" t="inlineStr">
        <is>
          <t>li-4370182452</t>
        </is>
      </c>
      <c r="B7" t="inlineStr">
        <is>
          <t>Data Engineer</t>
        </is>
      </c>
      <c r="C7" t="inlineStr">
        <is>
          <t>Bright Vision Technologies</t>
        </is>
      </c>
      <c r="D7" t="inlineStr">
        <is>
          <t>linkedin</t>
        </is>
      </c>
      <c r="E7" t="inlineStr"/>
      <c r="F7" t="inlineStr"/>
      <c r="G7" t="inlineStr">
        <is>
          <t>Dallas, TX</t>
        </is>
      </c>
      <c r="H7" t="inlineStr"/>
      <c r="I7" t="inlineStr">
        <is>
          <t>**Role \- Data Engineer**
 Bright Vision Technologies is a forward\-thinking software development company dedicated to building innovative solutions that help businesses automate and optimize their operations.
 We leverage cutting\-edge data engineering technologies to build scalable, reliable, and high\-performance data platforms. As we continue to grow, we’re looking for a skilled
 **Data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
**Company:** 
 Bright Vision Technologies ( www.bvteck.com )
**Job Title:** 
 Data Engineer
**Job Location:** 
 Bridgewater, New Jersey \- 08807
**Onsite/Hybrid:** 
 Remote
**FULL\-TIME ROLE WITH BRIGHT VISION**
**Job Description:**
**Environment:**
 Python, SQL, Data Warehousing, ETL/ELT pipelines, Apache Spark, Airflow, Kafka, Hadoop ecosystem, Snowflake / Redshift / BigQuery, Data Modeling, RESTful APIs, Cloud Platforms (AWS / Azure / GCP), Docker, Kubernetes (basic), CI/CD pipelines, Git, Linux, Agile methodologies
**BUT STRICTLY NO C2C/1099/3RD PARTY COMPANIES. ALL OUR ROLES ARE W2 AND NO 3RD PARTY BROKERING PLEASE.**
 For every role, a
 **coding test is required** 
 , so apply only if you are
 **confident and technically strong** 
 .
 We prefer
 **at least 3 to 5 years real time experience** 
 .
 If you are a
 **Data Engineer** 
 with the above skills and are looking for an
 **H\-1 B sponsorship** 
 this year, please send your resume immediately to
 **Sreedhar@bvteck.com** 
 .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Powered by JazzHR
 IEDe8bl7tU</t>
        </is>
      </c>
    </row>
    <row r="8">
      <c r="A8" t="inlineStr">
        <is>
          <t>li-4322340902</t>
        </is>
      </c>
      <c r="B8" t="inlineStr">
        <is>
          <t>Analytics Engineer</t>
        </is>
      </c>
      <c r="C8" t="inlineStr">
        <is>
          <t>TWINOAKS</t>
        </is>
      </c>
      <c r="D8" t="inlineStr">
        <is>
          <t>linkedin</t>
        </is>
      </c>
      <c r="E8" t="inlineStr"/>
      <c r="F8" t="inlineStr"/>
      <c r="G8" t="inlineStr">
        <is>
          <t>New York, NY</t>
        </is>
      </c>
      <c r="H8" t="inlineStr"/>
      <c r="I8" t="inlineStr">
        <is>
          <t>**Company Description**
 A division of Publicis Groupe, Publicis Digital Experience is a network of top\-tier agencies designed to develop capabilities and solutions to enable growth and provide scaled access to the digital capabilities of Publicis Groupe in service of our clients. Together, the Publicis Digital Experience portfolio endeavors to create value at the intersection of technology and experiences to connect brands and people.
 Our model to transform every brand experience will help clients navigate, develop, and activate commerce in a way that will provide them with a future\-proof model for modern marketing. With our unique expertise in consumer engagement, CRM, and commerce, Publicis Digital Experience powers brands and empowers people in a new era of creativity. An ever\-changing landscape and the need for fluid thinking is just part of our problem\-solving nature. Which means we're untethered from any specific medium or method—we go where ideas will work best.
 We are an expanding network of more than 7,000 employees across global offices, unified under the Publicis Digital Experience umbrella. Our portfolio includes agency brands such as Razorfish, Digitas, Mars United Commerce, Arc Worldwide, Saatchi \&amp; Saatchi X, Plowshare and 3Share. Our capabilities span the full customer journey—from creative and experience to Commerce and CRM—through specialized practices like ConnectedCRM and the Publicis Commerce.
**Overview**
 Part of the overall Analytics Group, the Analytics Engineering team is responsible for data modeling automation and preparing data needed by the Data Science team for modeling and the Business Analytics team for data analysis. This will involve documenting the data cleaning and transformation processes, automating these processes, ensuring data governance practices are followed, and maintaining a data catalog. The team is also responsible for developing all PowerBI dashboards based on client needs or Data Science outputs.
* Core Responsibilities: Data Integration, Data Cleaning, Data Transformation, Data Warehousing, Dashboarding, MLOps, Charts \&amp; Visualizations, Reporting Automation, etc.
* Primary Tools: Databricks, Azure Synapse, Power BI
**Primary Responsibilities**
 As an Analytics Engineer, you play a crucial role in developing and maintaining the data infrastructure that supports our analytics engineering capabilities. You work closely with data scientists, analysts, strategic planners, and other disciplines to ensure data quality and accessibility and implement best practices for data governance and security. Specifically, the Analytics Engineer will:
* Develop and maintain data pipelines and ETL processes.
* Optimize data infrastructure for efficient data processing.
* Ensure data quality and accessibility for data scientists and analysts.
* Collaborate with cross\-functional teams to address data needs and challenges.
* Implement data governance and security best practices.
* Support annual planning initiatives with clients.
* Work closely with cross\-functional teams, including analysts, product managers and domain experts to understand business requirements, formulate problem statements, and deliver relevant data science solutions.
* Develop and optimize machine learning models by processing, analyzing and extracting data from varying internal and external data sources.
* Develop supervised, unsupervised, and semi\-supervised machine learning models using state\-of\-the\-art techniques to solve client problems.
* Show up \- be accountable, take responsibility, and get back up when you are down.
* Make stuff.
* Share so others can see what’s happening.
**Skillsets Required**
* A bachelor’s/master’s degree in data analytics, computer science, or a directly related field.
* 3\-5 years of industry experience in a data analytics or related role.
* Proficiency in SQL for data querying and manipulation.
* Experience with data warehousing solutions.
* Design, implement, and manage ETL workflows to ensure data is accurately and efficiently collected, transformed, and loaded into our data warehouse.
* Proficiency in programming languages such as Python and R.
* Experience with cloud platforms such as AWS, Azure, and Google Cloud.
* Experience in developing and deploying machine learning models.
* Knowledge of machine learning engineering practices, including model versioning, deployment, and monitoring.
* Familiarity with machine learning frameworks and libraries (e.g., TensorFlow, PyTorch, Scikit\-learn).
* Ability to design and develop scalable data pipelines for batch and real\-time data processing.
* Experience with big data technologies such as Apache Spark, Hadoop, or similar.
* Proficiency in working with structured and unstructured data sources.
* Knowledge of data governance and security best practices.
* Strong understanding of data modeling techniques and best practices.
* Experience with DevOps or MLOps practices for continuous integration and deployment.
* Establish and create scalable and intuitive reporting methodologies through Power BI, suggesting the best representation and visualizations.
* Identify business intelligence needs recommending the best KPIs and customer valuation models and dashboards.
* Interpret data, analyze results, and identify trends or patterns in complex data sets.
* Filter and “clean” data and review computer reports, printouts, and performance indicators to locate and correct data corruption problems.
* Data collection, setting and leveraging DMP and CDP\-based infrastructures, attribution modeling, A/B \&amp; multivariate testing, and dynamic creative.
* Develop, evaluate, test, and maintain architectures and data solutions such as ETL Pipelines, Data Warehouses, Data Marts, etc.
* Automate data pipelines and develop automation workflows.
* Develop scalable and intuitive ETL \&amp; ELT pipelines from a variety of marketing sources such as Salesforce, Adobe Analytics, etc.
* Identify data sources and create data pipelines using shell scripts or Python scripts.
* Create technical documentation.
* Plan data analysis work and develop execution estimates, continuously improving the accuracy of the estimates.
* Develop Single Customer View stitching 1P data from various data sources.
**Additional Information**
 Our Publicis Groupe motto “Viva La Différence” means we’re better together, and we believe that our differences make us stronger. It means we honor and celebrate all identities, across all facets of intersectionality, and it underpins all that we do as an organization. We are focused on fostering belonging and creating equitable \&amp; inclusive experiences for all talent.
 Publicis Groupe provides robust and inclusive benefit programs and policies to support the evolving and diverse needs of our talent and enable every person to grow and thrive. Our benefits package includes medical coverage, dental, vision, disability, 401K, as well as parental and family care leave, family forming assistance, tuition reimbursement, and flexible time off.
 If you require accommodation or assistance with the application or onboarding process specifically, please contact USMSTACompliance@publicis.com. All your information will be kept confidential according to EEO guidelines.
 Compensation Range: \- $75,000\- $90,000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January 30, 2026\.</t>
        </is>
      </c>
    </row>
    <row r="9">
      <c r="A9" t="inlineStr">
        <is>
          <t>li-4322069798</t>
        </is>
      </c>
      <c r="B9" t="inlineStr">
        <is>
          <t>Data Engineer II-IO</t>
        </is>
      </c>
      <c r="C9" t="inlineStr">
        <is>
          <t>GM Financial</t>
        </is>
      </c>
      <c r="D9" t="inlineStr">
        <is>
          <t>linkedin</t>
        </is>
      </c>
      <c r="E9" t="inlineStr"/>
      <c r="F9" t="inlineStr"/>
      <c r="G9" t="inlineStr">
        <is>
          <t>Detroit, MI</t>
        </is>
      </c>
      <c r="H9" t="inlineStr"/>
      <c r="I9" t="inlineStr">
        <is>
          <t>**Job Description**
**Why GMF Technology?**
 Innovation isn’t just a talking point at GM Financial, it’s how we operate. From generative AI and cloud\-native technologies to peer\-led learning and hackathons, our tech teams are building real solutions that make a difference. We’re committed to AI\-powered transformation, using advanced machine learning and automation to help us reimagine customer interactions and modernize operations, positioning GM Financial as a leader in digital innovation within a dynamic industry.
 Join us and discover a workplace where your ideas matter, your development is prioritized, and you can truly make a global impact.
**Flexible hybrid work environment (onsite 2 days/week 3 days remote) in Las Colinas/Irving, TX or Detroit, MI.**
***Please note: We are unable to provide any type of visa sponsorship for this position now or in the future.***
**About This Role**
 We are seeking a skilled and innovative Data Engineer II to join our team and contribute to the advancement of our data engineering capabilities. This role involves working with cutting\-edge technologies in both batch and streaming data environments, supporting the adoption of emerging tools and practices, and collaborating across teams to deliver high\-quality data solutions.
**Responsibilities**
**What makes you an ideal candidate:**
* Research, evaluate, and experiment with emerging data engineering technologies in a lab environment to stay ahead of industry trends.
* Collaborate with data engineering teams to demonstrate the capabilities of new technologies and facilitate their adoption.
* Help define and refine processes and best practices for the data engineering discipline.
* Partner with business stakeholders, data architects, ETL developers, reporting teams, data scientists, and IT counterparts to identify and integrate data from various sources including external systems, internal databases, and data warehouses.
* Develop, test, deploy, monitor, and troubleshoot data pipelines and automation processes.
* Maintain comprehensive documentation and ensure reconciliation of data processes.
**Qualifications**
**Experience:**
* Bachelor's degree in related field or equivalent work experience.
* 2\-4 years of hands\-on experience in data engineering.
* 2\-4 years of experience processing large datasets using tools such as Databricks, Python, Spark, Kafka, and APIs.
* Proficiency in ingesting diverse data formats (XML, JSON, Parquet, SequenceFile) and integrating with various data sources (Oracle, cloud databases, Event Hub, Service Bus).
* Experience with cloud platforms (Azure, AWS) and infrastructure automation tools (ARM Templates, Terraform, CloudFormation).
* Strong understanding of cloud computing models (IaaS, PaaS, SaaS) and hybrid cloud environments.
* Familiarity with object storage technologies (Data Lake Storage Gen2, Blob, S3, ADLS).
* Experience with Agile/Scrum methodologies and application lifecycle management.
* Proficient in source control (Git), CI/CD pipelines (Azure DevOps), and artifact repositories (Artifactory).
* Experience creating and maintaining ETL processes.
* Knowledge of IT governance, privacy compliance, and GDPR.
* Preferred experience with Adobe Experience Platform, REST APIs, IBM Infosphere (Datastage), and Unix scripting.
**What We Offer:** 
 Generous benefits package available on day one to include: 401K matching, bonding leave for new parents (12 weeks, 100% paid), tuition assistance, training, GM employee auto discount, community service pay and nine company holidays.
**Our Culture:**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minimum of 2\-days a week in Detroit, MI or Irving, TX office
***We are not able to provide any visa sponsorship for this role now or in the future.***
**\#GMFJobs**</t>
        </is>
      </c>
    </row>
    <row r="10">
      <c r="A10" t="inlineStr">
        <is>
          <t>li-4370038130</t>
        </is>
      </c>
      <c r="B10" t="inlineStr">
        <is>
          <t>Data Engineer | Remote (Indonesia)</t>
        </is>
      </c>
      <c r="C10" t="inlineStr">
        <is>
          <t>Springer Capital</t>
        </is>
      </c>
      <c r="D10" t="inlineStr">
        <is>
          <t>linkedin</t>
        </is>
      </c>
      <c r="E10" t="inlineStr"/>
      <c r="F10" t="inlineStr"/>
      <c r="G10" t="inlineStr">
        <is>
          <t>Idaho, United States</t>
        </is>
      </c>
      <c r="H10" t="inlineStr"/>
      <c r="I10" t="inlineStr">
        <is>
          <t>**Position Overview**
 We are seeking a skilled
 **Data Engineer** 
 with 35 years of experience to design, build, and maintain robust data pipelines and platforms. The ideal candidate will work closely with data analysts, data scientists, and business stakeholders to ensure reliable, scalable, and high\-quality data solutions that support analytics, reporting, and business decision\-making.
**Key Responsibilities \&amp; Deliverables**
**Data Pipeline Development**
* Design, build, and maintain ETL/ELT pipelines to ingest, transform, and process structured and unstructured data from multiple sources.
* Ensure data pipelines are scalable, reliable, and optimized for performance.
* Build and optimize batch processing workflows for AI/ML model training, inference, and feature engineering
* Collaborate with cross\-functional teams to understand data requirements and implement solutions that meet business needs.
**Data Modeling \&amp; Management**
* Develop and maintain data models, schemas, and storage solutions for analytical and operational purposes.
* Implement best practices for data warehousing, database design, and metadata management.
* Ensure data quality, consistency, and accuracy across pipelines and storage systems.
**Collaboration \&amp; Support**
* Partner with data analysts, data scientists, and BI teams to provide clean, well\-structured data for analysis and reporting.
* Troubleshoot, debug, and optimize data processes and pipeline performance.
* Document data architecture, pipelines, and processes for internal reference and compliance.
**Core Qualifications And Competencies**
* Bachelors degree in Computer Science, Information Technology, or a related field.
* 35 years of experience in data engineering, ETL development, or data warehousing.
* Strong programming skills in SQL and Python/Scala/Java.
* Understanding of Role\-Based Access Control (RBAC) principles and implementation across data platforms
* Hands\-on experience with relational and NoSQL databases (e.g., MySQL, PostgreSQL, MongoDB).
* Experience with cloud platforms and tools (AWS, Azure, GCP, Redshift, Snowflake, BigQuery).
* Knowledge of data modeling, schema design, and data pipeline best practices.
* Understanding of data governance, security, and compliance standards.
**Nice\-to\-Have Skills**
* Familiarity with streaming concepts and message queues (Kafka, etc.) for understanding upstream data sources
* Hands\-on experience with workflow orchestration tools (Airflow, Luigi, Prefect)
* Exposure to BI tools (Power BI, Tableau, Looker) and analytics pipelines.
* Knowledge of DevOps practices for CI/CD and infrastructure as code.
* Why This Opportunity
* 100% remote work work from anywhere
* Global exposure, working with distributed teams across geographies
* Competitive salary aligned with experience and market standards</t>
        </is>
      </c>
    </row>
    <row r="11">
      <c r="A11" t="inlineStr">
        <is>
          <t>li-4367072687</t>
        </is>
      </c>
      <c r="B11" t="inlineStr">
        <is>
          <t>Data Engineer</t>
        </is>
      </c>
      <c r="C11" t="inlineStr">
        <is>
          <t>myGwork - LGBTQ+ Business Community</t>
        </is>
      </c>
      <c r="D11" t="inlineStr">
        <is>
          <t>linkedin</t>
        </is>
      </c>
      <c r="E11" t="inlineStr"/>
      <c r="F11" t="inlineStr"/>
      <c r="G11" t="inlineStr">
        <is>
          <t>San Francisco, CA</t>
        </is>
      </c>
      <c r="H11" t="inlineStr"/>
      <c r="I11" t="inlineStr">
        <is>
          <t>**This job is with Amazon, an inclusive employer and a member of myGwork – the largest global platform for the LGBTQ\+ business community. Please do not contact the recruiter directly.**
**Description**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Monetization organization you will work on making Twitch's massive data sets robust and consumable by people around the company. You'll work with a team of other data engineers to build and maintain data pipelines that allow our stakeholders to understand our business.
 You can work from Twitch's headquarters in San Francisco, CA.
 You Will
* Work closely with data scientists and engineers to create robust data architectures and pipelines
* Develop and manage scalable data pipelines to extract, transform, and load data from various sources
* Collaborate with stakeholders to understand business requirements and translate them into data\-driven solutions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 Develop and manage scalable, automated, and fault\-tolerant data solutions using technologies such as Spark, EMR, Python, Redshift, Glue, and S3
 Perks
* Medical, Dental, Vision \&amp; Disability Insurance
* 401(k)
* Maternity \&amp; Parental Leave
* Flexible PTO
* Amazon Employee Discount
**Basic Qualifications**
* 1\+ years of data engineering experience
* 1\+ year of experience working in a data engineering, data science, or software engineering capacity
* Deep expertise in writing and maintaining robust data pipelines in SQL and Python
* Ability to turn data requirements from stakeholders into actionable plans
* Extensive experience with cloud computing tools, like AWS, Azure, or Google cloud
* Proven experience implementing best practices in data pipelines, ensuring accuracy, consistency, and reliability
**Preferred Qualifications**
* Experience with big data technologies such as: Hadoop, Hive, Spark, EMR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CA, SAN FRANCISCO \- 116,500\.00 \- 185,000\.00 USD annually
 USA, CA, San Francisco \- 116,500\.00 \- 185,000\.00 USD annually]]\&gt;</t>
        </is>
      </c>
    </row>
    <row r="12">
      <c r="A12" t="inlineStr">
        <is>
          <t>li-4322069797</t>
        </is>
      </c>
      <c r="B12" t="inlineStr">
        <is>
          <t>Data Engineer II-IO</t>
        </is>
      </c>
      <c r="C12" t="inlineStr">
        <is>
          <t>GM Financial</t>
        </is>
      </c>
      <c r="D12" t="inlineStr">
        <is>
          <t>linkedin</t>
        </is>
      </c>
      <c r="E12" t="inlineStr"/>
      <c r="F12" t="inlineStr"/>
      <c r="G12" t="inlineStr">
        <is>
          <t>Arlington, TX</t>
        </is>
      </c>
      <c r="H12" t="inlineStr"/>
      <c r="I12" t="inlineStr">
        <is>
          <t>**Job Description**
**Why GMF Technology?**
 Innovation isn’t just a talking point at GM Financial, it’s how we operate. From generative AI and cloud\-native technologies to peer\-led learning and hackathons, our tech teams are building real solutions that make a difference. We’re committed to AI\-powered transformation, using advanced machine learning and automation to help us reimagine customer interactions and modernize operations, positioning GM Financial as a leader in digital innovation within a dynamic industry.
 Join us and discover a workplace where your ideas matter, your development is prioritized, and you can truly make a global impact.
**Flexible hybrid work environment (onsite 2 days/week 3 days remote) in Las Colinas/Irving, TX or Detroit, MI.**
***Please note: We are unable to provide any type of visa sponsorship for this position now or in the future.***
**About This Role**
 We are seeking a skilled and innovative Data Engineer II to join our team and contribute to the advancement of our data engineering capabilities. This role involves working with cutting\-edge technologies in both batch and streaming data environments, supporting the adoption of emerging tools and practices, and collaborating across teams to deliver high\-quality data solutions.
**Responsibilities**
**What makes you an ideal candidate:**
* Research, evaluate, and experiment with emerging data engineering technologies in a lab environment to stay ahead of industry trends.
* Collaborate with data engineering teams to demonstrate the capabilities of new technologies and facilitate their adoption.
* Help define and refine processes and best practices for the data engineering discipline.
* Partner with business stakeholders, data architects, ETL developers, reporting teams, data scientists, and IT counterparts to identify and integrate data from various sources including external systems, internal databases, and data warehouses.
* Develop, test, deploy, monitor, and troubleshoot data pipelines and automation processes.
* Maintain comprehensive documentation and ensure reconciliation of data processes.
**Qualifications**
**Experience:**
* Bachelor's degree in related field or equivalent work experience.
* 2\-4 years of hands\-on experience in data engineering.
* 2\-4 years of experience processing large datasets using tools such as Databricks, Python, Spark, Kafka, and APIs.
* Proficiency in ingesting diverse data formats (XML, JSON, Parquet, SequenceFile) and integrating with various data sources (Oracle, cloud databases, Event Hub, Service Bus).
* Experience with cloud platforms (Azure, AWS) and infrastructure automation tools (ARM Templates, Terraform, CloudFormation).
* Strong understanding of cloud computing models (IaaS, PaaS, SaaS) and hybrid cloud environments.
* Familiarity with object storage technologies (Data Lake Storage Gen2, Blob, S3, ADLS).
* Experience with Agile/Scrum methodologies and application lifecycle management.
* Proficient in source control (Git), CI/CD pipelines (Azure DevOps), and artifact repositories (Artifactory).
* Experience creating and maintaining ETL processes.
* Knowledge of IT governance, privacy compliance, and GDPR.
* Preferred experience with Adobe Experience Platform, REST APIs, IBM Infosphere (Datastage), and Unix scripting.
**What We Offer:** 
 Generous benefits package available on day one to include: 401K matching, bonding leave for new parents (12 weeks, 100% paid), tuition assistance, training, GM employee auto discount, community service pay and nine company holidays.
**Our Culture:**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minimum of 2\-days a week in Detroit, MI or Irving, TX office
***We are not able to provide any visa sponsorship for this role now or in the future.***
**\#GMFJobs**</t>
        </is>
      </c>
    </row>
    <row r="13">
      <c r="A13" t="inlineStr">
        <is>
          <t>li-4370017901</t>
        </is>
      </c>
      <c r="B13" t="inlineStr">
        <is>
          <t>Data Engineer (Lakehouse &amp; Analytics Platform)</t>
        </is>
      </c>
      <c r="C13" t="inlineStr">
        <is>
          <t>Kiewit</t>
        </is>
      </c>
      <c r="D13" t="inlineStr">
        <is>
          <t>linkedin</t>
        </is>
      </c>
      <c r="E13" t="inlineStr"/>
      <c r="F13" t="inlineStr"/>
      <c r="G13" t="inlineStr">
        <is>
          <t>Omaha, NE</t>
        </is>
      </c>
      <c r="H13" t="inlineStr"/>
      <c r="I13" t="inlineStr">
        <is>
          <t>**Requisition ID:** 
 179616
**Job Level:** 
 Mid Level
**Home District/Group:** 
 DHO Kiewit Data Services
**Department:** 
 Data Services
**Market:** 
 Corporate Home Office
**Employment Type:** 
 Full Time
**Position Overview**
 Kiewit Data Services is building a modern data platform to support analytics and significantly expand Kiewit’s use of AI and machine learning beyond what we do today. We are hiring multiple Data Engineers (4\+ years of experience) to help build reliable data pipelines and curated datasets that power reporting, analytics, and data products.
 We’re looking for people with strong fundamentals, a collaborative mindset, and a clear
 **interest and ability to learn** 
 —especially in modern cloud and lakehouse technologies
**District Overview**
 Kiewit Data Services (KDS) helps make Kiewit a data\-driven organization by delivering trusted data, scalable data products, and platform capabilities that support teams across the business.
**Location**
 This role is available for candidates to work from one of our office locations in
 **Omaha, NE; Lone Tree, CO; or Lenexa, KS** 
 .
**Responsibilities**
* Build and support data pipelines that ingest, transform, and publish data for analytics and data products.
* Develop well\-structured datasets using modern modeling and testing practices (e.g., dbt).
* Orchestrate and monitor workflows using tools like Dagster (or similar).
* Improve reliability through automation, testing, documentation, monitoring, and operational best practices.
* Partner with engineers and stakeholders to understand needs and deliver high\-quality data solutions
**Qualifications**
* 4\+ years of experience in data engineering, analytics engineering, software engineering, or a related role (or equivalent practical experience).
* Experience with Python and SQL in production environments.
* Experience with or strong interest in learning Azure and Databricks.
* Experience with or strong interest in learning Dagster and dbt.
* Understanding of lakehouse / data lake architecture concepts and how data is curated for analytics use cases.
* Strong communication skills and ability to work effectively with cross\-functional teams.
**Preferred Qualifications**
* Experience with AI\-assisted software engineering.
* Experience with Spark\-based processing, lakehouse table formats, and performance optimization.
* Familiarity with CI/CD, Git\-based workflows, and production support/on\-call practices.
 Other Requirements:
* Regular, reliable attendance
* Work productively and meet deadlines timely
* Communicate and interact effectively and professionally with supervisors, employees, and others individually or in a team environment
* Perform work safely and effectively. Understand and follow oral and written instructions, including warning signs, equipment use, and other policies.
* Work during normal operating hours to organize and complete work within given deadlines. Work overtime and weekends as required.
 Base Compensation: $90,000/yr \- $150,000/yr
**(Actual compensation is subject to variation due to such factors as education, experience, skillset, and/or location)**
 This posting will be active from: \-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Equal Opportunity Employer, including disability and protected veteran status.</t>
        </is>
      </c>
    </row>
    <row r="14">
      <c r="A14" t="inlineStr">
        <is>
          <t>li-4370034702</t>
        </is>
      </c>
      <c r="B14" t="inlineStr">
        <is>
          <t>Sr Data Engineer</t>
        </is>
      </c>
      <c r="C14" t="inlineStr">
        <is>
          <t>NOVALINK SOLUTIONS LLC</t>
        </is>
      </c>
      <c r="D14" t="inlineStr">
        <is>
          <t>linkedin</t>
        </is>
      </c>
      <c r="E14" t="inlineStr"/>
      <c r="F14" t="inlineStr"/>
      <c r="G14" t="inlineStr">
        <is>
          <t>Lansing, MI</t>
        </is>
      </c>
      <c r="H14" t="inlineStr"/>
      <c r="I14" t="inlineStr">
        <is>
          <t>Role:
 Sr Data Engineer 
 Location:
 Lansing MI
 Top Skills \&amp; Years of Experience:
 • 12\+ years developing complex database systems.
 • 8\+ years Databricks.
 • 8\+ years using Elastic search, Kibanna.
 • 8\+ years using Python/Scala.
 • 8\+ years Oracle.
 • 5\+ years' experience with Extract, Transform, and Load (ETL) processes and developing Data Pipelines.
 • 5\+ years' experience with AWS.
 • 5\+ years' experience with data warehousing, data visualization Tools, data integrity.
 • 5\+ years using CMM/CMMI Level 3 methods and practices.
 • 5\+ years implemented agile development processes including test driven development.
 If interested, kindly share your resume to novalink.amtas@novalink\-solutions.com</t>
        </is>
      </c>
    </row>
    <row r="15">
      <c r="A15" t="inlineStr">
        <is>
          <t>li-4370021903</t>
        </is>
      </c>
      <c r="B15" t="inlineStr">
        <is>
          <t>Data Engineer (Lakehouse &amp; Analytics Platform)</t>
        </is>
      </c>
      <c r="C15" t="inlineStr">
        <is>
          <t>Kiewit</t>
        </is>
      </c>
      <c r="D15" t="inlineStr">
        <is>
          <t>linkedin</t>
        </is>
      </c>
      <c r="E15" t="inlineStr"/>
      <c r="F15" t="inlineStr"/>
      <c r="G15" t="inlineStr">
        <is>
          <t>Lenexa, KS</t>
        </is>
      </c>
      <c r="H15" t="inlineStr"/>
      <c r="I15" t="inlineStr">
        <is>
          <t>**Requisition ID:** 
 179616
**Job Level:** 
 Mid Level
**Home District/Group:** 
 DHO Kiewit Data Services
**Department:** 
 Data Services
**Market:** 
 Corporate Home Office
**Employment Type:** 
 Full Time
**Position Overview**
 Kiewit Data Services is building a modern data platform to support analytics and significantly expand Kiewit’s use of AI and machine learning beyond what we do today. We are hiring multiple Data Engineers (4\+ years of experience) to help build reliable data pipelines and curated datasets that power reporting, analytics, and data products.
 We’re looking for people with strong fundamentals, a collaborative mindset, and a clear
 **interest and ability to learn** 
 —especially in modern cloud and lakehouse technologies
**District Overview**
 Kiewit Data Services (KDS) helps make Kiewit a data\-driven organization by delivering trusted data, scalable data products, and platform capabilities that support teams across the business.
**Location**
 This role is available for candidates to work from one of our office locations in
 **Omaha, NE; Lone Tree, CO; or Lenexa, KS** 
 .
**Responsibilities**
* Build and support data pipelines that ingest, transform, and publish data for analytics and data products.
* Develop well\-structured datasets using modern modeling and testing practices (e.g., dbt).
* Orchestrate and monitor workflows using tools like Dagster (or similar).
* Improve reliability through automation, testing, documentation, monitoring, and operational best practices.
* Partner with engineers and stakeholders to understand needs and deliver high\-quality data solutions
**Qualifications**
* 4\+ years of experience in data engineering, analytics engineering, software engineering, or a related role (or equivalent practical experience).
* Experience with Python and SQL in production environments.
* Experience with or strong interest in learning Azure and Databricks.
* Experience with or strong interest in learning Dagster and dbt.
* Understanding of lakehouse / data lake architecture concepts and how data is curated for analytics use cases.
* Strong communication skills and ability to work effectively with cross\-functional teams.
**Preferred Qualifications**
* Experience with AI\-assisted software engineering.
* Experience with Spark\-based processing, lakehouse table formats, and performance optimization.
* Familiarity with CI/CD, Git\-based workflows, and production support/on\-call practices.
 Other Requirements:
* Regular, reliable attendance
* Work productively and meet deadlines timely
* Communicate and interact effectively and professionally with supervisors, employees, and others individually or in a team environment
* Perform work safely and effectively. Understand and follow oral and written instructions, including warning signs, equipment use, and other policies.
* Work during normal operating hours to organize and complete work within given deadlines. Work overtime and weekends as required.
 Base Compensation: $90,000/yr \- $150,000/yr
**(Actual compensation is subject to variation due to such factors as education, experience, skillset, and/or location)**
 This posting will be active from: \-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Equal Opportunity Employer, including disability and protected veteran status.</t>
        </is>
      </c>
    </row>
    <row r="16">
      <c r="A16" t="inlineStr">
        <is>
          <t>li-4350484393</t>
        </is>
      </c>
      <c r="B16" t="inlineStr">
        <is>
          <t>Sr. Data Engineer I (6290)</t>
        </is>
      </c>
      <c r="C16" t="inlineStr">
        <is>
          <t>MetroStar</t>
        </is>
      </c>
      <c r="D16" t="inlineStr">
        <is>
          <t>linkedin</t>
        </is>
      </c>
      <c r="E16" t="inlineStr"/>
      <c r="F16" t="inlineStr"/>
      <c r="G16" t="inlineStr">
        <is>
          <t>Tysons Corner, VA</t>
        </is>
      </c>
      <c r="H16" t="inlineStr"/>
      <c r="I16" t="inlineStr">
        <is>
          <t>As a
 **Sr. Data Engineer I** 
 , you’ll work with team members to build, deploy, and operate data pipelines and data engineering components to enable data brokering and exchange capabilities across a diverse range of producers and consumers. In this role, you will be responsible for building robust, scalable data pipelines while working collaboratively with cross\-functional teams to ensure seamless integration, optimized performance, and efficient delivery of solutions.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Work with team members to operationalize data pipelines and supporting cloud infrastructure
* Collaborate with external data producers and consumers to obtain and provide data through interfaces such as REST APIs and S3
* Provide day\-to\-day support of deploying Python\-native data pipelines and performing data engineering tasks to enable data brokering and exchange capabilities
* Provide Tier 2/3 troubleshooting and incident resolution support for data pipelines in Production
**What you’ll need to succeed:**
* Active TS/SCI required with CI poly preferred
* 4\+ years of proven experience in data engineering, with expertise in designing, developing, and maintaining data ingestion, transformation, and loading pipelines and components
* Demonstrated experience in designing and deploying data pipelines leveraging AWS cloud infrastructure across multiple classification domains (e.g., IL5 to IL6\+)
* Experience with Infrastructure\-as\-Code (IaC) tools, including Terraform, CloudFormation, or Ansible, to automate deployment of data pipeline cloud infrastructure
* Understanding of RMF security principles and hands\-on experience implementing security controls for data pipelines in cloud environments
* Strong scripting and programming skills in languages such as Go, Python, and Bash
* Experience with data pipeline tools and technologies such as Nifi, Hadoop, HDFS, and Kafka. Experience implementing data pipelines in the Cloudera Data Platform environment is highly preferred.
* Strong communication skills, with the ability to clearly convey complex technical concepts
 SALARY RANGE: $125,000 \- $167,000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17">
      <c r="A17" t="inlineStr">
        <is>
          <t>li-4370017903</t>
        </is>
      </c>
      <c r="B17" t="inlineStr">
        <is>
          <t>Data Engineer (Lakehouse &amp; Analytics Platform)</t>
        </is>
      </c>
      <c r="C17" t="inlineStr">
        <is>
          <t>Kiewit</t>
        </is>
      </c>
      <c r="D17" t="inlineStr">
        <is>
          <t>linkedin</t>
        </is>
      </c>
      <c r="E17" t="inlineStr"/>
      <c r="F17" t="inlineStr"/>
      <c r="G17" t="inlineStr">
        <is>
          <t>Lone Tree, CO</t>
        </is>
      </c>
      <c r="H17" t="inlineStr"/>
      <c r="I17" t="inlineStr">
        <is>
          <t>**Requisition ID:** 
 179616
**Job Level:** 
 Mid Level
**Home District/Group:** 
 DHO Kiewit Data Services
**Department:** 
 Data Services
**Market:** 
 Corporate Home Office
**Employment Type:** 
 Full Time
**Position Overview**
 Kiewit Data Services is building a modern data platform to support analytics and significantly expand Kiewit’s use of AI and machine learning beyond what we do today. We are hiring multiple Data Engineers (4\+ years of experience) to help build reliable data pipelines and curated datasets that power reporting, analytics, and data products.
 We’re looking for people with strong fundamentals, a collaborative mindset, and a clear
 **interest and ability to learn** 
 —especially in modern cloud and lakehouse technologies
**District Overview**
 Kiewit Data Services (KDS) helps make Kiewit a data\-driven organization by delivering trusted data, scalable data products, and platform capabilities that support teams across the business.
**Location**
 This role is available for candidates to work from one of our office locations in
 **Omaha, NE; Lone Tree, CO; or Lenexa, KS** 
 .
**Responsibilities**
* Build and support data pipelines that ingest, transform, and publish data for analytics and data products.
* Develop well\-structured datasets using modern modeling and testing practices (e.g., dbt).
* Orchestrate and monitor workflows using tools like Dagster (or similar).
* Improve reliability through automation, testing, documentation, monitoring, and operational best practices.
* Partner with engineers and stakeholders to understand needs and deliver high\-quality data solutions
**Qualifications**
* 4\+ years of experience in data engineering, analytics engineering, software engineering, or a related role (or equivalent practical experience).
* Experience with Python and SQL in production environments.
* Experience with or strong interest in learning Azure and Databricks.
* Experience with or strong interest in learning Dagster and dbt.
* Understanding of lakehouse / data lake architecture concepts and how data is curated for analytics use cases.
* Strong communication skills and ability to work effectively with cross\-functional teams.
**Preferred Qualifications**
* Experience with AI\-assisted software engineering.
* Experience with Spark\-based processing, lakehouse table formats, and performance optimization.
* Familiarity with CI/CD, Git\-based workflows, and production support/on\-call practices.
 Other Requirements:
* Regular, reliable attendance
* Work productively and meet deadlines timely
* Communicate and interact effectively and professionally with supervisors, employees, and others individually or in a team environment
* Perform work safely and effectively. Understand and follow oral and written instructions, including warning signs, equipment use, and other policies.
* Work during normal operating hours to organize and complete work within given deadlines. Work overtime and weekends as required.
 Base Compensation: $90,000/yr \- $150,000/yr
**(Actual compensation is subject to variation due to such factors as education, experience, skillset, and/or location)**
 This posting will be active from: \-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Equal Opportunity Employer, including disability and protected veteran status.</t>
        </is>
      </c>
    </row>
    <row r="18">
      <c r="A18" t="inlineStr">
        <is>
          <t>li-4370171640</t>
        </is>
      </c>
      <c r="B18" t="inlineStr">
        <is>
          <t>Data Engineer</t>
        </is>
      </c>
      <c r="C18" t="inlineStr">
        <is>
          <t>Best Job Tool</t>
        </is>
      </c>
      <c r="D18" t="inlineStr">
        <is>
          <t>linkedin</t>
        </is>
      </c>
      <c r="E18" t="inlineStr"/>
      <c r="F18" t="inlineStr"/>
      <c r="G18" t="inlineStr"/>
      <c r="H18" t="inlineStr"/>
      <c r="I18" t="inlineStr">
        <is>
          <t>**About The Company**
 Advanced Network Consulting is a leading provider of innovative IT solutions and services dedicated to empowering businesses through cutting\-edge technology. With a proven track record of delivering reliable and scalable network solutions, we serve a diverse range of clients across various industries. Our commitment to excellence, customer satisfaction, and continuous improvement positions us as a trusted partner in the digital transformation journey. At Advanced Network Consulting, we foster a collaborative and inclusive work environment that encourages professional growth and innovation.
**About The Role**
 We are seeking a highly skilled and motivated Network Engineer to join our dynamic team. In this role, you will be responsible for designing, implementing, and maintaining complex network infrastructures that support our clients' business operations. The ideal candidate will possess a strong technical background, excellent problem\-solving skills, and the ability to work effectively in a fast\-paced environment. As a Network Engineer at Advanced Network Consulting, you will collaborate with cross\-functional teams to deliver tailored solutions, troubleshoot network issues, and ensure optimal performance and security of network systems.
**Qualifications**
* Bachelor’s degree in Computer Science, Information Technology, or a related field.
* Minimum of 3\-5 years of experience in network engineering or a similar role.
* Professional certifications such as Cisco CCNA, CCNP, or equivalent are highly preferred.
* Strong knowledge of network protocols, routing, switching, and security principles.
* Experience with network hardware, firewalls, VPNs, and wireless technologies.
* Excellent troubleshooting and analytical skills.
* Ability to work independently and as part of a team.
* Effective communication skills to convey technical information clearly to clients and team members.
**Responsibilities**
* Design, implement, and maintain network infrastructure solutions tailored to client requirements.
* Monitor network performance and troubleshoot issues to ensure high availability and reliability.
* Configure and manage network hardware, including routers, switches, firewalls, and wireless access points.
* Implement security measures to safeguard network systems against threats and vulnerabilities.
* Conduct regular network audits and performance assessments to identify areas for improvement.
* Collaborate with clients and internal teams to develop scalable and future\-proof network strategies.
* Document network configurations, policies, and procedures for operational consistency and compliance.
* Stay updated with the latest industry trends, technologies, and best practices in network engineering.
**Benefits**
 At Advanced Network Consulting, we value our employees and offer a comprehensive benefits package designed to support your professional and personal well\-being. Our benefits include competitive salary packages, health insurance coverage, retirement plans, paid time off, and opportunities for continuous learning and development. We promote a flexible work environment that encourages work\-life balance and provides resources to help you succeed in your career. Additionally, employees have access to training programs, industry certifications, and participation in innovative projects that enhance their skills and expertise.
 Equal Opportunity
 Advanced Network Consulting is an equal opportunity employer. We are committed to creating a diverse and inclusive workplace where all employees are treated with respect and fairness. We do not discriminate based on race, color, religion, gender, sexual orientation, gender identity, national origin, age, disability, or any other protected characteristic. Our hiring practices aim to foster an environment of equal opportunity and support the growth and development of all team members.</t>
        </is>
      </c>
    </row>
    <row r="19">
      <c r="A19" t="inlineStr">
        <is>
          <t>li-4346430128</t>
        </is>
      </c>
      <c r="B19" t="inlineStr">
        <is>
          <t>Lead Data Engineer</t>
        </is>
      </c>
      <c r="C19" t="inlineStr">
        <is>
          <t>H&amp;R Block</t>
        </is>
      </c>
      <c r="D19" t="inlineStr">
        <is>
          <t>linkedin</t>
        </is>
      </c>
      <c r="E19" t="inlineStr"/>
      <c r="F19" t="inlineStr"/>
      <c r="G19" t="inlineStr">
        <is>
          <t>Missouri, United States</t>
        </is>
      </c>
      <c r="H19" t="inlineStr"/>
      <c r="I19" t="inlineStr">
        <is>
          <t>**Our Company**
 We care about helping people. Our purpose is to provide help and inspire confidence in our clients and communities everywhere. Our associates feel a sense of belonging in an inclusive place with an amazing history and a sharp focus on our future. Our connected culture is who we are and how we work together to achieve our strategies, accelerate our transformation, and achieve extraordinary results. It’s an exciting time to be a part of H\&amp;R Block!
**What you'll do...**
 We are seeking an accomplished
 **Lead Data Engineer** 
 to spearhead the transformation of our financial services data platform. This hands\-on leadership role combines deep technical expertise with strategic vision, building a modern data platform for financial services. You will lead the design, enhancement, and governance of our data systems, ensuring they are scalable, compliant, and resilient, while leveraging cloud\-native and AI driven technologies.
**Day to day you'll...**
* Design and deliver scalable data solutions using Azure Data Services, Microsoft Fabric, and C\# .NET
* Create robust, maintainable data models to power analytics and product development across financial services
* Optimize existing data systems and pipelines to improve performance, scalability, and cost efficiency.
* Drive end\-to\-end implementation of financial domain data solutions \- from ingestion and transformation through governance and consumption \- ensuring reliability, security, compliance, and performance across critical systems.
* Migrate legacy financial services data systems to cloud\-native architectures delivering resilient, compliant, and cost‑efficient infrastructure.
* Collaborate cross\-functionally with product managers, business leaders, analysts, and engineers to understand data needs and translate them into high\-quality scalable architectures
* Establish and enforce data engineering standards for data governance, quality, observability, and documentation across the stack
* Provide technical leadership, coaching, and career development for data engineers and drive technical excellence and innovation across engineering efforts.
**What you'll bring to the team...**
* Bachelor’s degree in a related field or the equivalent through a combination of education and related work experience.
* 8 years minimum related work experience
* 7\+ years of proven experience designing, implementing, and leading enterprise\-scale data solutions
* Deep expertise in Azure Cloud Technologies and Data Services \- Azure Data Factory, Microsoft Fabric, and modern data and AI architecture patterns
* Strong proficiency in SQL and data modeling techniques
* Familiarity with CI/CD pipelines, DevOps for data, and infrastructure\-as\-code
* Excellent communication and stakeholder management skills
* Demonstrated ability to lead teams while remaining hands\-on with complex technical challenges
* Passion for innovation, continuous learning, and mentoring others
**It would be even better if you also had...**
* Experience in Banking and Financial Services Domain
* Hands on experience with .Net
* Experience leveraging Databricks for data engineering solutions
**Why work for us**
 Since 1955, we have been leaders in tax preparation, financial services, and small business solutions. With 70,000 associates and 9,000 retail tax locations across North America, Australia, Ireland, and India, we have helped millions of clients and countless communities. If you embrace challenges as opportunities, value winning as a team, and seek to make a meaningful difference, join us on our journey. You’ll reap the rewards of helping others along with competitive compensation and benefits to support your health and well\-being.
*Specific benefits may vary based on your role. For detailed eligibility requirements and benefits information, visit blockbenefits.com.*
**Equal Opportunity Employer** 
 : H\&amp;R Block does not tolerate discrimination based on a person’s race, color, religion, ancestry, age, sex/gender (including pregnancy, childbirth, related medical conditions and sex\-based stereotypes and transgender status), sexual orientation, gender identity or expression, service in the Armed Forces, national origin, physical or mental disability, genetic information, citizenship status or any other status protected by law.
**Pay Range Information**
 The pay range for this position is listed below. Local minimum wage laws apply. This information is posted pursuant to local requirements to provide applicants with information about what they might be eligible to receive. Individual pay decisions will depend on job\-related factors such as experience, education, skill, performance, and geographic location where work will be performed. Successful candidates may be able to participate in one or more incentive compensation or short\-term incentive plans, which could generate additional earnings in accordance with the terms of each plan. Qualifying associates can enroll themselves and/or their eligible dependents in medical and prescription drug coverage; can participate in the H\&amp;R Block Retirement Savings Plan (401(k) Plan), the Employee Assistance Program, (virtual) fitness center programs, and the associate discount program; are automatically enrolled in Business Travel Accident Insurance; and receive Associate Tax Prep benefit.
**Pay Range**
 $117,700\.00 \- $188,300\.00/Yr.
**Sponsored Job**</t>
        </is>
      </c>
    </row>
    <row r="20">
      <c r="A20" t="inlineStr">
        <is>
          <t>li-4350464266</t>
        </is>
      </c>
      <c r="B20" t="inlineStr">
        <is>
          <t>Sr. Data Engineer II (6135)</t>
        </is>
      </c>
      <c r="C20" t="inlineStr">
        <is>
          <t>MetroStar</t>
        </is>
      </c>
      <c r="D20" t="inlineStr">
        <is>
          <t>linkedin</t>
        </is>
      </c>
      <c r="E20" t="inlineStr"/>
      <c r="F20" t="inlineStr"/>
      <c r="G20" t="inlineStr">
        <is>
          <t>Tysons Corner, VA</t>
        </is>
      </c>
      <c r="H20" t="inlineStr"/>
      <c r="I20" t="inlineStr">
        <is>
          <t>As
 **Sr. Data Engineer II** 
 , you’ll work with a cross\-functional team to help design and ingest data from different Object Management Systems that support mission operations for our classified customer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Work with AI team members to operationalize data pipelines and ML tasks.
* Provide day\-to\-day support of deploying Python\-native ML pipelines and perform data engineering tasks to enable AI/ML capabilities.
* Present results to a diverse audience in presentation or report form.
* Support architectural leadership, technical support, and advisement services to ensure identity management system technologies are integrated and meeting the appropriate security requirements.
* Support leadership who engage with senior level executives at a public facing Federal agency and provide subject matter expertise in security architecture and other key domain areas.
**What you’ll need to succeed:** 
* Minimum 7 years experience
* Bachelor's Degree in Computer Science, Information Technology Management or Engineering, or other comparable degree or experience
* Active TS/SCI with the ability to maintain a CI polygraph clearance required
* Experience in Data/ML engineering
* Strong Experience with ETL, data labeling, and data preparation
* Experience with one or more of the following technologies: Cloudera, DataBricks, Snowflake, NiFi, Python, SQL, Kafka
* Strong experience designing, developing, and deploying data solutions in classified AWS cloud environments up to IL6\+
* Strong experience designing, implementing, and maintaining data architecture and services to be used for AI/ML. Additionally, operationalizing and maintaining AI/ML models in production.
* Strong communication skills, ability to communicate technical concepts in both layman and technical terms to technical and non\-technical stakeholders
 SALARY RANGE: $152,000 \- $188,000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21">
      <c r="A21" t="inlineStr">
        <is>
          <t>li-4326111267</t>
        </is>
      </c>
      <c r="B21" t="inlineStr">
        <is>
          <t>Senior Data Engineer</t>
        </is>
      </c>
      <c r="C21" t="inlineStr">
        <is>
          <t>Razorfish</t>
        </is>
      </c>
      <c r="D21" t="inlineStr">
        <is>
          <t>linkedin</t>
        </is>
      </c>
      <c r="E21" t="inlineStr"/>
      <c r="F21" t="inlineStr"/>
      <c r="G21" t="inlineStr">
        <is>
          <t>New York, NY</t>
        </is>
      </c>
      <c r="H21" t="inlineStr"/>
      <c r="I21" t="inlineStr">
        <is>
          <t>**Company Description**
 Hi there! We’re Razorfish. We’ve been leading the marketing industry with our digital expertise since the start of the internet. But in 2020, we did a full reboot. What’s different? It all starts with people. Weird, wonderful, complex people \- with diverse backgrounds in strategy, creative and technology. But no matter how different we are, we all have one thing in common. We believe our differences are our strength. So we push for inclusion, challenge convention and bring in new perspectives, to inspire new ideas. Because when we connect by understanding what makes people different, we can create unforgettable experiences that enrich lives. Join us at razorfish.com.
**Overview**
 Sr. Data Engineering Analyst will be responsible for expanding and optimizing our data and data pipeline architecture, as well as optimizing data flow and collection for cross functional teams. The Sr. Data Engineering Analyst is gaining experience by building data pipeline and standardized processes. They enjoy optimizing data systems and building them from the ground up. The Sr. Associate Data Engineer will support data analysts and data scientists on data initiatives and will ensure optimal data delivery architecture is consistent throughout ongoing projects. They must be self\-directed and comfortable supporting the data needs of multiple teams, systems, and products.
**Responsibilities**
* Deliver quality work on defined tasks with infrequent oversight and on undefined tasks with frequent oversight from senior level data engineer.
* Implementing and maintaining relational and columnare databases like BigQuery, Redshift, and Azure. Responsibilities could include database clustering, partitioning, etc.
* Implementation of tables, indexes, stored procedures, functions, or ad\-hoc query support.
* Implementation of other data related activities such as standardized automated ETL processes, reports, dashboards, models, etc.
* Provide status updates to team members on a regular basis and clearly escalate issues and risks to project management as needed.
* Serve as technical resource during software development life cycle to solve business issues through the process of identifying and analyzing detailed requirements that translate into system designs.
* Ability to estimate own work when provided with sufficient task definition.
* Focus daily on best practices to ensure a quality deliverable.
* Troubleshoot, diagnose and quickly respond to database and application issues minimizing disruption to services and escalate to third parties vendors for support as needed.
* Proactively monitor and report on database performance and capacity and provide trend analysis for all environments
**Key Differentiators**
* Understands Razorfish data capabilities and how data fits into a client's overall strategy
* Understands the breadth of data services and crafts
* Able to manage data team responsibilities within cross\-capability projects
* Understanding of SQL
* Understanding of Python coding best practices.
* Architect Data Structures
* Understand Cloud Platforms (AWS, GCP, Azure)
* Mentor Associate Data Engineers
**Qualifications**
* BS in Computer Science or equivalent education/professional experience is required
* Experienced database administrator/developer role, preferably in a professional services environment.
* Experience working with or general knowledge of RDBMS (DB2, Oracle, MySQL, SQL Server, etc).
* Experience working with or general knowledge of Big Data or NoSQL database system (DynamoDB, MongoDB, Redshift, BigQuery, Azureetc) a plus.
* Understanding of cloud infrastructure services like Amazon Web Services and Google Cloud Platform a plus.
* Experience working with data modeling and normalization concepts.
* Experience or Knowledge of different query languages (i.e. PL\-SQL, T\-SQL).
* Knowledge and experience with ETL toolsets (i.e. SSIS, Talend, etc.)
* Knowledge and experience writing ETL processes.
* Understanding of application programming and interactions with database technologies.
* Ability to estimate level of effort for tasks.
* Ability to learn new languages, tools, and techniques as needed to meet project requirements.
* Ability to work collaboratively in teams with other individuals. Able to work in a fast\-paced, technical environment.
* Good verbal and written communication skills.
* Attention to detail and quality.
* Excellent problem solving skills
**Additional Information**
 The Power of One starts with our people! To do powerful things, we offer powerful resources. Our best\-in\-class wellness and benefits offerings include:
* Paid Family Care for parents and caregivers for 12 weeks or more
* Monetary assistance and support for Adoption, Surrogacy and Fertility
* Monetary assistance and support for pet adoption
* Employee Assistance Programs and Health/Wellness/Comfort reimbursements to help you invest in your future and work/life balance
* Tuition Assistance
* Paid time off that includes Flexible Time off Vacation, Annual Sick Days, Volunteer Days, Holiday and Identity days, and more
* Matching Gifts programs
* Flexible working arrangements
* ‘Work Your World’ Program encouraging employees to work from anywhere Publicis Groupe has an office for up to 6 weeks a year (based upon eligibility)
* Business Resource Groups that support multiple affinities and alliances
 The benefits offerings listed are available to eligible U.S. Based employees, are reviewed on an annual basis, and are governed by the terms of the applicable plan documents.
 Razorfish is an Equal Opportunity Employer. Our employment decisions are made without regard to actual or perceived race, color, ethnicity, religion, creed, sex, sexual orientation, gender, gender identity, gender expression, pregnancy, childbirth and related medical conditions, national origin, ancestry, citizenship status, age, disability, medical condition as defined by applicable state law, genetic information, marital status, military service and veteran status, or any other characteristic protected by applicable federal, state or local laws and ordinances.
 If you require accommodation or assistance with the application or onboarding process specifically, please contact USMSTACompliance@publicis.com.
 All your information will be kept confidential according to EEO guidelines.
 Compensation Range: $73\.150 \- $96,200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1/31/2026\.</t>
        </is>
      </c>
    </row>
    <row r="22">
      <c r="A22" t="inlineStr">
        <is>
          <t>li-4326141111</t>
        </is>
      </c>
      <c r="B22" t="inlineStr">
        <is>
          <t>Senior Data Engineer</t>
        </is>
      </c>
      <c r="C22" t="inlineStr">
        <is>
          <t>Razorfish</t>
        </is>
      </c>
      <c r="D22" t="inlineStr">
        <is>
          <t>linkedin</t>
        </is>
      </c>
      <c r="E22" t="inlineStr"/>
      <c r="F22" t="inlineStr"/>
      <c r="G22" t="inlineStr">
        <is>
          <t>Miami, FL</t>
        </is>
      </c>
      <c r="H22" t="inlineStr"/>
      <c r="I22" t="inlineStr">
        <is>
          <t>**Company Description**
 Hi there! We’re Razorfish. We’ve been leading the marketing industry with our digital expertise since the start of the internet. But in 2020, we did a full reboot. What’s different? It all starts with people. Weird, wonderful, complex people \- with diverse backgrounds in strategy, creative and technology. But no matter how different we are, we all have one thing in common. We believe our differences are our strength. So we push for inclusion, challenge convention and bring in new perspectives, to inspire new ideas. Because when we connect by understanding what makes people different, we can create unforgettable experiences that enrich lives. Join us at razorfish.com.
**Overview**
 Sr. Data Engineering Analyst will be responsible for expanding and optimizing our data and data pipeline architecture, as well as optimizing data flow and collection for cross functional teams. The Sr. Data Engineering Analyst is gaining experience by building data pipeline and standardized processes. They enjoy optimizing data systems and building them from the ground up. The Sr. Associate Data Engineer will support data analysts and data scientists on data initiatives and will ensure optimal data delivery architecture is consistent throughout ongoing projects. They must be self\-directed and comfortable supporting the data needs of multiple teams, systems, and products.
**Responsibilities**
* Deliver quality work on defined tasks with infrequent oversight and on undefined tasks with frequent oversight from senior level data engineer.
* Implementing and maintaining relational and columnare databases like BigQuery, Redshift, and Azure. Responsibilities could include database clustering, partitioning, etc.
* Implementation of tables, indexes, stored procedures, functions, or ad\-hoc query support.
* Implementation of other data related activities such as standardized automated ETL processes, reports, dashboards, models, etc.
* Provide status updates to team members on a regular basis and clearly escalate issues and risks to project management as needed.
* Serve as technical resource during software development life cycle to solve business issues through the process of identifying and analyzing detailed requirements that translate into system designs.
* Ability to estimate own work when provided with sufficient task definition.
* Focus daily on best practices to ensure a quality deliverable.
* Troubleshoot, diagnose and quickly respond to database and application issues minimizing disruption to services and escalate to third parties vendors for support as needed.
* Proactively monitor and report on database performance and capacity and provide trend analysis for all environments
**Key Differentiators**
* Understands Razorfish data capabilities and how data fits into a client's overall strategy
* Understands the breadth of data services and crafts
* Able to manage data team responsibilities within cross\-capability projects
* Understanding of SQL
* Understanding of Python coding best practices.
* Architect Data Structures
* Understand Cloud Platforms (AWS, GCP, Azure)
* Mentor Associate Data Engineers
**Qualifications**
* BS in Computer Science or equivalent education/professional experience is required
* Experienced database administrator/developer role, preferably in a professional services environment.
* Experience working with or general knowledge of RDBMS (DB2, Oracle, MySQL, SQL Server, etc).
* Experience working with or general knowledge of Big Data or NoSQL database system (DynamoDB, MongoDB, Redshift, BigQuery, Azureetc) a plus.
* Understanding of cloud infrastructure services like Amazon Web Services and Google Cloud Platform a plus.
* Experience working with data modeling and normalization concepts.
* Experience or Knowledge of different query languages (i.e. PL\-SQL, T\-SQL).
* Knowledge and experience with ETL toolsets (i.e. SSIS, Talend, etc.)
* Knowledge and experience writing ETL processes.
* Understanding of application programming and interactions with database technologies.
* Ability to estimate level of effort for tasks.
* Ability to learn new languages, tools, and techniques as needed to meet project requirements.
* Ability to work collaboratively in teams with other individuals. Able to work in a fast\-paced, technical environment.
* Good verbal and written communication skills.
* Attention to detail and quality.
* Excellent problem solving skills
**Additional Information**
 The Power of One starts with our people! To do powerful things, we offer powerful resources. Our best\-in\-class wellness and benefits offerings include:
* Paid Family Care for parents and caregivers for 12 weeks or more
* Monetary assistance and support for Adoption, Surrogacy and Fertility
* Monetary assistance and support for pet adoption
* Employee Assistance Programs and Health/Wellness/Comfort reimbursements to help you invest in your future and work/life balance
* Tuition Assistance
* Paid time off that includes Flexible Time off Vacation, Annual Sick Days, Volunteer Days, Holiday and Identity days, and more
* Matching Gifts programs
* Flexible working arrangements
* ‘Work Your World’ Program encouraging employees to work from anywhere Publicis Groupe has an office for up to 6 weeks a year (based upon eligibility)
* Business Resource Groups that support multiple affinities and alliances
 The benefits offerings listed are available to eligible U.S. Based employees, are reviewed on an annual basis, and are governed by the terms of the applicable plan documents.
 Razorfish is an Equal Opportunity Employer. Our employment decisions are made without regard to actual or perceived race, color, ethnicity, religion, creed, sex, sexual orientation, gender, gender identity, gender expression, pregnancy, childbirth and related medical conditions, national origin, ancestry, citizenship status, age, disability, medical condition as defined by applicable state law, genetic information, marital status, military service and veteran status, or any other characteristic protected by applicable federal, state or local laws and ordinances.
 If you require accommodation or assistance with the application or onboarding process specifically, please contact USMSTACompliance@publicis.com.
 All your information will be kept confidential according to EEO guidelines.
 Compensation Range: $73\.150 \- $96,200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1/31/2026\.</t>
        </is>
      </c>
    </row>
    <row r="23">
      <c r="A23" t="inlineStr">
        <is>
          <t>li-4370179504</t>
        </is>
      </c>
      <c r="B23" t="inlineStr">
        <is>
          <t>Data Engineer with Palantir | ONSITE | San Antonio, TX</t>
        </is>
      </c>
      <c r="C23" t="inlineStr">
        <is>
          <t>Motion Recruitment</t>
        </is>
      </c>
      <c r="D23" t="inlineStr">
        <is>
          <t>linkedin</t>
        </is>
      </c>
      <c r="E23" t="inlineStr"/>
      <c r="F23" t="inlineStr"/>
      <c r="G23" t="inlineStr">
        <is>
          <t>Dallas, TX</t>
        </is>
      </c>
      <c r="H23" t="inlineStr"/>
      <c r="I23" t="inlineStr">
        <is>
          <t>**Applicants must be currently authorized to work in the US on a full\-time basis now and in the future.**
 We are seeking a Data Engineer to build and maintain curated, reliable datasets in a Palantir Foundry environment. You will transform complex operational and enterprise data into actionable insights, validate datasets using Power BI, and ensure data quality, governance, and access controls. Candidates must be able to maintain a DoD security clearance.
 Design, implement, and optimize PySpark, Python, and SQL pipelines to ingest, clean, transform, and normalize large\-scale, heterogeneous datasets for analytics, reporting, and ML workflows. Collaborate with stakeholders to elicit requirements and translate operational or incomplete datasets into curated, schema\-compliant, production\-ready data products, ensuring data integrity, lineage, and consistency across pipelines.
**Required Skills \&amp; Experience**
* Proficiency in PySpark, Python, and SQL for large\-scale data transformation.
* Knowledge of data modeling, semantic layers, graph\-based structures, or ontology design.
* Understanding of data governance, access controls, and compliance practices.
* Ability to maintain a DoD security clearance.
**Desired Skills \&amp; Experience**
* Experience designing ETL pipelines for batch and streaming data.
* Ability to optimize pipelines for performance and scalability in distributed environments.
* Prior experience in defense, government, or high\-security environments.
**Location:**
 Onsite 5 days a week in San Antonio, Tx
**Compensation**
 Annual performance based bonus
**You Will Receive The Following Benefits**
* Medical Insurance
* Dental Benefits
* Vision Benefits
* Paid Time Off (PTO)
* 401(k)
**Posted By:** 
 Madelynn Britton</t>
        </is>
      </c>
    </row>
    <row r="24">
      <c r="A24" t="inlineStr">
        <is>
          <t>li-4368585391</t>
        </is>
      </c>
      <c r="B24" t="inlineStr">
        <is>
          <t>Data Engineer (866)</t>
        </is>
      </c>
      <c r="C24" t="inlineStr">
        <is>
          <t>Jobs via Dice</t>
        </is>
      </c>
      <c r="D24" t="inlineStr">
        <is>
          <t>linkedin</t>
        </is>
      </c>
      <c r="E24" t="inlineStr"/>
      <c r="F24" t="inlineStr"/>
      <c r="G24" t="inlineStr">
        <is>
          <t>Charlotte, NC</t>
        </is>
      </c>
      <c r="H24" t="inlineStr"/>
      <c r="I24" t="inlineStr">
        <is>
          <t>**Opening for a senior data engineer: python and azure
 Where: Charlotte, NC
 Duration: 12\+ month contract**
**Qualifications And Skills**
 full stack python developer
 Proven experience as a Data Engineer with experience in Azure cloud.
 Experience implementing solutions using \-
 Azure cloud services
 Azure Data Factory
 Azure Lake Gen 2
 Azure Databases
 Azure Data Fabric
 API Gateway management
 Azure Functions
 Well versed with Azure Databricks
 Strong SQL skills with RDMS or noSQL databases
 Experience with developing APIs using FastAPI or similar frameworks in Python
 Familiarity with the DevOps lifecycle (git, Jenkins, etc.), CI/CD processes
 Good understanding of ETL/ELT processes
 Experience in financial services industry, financial instruments, asset classes and market data are a plus.</t>
        </is>
      </c>
    </row>
    <row r="25">
      <c r="A25" t="inlineStr">
        <is>
          <t>li-4368578741</t>
        </is>
      </c>
      <c r="B25" t="inlineStr">
        <is>
          <t>Data Engineer</t>
        </is>
      </c>
      <c r="C25" t="inlineStr">
        <is>
          <t>Jobs via Dice</t>
        </is>
      </c>
      <c r="D25" t="inlineStr">
        <is>
          <t>linkedin</t>
        </is>
      </c>
      <c r="E25" t="inlineStr"/>
      <c r="F25" t="inlineStr"/>
      <c r="G25" t="inlineStr">
        <is>
          <t>Malvern, PA</t>
        </is>
      </c>
      <c r="H25" t="inlineStr"/>
      <c r="I25" t="inlineStr">
        <is>
          <t>**Location:** 
 Malvern, PA
**Salary:** 
 Depends on Experience
**Description:**
 We are specifically looking for strictly local candidates who are available for in\-person interviews. The selected resource, upon a successful interview, will be expected to work in a hybrid model from the Malvern location.
 Skillset \- Data Engineering:
 The position is responsible for designing, building, and maintaining scalable ETL data pipelines on the AWS platform. This role involves extracting data from various sources, transforming into usable data formats, and loading into data lake or data warehouse like redshift for analysts and reporting while leveraging the AWS services like Glue, Lambda, S3, Redshift. This role requires skillset of cloud computing, DevOps using Github/Bitbucket/Bamboo, SQL, and python to deploy the solutions into production.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row>
    <row r="26">
      <c r="A26" t="inlineStr">
        <is>
          <t>li-4369109353</t>
        </is>
      </c>
      <c r="B26" t="inlineStr">
        <is>
          <t>Entry Level Data Engineer</t>
        </is>
      </c>
      <c r="C26" t="inlineStr">
        <is>
          <t>Jobs via Dice</t>
        </is>
      </c>
      <c r="D26" t="inlineStr">
        <is>
          <t>linkedin</t>
        </is>
      </c>
      <c r="E26" t="inlineStr"/>
      <c r="F26" t="inlineStr"/>
      <c r="G26" t="inlineStr">
        <is>
          <t>Plano, TX</t>
        </is>
      </c>
      <c r="H26" t="inlineStr"/>
      <c r="I26" t="inlineStr">
        <is>
          <t>**About Revature:**
 This is an excellent opportunity to launch your career in the tech industry. Revature has started more than
 **15,000 tech careers** 
 , providing comprehensive training to prepare new employees for client projects. No prior technical experience is required—we provide
 **employer\-paid training** 
 designed to help you succeed.
**About the Role:**
 Data Engineers build and maintain the infrastructure that enables organizations to collect, store, and analyze data efficiently. As an Entry\-Level Data Engineer at Revature, you will gain:
**Benefits Of Working As a Data Engineer**
* Strong Foundation in Data Infrastructure
* Hands\-on experience with tools and systems that power data pipelines, cloud environments, and analytics platforms.
* Exposure to Scalable Technologies
* Learn and work with technologies such as SQL, Python, Spark, and major cloud services (AWS, Azure, Google Cloud Platform).
* Cross\-Functional Collaboration
* Collaborate with data analysts, data scientists, engineers, and product teams.
* Career Growth \&amp; Specialization
* Build a pathway toward advanced roles in data engineering, analytics, cloud engineering, or machine learning.
**What We’re Looking For**
* Bachelor's degree or higher
* Legally authorized to work in the U.S. without current or future sponsorship
* Strong desire to learn programming (no prior professional experience required)
* Natural problem\-solving ability with strong communication and interpersonal skills
**Benefits Of Joining Revature As An Entry\-Level Data Engineer**
* Start a tech career with no prior experience required
* Competitive salary
* Paid time off (PTO)
* 401(k)
* Mentorship programs
* Experience working with the largest companies in the U.S.
* Career acceleration:
* 72% of Revature alumni receive an additional promotion
* 92% see significant salary increases after launching their Revature tech career
**Equal Opportunity Employer:**
 Revature (“Company”) is an equal opportunity employer. We will extend equal opportunity to all individuals without regard to race, religion, color, sex, pregnancy, childbirth or related medical conditions, sexual orientation, gender identity, national origin, disability, age, genetic information, marital status, veteran status, or any other status protected under applicable federal, state, or local laws. This policy applies to all terms and conditions of employment, including but not limited to, hiring, placement, promotion, termination, layoff, recall, transfer, leaves of absence, benefits, compensation, and training. If you require accommodation to work, based on any of these protected factors, please notify the Human Resources Department, and the Company will evaluate the request and provide accommodation in accordance with applicable law.
 We seek to comply with all applicable federal, state, and local laws related to discrimination and will not tolerate interference with the ability of any of the Company's employees to perform their job duties. Our policy reflects and affirms the Company's commitment to the principles of fair employment and the elimination of all discriminatory practices.</t>
        </is>
      </c>
    </row>
    <row r="27">
      <c r="A27" t="inlineStr">
        <is>
          <t>li-4361715744</t>
        </is>
      </c>
      <c r="B27" t="inlineStr">
        <is>
          <t>Mid-Level Data Engineer - SQL, Java, Spring Boot</t>
        </is>
      </c>
      <c r="C27" t="inlineStr">
        <is>
          <t>Charles Schwab</t>
        </is>
      </c>
      <c r="D27" t="inlineStr">
        <is>
          <t>linkedin</t>
        </is>
      </c>
      <c r="E27" t="inlineStr"/>
      <c r="F27" t="inlineStr"/>
      <c r="G27" t="inlineStr">
        <is>
          <t>Austin, TX</t>
        </is>
      </c>
      <c r="H27" t="inlineStr"/>
      <c r="I27" t="inlineStr">
        <is>
          <t>Your opportunity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At Schwab, you’re empowered to make an impact on your career. Here, innovative thought meets creative problem solving, helping us “challenge the status quo” and transform the finance industry together.
 Schwab is seeking a dynamic software developer who can work with technical and business partners to design and maintain optimal programming and environment solutions. Job activities will involve researching, developing solutions and supporting the tools and processes to gather detailed user requirements, and help drive strategic planning discussions with technical, business, and client stakeholders.
 The position involves a balanced mix of design and hands\-on coding, focused on our mission\-critical client data shared services platform. You will join a development team building resilient, configuration driven shared utilities and frameworks for data pipelines and message delivery. The role centers on designing, developing, and hardening these frameworks and delivering POCs to validate solution designs. It requires collaboration with other engineering teams to ensure seamless system integration. Exposure to technologies includes Kafka, PostgreSQL, Spring Boot, GCP, and Harness.
 Qualified candidates will have experience in Postgres SQL query tuning, performance optimization, data modelling and exposure to building apps with Java/Spring Boot.
**In This Role, You Will**
* Research and development of (functional and technical specifications documents) production and test environments, architecture/design/develop solutions.
* Develop plans for proof of concept and validation of technology/solutions.
* Develop and support the tools and processes to gather detailed user requirements.
* Participate in strategic planning discussions with technical, business, and client stakeholders
* Identify gaps in processes and services across environments.
* Review programming and environment changes and raise awareness for potential impacts.
* Effective and efficient utilization of programming tools.
* Architect and develop effective solutions that are in line with the organization's vision.
* Actively participate in product design and development sessions.
* Provide direction to less experienced Programmer/Analysts.
* Engaging with both onshore and offshore teams to refine development practices.
* Identify gaps in processes and services across production and test environments.
* Write efficient, easy to follow technical documentation.
* Act as liaison between technical and non\-technical counterparts.
* Help improve release process improvements, assisting the Scrum Master with team needs, and synchronizing team efforts for seamless product releases.
 What you have
**Required Qualifications**
* 2\+ years with SQL structured programming, troubleshooting, and performance tuning relational databases on PostgreSQL, MySQL, Oracle, and/or MSSQL for high\-volume, transactional applications
* 1\+ years of experience developing relational and non\-relational data models using enterprise modeling tools such as Erwin or ER/Studio
* 3\+ years of experience with the following: Java, Spring framework, Spring boot.
* 1\+ years of experience with cloud framework: Pivotal Cloud Foundry.
* 1\+ years of experience working with build tools: Gradle/maven.
* 1\+ years of experience working with Cucumber framework – BDD testing.
* 1\+ years of experience working with YugabyteDB and PostgresSQL databases.
* 1\-2 years of experience working with modern messaging system– Kafka.
* Prior experience in system modernization initiatives from legacy to distributed platforms; i.e. migration of events from legacy messaging platform IBM MQ/Rabbit to Kafka etcc
* 1\+ years of experience with continuous build process using Bamboo, Bitbucket/Git, or similar
* Experience with the Atlassian tool stack (JIRA).
**Preferred Qualifications**
* Experience with GCP or GCP developer certified.
* Knowledge of Agile methodology and experience in an Agile working environment.
* Experience in Financial Services industry
* Experience with Test driven development.
* SCRUM developer certified.
* Basic understanding of customer and account data management, how databases are designed to support maximum business value, and delivering optimal solutions based on business context
* Demonstrated ability to quickly investigate and comprehend new data technologies
* Exceptional critical thinking skills and insatiable intellectual curiosity
* Proactive approach to identifying opportunities for continuous improvement and advocating for their prioritization.
* 2\+ years translating business requirements into resilient database designs and collaborating with application developers to connect application object models to relational database designs, ensuring high availability, performance, and transactional throughput/concurrency.
 In addition to the salary range, this role is also eligible for bonus or incentive opportunities.
 Applicants must be currently authorized to work in the United States on a full\-time basis without employer sponsorship.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28">
      <c r="A28" t="inlineStr">
        <is>
          <t>li-4369106353</t>
        </is>
      </c>
      <c r="B28" t="inlineStr">
        <is>
          <t>Entry Level Data Engineer</t>
        </is>
      </c>
      <c r="C28" t="inlineStr">
        <is>
          <t>Jobs via Dice</t>
        </is>
      </c>
      <c r="D28" t="inlineStr">
        <is>
          <t>linkedin</t>
        </is>
      </c>
      <c r="E28" t="inlineStr"/>
      <c r="F28" t="inlineStr"/>
      <c r="G28" t="inlineStr">
        <is>
          <t>Plano, TX</t>
        </is>
      </c>
      <c r="H28" t="inlineStr"/>
      <c r="I28" t="inlineStr">
        <is>
          <t>**About Revature:**
 This is an excellent opportunity to launch your career in the tech industry. Revature has started more than
 **15,000 tech careers** 
 , providing comprehensive training to prepare new employees for client projects. No prior technical experience is required—we provide
 **employer\-paid training** 
 designed to help you succeed.
**About the Role:**
 Data Engineers build and maintain the infrastructure that enables organizations to collect, store, and analyze data efficiently. As an Entry\-Level Data Engineer at Revature, you will gain:
**Benefits Of Working As a Data Engineer**
* Strong Foundation in Data Infrastructure
* Hands\-on experience with tools and systems that power data pipelines, cloud environments, and analytics platforms.
* Exposure to Scalable Technologies
* Learn and work with technologies such as SQL, Python, Spark, and major cloud services (AWS, Azure, Google Cloud Platform).
* Cross\-Functional Collaboration
* Collaborate with data analysts, data scientists, engineers, and product teams.
* Career Growth \&amp; Specialization
* Build a pathway toward advanced roles in data engineering, analytics, cloud engineering, or machine learning.
**What We’re Looking For**
* Bachelor's degree or higher
* Legally authorized to work in the U.S. without current or future sponsorship
* Strong desire to learn programming (no prior professional experience required)
* Natural problem\-solving ability with strong communication and interpersonal skills
**Benefits Of Joining Revature As An Entry\-Level Data Engineer**
* Start a tech career with no prior experience required
* Competitive salary
* Paid time off (PTO)
* 401(k)
* Mentorship programs
* Experience working with the largest companies in the U.S.
* Career acceleration:
* 72% of Revature alumni receive an additional promotion
* 92% see significant salary increases after launching their Revature tech career
**Equal Opportunity Employer:**
 Revature (“Company”) is an equal opportunity employer. We will extend equal opportunity to all individuals without regard to race, religion, color, sex, pregnancy, childbirth or related medical conditions, sexual orientation, gender identity, national origin, disability, age, genetic information, marital status, veteran status, or any other status protected under applicable federal, state, or local laws. This policy applies to all terms and conditions of employment, including but not limited to, hiring, placement, promotion, termination, layoff, recall, transfer, leaves of absence, benefits, compensation, and training. If you require accommodation to work, based on any of these protected factors, please notify the Human Resources Department, and the Company will evaluate the request and provide accommodation in accordance with applicable law.
 We seek to comply with all applicable federal, state, and local laws related to discrimination and will not tolerate interference with the ability of any of the Company's employees to perform their job duties. Our policy reflects and affirms the Company's commitment to the principles of fair employment and the elimination of all discriminatory practices.</t>
        </is>
      </c>
    </row>
    <row r="29">
      <c r="A29" t="inlineStr">
        <is>
          <t>li-4363817299</t>
        </is>
      </c>
      <c r="B29" t="inlineStr">
        <is>
          <t>Lead Data Engineer</t>
        </is>
      </c>
      <c r="C29" t="inlineStr">
        <is>
          <t>Capital One</t>
        </is>
      </c>
      <c r="D29" t="inlineStr">
        <is>
          <t>linkedin</t>
        </is>
      </c>
      <c r="E29" t="inlineStr"/>
      <c r="F29" t="inlineStr"/>
      <c r="G29" t="inlineStr">
        <is>
          <t>McLean, VA</t>
        </is>
      </c>
      <c r="H29" t="inlineStr"/>
      <c r="I29"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$179,400 \- $204,700 for Lead Data Engineer
 McLean, VA: $197,300 \- $225,100 for Lead Data Engineer
 Richmond, VA: $179,400 \- $204,700 for Lead Data Engineer
 Riverwoods, IL: $179,400 \- $204,700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0">
      <c r="A30" t="inlineStr">
        <is>
          <t>li-4368586416</t>
        </is>
      </c>
      <c r="B30" t="inlineStr">
        <is>
          <t>Data Engineer Support Specialist</t>
        </is>
      </c>
      <c r="C30" t="inlineStr">
        <is>
          <t>Jobs via Dice</t>
        </is>
      </c>
      <c r="D30" t="inlineStr">
        <is>
          <t>linkedin</t>
        </is>
      </c>
      <c r="E30" t="inlineStr"/>
      <c r="F30" t="inlineStr"/>
      <c r="G30" t="inlineStr">
        <is>
          <t>Chicago, IL</t>
        </is>
      </c>
      <c r="H30" t="inlineStr"/>
      <c r="I30" t="inlineStr">
        <is>
          <t>**Location:** 
 Chicago, IL
**Salary:** 
 $80\.00 USD Hourly \- $100\.00 USD Hourly
**Description:**
 We are seeking a highly technical Data Platform Support Engineer to provide dedicated production support for our data ingestion and storage ecosystem. This role is critical for reducing the support burden currently placed on developers, enabling the team to focus on strategic platform enhancements.
**This is a long term contract that is hybrid 3 days onsite per week in Downtown Chicago**
 Key Responsibilities
* Provide Tier\-2/Tier\-3 production support for data ingestion pipelines and Data Lake storage systems.
* Troubleshoot issues across SQL engines, Kafka streaming, Kubernetes workloads, and logging/monitoring layers.
* Interface closely with the testing team to collaborate on debugging and issue resolution.
* Participate in incident bridges, log analysis, and real\-time remediation efforts.
* Optimize query performance, analyze failed jobs, and investigate data quality inconsistencies.
**Required Skills \&amp; Experience**
* SQL Expertise
* Preferred: Experience with Starburst/Trino, Presto, or Athena.
* Kafka
* Kubernetes
* Splunk \- Ability to query logs using SPL.
* HashiCorp Vault \- Practical experience with secrets management.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row>
    <row r="31">
      <c r="A31" t="inlineStr">
        <is>
          <t>li-4369101404</t>
        </is>
      </c>
      <c r="B31" t="inlineStr">
        <is>
          <t>Principal Data Engineer with architecture and MS Fabric/Azure experience.</t>
        </is>
      </c>
      <c r="C31" t="inlineStr">
        <is>
          <t>Jobs via Dice</t>
        </is>
      </c>
      <c r="D31" t="inlineStr">
        <is>
          <t>linkedin</t>
        </is>
      </c>
      <c r="E31" t="inlineStr"/>
      <c r="F31" t="inlineStr"/>
      <c r="G31" t="inlineStr">
        <is>
          <t>Almont, CO</t>
        </is>
      </c>
      <c r="H31" t="inlineStr"/>
      <c r="I31" t="inlineStr">
        <is>
          <t>**Description:**
*Remote*
 Our client is a global investment management organization with a long history of independent research and diversified strategies across fixed income and equities. The firm serves institutional and mutual fund clients and emphasizes security selection driven by proprietary analysis and collaboration between portfolio managers and analysts.
*We can facilitate w2 and corp\-to\-corp consultants. For our w2 consultants, we offer a great benefits package that includes Medical, Dental, and Vision benefits, 401k with company matching, and life insurance.*
 Rate: $80\.00 to $100\.00/hr. w2
**Responsibilities:**
**Responsibilities**
* Lead the architecture and implementation of a CRM\-sourced data mart to support Power BI.
* Define and implement star schemas and relational database structures.
* Design and build ETL processes and data pipelines using Microsoft Fabric and related services.
* Establish and enforce data architecture and engineering best practices.
* Collaborate with business stakeholders to translate requirements into technical solutions.
* Provide hands\-on code delivery while coaching team members on modern data practices.
* Lay groundwork for an enterprise data warehouse and position the roadmap for future initiatives.
**Experience Requirements:**
**Experience Requirements**
* Extensive experience with Microsoft data technologies including Microsoft Fabric, Azure Data Factory, and Synapse.
* 10\+ years of experience in star schema design and relational modeling.
* 8 years of experience designing and operating ETL processes and production data pipelines.
* Experience integrating datasets for Power BI and applying visualization\-aligned data modeling practices.
* Ability to lead projects independently from conception through delivery.
* Strong communication skills partnering with business and technical teams.
* Familiarity with data lake and warehouse concepts including SQL, Delta, and Parquet.
* Experience with Databricks (preferred).
* Understanding of CRM systems and sales data structures (preferred).
* Financial data modeling and knowledge of securities, instruments, and portfolios (preferred).
* Ability to work remotely aligned to East Coast business hours.
***Recruitment Transparency Notice***
***Eliassen Group values transparency in our recruitment practices. Please be advised that Eliassen Group utilizes artificial intelligence (AI) tools as part of its initial application screening process. You may receive email and SMS notifications from the Eliassen Virtual Recruiting Team (, )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row>
    <row r="32">
      <c r="A32" t="inlineStr">
        <is>
          <t>li-4368568950</t>
        </is>
      </c>
      <c r="B32" t="inlineStr">
        <is>
          <t>Data Engineer with Mongo DB</t>
        </is>
      </c>
      <c r="C32" t="inlineStr">
        <is>
          <t>Jobs via Dice</t>
        </is>
      </c>
      <c r="D32" t="inlineStr">
        <is>
          <t>linkedin</t>
        </is>
      </c>
      <c r="E32" t="inlineStr"/>
      <c r="F32" t="inlineStr"/>
      <c r="G32" t="inlineStr">
        <is>
          <t>Charlotte, NC</t>
        </is>
      </c>
      <c r="H32" t="inlineStr"/>
      <c r="I32" t="inlineStr">
        <is>
          <t>**Location:** 
 Charlotte, NC
**Salary:** 
 $100,000\.00 USD Annually \- $110,000\.00 USD Annually
**Description:**
 Title: Data Engineer with Mongo DB
 Location: Charlotte, NC
 Onsite Job
**This job will have the following responsibilities:**
* Building and maintaining robust ETL/ELT (Extract, Transform, Load) pipelines for ingesting, transforming, and loading structured and unstructured data from diverse sources into MongoDB and other data platforms.
* Optimizing MongoDB queries, aggregation pipelines, and overall database performance to ensure efficient data processing and retrieval.
* Ensuring data integrity, quality, and security by implementing appropriate validation, monitoring, access controls, and encryption measures within MongoDB and related systems.
* Working closely with application developers, data scientists, data analysts, and DevOps teams to understand data requirements, integrate MongoDB with other systems and cloud services (e.g., Google Cloud Platform, AWS, Azure), and support data\-driven applications.
* Monitoring data pipeline performance, troubleshooting issues, and implementing solutions to ensure data reliability and availability.
* Creating and maintaining documentation for data pipelines, database schemas, and data engineering processes.
**Qualifications \&amp; Requirements:**
* In\-depth knowledge of MongoDB's features, including document modeling, aggregation framework, indexing, sharding, and administration.
* Strong programming skills in languages like Python, Java, or Node.js, particularly with MongoDB drivers and related libraries.
* Experience with data pipeline tools and technologies such as Apache Spark, Airflow, Kafka, or cloud\-native data services.
* Familiarity with cloud platforms (e.g., Google Cloud Platform, AWS, Azure) and their data\-related services.
* Ability to design efficient and scalable data models for NoSQL databases.
* Strong aptitude for troubleshooting data\-related issues and optimizing data systems.
* Excellent communication and collaboration skills to work effectively with cross\-functional teams.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row>
    <row r="33">
      <c r="A33" t="inlineStr">
        <is>
          <t>li-4370041212</t>
        </is>
      </c>
      <c r="B33" t="inlineStr">
        <is>
          <t>Senior Healthcare Data Engineer(Fulltime Position)</t>
        </is>
      </c>
      <c r="C33" t="inlineStr">
        <is>
          <t>Jobs via Dice</t>
        </is>
      </c>
      <c r="D33" t="inlineStr">
        <is>
          <t>linkedin</t>
        </is>
      </c>
      <c r="E33" t="inlineStr"/>
      <c r="F33" t="inlineStr"/>
      <c r="G33" t="inlineStr">
        <is>
          <t>California, United States</t>
        </is>
      </c>
      <c r="H33" t="inlineStr"/>
      <c r="I33" t="inlineStr">
        <is>
          <t>Dice is the leading career destination for tech experts at every stage of their careers. Our client, E\-Solutions, Inc., is seeking the following. Apply via Dice today!
 Pointers \-
 Sr. DE with Pyspark, DB exp, Python, SQL, DS \+ AI ML exp
 Good to have \- US healthcare experience
 Role :: Senior Data engineer
 Experience: 6 10 years
 About the Role We are looking for a highly skilled Senior Data Engineer with strong expertise in PySpark, Python, SQL, and database technologies, along with exposure to Data Science, AI/ML techniques. The ideal candidate will design and optimize scalable data pipelines, collaborate with cross\-functional teams, and contribute to the development of analytical and machine learning driven solutions.
 Key Responsibilities
 Data Engineering \&amp; Pipeline Development
 Design, develop, and optimize large\-scale ETL/ELT pipelines using PySpark and distributed data processing frameworks.
 Build high\-performance data ingestion workflows from diverse structured and unstructured sources.
 Implement scalable data models, data marts, and warehousing solutions.
 Programming \&amp; Database Expertise
 Write clean, modular, and optimized code using Python for data processing and automation.
 Develop complex SQL queries, stored procedures, and performance\-tuned database operations.
 Work with relational and NoSQL databases (e.g., MySQL, PostgreSQL, SQL Server, MongoDB, etc.).
 Data Science \+ AI/ML Collaboration
 Partner with Data Science teams to productionize ML models and enable ML\-driven pipelines.
 Contribute to model deployment, feature engineering, and ML workflow optimization.
 Integrate ML models into scalable data platforms.
 Architecture \&amp; Best Practices
 Ensure data quality, reliability, lineage, and governance across data workflows.
 Drive best practices in coding, testing, CI/CD, and cloud\-based deployments.
 Work with cross functional teams to translate business requirements into robust data solutions.
**Required Skills \&amp; Qualifications**
 5\+ years of experience in Data Engineering with strong hands\-on work in PySpark.
 Strong proficiency in Python, including libraries for data processing.
 Advanced knowledge of SQL and performance optimization techniques.
 Experience with distributed data systems (Spark, Databricks, Hive, or similar).
 Exposure to AI/ML workflows, including model deployment or MLOps.
 Solid understanding of data modeling, warehousing concepts, and ETL/ELT architectures.
 Good to Have
 US Healthcare domain experience (HIPAA, claims data, EHR/EMR, HL7, FHIR, etc.).
 Experience with cloud platforms (Azure, AWS, Google Cloud Platform).
 Knowledge of MLflow, Airflow, or similar tools.
 "Disclaimer: E\-Solutions Inc.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We especially invite women, minorities, veterans, and individuals with disabilities to apply. EEO/AA/M/F/Vet/Disability."
 Senior Healthcare Data Engineer/Data Scientist(Fulltime Position)Linkedin URL,Visa Status1Python,Pyspark,healthcare,AI,Databricks,MLN/AFull Time,Permanent,Full TImeUnited States</t>
        </is>
      </c>
    </row>
    <row r="34">
      <c r="A34" t="inlineStr">
        <is>
          <t>li-4370162661</t>
        </is>
      </c>
      <c r="B34" t="inlineStr">
        <is>
          <t>Data Engineer II</t>
        </is>
      </c>
      <c r="C34" t="inlineStr">
        <is>
          <t>BD</t>
        </is>
      </c>
      <c r="D34" t="inlineStr">
        <is>
          <t>linkedin</t>
        </is>
      </c>
      <c r="E34" t="inlineStr"/>
      <c r="F34" t="inlineStr"/>
      <c r="G34" t="inlineStr"/>
      <c r="H34" t="inlineStr"/>
      <c r="I34" t="inlineStr">
        <is>
          <t>**About The Company** 
 Becton, Dickinson and Company (BD) is a leading global medical technology organization dedicated to advancing the world of health. With a mission to improve patient outcomes and enhance healthcare delivery, BD develops, manufactures, and sells a broad range of medical devices, instrument systems, and reagents. The company is renowned for its innovative solutions that address critical needs across various healthcare settings, including hospitals, laboratories, and clinics worldwide. BD's commitment to research and development drives continuous innovation, enabling it to stay at the forefront of medical technology. The organization values a culture of integrity, collaboration, and excellence, fostering an environment where employees are empowered to contribute to meaningful healthcare advancements.
**About The Role** 
 We are seeking a highly skilled Data Engineer to join our dynamic team. In this role, you will be responsible for designing, building, and implementing scalable data pipelines that support our data\-driven initiatives. You will optimize data delivery processes and maintain modern data warehouse architectures utilizing script\-based tools such as Python and Matlab. Your expertise will enable BD to manage and process large datasets efficiently, ensuring the integrity, security, and accessibility of critical data assets. This position offers an exciting opportunity to work with cutting\-edge cloud technologies and contribute to innovative healthcare solutions. The ideal candidate will have a strong background in data engineering, signal processing, and cloud\-based data management, with a passion for leveraging data to improve healthcare outcomes.
**Qualifications** 
* 4\+ years of experience in data processing, transformation, and workload management
* Advanced proficiency in MATLAB
* Advanced proficiency in Python
* Experience in signal processing techniques and applications
* Strong SQL skills and experience working with relational databases
* Knowledge of at least one cloud data platform such as Redshift, Synapse, Snowflake, or Postgres
* Experience in designing and implementing data pipelines and data streams
* Familiarity with data standardization and automation processes
* Experience with data ingestion audit processes
* Understanding of data warehouse architecture and cloud services
**Responsibilities** 
* Develop and implement code for data standardization using Python and Matlab to integrate large datasets from diverse sources into cloud platforms
* Automate and optimize data standardization workflows to improve efficiency and consistency
* Design, build, and maintain scalable data pipelines and streaming architectures using scripting tools
* Develop data ingestion audit processes to ensure data quality and compliance
* Design and deploy modern data warehouse solutions leveraging cloud services such as AWS, Azure, or GCP
* Collaborate with cross\-functional teams to understand data requirements and deliver tailored solutions
* Monitor and troubleshoot data pipelines to ensure optimal performance and reliability
* Stay updated on emerging data technologies and incorporate best practices into existing systems
**Benefits** 
* Competitive salary range of $80,600 to $133,000 USD annually
* Comprehensive health, dental, and vision insurance plans
* Retirement savings plans with company matching
* Paid time off and holiday leave
* Opportunities for professional development and continuous learning
* Work with innovative cloud technologies and data solutions
* Collaborative and inclusive work environment
* Flexible work arrangements where applicable
 Equal Opportunity
 Becton, Dickinson and Company is an Equal Opportunity Employer. We evaluate applicants without regard to race, color, religion, age, sex, creed, national origin, ancestry, citizenship status, marital or domestic or civil union status, familial status, affectional or sexual orientation, gender identity or expression, genetics, disability, military eligibility, veteran status, or any other legally protected characteristics.</t>
        </is>
      </c>
    </row>
    <row r="35">
      <c r="A35" t="inlineStr">
        <is>
          <t>li-4370190153</t>
        </is>
      </c>
      <c r="B35" t="inlineStr">
        <is>
          <t>Data Analytics Engineer Level 3/4 - R10222056</t>
        </is>
      </c>
      <c r="C35" t="inlineStr">
        <is>
          <t>Northrop Grumman</t>
        </is>
      </c>
      <c r="D35" t="inlineStr">
        <is>
          <t>linkedin</t>
        </is>
      </c>
      <c r="E35" t="inlineStr"/>
      <c r="F35" t="inlineStr"/>
      <c r="G35" t="inlineStr">
        <is>
          <t>Sunnyvale, CA</t>
        </is>
      </c>
      <c r="H35" t="inlineStr"/>
      <c r="I35" t="inlineStr">
        <is>
          <t>RELOCATION ASSISTANCE: Relocation assistance may be available
 CLEARANCE TYPE: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Mission Systems is a trusted provider of mission\-enabling solutions for global security. Our Engineering and Sciences (E\&amp;S) organization pushes the boundaries of innovation, redefines engineering capabilities, and drives advances in various sciences. Our team is chartered with providing the skills, innovative technologies to develop, design, produce and sustain optimized product lines across the sector while providing a decisive advantage to the warfighter. Come be a part of our mission!
 Northrop Grumman Mission Systems is seeking a
 **Data Analytics Engineer Level 3 or 4** 
 to support the development and ongoing support of world\-class US Navy machinery (turbines, generators, motors, and other system components based out of
 **Sunnyvale, CA** 
 . In this role, you will leverage data to drive decision\-making within engineering, and production processes. Your work will involve analyzing complex data sets, developing insights to improve manufacturing efficiency and quality, and collaborating with cross\-functional teams to enhance production and design capabilities. If you are passionate about using data to improve manufacturing processes and enhance engineering outcomes, join our team and contribute to critical national defense projects.
**What You’ll Get To Do**
* Use classical analysis techniques to establish an understanding of machinery acoustic performance and resolve issues.
* Develop a variety of component and system level predictive / simulation models.
* Perform modal, vibration, modal, direct frequency response, and sound transmission analyses to predict performance and resolve issues.
* Gather data from tests, and analyze the results.
* Correlate model predictions to test data to validate the approach / model.
* Work closely with cross\-function internal and customer teams.
* Prepare technical reports and presentations summarizing findings and recommendations for internal and external stakeholders.
**Basic Qualifications For Data Analytics Engineer Level 3**
* Bachelor's Degree in STEM (Science, Technology, Engineering or Math) discipline with 5 years relevant work experience; or Master’s Degree in STEM (Science, Technology, Engineering or Math) with 3 years of relevant experience; or Ph.D in STEM (Science, Technology, Engineering or Math) with no relevant work experience.
* Experience with simulation software tools: Hypermesh, Nastran, Abaqus, MATLAB (or similar)
* Must be a US citizen.
* Ability to obtain and maintain a Secret Clearance.
**Basic Qualifications For Data Analytics Engineer Level 4**
* Bachelor’s Degree in STEM (Science, Technology, Engineering or Math) discipline with 8 years relevant work experience; or Master’s Degree in STEM (Science, Technology, Engineering or Math) discipline with 6 years relevant work experience; or Ph.D in STEM (Science, Technology, Engineering or Math) with 3 years of relevant work experience.
* Experience with simulation software tools: Hypermesh, Nastran, Abaqus, MATLAB (or similar)
* Must be a US citizen.
* Ability to obtain and maintain a Secret Clearance.
**Preferred Qualifications**
* Experience in developing system\-level finite element models.
* Experience in performing a classical and finite element analysis solution types.
* Experience collecting and analyzing large data sets.
 Primary Level Salary Range: $114,000\.00 \- $171,000\.00
 Secondary Level Salary Range: $142,200\.00 \- $213,400\.00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6">
      <c r="A36" t="inlineStr">
        <is>
          <t>li-4370166941</t>
        </is>
      </c>
      <c r="B36" t="inlineStr">
        <is>
          <t>Lead Data Engineer with Databricks</t>
        </is>
      </c>
      <c r="C36" t="inlineStr">
        <is>
          <t>Inherent Technologies</t>
        </is>
      </c>
      <c r="D36" t="inlineStr">
        <is>
          <t>linkedin</t>
        </is>
      </c>
      <c r="E36" t="inlineStr"/>
      <c r="F36" t="inlineStr"/>
      <c r="G36" t="inlineStr">
        <is>
          <t>Chicago, IL</t>
        </is>
      </c>
      <c r="H36" t="inlineStr"/>
      <c r="I36" t="inlineStr">
        <is>
          <t>**Position: Lead Data Engineer with Databricks**
**Location: Chicago, IL\*\*\*** 
**HYBRID\*\*\***
**Duration: 1 Years**
**Job Description:\-**
**Priorities (in Order)**
* SQL Proficiency: Advanced SQL skills for querying and analyzing data, optimizing query performance, and troubleshooting data quality issues looks for starburst Trino experience here as an additional plus
* Kafka: Experience supporting Kafka streaming pipelines, including troubleshooting consumer lag, partition rebalancing, connector issues, and broker performance
* Kubernetes: Strong experience troubleshooting containerized applications in Kubernetes environments, including pod debugging, resource management, network policies, and storage issues
* Splunk: Proficiency with Splunk for log analysis, creating queries (SPL), building dashboards, and setting up alerts for proactive monitoring don't need Splunk admin experience\- just be able to look into logs effectively
* HashiCorp Vault: Hands\-on experience with Vault for secrets management, troubleshooting authentication issues, token expiration, and secret rotation problems
 Experience with Apache Iceberg or other table formats (Delta Lake, Hudi) and understanding of their operational characteristics
 Knowledge of Protocol Buffers (protobuf) serialization format and schema evolution
 Familiarity with Starburst/Trino or other distributed SQL engines (Presto, Athena) and their query optimization</t>
        </is>
      </c>
    </row>
    <row r="37">
      <c r="A37" t="inlineStr">
        <is>
          <t>li-4370053097</t>
        </is>
      </c>
      <c r="B37" t="inlineStr">
        <is>
          <t>Data Engineer</t>
        </is>
      </c>
      <c r="C37" t="inlineStr">
        <is>
          <t>Haystack</t>
        </is>
      </c>
      <c r="D37" t="inlineStr">
        <is>
          <t>linkedin</t>
        </is>
      </c>
      <c r="E37" t="inlineStr"/>
      <c r="F37" t="inlineStr"/>
      <c r="G37" t="inlineStr"/>
      <c r="H37" t="inlineStr"/>
      <c r="I37" t="inlineStr">
        <is>
          <t>**Multimodal Data Analytics Engineer \| Laurel, MD \| On\-site \| $105,000 \- $245,000** 
 We're working with Johns Hopkins Applied Physics Laboratory on this exciting opportunity.
 Are you a seasoned Multimodal Data Analytics Engineer ready to uncover hidden stories in complex cyber\-physical data? Join a multidisciplinary team driving national security by transforming massive, messy real\-world data into actionable insights using AI/ML, Python, and advanced software development.
**The Role** 
 • Conceive, design, and refine analytical approaches to extract meaningful insights from complex, multimodal data.
 • Build robust, mission\-focused software tools, operationalizing analytical techniques for research and operational applications, utilizing Python, C\+\+, and open data analysis packages.
 • Mentor and develop junior staff in technical execution and professional growth.
 • Propose innovative capabilities and concepts to sponsors, addressing emerging mission needs.
 • Clearly document methods, present findings to stakeholders, and contribute to the broader technical community.
**What You'll Need** 
 • Bachelor's degree in Computer Science, Data Science, AI/ML, or related field with at least 7 years of relevant experience.
 • Demonstrated expertise in analytical tool development using AI/ML methods, with a strong ability to produce accurate, efficient, and scalable software solutions.
 • Proficient in data engineering fundamentals including ingestion, cleaning, transformation, storage, fusion, and visualization.
 • Experience with professional software development practices: version control, testing, code review, and modular design.
 • Ability to obtain an Interim Top Secret security clearance, requiring U.S. citizenship.
**What's On Offer** 
 • Engage in meaningful work directly impacting national security with cutting\-edge data analytics.
 • Join a vibrant and welcoming culture that celebrates diversity and bold, new ideas.
 • Enjoy generous benefits, robust education assistance, unparalleled retirement contributions, and a healthy work/life balance.
 • Opportunities for career growth and professional development in a world\-class research environment.
**Apply via Haystack today!**</t>
        </is>
      </c>
    </row>
    <row r="38">
      <c r="A38" t="inlineStr">
        <is>
          <t>li-4361409120</t>
        </is>
      </c>
      <c r="B38" t="inlineStr">
        <is>
          <t>Data Engineer (Mid &amp; Senior)</t>
        </is>
      </c>
      <c r="C38" t="inlineStr">
        <is>
          <t>HRUCKUS</t>
        </is>
      </c>
      <c r="D38" t="inlineStr">
        <is>
          <t>linkedin</t>
        </is>
      </c>
      <c r="E38" t="inlineStr"/>
      <c r="F38" t="inlineStr"/>
      <c r="G38" t="inlineStr">
        <is>
          <t>Huntsville, AL</t>
        </is>
      </c>
      <c r="H38" t="inlineStr"/>
      <c r="I38" t="inlineStr">
        <is>
          <t>**Veteran\-Owned Firm Seeking Data Engineers for an Onsite Assignment in Huntsville, AL**
 My name is Stephen Hrutka. I lead a Veteran\-Owned management consulting firm in Washington, DC. We specialize in Technical and Cleared Recruiting for the Department of Defense (DoD), the Intelligence Community (IC), and other advanced defense agencies.
 At HRUCKUS, we support fellow Veteran\-Owned businesses by helping them recruit for positions across organizations such as the VA, SBA, HHS, DARPA, and other leading\-edge R\&amp;D\-focused defense agencies.
 We seek to fill Data Engineer roles supporting the FBI in Huntsville, AL.
**The ideal candidate will possess an active Top\-Secret Security Clearance, and 5\+ to 8\+ years of experience in data engineering or database development. They should have strong hands\-on experience with ETL tools (e.g., Informatica, Talend, Pentaho, AWS Glue, or custom Java ETL frameworks) and be proficient in SQL and at least one major RDBMS (Oracle or PostgreSQL).**
 If you’re interested, I'll gladly provide more details about the role and discuss your qualifications further.
 Thanks,
 Stephen M Hrutka
 Principal Consultant
 HRUCKUS LLC
**Executive Summary:** 
 HRUCKUS is seeking a Mid\-Level and Senior\-Level Data Engineers with Top\-Secret Security Clearance for a role supporting the FBI in Huntsville, AL.
**Job Description:** 
 We are seeking Data Engineers (Senior and Mid\-Level) to support secure, mission\-critical data environments within a classified cloud infrastructure. These roles are fully onsite in Huntsville, AL and require an active Top Secret clearance.
 The ideal candidates will have strong experience with ETL development, data migration, Java\-based data pipelines, and relational/NoSQL databases (Oracle, PostgreSQL, MongoDB), along with exposure to AWS cloud services and Agile/Scrum methodologies.
**Responsibilities**
* Design, develop, and maintain ETL workflows to extract, transform, and load large\-scale structured and unstructured datasets.
* Develop data migration solutions between legacy and modern systems using SQL, Java, and cloud\-native tools.
* Implement data integration frameworks leveraging AWS services such as Glue, Lambda, S3, RDS, Redshift, and Kinesis.
* Develop automation scripts using Python, Shell, or Bash for deployment, data validation, and maintenance tasks.
* Maintain and enhance data pipelines for real\-time and batch data processing.
* Support data quality, metadata management, and governance activities.
* Participate in Agile/Scrum sprints, contributing to design, code reviews, testing, and documentation.
* Troubleshoot and resolve data\-related issues across on\-premises and AWS environments.
**Qualifications**
* Active TOP SECRET clearance
* Bachelor’s degree in Computer Science, IT, or related field
* Mid\-Level: 5\+ years of professional experience in data engineering or database development.
* Senior\-Level: 8\+ years of professional experience in data engineering or database development.
* Strong hands\-on experience with ETL tools (e.g., Informatica, Talend, Pentaho, AWS Glue, or custom Java ETL frameworks).
* Proficiency in SQL and at least one major RDBMS (Oracle or PostgreSQL).
* Experience with data migration projects and data quality validation.
* Proficient in Java or Python for data processing and automation.
* Experience working with cloud technologies, preferably AWS (RDS, S3, Lambda, Redshift, Glue).
* Working knowledge of Linux/Unix environments and shell scripting.
* Experience in an Agile/Scrum development environment.
* Excellent problem\-solving, analytical, and communication skills.
**Details**
* Job Title: Mid\-Level and Senior\-level Data Engineer
* Location: Redstone Arsenal, Huntsville, AL 35898
* Security Clearance: Top\-Secret Clearance
* Salary: Up to $150,000 per year (based on experience)
* Job Type: Full\-time, Onsite
**Benefits**
* Paid Time Off (PTO): 3 weeks of PTO (including sick leave). Unused PTO is paid out at the end of the year.
* Holidays: 2 floating holidays and eight public holidays per year.
* Health \&amp; Dental Insurance: The company covers 50% of employee health and dental insurance (dependents may be added at an extra cost). Coverage becomes effective after 30 days.
* Life Insurance: Standard Short\-Term Disability (STD), Long\-Term Disability (LTD), and life insurance at no cost to full\-time employees.
* 401(k) Program: Eligible after 90 days with a 4% company match and immediate vesting.
* Profit Sharing: Employees can participate in the company’s profit\-sharing program without requiring personal contributions.
* Commuting and Parking: No reimbursement for commuting or parking expenses.</t>
        </is>
      </c>
    </row>
    <row r="39">
      <c r="A39" t="inlineStr">
        <is>
          <t>li-4361725259</t>
        </is>
      </c>
      <c r="B39" t="inlineStr">
        <is>
          <t>Mid-Level Data Engineer - SQL, Java, Spring Boot</t>
        </is>
      </c>
      <c r="C39" t="inlineStr">
        <is>
          <t>Charles Schwab</t>
        </is>
      </c>
      <c r="D39" t="inlineStr">
        <is>
          <t>linkedin</t>
        </is>
      </c>
      <c r="E39" t="inlineStr"/>
      <c r="F39" t="inlineStr"/>
      <c r="G39" t="inlineStr">
        <is>
          <t>Southlake, TX</t>
        </is>
      </c>
      <c r="H39" t="inlineStr"/>
      <c r="I39" t="inlineStr">
        <is>
          <t>Your opportunity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At Schwab, you’re empowered to make an impact on your career. Here, innovative thought meets creative problem solving, helping us “challenge the status quo” and transform the finance industry together.
 Schwab is seeking a dynamic software developer who can work with technical and business partners to design and maintain optimal programming and environment solutions. Job activities will involve researching, developing solutions and supporting the tools and processes to gather detailed user requirements, and help drive strategic planning discussions with technical, business, and client stakeholders.
 The position involves a balanced mix of design and hands\-on coding, focused on our mission\-critical client data shared services platform. You will join a development team building resilient, configuration driven shared utilities and frameworks for data pipelines and message delivery. The role centers on designing, developing, and hardening these frameworks and delivering POCs to validate solution designs. It requires collaboration with other engineering teams to ensure seamless system integration. Exposure to technologies includes Kafka, PostgreSQL, Spring Boot, GCP, and Harness.
 Qualified candidates will have experience in Postgres SQL query tuning, performance optimization, data modelling and exposure to building apps with Java/Spring Boot.
**In This Role, You Will**
* Research and development of (functional and technical specifications documents) production and test environments, architecture/design/develop solutions.
* Develop plans for proof of concept and validation of technology/solutions.
* Develop and support the tools and processes to gather detailed user requirements.
* Participate in strategic planning discussions with technical, business, and client stakeholders
* Identify gaps in processes and services across environments.
* Review programming and environment changes and raise awareness for potential impacts.
* Effective and efficient utilization of programming tools.
* Architect and develop effective solutions that are in line with the organization's vision.
* Actively participate in product design and development sessions.
* Provide direction to less experienced Programmer/Analysts.
* Engaging with both onshore and offshore teams to refine development practices.
* Identify gaps in processes and services across production and test environments.
* Write efficient, easy to follow technical documentation.
* Act as liaison between technical and non\-technical counterparts.
* Help improve release process improvements, assisting the Scrum Master with team needs, and synchronizing team efforts for seamless product releases.
 What you have
**Required Qualifications**
* 2\+ years with SQL structured programming, troubleshooting, and performance tuning relational databases on PostgreSQL, MySQL, Oracle, and/or MSSQL for high\-volume, transactional applications
* 1\+ years of experience developing relational and non\-relational data models using enterprise modeling tools such as Erwin or ER/Studio
* 3\+ years of experience with the following: Java, Spring framework, Spring boot.
* 1\+ years of experience with cloud framework: Pivotal Cloud Foundry.
* 1\+ years of experience working with build tools: Gradle/maven.
* 1\+ years of experience working with Cucumber framework – BDD testing.
* 1\+ years of experience working with YugabyteDB and PostgresSQL databases.
* 1\-2 years of experience working with modern messaging system– Kafka.
* Prior experience in system modernization initiatives from legacy to distributed platforms; i.e. migration of events from legacy messaging platform IBM MQ/Rabbit to Kafka etcc
* 1\+ years of experience with continuous build process using Bamboo, Bitbucket/Git, or similar
* Experience with the Atlassian tool stack (JIRA).
**Preferred Qualifications**
* Experience with GCP or GCP developer certified.
* Knowledge of Agile methodology and experience in an Agile working environment.
* Experience in Financial Services industry
* Experience with Test driven development.
* SCRUM developer certified.
* Basic understanding of customer and account data management, how databases are designed to support maximum business value, and delivering optimal solutions based on business context
* Demonstrated ability to quickly investigate and comprehend new data technologies
* Exceptional critical thinking skills and insatiable intellectual curiosity
* Proactive approach to identifying opportunities for continuous improvement and advocating for their prioritization.
* 2\+ years translating business requirements into resilient database designs and collaborating with application developers to connect application object models to relational database designs, ensuring high availability, performance, and transactional throughput/concurrency.
 In addition to the salary range, this role is also eligible for bonus or incentive opportunities.
 Applicants must be currently authorized to work in the United States on a full\-time basis without employer sponsorship.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40">
      <c r="A40" t="inlineStr">
        <is>
          <t>li-4367542605</t>
        </is>
      </c>
      <c r="B40" t="inlineStr">
        <is>
          <t>Senior Data Engineer - Microsoft Fabric Expert</t>
        </is>
      </c>
      <c r="C40" t="inlineStr">
        <is>
          <t>Tykhe Inc</t>
        </is>
      </c>
      <c r="D40" t="inlineStr">
        <is>
          <t>linkedin</t>
        </is>
      </c>
      <c r="E40" t="inlineStr"/>
      <c r="F40" t="inlineStr"/>
      <c r="G40" t="inlineStr">
        <is>
          <t>Lakewood, CO</t>
        </is>
      </c>
      <c r="H40" t="inlineStr"/>
      <c r="I40" t="inlineStr">
        <is>
          <t>We are seeking a
 **Senior Data Engineer for our client in Lakewood, CO who can play a critical role in their enterprise adoption of Microsoft Fabric.** 
 This is a high\-impact, highly visible position focused on designing and delivering modern, scalable data platforms that power analytics, reporting, and strategic decision\-making across the organization.
**What You’ll Do** 
* Design, build, and evolve end\-to\-end data pipelines using Microsoft Fabric, Azure Data Factory, and Spark
* Serve as a key driver of measurable business impact, ensuring data warehousing solutions directly support enterprise capabilities and outcomes
* Architect and maintain Lakehouse and Warehouse solutions leveraging Delta Lake for performance, reliability, and scalability
* Implement and continuously improve Medallion architecture (Bronze / Silver / Gold) within OneLake
* Develop resilient, scalable ETL/ELT frameworks supporting batch, dynamic, and incremental data ingestion
**Required Experience, Skills \&amp; Abilities** 
* Senior\-level experience in Data Engineering, Analytics Engineering, or a related discipline, with a track record of delivering enterprise\-scale solutions
* Deep, hands\-on experience with Azure data services or comparable cloud ecosystems, including:
* Microsoft Fabric (Lakehouse, Warehouse, OneLake)
* Azure Data Factory
* Azure Synapse Analytics
* Power BI, Tableau, MicroStrategy, or similar.
* AWS or Snowflake\-based data platforms
* Strong experience with Spark (PySpark and/or Spark SQL)
* Advanced SQL expertise (T\-SQL and/or ANSI SQL)
* Proven ability to design and operate large\-scale, production\-grade, high\-performance data pipelines
* Hands\-on experience with Delta Lake and modern data lake architectures
* Strong problem\-solving skills and the ability to clearly communicate complex technical concepts to both technical and non\-technical stakeholders</t>
        </is>
      </c>
    </row>
    <row r="41">
      <c r="A41" t="inlineStr">
        <is>
          <t>li-4369100420</t>
        </is>
      </c>
      <c r="B41" t="inlineStr">
        <is>
          <t>Senior Data Engineer</t>
        </is>
      </c>
      <c r="C41" t="inlineStr">
        <is>
          <t>Jobs via Dice</t>
        </is>
      </c>
      <c r="D41" t="inlineStr">
        <is>
          <t>linkedin</t>
        </is>
      </c>
      <c r="E41" t="inlineStr"/>
      <c r="F41" t="inlineStr"/>
      <c r="G41" t="inlineStr">
        <is>
          <t>Rochester, MN</t>
        </is>
      </c>
      <c r="H41" t="inlineStr"/>
      <c r="I41" t="inlineStr">
        <is>
          <t>**Job Description**
 The Radiology Analytics team is seeking a technically skilled and highly motivated professional to help design, build, and advance the data and analytics ecosystem supporting the Department of Radiology. This role will focus on developing reliable, high\-performance data pipelines and platforms that transform complex clinical and operational data into trusted, analytics\-ready assets. These datasets will support operational insights and advanced reporting, and serve as a foundation for AI and machine learning initiatives, including predictive and capacity\-planning use cases. Serving as a critical bridge between IT and Radiology, this position offers a unique opportunity to deliver solutions that directly enhance efficiency, innovation, and patient care.
 The successful candidate will design, build, and operate scalable, production\-grade data pipelines and integrations that support analytics and machine learning solutions. This role is responsible for developing and maintaining reliable data ingestion, processing, and storage workflows using platforms such as Microsoft Fabric, with a focus on data quality, performance, and operational stability. The position requires a strong understanding of enterprise data architectures and tooling, along with the ability to exercise independent technical judgment. The role will collaborate with data scientists, data analysts, and IT partners to engineer clinical and operational data into trusted, analytics\- and model\-ready datasets that support advanced analytics, AI development, and data\-driven decision\-making across Radiology.
 May be required to provide 24/7 call support.
 During the selection process you may participate in an OnDemand (pre\-recorded) interview that you can complete at your convenience. During the OnDemand interview, a question will appear on your screen, and you will have time to consider each question before responding. You will have the opportunity to re\-record your answer to each question \- Mayo Clinic will only see the final recording. The complete interview will be reviewed by a Mayo Clinic staff member and you will be notified of next steps.
 A Codility exam will be required as part of the interview screening process for this position.
**This vacancy is not eligible for sponsorship/we will not sponsor or transfer visas for this position. Also, Mayo Clinic DOES NOT participate in the F\-1 STEM OPT extension program.**
**Qualifications**
 A Bachelor's degree in a relevant field such as engineering, mathematics, computer science, information technology, health science, or other analytical/quantitative field and a minimum of five years of professional or research experience in data visualization, data engineering, analytical modeling techniques; OR an Associate's degree in a relevant field such as engineering, mathematics, computer science, information technology, health science, or other analytical/quantitative field and a minimum of seven years of professional or research experience in data visualization, data engineering, analytical modeling techniques. In\-depth business or practice knowledge will also be considered.
 Incumbent must have the ability to manage a varied workload of projects with multiple priorities and stay current on healthcare trends and enterprise changes. Interpersonal skills, time management skills, and demonstrated experience working on cross functional teams are required.
 Requires strong analytical skills and the ability to identify and recommend solutions and a commitment to customer service.
 The position requires excellent verbal and written communication skills, attention to detail, and a high capacity for learning and problem resolution.
 Advanced experience in SQL is required. Strong Experience in scripting languages such as Python, JavaScript, PHP, C\+\+ or Java \&amp; API integration is required. Experience in hybrid data processing methods (batch and streaming) such as Apache Spark, Hive, Pig, Kafka is required. Experience with big data, statistics, and machine learning is required.
 The ability to navigate linux and windows operating systems is required.
 Knowledge of workflow scheduling (Apache Airflow Google Composer), Infrastructure as code (Kubernetes, Docker) CI/CD (Jenkins, Github Actions) is preferred. Experience in DataOps/DevOps and agile methodologies is preferred.
 Experience with hybrid data virtualization such as Denodo is preferred.
 Working knowledge of Tableau, Power BI, SAS, ThoughtSpot, DASH, d3, React, Snowflake, SSIS, and Google Big Query is preferred.
**License or Certification:**
 Google Cloud Platform (Google Cloud Platform) certification is preferred.
**About Us**
**Why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**About The Team**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**Equal Opportunity**
 All qualified applicants will receive consideration for employment without regard to race, color, religion, sex, gender identity, sexual orientation, national origin, protected veteran status or disability status. Learn more about the "EOE is the Law". Mayo Clinic participates in E\-Verify and may provide the Social Security Administration and, if necessary, the Department of Homeland Security with information from each new employee's Form I\-9 to confirm work authorization.</t>
        </is>
      </c>
    </row>
    <row r="42">
      <c r="A42" t="inlineStr">
        <is>
          <t>li-4368920068</t>
        </is>
      </c>
      <c r="B42" t="inlineStr">
        <is>
          <t>Senior Data Engineer - Oracle, Python, AWS</t>
        </is>
      </c>
      <c r="C42" t="inlineStr">
        <is>
          <t>Jobs via Dice</t>
        </is>
      </c>
      <c r="D42" t="inlineStr">
        <is>
          <t>linkedin</t>
        </is>
      </c>
      <c r="E42" t="inlineStr"/>
      <c r="F42" t="inlineStr"/>
      <c r="G42" t="inlineStr">
        <is>
          <t>Westlake, TX</t>
        </is>
      </c>
      <c r="H42" t="inlineStr"/>
      <c r="I42" t="inlineStr">
        <is>
          <t>**Description:**
*Hybrid every other week onsite/5 days in Westlake, TX*
*Monthly on\-call rotation for production support (one week, 8 AM\-8 PM EST, one weekend as needed)*
 Our client seeks a senior Data Engineer to deliver operational data solutions across a large enterprise. The role emphasizes AWS\-based data products, robust ETL pipelines, and CI/CD practices with strong SQL, PL/SQL, Unix scripting, and Python. The position includes a monthly on\-call production support rotation.
*Due to client requirements, candidates must have permanent U.S. work authorization without sponsorship or visa transfer and be able to work on a W\-2 basis. A full benefits package is provided, including medical, dental, vision, 401(k) with company match, and life insurance.*
 Rate: $63\.00 to $73\.00/hr. w2
**Responsibilities:**
* Design, build, and maintain scalable, resilient, and cost\-effective data products on AWS.
* Develop ETL and ELT data pipelines using Python, SQL, and AWS services.
* Engineer and optimize complex SQL and PL/SQL packages, procedures, and statements.
* Implement batch jobs and workflows using AWS services and schedulers such as Control\-M, Airflow, or cron.
* Automate deployments with CI/CD pipelines using Jenkins and AWS CloudFormation templates.
* Validate, monitor, and resolve issues across development, testing, and production environments.
* Collaborate with global Agile teams to deliver integrated data solutions across a large organization.
* Participate in monthly production support on\-call rotation, including one onshore week and potential weekend coverage.
**Experience Requirements:**
* Strong experience with Oracle, SQL, and PL/SQL
* Unix/Linux scripting experience
* Python for developing and supporting ETL data flows
* CI/CD experience, including Jenkins, CloudFormation templates, and deployment pipelines
* Hands\-on experience with AWS services including EC2, S3, Lambda, SNS, and SQS
* Available for monthly on\-call rotation for production support (one week, 8 AM\-8 PM EST, one weekend as needed)
**Preferred Qualifications:**
* Kafka knowledge
* Experience working in large, federated data environments
* 7\-10\+ years of relevant experience (senior\-level due to operational complexity)
* Strong written and verbal communication skills
**Education Requirements:**
* Bachelor's or Master's degree in a technology\-related field such as Computer Science or Computer Engineering.
* AWS Certification (Associate, Professional, or Specialty) preferred.
***Recruitment Transparency Notice***
***Eliassen Group values transparency in our recruitment practices. Please be advised that Eliassen Group utilizes artificial intelligence (AI) tools as part of its initial application screening process. You may receive email and SMS notifications from the Eliassen Virtual Recruiting Team (, )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row>
    <row r="43">
      <c r="A43" t="inlineStr">
        <is>
          <t>li-4370303370</t>
        </is>
      </c>
      <c r="B43" t="inlineStr">
        <is>
          <t>Remote Junior Data Engineer</t>
        </is>
      </c>
      <c r="C43" t="inlineStr">
        <is>
          <t>Lensa</t>
        </is>
      </c>
      <c r="D43" t="inlineStr">
        <is>
          <t>linkedin</t>
        </is>
      </c>
      <c r="E43">
        <f>HYPERLINK("https://www.linkedin.com/jobs/view/4370303370", "https://www.linkedin.com/jobs/view/4370303370")</f>
        <v/>
      </c>
      <c r="F43" t="inlineStr"/>
      <c r="G43" t="inlineStr">
        <is>
          <t>Woonsocket, RI</t>
        </is>
      </c>
      <c r="H43" t="inlineStr"/>
      <c r="I4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Insight Global is hiring a Data Engineer to contribute to ongoing operational data workflows for a major healthcare partner. The position focuses on day‑to‑day processing and transformation of client data, with most tasks being consistent and routine. Occasional data issues may arise that require analytical troubleshooting. Candidates should bring 2\+ years of data engineering experience and strong SQL expertise (SSIS, SQL Server), along with exceptional attention to detail and the ability to follow structured processes.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 2\+ years of data engineering experience
* Hands\-on experience with SQL technologies, including SSIS and SQL Server
* Strong understanding of SQL concepts and best practices
* Demonstrates strong diligence and attention to detail
* Follows instructions accurately and consistently
* Experience working with client data ingestion processes and handling healthcare PHI
 If you have questions about this posting, please contact support@lensa.com</t>
        </is>
      </c>
    </row>
    <row r="44">
      <c r="A44" t="inlineStr">
        <is>
          <t>li-4370168467</t>
        </is>
      </c>
      <c r="B44" t="inlineStr">
        <is>
          <t>Data Engineer</t>
        </is>
      </c>
      <c r="C44" t="inlineStr">
        <is>
          <t>Fusemachines</t>
        </is>
      </c>
      <c r="D44" t="inlineStr">
        <is>
          <t>linkedin</t>
        </is>
      </c>
      <c r="E44">
        <f>HYPERLINK("https://www.linkedin.com/jobs/view/4370168467", "https://www.linkedin.com/jobs/view/4370168467")</f>
        <v/>
      </c>
      <c r="F44" t="inlineStr"/>
      <c r="G44" t="inlineStr"/>
      <c r="H44" t="inlineStr"/>
      <c r="I44" t="inlineStr">
        <is>
          <t>**About The Company**
 Fusemachines is a leading provider of AI strategy, talent, and education services dedicated to democratizing artificial intelligence. Founded by Sameer Maskey Ph.D., an Adjunct Associate Professor at Columbia University, the company has established a global presence with offices in Nepal, the United States, Canada, and the Dominican Republic, employing over 450 professionals. Fusemachines leverages its extensive expertise in AI to transform organizations worldwide, helping them harness the power of data and technology to achieve their strategic objectives. The company's mission centers on making AI accessible and beneficial for all, fostering innovation and growth through cutting\-edge solutions and talent development.
**About The Role**
 This is a remote, full\-time position designed for a highly skilled Senior Data Engineer or Technical Lead. The role involves designing, building, testing, optimizing, and maintaining robust data infrastructure and codebases that support data integration, storage, processing, and analytics. The successful candidate will oversee the development of data pipelines and workflows from ingestion to consumption, ensuring high data quality, accessibility, and security for business intelligence and advanced analytics.
 The role requires a deep understanding of programming languages, data management principles, and cloud technologies, with a focus on AWS and GCP platforms. The candidate will play a pivotal role in leading data engineering initiatives, guiding team members, and collaborating with cross\-functional teams to meet organizational data needs efficiently and effectively. This position offers an excellent opportunity to lead innovative projects, contribute to cloud migration efforts, and influence data strategy at a global scale.
**Qualifications**
* Bachelor’s degree in Computer Science, Information Systems, Engineering, or a related field.
* 5\+ years of experience in data engineering, with a strong background in AWS and GCP cloud platforms (certifications preferred).
* Proficiency in programming languages such as Python, SQL, and PySpark.
* Experience in designing and optimizing data pipelines, data lakes, and data warehouses using tools like Spark, DBT, Kafka, Airflow, and open\-source solutions.
* Knowledge of relational and NoSQL databases, including MySQL, Postgres, Cassandra, and MongoDB.
* Deep understanding of AWS services including Lambda, Kinesis, Redshift, S3, EMR, EC2, IAM, and CloudWatch.
* Hands\-on experience with orchestration tools like Airflow or Composer, and DevOps practices including GitHub, CI/CD, and Terraform.
* Strong problem\-solving, leadership, and project management skills, with excellent communication abilities across technical and non\-technical stakeholders.
* Experience working in Agile development environments.
**Responsibilities**
* Design, implement, deploy, test, and maintain scalable and efficient data architectures, establishing standards and best practices for data management.
* Ensure the scalability, reliability, performance, and security of data systems across the organization.
* Mentor and guide junior and mid\-level data engineers to foster skill development and best practices.
* Collaborate with product teams, data scientists, analysts, and engineering to gather requirements and develop reusable data solutions.
* Evaluate and adopt new technologies and tools to enhance data processing, integration, and analysis capabilities.
* Develop architecture, observability, and testing strategies to build reliable and maintainable data pipelines and infrastructure.
* Manage storage layers, including schema design, indexing, and performance tuning to optimize data access and processing.
* Address and resolve complex data engineering issues, including query bottlenecks and database performance challenges.
* Conduct discovery and assessment of existing data infrastructure and propose scalable architecture improvements.
* Implement data governance frameworks, including data cataloging, lineage, quality, and compliance practices.
* Define and document data engineering architectures, workflows, and data flows to ensure clarity and consistency.
* Continuously evaluate emerging technologies and methodologies to modernize data systems and support organizational growth.
* Participate actively in Agile ceremonies, contributing to continuous improvement and team collaboration.
**Benefits**
* Flexible remote work environment, promoting work\-life balance.
* Competitive salary packages aligned with experience and expertise.
* Opportunities for professional growth and development through training and certifications.
* Engagement in innovative projects with a global impact.
* Collaborative and inclusive work culture that values diversity and inclusion.
* Access to cutting\-edge tools and technologies in cloud computing and data engineering.
 Equal Opportunity
 Fusemachines is an equal opportunity employer. We celebrate diversity and are committed to creating an inclusive environment for all employees regardless of race, color, religion, sex, sexual orientation, gender identity, national origin, age, genetic information, disability, protected veteran status, or any other legally protected status.</t>
        </is>
      </c>
    </row>
    <row r="45">
      <c r="A45" t="inlineStr">
        <is>
          <t>li-4370162661</t>
        </is>
      </c>
      <c r="B45" t="inlineStr">
        <is>
          <t>Data Engineer II</t>
        </is>
      </c>
      <c r="C45" t="inlineStr">
        <is>
          <t>BD</t>
        </is>
      </c>
      <c r="D45" t="inlineStr">
        <is>
          <t>linkedin</t>
        </is>
      </c>
      <c r="E45">
        <f>HYPERLINK("https://www.linkedin.com/jobs/view/4370162661", "https://www.linkedin.com/jobs/view/4370162661")</f>
        <v/>
      </c>
      <c r="F45" t="inlineStr"/>
      <c r="G45" t="inlineStr"/>
      <c r="H45" t="inlineStr"/>
      <c r="I45" t="inlineStr">
        <is>
          <t>**About The Company** 
 Becton, Dickinson and Company (BD) is a leading global medical technology organization dedicated to advancing the world of health. With a mission to improve patient outcomes and enhance healthcare delivery, BD develops, manufactures, and sells a broad range of medical devices, instrument systems, and reagents. The company is renowned for its innovative solutions that address critical needs across various healthcare settings, including hospitals, laboratories, and clinics worldwide. BD's commitment to research and development drives continuous innovation, enabling it to stay at the forefront of medical technology. The organization values a culture of integrity, collaboration, and excellence, fostering an environment where employees are empowered to contribute to meaningful healthcare advancements.
**About The Role** 
 We are seeking a highly skilled Data Engineer to join our dynamic team. In this role, you will be responsible for designing, building, and implementing scalable data pipelines that support our data\-driven initiatives. You will optimize data delivery processes and maintain modern data warehouse architectures utilizing script\-based tools such as Python and Matlab. Your expertise will enable BD to manage and process large datasets efficiently, ensuring the integrity, security, and accessibility of critical data assets. This position offers an exciting opportunity to work with cutting\-edge cloud technologies and contribute to innovative healthcare solutions. The ideal candidate will have a strong background in data engineering, signal processing, and cloud\-based data management, with a passion for leveraging data to improve healthcare outcomes.
**Qualifications** 
* 4\+ years of experience in data processing, transformation, and workload management
* Advanced proficiency in MATLAB
* Advanced proficiency in Python
* Experience in signal processing techniques and applications
* Strong SQL skills and experience working with relational databases
* Knowledge of at least one cloud data platform such as Redshift, Synapse, Snowflake, or Postgres
* Experience in designing and implementing data pipelines and data streams
* Familiarity with data standardization and automation processes
* Experience with data ingestion audit processes
* Understanding of data warehouse architecture and cloud services
**Responsibilities** 
* Develop and implement code for data standardization using Python and Matlab to integrate large datasets from diverse sources into cloud platforms
* Automate and optimize data standardization workflows to improve efficiency and consistency
* Design, build, and maintain scalable data pipelines and streaming architectures using scripting tools
* Develop data ingestion audit processes to ensure data quality and compliance
* Design and deploy modern data warehouse solutions leveraging cloud services such as AWS, Azure, or GCP
* Collaborate with cross\-functional teams to understand data requirements and deliver tailored solutions
* Monitor and troubleshoot data pipelines to ensure optimal performance and reliability
* Stay updated on emerging data technologies and incorporate best practices into existing systems
**Benefits** 
* Competitive salary range of $80,600 to $133,000 USD annually
* Comprehensive health, dental, and vision insurance plans
* Retirement savings plans with company matching
* Paid time off and holiday leave
* Opportunities for professional development and continuous learning
* Work with innovative cloud technologies and data solutions
* Collaborative and inclusive work environment
* Flexible work arrangements where applicable
 Equal Opportunity
 Becton, Dickinson and Company is an Equal Opportunity Employer. We evaluate applicants without regard to race, color, religion, age, sex, creed, national origin, ancestry, citizenship status, marital or domestic or civil union status, familial status, affectional or sexual orientation, gender identity or expression, genetics, disability, military eligibility, veteran status, or any other legally protected characteristics.</t>
        </is>
      </c>
    </row>
    <row r="46">
      <c r="A46" t="inlineStr">
        <is>
          <t>li-4370190153</t>
        </is>
      </c>
      <c r="B46" t="inlineStr">
        <is>
          <t>Data Analytics Engineer Level 3/4 - R10222056</t>
        </is>
      </c>
      <c r="C46" t="inlineStr">
        <is>
          <t>Northrop Grumman</t>
        </is>
      </c>
      <c r="D46" t="inlineStr">
        <is>
          <t>linkedin</t>
        </is>
      </c>
      <c r="E46">
        <f>HYPERLINK("https://www.linkedin.com/jobs/view/4370190153", "https://www.linkedin.com/jobs/view/4370190153")</f>
        <v/>
      </c>
      <c r="F46" t="inlineStr"/>
      <c r="G46" t="inlineStr">
        <is>
          <t>Sunnyvale, CA</t>
        </is>
      </c>
      <c r="H46" t="inlineStr"/>
      <c r="I46" t="inlineStr">
        <is>
          <t>RELOCATION ASSISTANCE: Relocation assistance may be available
 CLEARANCE TYPE: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Mission Systems is a trusted provider of mission\-enabling solutions for global security. Our Engineering and Sciences (E\&amp;S) organization pushes the boundaries of innovation, redefines engineering capabilities, and drives advances in various sciences. Our team is chartered with providing the skills, innovative technologies to develop, design, produce and sustain optimized product lines across the sector while providing a decisive advantage to the warfighter. Come be a part of our mission!
 Northrop Grumman Mission Systems is seeking a
 **Data Analytics Engineer Level 3 or 4** 
 to support the development and ongoing support of world\-class US Navy machinery (turbines, generators, motors, and other system components based out of
 **Sunnyvale, CA** 
 . In this role, you will leverage data to drive decision\-making within engineering, and production processes. Your work will involve analyzing complex data sets, developing insights to improve manufacturing efficiency and quality, and collaborating with cross\-functional teams to enhance production and design capabilities. If you are passionate about using data to improve manufacturing processes and enhance engineering outcomes, join our team and contribute to critical national defense projects.
**What You’ll Get To Do**
* Use classical analysis techniques to establish an understanding of machinery acoustic performance and resolve issues.
* Develop a variety of component and system level predictive / simulation models.
* Perform modal, vibration, modal, direct frequency response, and sound transmission analyses to predict performance and resolve issues.
* Gather data from tests, and analyze the results.
* Correlate model predictions to test data to validate the approach / model.
* Work closely with cross\-function internal and customer teams.
* Prepare technical reports and presentations summarizing findings and recommendations for internal and external stakeholders.
**Basic Qualifications For Data Analytics Engineer Level 3**
* Bachelor's Degree in STEM (Science, Technology, Engineering or Math) discipline with 5 years relevant work experience; or Master’s Degree in STEM (Science, Technology, Engineering or Math) with 3 years of relevant experience; or Ph.D in STEM (Science, Technology, Engineering or Math) with no relevant work experience.
* Experience with simulation software tools: Hypermesh, Nastran, Abaqus, MATLAB (or similar)
* Must be a US citizen.
* Ability to obtain and maintain a Secret Clearance.
**Basic Qualifications For Data Analytics Engineer Level 4**
* Bachelor’s Degree in STEM (Science, Technology, Engineering or Math) discipline with 8 years relevant work experience; or Master’s Degree in STEM (Science, Technology, Engineering or Math) discipline with 6 years relevant work experience; or Ph.D in STEM (Science, Technology, Engineering or Math) with 3 years of relevant work experience.
* Experience with simulation software tools: Hypermesh, Nastran, Abaqus, MATLAB (or similar)
* Must be a US citizen.
* Ability to obtain and maintain a Secret Clearance.
**Preferred Qualifications**
* Experience in developing system\-level finite element models.
* Experience in performing a classical and finite element analysis solution types.
* Experience collecting and analyzing large data sets.
 Primary Level Salary Range: $114,000\.00 \- $171,000\.00
 Secondary Level Salary Range: $142,200\.00 \- $213,400\.00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47">
      <c r="A47" t="inlineStr">
        <is>
          <t>li-4370190884</t>
        </is>
      </c>
      <c r="B47" t="inlineStr">
        <is>
          <t>Remote Data Engineer</t>
        </is>
      </c>
      <c r="C47" t="inlineStr">
        <is>
          <t>Jobgether</t>
        </is>
      </c>
      <c r="D47" t="inlineStr">
        <is>
          <t>linkedin</t>
        </is>
      </c>
      <c r="E47">
        <f>HYPERLINK("https://www.linkedin.com/jobs/view/4370190884", "https://www.linkedin.com/jobs/view/4370190884")</f>
        <v/>
      </c>
      <c r="F47" t="inlineStr"/>
      <c r="G47" t="inlineStr">
        <is>
          <t>Alabama, United States</t>
        </is>
      </c>
      <c r="H47" t="inlineStr"/>
      <c r="I47" t="inlineStr">
        <is>
          <t>This position is posted by Jobgether on behalf of a partner company. We are currently looking for a Senior Data Engineer \- REMOTE. In this role, you will play a critical part in a large\-scale data modernization initiative aimed at enhancing service delivery for U.S. Veterans. Your expertise will drive the design and optimization of secure, high\-performance data access across complex enterprise systems. You will work hands\-on with state\-of\-the\-art data platforms, facilitating data federation and analytics in hybrid and multi\-cloud environments. Collaboration is key, as you will engage with cross\-functional teams to ensure data strategies meet organizational requirements. Your contributions will lead to improved decision\-making and operational efficiency at a national scale.
**Accountabilities**
* Design, build, and optimize distributed query solutions using Starburst Enterprise Platform (SEP) and Trino.
* Enable secure and governed access to data across multiple sources including cloud platforms and data lakes.
* Implement and enhance data federation, performance tuning, and query optimization strategies.
* Support identity and access management (IAM) and data governance requirements.
* Develop and maintain backend services, APIs, and platform components.
* Contribute to CI/CD pipelines, observability, and platform reliability initiatives.
* Collaborate with product, UX, security, and infrastructure teams.
* Troubleshoot performance issues in distributed and cloud\-native environments.
**Requirements**
* Bachelor’s degree in Computer Science, Information Technology, or related field (Master’s preferred).
* Ability to obtain and maintain a Public Trust clearance.
* Hands\-on experience with Starburst Enterprise Platform (SEP) or significant experience with Trino/Presto.
* 8\+ years of experience with modern data platforms like Snowflake, Databricks, or Denodo.
* Strong SQL skills and experience in distributed query performance optimization.
* Experience integrating data across cloud and on\-premises environments.
* Knowledge of authentication, authorization frameworks, and data security best practices.
* Experience with CI/CD tools, containerization (Docker/Kubernetes), and infrastructure automation.
* Familiarity with cloud platforms (Azure experience strongly preferred).
* Strong communication and collaboration skills.
**Benefits**
* Opportunity to support high\-visibility federal missions.
* Culture that values innovation, growth, and collaboration.
* Access to cutting\-edge tools and technologies.
* Comprehensive benefits for you and your family.
* Career path that rewards ambition and performance.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8">
      <c r="A48" t="inlineStr">
        <is>
          <t>li-4370303510</t>
        </is>
      </c>
      <c r="B48" t="inlineStr">
        <is>
          <t>Senior Data Engineer</t>
        </is>
      </c>
      <c r="C48" t="inlineStr">
        <is>
          <t>Launch Potato</t>
        </is>
      </c>
      <c r="D48" t="inlineStr">
        <is>
          <t>linkedin</t>
        </is>
      </c>
      <c r="E48">
        <f>HYPERLINK("https://www.linkedin.com/jobs/view/4370303510", "https://www.linkedin.com/jobs/view/4370303510")</f>
        <v/>
      </c>
      <c r="F48" t="inlineStr"/>
      <c r="G48" t="inlineStr"/>
      <c r="H48" t="inlineStr"/>
      <c r="I48" t="inlineStr">
        <is>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$150,000 to $190,000 per year
**MUST HAVE:**
* 5\+ years of experience in data engineering within fast\-paced, cloud\-native environments
* Deep expertise in Python, SQL, Docker, and AWS (S3, Glue, Kinesis, Athena/Presto)
* Experience building and managing scalable ETL pipelines and data lake infrastructure
* Familiarity with distributed systems, Spark, and data quality best practices
* Strong cross\-functional collaboration skills to support BI, analytics, and engineering teams
**EXPERIENCE:** 
 5\+ years of data engineering experience in an AWS\-based environment where data powers decision\-making across product, marketing, and operations.
**YOUR ROLE**
 Lead scalable data engineering efforts that empower cross\-functional teams with reliable, timely, and actionable data, ensuring Launch Potato’s analytics and business intelligence infrastructure fuels strategic growth.
**OUTCOMES**
* Build and optimize scalable, efficient ETL and data lake processes that proactively catch issues before they impact the business
* Own the ingestion, modeling, and transformation of structured and unstructured data to support reporting and analysis across all business units
* Partner closely with BI and Analytics to deliver clean, query\-ready datasets that improve user acquisition, engagement, and revenue growth
* Maintain and enhance database monitoring, anomaly detection, and quality assurance workflows
* Serve as the internal point of contact for reporting infrastructure—delivering ad hoc data analyses and driving consistent data integrity
* Drive adoption and advancement of Looker dashboards by ensuring robust and scalable backend data support
* Contribute to the future of Launch Potato’s data team by mentoring peers and shaping a high\-performance, quality\-first engineering culture
**COMPETENCIES**
* Data Engineering Mastery: Demonstrates technical excellence in building data pipelines, troubleshooting distributed systems, and scaling infrastructure using AWS and open\-source tools
* Cross\-Functional Collaboration: Communicates clearly across technical and non\-technical teams, translating business needs into robust data solutions
* Proactive Ownership: Operates with a strong sense of accountability; identifies and solves data issues independently and efficiently
* Quality\-Driven Execution: Holds a high bar for data accuracy, auditability, and documentation throughout all systems and workflows
* Strategic Thinking: Anticipates how data infrastructure impacts wider company OKRs and proactively suggests improvements and innovations
* Growth Mindset: Seeks out opportunities to elevate team capabilities, mentor others, and stay ahead of evolving best practices in data engineering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49">
      <c r="A49" t="inlineStr">
        <is>
          <t>li-4370308236</t>
        </is>
      </c>
      <c r="B49" t="inlineStr">
        <is>
          <t>Senior Data Engineer</t>
        </is>
      </c>
      <c r="C49" t="inlineStr">
        <is>
          <t>Launch Potato</t>
        </is>
      </c>
      <c r="D49" t="inlineStr">
        <is>
          <t>linkedin</t>
        </is>
      </c>
      <c r="E49">
        <f>HYPERLINK("https://www.linkedin.com/jobs/view/4370308236", "https://www.linkedin.com/jobs/view/4370308236")</f>
        <v/>
      </c>
      <c r="F49">
        <f>HYPERLINK("https://job-boards.greenhouse.io/launch2/jobs/5795627004?gh_src=149bfe184us&amp;urlHash=YDUP", "https://job-boards.greenhouse.io/launch2/jobs/5795627004?gh_src=149bfe184us&amp;urlHash=YDUP")</f>
        <v/>
      </c>
      <c r="G49" t="inlineStr">
        <is>
          <t>Tampa, FL</t>
        </is>
      </c>
      <c r="H49" t="inlineStr"/>
      <c r="I49" t="inlineStr">
        <is>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$150,000 to $190,000 per year
**MUST HAVE:**
* 5\+ years of experience in data engineering within fast\-paced, cloud\-native environments
* Deep expertise in Python, SQL, Docker, and AWS (S3, Glue, Kinesis, Athena/Presto)
* Experience building and managing scalable ETL pipelines and data lake infrastructure
* Familiarity with distributed systems, Spark, and data quality best practices
* Strong cross\-functional collaboration skills to support BI, analytics, and engineering teams
**EXPERIENCE:** 
 5\+ years of data engineering experience in an AWS\-based environment where data powers decision\-making across product, marketing, and operations.
**YOUR ROLE**
 Lead scalable data engineering efforts that empower cross\-functional teams with reliable, timely, and actionable data, ensuring Launch Potato’s analytics and business intelligence infrastructure fuels strategic growth.
**OUTCOMES**
* Build and optimize scalable, efficient ETL and data lake processes that proactively catch issues before they impact the business
* Own the ingestion, modeling, and transformation of structured and unstructured data to support reporting and analysis across all business units
* Partner closely with BI and Analytics to deliver clean, query\-ready datasets that improve user acquisition, engagement, and revenue growth
* Maintain and enhance database monitoring, anomaly detection, and quality assurance workflows
* Serve as the internal point of contact for reporting infrastructure—delivering ad hoc data analyses and driving consistent data integrity
* Drive adoption and advancement of Looker dashboards by ensuring robust and scalable backend data support
* Contribute to the future of Launch Potato’s data team by mentoring peers and shaping a high\-performance, quality\-first engineering culture
**COMPETENCIES**
* Data Engineering Mastery: Demonstrates technical excellence in building data pipelines, troubleshooting distributed systems, and scaling infrastructure using AWS and open\-source tools
* Cross\-Functional Collaboration: Communicates clearly across technical and non\-technical teams, translating business needs into robust data solutions
* Proactive Ownership: Operates with a strong sense of accountability; identifies and solves data issues independently and efficiently
* Quality\-Driven Execution: Holds a high bar for data accuracy, auditability, and documentation throughout all systems and workflows
* Strategic Thinking: Anticipates how data infrastructure impacts wider company OKRs and proactively suggests improvements and innovations
* Growth Mindset: Seeks out opportunities to elevate team capabilities, mentor others, and stay ahead of evolving best practices in data engineering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50">
      <c r="A50" t="inlineStr">
        <is>
          <t>li-4370194678</t>
        </is>
      </c>
      <c r="B50" t="inlineStr">
        <is>
          <t>Senior Data Engineer</t>
        </is>
      </c>
      <c r="C50" t="inlineStr">
        <is>
          <t>Launch Potato</t>
        </is>
      </c>
      <c r="D50" t="inlineStr">
        <is>
          <t>linkedin</t>
        </is>
      </c>
      <c r="E50">
        <f>HYPERLINK("https://www.linkedin.com/jobs/view/4370194678", "https://www.linkedin.com/jobs/view/4370194678")</f>
        <v/>
      </c>
      <c r="F50" t="inlineStr"/>
      <c r="G50" t="inlineStr">
        <is>
          <t>California, United States</t>
        </is>
      </c>
      <c r="H50" t="inlineStr"/>
      <c r="I50" t="inlineStr">
        <is>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$150,000 to $190,000 per year
**MUST HAVE:**
* 5\+ years of experience in data engineering within fast\-paced, cloud\-native environments
* Deep expertise in Python, SQL, Docker, and AWS (S3, Glue, Kinesis, Athena/Presto)
* Experience building and managing scalable ETL pipelines and data lake infrastructure
* Familiarity with distributed systems, Spark, and data quality best practices
* Strong cross\-functional collaboration skills to support BI, analytics, and engineering teams
**EXPERIENCE:** 
 5\+ years of data engineering experience in an AWS\-based environment where data powers decision\-making across product, marketing, and operations.
**YOUR ROLE**
 Lead scalable data engineering efforts that empower cross\-functional teams with reliable, timely, and actionable data, ensuring Launch Potato’s analytics and business intelligence infrastructure fuels strategic growth.
**OUTCOMES**
* Build and optimize scalable, efficient ETL and data lake processes that proactively catch issues before they impact the business
* Own the ingestion, modeling, and transformation of structured and unstructured data to support reporting and analysis across all business units
* Partner closely with BI and Analytics to deliver clean, query\-ready datasets that improve user acquisition, engagement, and revenue growth
* Maintain and enhance database monitoring, anomaly detection, and quality assurance workflows
* Serve as the internal point of contact for reporting infrastructure—delivering ad hoc data analyses and driving consistent data integrity
* Drive adoption and advancement of Looker dashboards by ensuring robust and scalable backend data support
* Contribute to the future of Launch Potato’s data team by mentoring peers and shaping a high\-performance, quality\-first engineering culture
**COMPETENCIES**
* Data Engineering Mastery: Demonstrates technical excellence in building data pipelines, troubleshooting distributed systems, and scaling infrastructure using AWS and open\-source tools
* Cross\-Functional Collaboration: Communicates clearly across technical and non\-technical teams, translating business needs into robust data solutions
* Proactive Ownership: Operates with a strong sense of accountability; identifies and solves data issues independently and efficiently
* Quality\-Driven Execution: Holds a high bar for data accuracy, auditability, and documentation throughout all systems and workflows
* Strategic Thinking: Anticipates how data infrastructure impacts wider company OKRs and proactively suggests improvements and innovations
* Growth Mindset: Seeks out opportunities to elevate team capabilities, mentor others, and stay ahead of evolving best practices in data engineering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51">
      <c r="A51" t="inlineStr">
        <is>
          <t>li-4370189874</t>
        </is>
      </c>
      <c r="B51" t="inlineStr">
        <is>
          <t>Remote Starburst Data Engineer</t>
        </is>
      </c>
      <c r="C51" t="inlineStr">
        <is>
          <t>Jobgether</t>
        </is>
      </c>
      <c r="D51" t="inlineStr">
        <is>
          <t>linkedin</t>
        </is>
      </c>
      <c r="E51">
        <f>HYPERLINK("https://www.linkedin.com/jobs/view/4370189874", "https://www.linkedin.com/jobs/view/4370189874")</f>
        <v/>
      </c>
      <c r="F51" t="inlineStr"/>
      <c r="G51" t="inlineStr">
        <is>
          <t>Delaware, United States</t>
        </is>
      </c>
      <c r="H51" t="inlineStr"/>
      <c r="I51" t="inlineStr">
        <is>
          <t>This position is posted by Jobgether on behalf of a partner company. We are currently looking for a Senior Data Engineer \- REMOTE. In this role, you will play a critical part in a large\-scale data modernization initiative aimed at enhancing service delivery for U.S. Veterans. Your expertise will drive the design and optimization of secure, high\-performance data access across complex enterprise systems. You will work hands\-on with state\-of\-the\-art data platforms, facilitating data federation and analytics in hybrid and multi\-cloud environments. Collaboration is key, as you will engage with cross\-functional teams to ensure data strategies meet organizational requirements. Your contributions will lead to improved decision\-making and operational efficiency at a national scale.
**Accountabilities**
* Design, build, and optimize distributed query solutions using Starburst Enterprise Platform (SEP) and Trino.
* Enable secure and governed access to data across multiple sources including cloud platforms and data lakes.
* Implement and enhance data federation, performance tuning, and query optimization strategies.
* Support identity and access management (IAM) and data governance requirements.
* Develop and maintain backend services, APIs, and platform components.
* Contribute to CI/CD pipelines, observability, and platform reliability initiatives.
* Collaborate with product, UX, security, and infrastructure teams.
* Troubleshoot performance issues in distributed and cloud\-native environments.
**Requirements**
* Bachelor’s degree in Computer Science, Information Technology, or related field (Master’s preferred).
* Ability to obtain and maintain a Public Trust clearance.
* Hands\-on experience with Starburst Enterprise Platform (SEP) or significant experience with Trino/Presto.
* 8\+ years of experience with modern data platforms like Snowflake, Databricks, or Denodo.
* Strong SQL skills and experience in distributed query performance optimization.
* Experience integrating data across cloud and on\-premises environments.
* Knowledge of authentication, authorization frameworks, and data security best practices.
* Experience with CI/CD tools, containerization (Docker/Kubernetes), and infrastructure automation.
* Familiarity with cloud platforms (Azure experience strongly preferred).
* Strong communication and collaboration skills.
**Benefits**
* Opportunity to support high\-visibility federal missions.
* Culture that values innovation, growth, and collaboration.
* Access to cutting\-edge tools and technologies.
* Comprehensive benefits for you and your family.
* Career path that rewards ambition and performance.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2">
      <c r="A52" t="inlineStr">
        <is>
          <t>li-4370306486</t>
        </is>
      </c>
      <c r="B52" t="inlineStr">
        <is>
          <t>Senior Data Engineer</t>
        </is>
      </c>
      <c r="C52" t="inlineStr">
        <is>
          <t>Launch Potato</t>
        </is>
      </c>
      <c r="D52" t="inlineStr">
        <is>
          <t>linkedin</t>
        </is>
      </c>
      <c r="E52">
        <f>HYPERLINK("https://www.linkedin.com/jobs/view/4370306486", "https://www.linkedin.com/jobs/view/4370306486")</f>
        <v/>
      </c>
      <c r="F52" t="inlineStr"/>
      <c r="G52" t="inlineStr">
        <is>
          <t>Phoenix, AZ</t>
        </is>
      </c>
      <c r="H52" t="inlineStr"/>
      <c r="I52" t="inlineStr">
        <is>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$150,000 to $190,000 per year
**MUST HAVE:**
* 5\+ years of experience in data engineering within fast\-paced, cloud\-native environments
* Deep expertise in Python, SQL, Docker, and AWS (S3, Glue, Kinesis, Athena/Presto)
* Experience building and managing scalable ETL pipelines and data lake infrastructure
* Familiarity with distributed systems, Spark, and data quality best practices
* Strong cross\-functional collaboration skills to support BI, analytics, and engineering teams
**EXPERIENCE:** 
 5\+ years of data engineering experience in an AWS\-based environment where data powers decision\-making across product, marketing, and operations.
**YOUR ROLE**
 Lead scalable data engineering efforts that empower cross\-functional teams with reliable, timely, and actionable data, ensuring Launch Potato’s analytics and business intelligence infrastructure fuels strategic growth.
**OUTCOMES**
* Build and optimize scalable, efficient ETL and data lake processes that proactively catch issues before they impact the business
* Own the ingestion, modeling, and transformation of structured and unstructured data to support reporting and analysis across all business units
* Partner closely with BI and Analytics to deliver clean, query\-ready datasets that improve user acquisition, engagement, and revenue growth
* Maintain and enhance database monitoring, anomaly detection, and quality assurance workflows
* Serve as the internal point of contact for reporting infrastructure—delivering ad hoc data analyses and driving consistent data integrity
* Drive adoption and advancement of Looker dashboards by ensuring robust and scalable backend data support
* Contribute to the future of Launch Potato’s data team by mentoring peers and shaping a high\-performance, quality\-first engineering culture
**COMPETENCIES**
* Data Engineering Mastery: Demonstrates technical excellence in building data pipelines, troubleshooting distributed systems, and scaling infrastructure using AWS and open\-source tools
* Cross\-Functional Collaboration: Communicates clearly across technical and non\-technical teams, translating business needs into robust data solutions
* Proactive Ownership: Operates with a strong sense of accountability; identifies and solves data issues independently and efficiently
* Quality\-Driven Execution: Holds a high bar for data accuracy, auditability, and documentation throughout all systems and workflows
* Strategic Thinking: Anticipates how data infrastructure impacts wider company OKRs and proactively suggests improvements and innovations
* Growth Mindset: Seeks out opportunities to elevate team capabilities, mentor others, and stay ahead of evolving best practices in data engineering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53">
      <c r="A53" t="inlineStr">
        <is>
          <t>li-4370303506</t>
        </is>
      </c>
      <c r="B53" t="inlineStr">
        <is>
          <t>Senior Data Engineer</t>
        </is>
      </c>
      <c r="C53" t="inlineStr">
        <is>
          <t>Launch Potato</t>
        </is>
      </c>
      <c r="D53" t="inlineStr">
        <is>
          <t>linkedin</t>
        </is>
      </c>
      <c r="E53">
        <f>HYPERLINK("https://www.linkedin.com/jobs/view/4370303506", "https://www.linkedin.com/jobs/view/4370303506")</f>
        <v/>
      </c>
      <c r="F53" t="inlineStr"/>
      <c r="G53" t="inlineStr">
        <is>
          <t>Charlotte, NC</t>
        </is>
      </c>
      <c r="H53" t="inlineStr"/>
      <c r="I53" t="inlineStr">
        <is>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$150,000 to $190,000 per year
**MUST HAVE:**
* 5\+ years of experience in data engineering within fast\-paced, cloud\-native environments
* Deep expertise in Python, SQL, Docker, and AWS (S3, Glue, Kinesis, Athena/Presto)
* Experience building and managing scalable ETL pipelines and data lake infrastructure
* Familiarity with distributed systems, Spark, and data quality best practices
* Strong cross\-functional collaboration skills to support BI, analytics, and engineering teams
**EXPERIENCE:** 
 5\+ years of data engineering experience in an AWS\-based environment where data powers decision\-making across product, marketing, and operations.
**YOUR ROLE**
 Lead scalable data engineering efforts that empower cross\-functional teams with reliable, timely, and actionable data, ensuring Launch Potato’s analytics and business intelligence infrastructure fuels strategic growth.
**OUTCOMES**
* Build and optimize scalable, efficient ETL and data lake processes that proactively catch issues before they impact the business
* Own the ingestion, modeling, and transformation of structured and unstructured data to support reporting and analysis across all business units
* Partner closely with BI and Analytics to deliver clean, query\-ready datasets that improve user acquisition, engagement, and revenue growth
* Maintain and enhance database monitoring, anomaly detection, and quality assurance workflows
* Serve as the internal point of contact for reporting infrastructure—delivering ad hoc data analyses and driving consistent data integrity
* Drive adoption and advancement of Looker dashboards by ensuring robust and scalable backend data support
* Contribute to the future of Launch Potato’s data team by mentoring peers and shaping a high\-performance, quality\-first engineering culture
**COMPETENCIES**
* Data Engineering Mastery: Demonstrates technical excellence in building data pipelines, troubleshooting distributed systems, and scaling infrastructure using AWS and open\-source tools
* Cross\-Functional Collaboration: Communicates clearly across technical and non\-technical teams, translating business needs into robust data solutions
* Proactive Ownership: Operates with a strong sense of accountability; identifies and solves data issues independently and efficiently
* Quality\-Driven Execution: Holds a high bar for data accuracy, auditability, and documentation throughout all systems and workflows
* Strategic Thinking: Anticipates how data infrastructure impacts wider company OKRs and proactively suggests improvements and innovations
* Growth Mindset: Seeks out opportunities to elevate team capabilities, mentor others, and stay ahead of evolving best practices in data engineering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54">
      <c r="A54" t="inlineStr">
        <is>
          <t>li-4370311024</t>
        </is>
      </c>
      <c r="B54" t="inlineStr">
        <is>
          <t>Senior Data Engineer</t>
        </is>
      </c>
      <c r="C54" t="inlineStr">
        <is>
          <t>Launch Potato</t>
        </is>
      </c>
      <c r="D54" t="inlineStr">
        <is>
          <t>linkedin</t>
        </is>
      </c>
      <c r="E54">
        <f>HYPERLINK("https://www.linkedin.com/jobs/view/4370311024", "https://www.linkedin.com/jobs/view/4370311024")</f>
        <v/>
      </c>
      <c r="F54" t="inlineStr"/>
      <c r="G54" t="inlineStr">
        <is>
          <t>Columbus, OH</t>
        </is>
      </c>
      <c r="H54" t="inlineStr"/>
      <c r="I54" t="inlineStr">
        <is>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$150,000 to $190,000 per year
**MUST HAVE:**
* 5\+ years of experience in data engineering within fast\-paced, cloud\-native environments
* Deep expertise in Python, SQL, Docker, and AWS (S3, Glue, Kinesis, Athena/Presto)
* Experience building and managing scalable ETL pipelines and data lake infrastructure
* Familiarity with distributed systems, Spark, and data quality best practices
* Strong cross\-functional collaboration skills to support BI, analytics, and engineering teams
**EXPERIENCE:** 
 5\+ years of data engineering experience in an AWS\-based environment where data powers decision\-making across product, marketing, and operations.
**YOUR ROLE**
 Lead scalable data engineering efforts that empower cross\-functional teams with reliable, timely, and actionable data, ensuring Launch Potato’s analytics and business intelligence infrastructure fuels strategic growth.
**OUTCOMES**
* Build and optimize scalable, efficient ETL and data lake processes that proactively catch issues before they impact the business
* Own the ingestion, modeling, and transformation of structured and unstructured data to support reporting and analysis across all business units
* Partner closely with BI and Analytics to deliver clean, query\-ready datasets that improve user acquisition, engagement, and revenue growth
* Maintain and enhance database monitoring, anomaly detection, and quality assurance workflows
* Serve as the internal point of contact for reporting infrastructure—delivering ad hoc data analyses and driving consistent data integrity
* Drive adoption and advancement of Looker dashboards by ensuring robust and scalable backend data support
* Contribute to the future of Launch Potato’s data team by mentoring peers and shaping a high\-performance, quality\-first engineering culture
**COMPETENCIES**
* Data Engineering Mastery: Demonstrates technical excellence in building data pipelines, troubleshooting distributed systems, and scaling infrastructure using AWS and open\-source tools
* Cross\-Functional Collaboration: Communicates clearly across technical and non\-technical teams, translating business needs into robust data solutions
* Proactive Ownership: Operates with a strong sense of accountability; identifies and solves data issues independently and efficiently
* Quality\-Driven Execution: Holds a high bar for data accuracy, auditability, and documentation throughout all systems and workflows
* Strategic Thinking: Anticipates how data infrastructure impacts wider company OKRs and proactively suggests improvements and innovations
* Growth Mindset: Seeks out opportunities to elevate team capabilities, mentor others, and stay ahead of evolving best practices in data engineering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55">
      <c r="A55" t="inlineStr">
        <is>
          <t>li-4370306479</t>
        </is>
      </c>
      <c r="B55" t="inlineStr">
        <is>
          <t>Senior Data Engineer</t>
        </is>
      </c>
      <c r="C55" t="inlineStr">
        <is>
          <t>Launch Potato</t>
        </is>
      </c>
      <c r="D55" t="inlineStr">
        <is>
          <t>linkedin</t>
        </is>
      </c>
      <c r="E55">
        <f>HYPERLINK("https://www.linkedin.com/jobs/view/4370306479", "https://www.linkedin.com/jobs/view/4370306479")</f>
        <v/>
      </c>
      <c r="F55">
        <f>HYPERLINK("https://job-boards.greenhouse.io/launch2/jobs/5795651004?gh_src=149bfe184us&amp;urlHash=485s", "https://job-boards.greenhouse.io/launch2/jobs/5795651004?gh_src=149bfe184us&amp;urlHash=485s")</f>
        <v/>
      </c>
      <c r="G55" t="inlineStr">
        <is>
          <t>Henderson, NV</t>
        </is>
      </c>
      <c r="H55" t="inlineStr"/>
      <c r="I55" t="inlineStr">
        <is>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$150,000 to $190,000 per year
**MUST HAVE:**
* 5\+ years of experience in data engineering within fast\-paced, cloud\-native environments
* Deep expertise in Python, SQL, Docker, and AWS (S3, Glue, Kinesis, Athena/Presto)
* Experience building and managing scalable ETL pipelines and data lake infrastructure
* Familiarity with distributed systems, Spark, and data quality best practices
* Strong cross\-functional collaboration skills to support BI, analytics, and engineering teams
**EXPERIENCE:** 
 5\+ years of data engineering experience in an AWS\-based environment where data powers decision\-making across product, marketing, and operations.
**YOUR ROLE**
 Lead scalable data engineering efforts that empower cross\-functional teams with reliable, timely, and actionable data, ensuring Launch Potato’s analytics and business intelligence infrastructure fuels strategic growth.
**OUTCOMES**
* Build and optimize scalable, efficient ETL and data lake processes that proactively catch issues before they impact the business
* Own the ingestion, modeling, and transformation of structured and unstructured data to support reporting and analysis across all business units
* Partner closely with BI and Analytics to deliver clean, query\-ready datasets that improve user acquisition, engagement, and revenue growth
* Maintain and enhance database monitoring, anomaly detection, and quality assurance workflows
* Serve as the internal point of contact for reporting infrastructure—delivering ad hoc data analyses and driving consistent data integrity
* Drive adoption and advancement of Looker dashboards by ensuring robust and scalable backend data support
* Contribute to the future of Launch Potato’s data team by mentoring peers and shaping a high\-performance, quality\-first engineering culture
**COMPETENCIES**
* Data Engineering Mastery: Demonstrates technical excellence in building data pipelines, troubleshooting distributed systems, and scaling infrastructure using AWS and open\-source tools
* Cross\-Functional Collaboration: Communicates clearly across technical and non\-technical teams, translating business needs into robust data solutions
* Proactive Ownership: Operates with a strong sense of accountability; identifies and solves data issues independently and efficiently
* Quality\-Driven Execution: Holds a high bar for data accuracy, auditability, and documentation throughout all systems and workflows
* Strategic Thinking: Anticipates how data infrastructure impacts wider company OKRs and proactively suggests improvements and innovations
* Growth Mindset: Seeks out opportunities to elevate team capabilities, mentor others, and stay ahead of evolving best practices in data engineering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56">
      <c r="A56" t="inlineStr">
        <is>
          <t>li-4370310040</t>
        </is>
      </c>
      <c r="B56" t="inlineStr">
        <is>
          <t>Senior Data Engineer - REMOTE</t>
        </is>
      </c>
      <c r="C56" t="inlineStr">
        <is>
          <t>Jobgether</t>
        </is>
      </c>
      <c r="D56" t="inlineStr">
        <is>
          <t>linkedin</t>
        </is>
      </c>
      <c r="E56">
        <f>HYPERLINK("https://www.linkedin.com/jobs/view/4370310040", "https://www.linkedin.com/jobs/view/4370310040")</f>
        <v/>
      </c>
      <c r="F56">
        <f>HYPERLINK("https://jobs.lever.co/jobgether/5da89976-e805-416b-b0ad-529ebea7cfca/apply?source=LinkedIn&amp;urlHash=2k8A", "https://jobs.lever.co/jobgether/5da89976-e805-416b-b0ad-529ebea7cfca/apply?source=LinkedIn&amp;urlHash=2k8A")</f>
        <v/>
      </c>
      <c r="G56" t="inlineStr">
        <is>
          <t>Arkansas, United States</t>
        </is>
      </c>
      <c r="H56" t="inlineStr"/>
      <c r="I56" t="inlineStr">
        <is>
          <t>This position is posted by Jobgether on behalf of a partner company. We are currently looking for a Senior Data Engineer \- REMOTE. In this role, you will play a critical part in a large\-scale data modernization initiative aimed at enhancing service delivery for U.S. Veterans. Your expertise will drive the design and optimization of secure, high\-performance data access across complex enterprise systems. You will work hands\-on with state\-of\-the\-art data platforms, facilitating data federation and analytics in hybrid and multi\-cloud environments. Collaboration is key, as you will engage with cross\-functional teams to ensure data strategies meet organizational requirements. Your contributions will lead to improved decision\-making and operational efficiency at a national scale.
**Accountabilities**
* Design, build, and optimize distributed query solutions using Starburst Enterprise Platform (SEP) and Trino.
* Enable secure and governed access to data across multiple sources including cloud platforms and data lakes.
* Implement and enhance data federation, performance tuning, and query optimization strategies.
* Support identity and access management (IAM) and data governance requirements.
* Develop and maintain backend services, APIs, and platform components.
* Contribute to CI/CD pipelines, observability, and platform reliability initiatives.
* Collaborate with product, UX, security, and infrastructure teams.
* Troubleshoot performance issues in distributed and cloud\-native environments.
**Requirements**
* Bachelor’s degree in Computer Science, Information Technology, or related field (Master’s preferred).
* Ability to obtain and maintain a Public Trust clearance.
* Hands\-on experience with Starburst Enterprise Platform (SEP) or significant experience with Trino/Presto.
* 8\+ years of experience with modern data platforms like Snowflake, Databricks, or Denodo.
* Strong SQL skills and experience in distributed query performance optimization.
* Experience integrating data across cloud and on\-premises environments.
* Knowledge of authentication, authorization frameworks, and data security best practices.
* Experience with CI/CD tools, containerization (Docker/Kubernetes), and infrastructure automation.
* Familiarity with cloud platforms (Azure experience strongly preferred).
* Strong communication and collaboration skills.
**Benefits**
* Opportunity to support high\-visibility federal missions.
* Culture that values innovation, growth, and collaboration.
* Access to cutting\-edge tools and technologies.
* Comprehensive benefits for you and your family.
* Career path that rewards ambition and performance.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7">
      <c r="A57" t="inlineStr">
        <is>
          <t>li-4370194677</t>
        </is>
      </c>
      <c r="B57" t="inlineStr">
        <is>
          <t>Senior Data Engineer</t>
        </is>
      </c>
      <c r="C57" t="inlineStr">
        <is>
          <t>Launch Potato</t>
        </is>
      </c>
      <c r="D57" t="inlineStr">
        <is>
          <t>linkedin</t>
        </is>
      </c>
      <c r="E57">
        <f>HYPERLINK("https://www.linkedin.com/jobs/view/4370194677", "https://www.linkedin.com/jobs/view/4370194677")</f>
        <v/>
      </c>
      <c r="F57">
        <f>HYPERLINK("https://job-boards.greenhouse.io/launch2/jobs/5795621004?gh_src=149bfe184us&amp;urlHash=6HAe", "https://job-boards.greenhouse.io/launch2/jobs/5795621004?gh_src=149bfe184us&amp;urlHash=6HAe")</f>
        <v/>
      </c>
      <c r="G57" t="inlineStr">
        <is>
          <t>Boulder, CO</t>
        </is>
      </c>
      <c r="H57" t="inlineStr"/>
      <c r="I57" t="inlineStr">
        <is>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$150,000 to $190,000 per year
**MUST HAVE:**
* 5\+ years of experience in data engineering within fast\-paced, cloud\-native environments
* Deep expertise in Python, SQL, Docker, and AWS (S3, Glue, Kinesis, Athena/Presto)
* Experience building and managing scalable ETL pipelines and data lake infrastructure
* Familiarity with distributed systems, Spark, and data quality best practices
* Strong cross\-functional collaboration skills to support BI, analytics, and engineering teams
**EXPERIENCE:** 
 5\+ years of data engineering experience in an AWS\-based environment where data powers decision\-making across product, marketing, and operations.
**YOUR ROLE**
 Lead scalable data engineering efforts that empower cross\-functional teams with reliable, timely, and actionable data, ensuring Launch Potato’s analytics and business intelligence infrastructure fuels strategic growth.
**OUTCOMES**
* Build and optimize scalable, efficient ETL and data lake processes that proactively catch issues before they impact the business
* Own the ingestion, modeling, and transformation of structured and unstructured data to support reporting and analysis across all business units
* Partner closely with BI and Analytics to deliver clean, query\-ready datasets that improve user acquisition, engagement, and revenue growth
* Maintain and enhance database monitoring, anomaly detection, and quality assurance workflows
* Serve as the internal point of contact for reporting infrastructure—delivering ad hoc data analyses and driving consistent data integrity
* Drive adoption and advancement of Looker dashboards by ensuring robust and scalable backend data support
* Contribute to the future of Launch Potato’s data team by mentoring peers and shaping a high\-performance, quality\-first engineering culture
**COMPETENCIES**
* Data Engineering Mastery: Demonstrates technical excellence in building data pipelines, troubleshooting distributed systems, and scaling infrastructure using AWS and open\-source tools
* Cross\-Functional Collaboration: Communicates clearly across technical and non\-technical teams, translating business needs into robust data solutions
* Proactive Ownership: Operates with a strong sense of accountability; identifies and solves data issues independently and efficiently
* Quality\-Driven Execution: Holds a high bar for data accuracy, auditability, and documentation throughout all systems and workflows
* Strategic Thinking: Anticipates how data infrastructure impacts wider company OKRs and proactively suggests improvements and innovations
* Growth Mindset: Seeks out opportunities to elevate team capabilities, mentor others, and stay ahead of evolving best practices in data engineering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58">
      <c r="A58" t="inlineStr">
        <is>
          <t>li-4370304525</t>
        </is>
      </c>
      <c r="B58" t="inlineStr">
        <is>
          <t>Senior Data Engineer</t>
        </is>
      </c>
      <c r="C58" t="inlineStr">
        <is>
          <t>Launch Potato</t>
        </is>
      </c>
      <c r="D58" t="inlineStr">
        <is>
          <t>linkedin</t>
        </is>
      </c>
      <c r="E58">
        <f>HYPERLINK("https://www.linkedin.com/jobs/view/4370304525", "https://www.linkedin.com/jobs/view/4370304525")</f>
        <v/>
      </c>
      <c r="F58" t="inlineStr"/>
      <c r="G58" t="inlineStr">
        <is>
          <t>Cleveland, OH</t>
        </is>
      </c>
      <c r="H58" t="inlineStr"/>
      <c r="I58" t="inlineStr">
        <is>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$150,000 to $190,000 per year
**MUST HAVE:**
* 5\+ years of experience in data engineering within fast\-paced, cloud\-native environments
* Deep expertise in Python, SQL, Docker, and AWS (S3, Glue, Kinesis, Athena/Presto)
* Experience building and managing scalable ETL pipelines and data lake infrastructure
* Familiarity with distributed systems, Spark, and data quality best practices
* Strong cross\-functional collaboration skills to support BI, analytics, and engineering teams
**EXPERIENCE:** 
 5\+ years of data engineering experience in an AWS\-based environment where data powers decision\-making across product, marketing, and operations.
**YOUR ROLE**
 Lead scalable data engineering efforts that empower cross\-functional teams with reliable, timely, and actionable data, ensuring Launch Potato’s analytics and business intelligence infrastructure fuels strategic growth.
**OUTCOMES**
* Build and optimize scalable, efficient ETL and data lake processes that proactively catch issues before they impact the business
* Own the ingestion, modeling, and transformation of structured and unstructured data to support reporting and analysis across all business units
* Partner closely with BI and Analytics to deliver clean, query\-ready datasets that improve user acquisition, engagement, and revenue growth
* Maintain and enhance database monitoring, anomaly detection, and quality assurance workflows
* Serve as the internal point of contact for reporting infrastructure—delivering ad hoc data analyses and driving consistent data integrity
* Drive adoption and advancement of Looker dashboards by ensuring robust and scalable backend data support
* Contribute to the future of Launch Potato’s data team by mentoring peers and shaping a high\-performance, quality\-first engineering culture
**COMPETENCIES**
* Data Engineering Mastery: Demonstrates technical excellence in building data pipelines, troubleshooting distributed systems, and scaling infrastructure using AWS and open\-source tools
* Cross\-Functional Collaboration: Communicates clearly across technical and non\-technical teams, translating business needs into robust data solutions
* Proactive Ownership: Operates with a strong sense of accountability; identifies and solves data issues independently and efficiently
* Quality\-Driven Execution: Holds a high bar for data accuracy, auditability, and documentation throughout all systems and workflows
* Strategic Thinking: Anticipates how data infrastructure impacts wider company OKRs and proactively suggests improvements and innovations
* Growth Mindset: Seeks out opportunities to elevate team capabilities, mentor others, and stay ahead of evolving best practices in data engineering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59">
      <c r="A59" t="inlineStr">
        <is>
          <t>li-4370305425</t>
        </is>
      </c>
      <c r="B59" t="inlineStr">
        <is>
          <t>Senior Data Engineer</t>
        </is>
      </c>
      <c r="C59" t="inlineStr">
        <is>
          <t>Launch Potato</t>
        </is>
      </c>
      <c r="D59" t="inlineStr">
        <is>
          <t>linkedin</t>
        </is>
      </c>
      <c r="E59">
        <f>HYPERLINK("https://www.linkedin.com/jobs/view/4370305425", "https://www.linkedin.com/jobs/view/4370305425")</f>
        <v/>
      </c>
      <c r="F59" t="inlineStr"/>
      <c r="G59" t="inlineStr">
        <is>
          <t>Delray Beach, FL</t>
        </is>
      </c>
      <c r="H59" t="inlineStr"/>
      <c r="I59" t="inlineStr">
        <is>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$150,000 to $190,000 per year
**MUST HAVE:**
* 5\+ years of experience in data engineering within fast\-paced, cloud\-native environments
* Deep expertise in Python, SQL, Docker, and AWS (S3, Glue, Kinesis, Athena/Presto)
* Experience building and managing scalable ETL pipelines and data lake infrastructure
* Familiarity with distributed systems, Spark, and data quality best practices
* Strong cross\-functional collaboration skills to support BI, analytics, and engineering teams
**EXPERIENCE:** 
 5\+ years of data engineering experience in an AWS\-based environment where data powers decision\-making across product, marketing, and operations.
**YOUR ROLE**
 Lead scalable data engineering efforts that empower cross\-functional teams with reliable, timely, and actionable data, ensuring Launch Potato’s analytics and business intelligence infrastructure fuels strategic growth.
**OUTCOMES**
* Build and optimize scalable, efficient ETL and data lake processes that proactively catch issues before they impact the business
* Own the ingestion, modeling, and transformation of structured and unstructured data to support reporting and analysis across all business units
* Partner closely with BI and Analytics to deliver clean, query\-ready datasets that improve user acquisition, engagement, and revenue growth
* Maintain and enhance database monitoring, anomaly detection, and quality assurance workflows
* Serve as the internal point of contact for reporting infrastructure—delivering ad hoc data analyses and driving consistent data integrity
* Drive adoption and advancement of Looker dashboards by ensuring robust and scalable backend data support
* Contribute to the future of Launch Potato’s data team by mentoring peers and shaping a high\-performance, quality\-first engineering culture
**COMPETENCIES**
* Data Engineering Mastery: Demonstrates technical excellence in building data pipelines, troubleshooting distributed systems, and scaling infrastructure using AWS and open\-source tools
* Cross\-Functional Collaboration: Communicates clearly across technical and non\-technical teams, translating business needs into robust data solutions
* Proactive Ownership: Operates with a strong sense of accountability; identifies and solves data issues independently and efficiently
* Quality\-Driven Execution: Holds a high bar for data accuracy, auditability, and documentation throughout all systems and workflows
* Strategic Thinking: Anticipates how data infrastructure impacts wider company OKRs and proactively suggests improvements and innovations
* Growth Mindset: Seeks out opportunities to elevate team capabilities, mentor others, and stay ahead of evolving best practices in data engineering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60">
      <c r="A60" t="inlineStr">
        <is>
          <t>li-4370303527</t>
        </is>
      </c>
      <c r="B60" t="inlineStr">
        <is>
          <t>Remote Senior Data Engineer</t>
        </is>
      </c>
      <c r="C60" t="inlineStr">
        <is>
          <t>Jobgether</t>
        </is>
      </c>
      <c r="D60" t="inlineStr">
        <is>
          <t>linkedin</t>
        </is>
      </c>
      <c r="E60">
        <f>HYPERLINK("https://www.linkedin.com/jobs/view/4370303527", "https://www.linkedin.com/jobs/view/4370303527")</f>
        <v/>
      </c>
      <c r="F60" t="inlineStr"/>
      <c r="G60" t="inlineStr">
        <is>
          <t>Colorado, United States</t>
        </is>
      </c>
      <c r="H60" t="inlineStr"/>
      <c r="I60" t="inlineStr">
        <is>
          <t>This position is posted by Jobgether on behalf of a partner company. We are currently looking for a Senior Data Engineer \- REMOTE. In this role, you will play a critical part in a large\-scale data modernization initiative aimed at enhancing service delivery for U.S. Veterans. Your expertise will drive the design and optimization of secure, high\-performance data access across complex enterprise systems. You will work hands\-on with state\-of\-the\-art data platforms, facilitating data federation and analytics in hybrid and multi\-cloud environments. Collaboration is key, as you will engage with cross\-functional teams to ensure data strategies meet organizational requirements. Your contributions will lead to improved decision\-making and operational efficiency at a national scale.
**Accountabilities**
* Design, build, and optimize distributed query solutions using Starburst Enterprise Platform (SEP) and Trino.
* Enable secure and governed access to data across multiple sources including cloud platforms and data lakes.
* Implement and enhance data federation, performance tuning, and query optimization strategies.
* Support identity and access management (IAM) and data governance requirements.
* Develop and maintain backend services, APIs, and platform components.
* Contribute to CI/CD pipelines, observability, and platform reliability initiatives.
* Collaborate with product, UX, security, and infrastructure teams.
* Troubleshoot performance issues in distributed and cloud\-native environments.
**Requirements**
* Bachelor’s degree in Computer Science, Information Technology, or related field (Master’s preferred).
* Ability to obtain and maintain a Public Trust clearance.
* Hands\-on experience with Starburst Enterprise Platform (SEP) or significant experience with Trino/Presto.
* 8\+ years of experience with modern data platforms like Snowflake, Databricks, or Denodo.
* Strong SQL skills and experience in distributed query performance optimization.
* Experience integrating data across cloud and on\-premises environments.
* Knowledge of authentication, authorization frameworks, and data security best practices.
* Experience with CI/CD tools, containerization (Docker/Kubernetes), and infrastructure automation.
* Familiarity with cloud platforms (Azure experience strongly preferred).
* Strong communication and collaboration skills.
**Benefits**
* Opportunity to support high\-visibility federal missions.
* Culture that values innovation, growth, and collaboration.
* Access to cutting\-edge tools and technologies.
* Comprehensive benefits for you and your family.
* Career path that rewards ambition and performance.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1">
      <c r="A61" t="inlineStr">
        <is>
          <t>li-4370192812</t>
        </is>
      </c>
      <c r="B61" t="inlineStr">
        <is>
          <t>Senior Data Engineer</t>
        </is>
      </c>
      <c r="C61" t="inlineStr">
        <is>
          <t>Launch Potato</t>
        </is>
      </c>
      <c r="D61" t="inlineStr">
        <is>
          <t>linkedin</t>
        </is>
      </c>
      <c r="E61">
        <f>HYPERLINK("https://www.linkedin.com/jobs/view/4370192812", "https://www.linkedin.com/jobs/view/4370192812")</f>
        <v/>
      </c>
      <c r="F61">
        <f>HYPERLINK("https://job-boards.greenhouse.io/launch2/jobs/5795667004?gh_src=149bfe184us&amp;urlHash=rJSg", "https://job-boards.greenhouse.io/launch2/jobs/5795667004?gh_src=149bfe184us&amp;urlHash=rJSg")</f>
        <v/>
      </c>
      <c r="G61" t="inlineStr"/>
      <c r="H61" t="inlineStr"/>
      <c r="I61" t="inlineStr">
        <is>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$150,000 to $190,000 per year
**MUST HAVE:**
* 5\+ years of experience in data engineering within fast\-paced, cloud\-native environments
* Deep expertise in Python, SQL, Docker, and AWS (S3, Glue, Kinesis, Athena/Presto)
* Experience building and managing scalable ETL pipelines and data lake infrastructure
* Familiarity with distributed systems, Spark, and data quality best practices
* Strong cross\-functional collaboration skills to support BI, analytics, and engineering teams
**EXPERIENCE:** 
 5\+ years of data engineering experience in an AWS\-based environment where data powers decision\-making across product, marketing, and operations.
**YOUR ROLE**
 Lead scalable data engineering efforts that empower cross\-functional teams with reliable, timely, and actionable data, ensuring Launch Potato’s analytics and business intelligence infrastructure fuels strategic growth.
**OUTCOMES**
* Build and optimize scalable, efficient ETL and data lake processes that proactively catch issues before they impact the business
* Own the ingestion, modeling, and transformation of structured and unstructured data to support reporting and analysis across all business units
* Partner closely with BI and Analytics to deliver clean, query\-ready datasets that improve user acquisition, engagement, and revenue growth
* Maintain and enhance database monitoring, anomaly detection, and quality assurance workflows
* Serve as the internal point of contact for reporting infrastructure—delivering ad hoc data analyses and driving consistent data integrity
* Drive adoption and advancement of Looker dashboards by ensuring robust and scalable backend data support
* Contribute to the future of Launch Potato’s data team by mentoring peers and shaping a high\-performance, quality\-first engineering culture
**COMPETENCIES**
* Data Engineering Mastery: Demonstrates technical excellence in building data pipelines, troubleshooting distributed systems, and scaling infrastructure using AWS and open\-source tools
* Cross\-Functional Collaboration: Communicates clearly across technical and non\-technical teams, translating business needs into robust data solutions
* Proactive Ownership: Operates with a strong sense of accountability; identifies and solves data issues independently and efficiently
* Quality\-Driven Execution: Holds a high bar for data accuracy, auditability, and documentation throughout all systems and workflows
* Strategic Thinking: Anticipates how data infrastructure impacts wider company OKRs and proactively suggests improvements and innovations
* Growth Mindset: Seeks out opportunities to elevate team capabilities, mentor others, and stay ahead of evolving best practices in data engineering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62">
      <c r="A62" t="inlineStr">
        <is>
          <t>li-4370304556</t>
        </is>
      </c>
      <c r="B62" t="inlineStr">
        <is>
          <t>Remote Cloud Data Engineer</t>
        </is>
      </c>
      <c r="C62" t="inlineStr">
        <is>
          <t>Jobgether</t>
        </is>
      </c>
      <c r="D62" t="inlineStr">
        <is>
          <t>linkedin</t>
        </is>
      </c>
      <c r="E62">
        <f>HYPERLINK("https://www.linkedin.com/jobs/view/4370304556", "https://www.linkedin.com/jobs/view/4370304556")</f>
        <v/>
      </c>
      <c r="F62" t="inlineStr"/>
      <c r="G62" t="inlineStr">
        <is>
          <t>North Carolina, United States</t>
        </is>
      </c>
      <c r="H62" t="inlineStr"/>
      <c r="I62" t="inlineStr">
        <is>
          <t>This position is posted by Jobgether on behalf of a partner company. We are currently looking for a Senior Data Engineer \- REMOTE. In this role, you will play a critical part in a large\-scale data modernization initiative aimed at enhancing service delivery for U.S. Veterans. Your expertise will drive the design and optimization of secure, high\-performance data access across complex enterprise systems. You will work hands\-on with state\-of\-the\-art data platforms, facilitating data federation and analytics in hybrid and multi\-cloud environments. Collaboration is key, as you will engage with cross\-functional teams to ensure data strategies meet organizational requirements. Your contributions will lead to improved decision\-making and operational efficiency at a national scale.
**Accountabilities**
* Design, build, and optimize distributed query solutions using Starburst Enterprise Platform (SEP) and Trino.
* Enable secure and governed access to data across multiple sources including cloud platforms and data lakes.
* Implement and enhance data federation, performance tuning, and query optimization strategies.
* Support identity and access management (IAM) and data governance requirements.
* Develop and maintain backend services, APIs, and platform components.
* Contribute to CI/CD pipelines, observability, and platform reliability initiatives.
* Collaborate with product, UX, security, and infrastructure teams.
* Troubleshoot performance issues in distributed and cloud\-native environments.
**Requirements**
* Bachelor’s degree in Computer Science, Information Technology, or related field (Master’s preferred).
* Ability to obtain and maintain a Public Trust clearance.
* Hands\-on experience with Starburst Enterprise Platform (SEP) or significant experience with Trino/Presto.
* 8\+ years of experience with modern data platforms like Snowflake, Databricks, or Denodo.
* Strong SQL skills and experience in distributed query performance optimization.
* Experience integrating data across cloud and on\-premises environments.
* Knowledge of authentication, authorization frameworks, and data security best practices.
* Experience with CI/CD tools, containerization (Docker/Kubernetes), and infrastructure automation.
* Familiarity with cloud platforms (Azure experience strongly preferred).
* Strong communication and collaboration skills.
**Benefits**
* Opportunity to support high\-visibility federal missions.
* Culture that values innovation, growth, and collaboration.
* Access to cutting\-edge tools and technologies.
* Comprehensive benefits for you and your family.
* Career path that rewards ambition and performance.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3">
      <c r="A63" t="inlineStr">
        <is>
          <t>li-4370303512</t>
        </is>
      </c>
      <c r="B63" t="inlineStr">
        <is>
          <t>Senior Data Engineer</t>
        </is>
      </c>
      <c r="C63" t="inlineStr">
        <is>
          <t>Launch Potato</t>
        </is>
      </c>
      <c r="D63" t="inlineStr">
        <is>
          <t>linkedin</t>
        </is>
      </c>
      <c r="E63">
        <f>HYPERLINK("https://www.linkedin.com/jobs/view/4370303512", "https://www.linkedin.com/jobs/view/4370303512")</f>
        <v/>
      </c>
      <c r="F63" t="inlineStr"/>
      <c r="G63" t="inlineStr">
        <is>
          <t>Pittsburgh, PA</t>
        </is>
      </c>
      <c r="H63" t="inlineStr"/>
      <c r="I63" t="inlineStr">
        <is>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$150,000 to $190,000 per year
**MUST HAVE:**
* 5\+ years of experience in data engineering within fast\-paced, cloud\-native environments
* Deep expertise in Python, SQL, Docker, and AWS (S3, Glue, Kinesis, Athena/Presto)
* Experience building and managing scalable ETL pipelines and data lake infrastructure
* Familiarity with distributed systems, Spark, and data quality best practices
* Strong cross\-functional collaboration skills to support BI, analytics, and engineering teams
**EXPERIENCE:** 
 5\+ years of data engineering experience in an AWS\-based environment where data powers decision\-making across product, marketing, and operations.
**YOUR ROLE**
 Lead scalable data engineering efforts that empower cross\-functional teams with reliable, timely, and actionable data, ensuring Launch Potato’s analytics and business intelligence infrastructure fuels strategic growth.
**OUTCOMES**
* Build and optimize scalable, efficient ETL and data lake processes that proactively catch issues before they impact the business
* Own the ingestion, modeling, and transformation of structured and unstructured data to support reporting and analysis across all business units
* Partner closely with BI and Analytics to deliver clean, query\-ready datasets that improve user acquisition, engagement, and revenue growth
* Maintain and enhance database monitoring, anomaly detection, and quality assurance workflows
* Serve as the internal point of contact for reporting infrastructure—delivering ad hoc data analyses and driving consistent data integrity
* Drive adoption and advancement of Looker dashboards by ensuring robust and scalable backend data support
* Contribute to the future of Launch Potato’s data team by mentoring peers and shaping a high\-performance, quality\-first engineering culture
**COMPETENCIES**
* Data Engineering Mastery: Demonstrates technical excellence in building data pipelines, troubleshooting distributed systems, and scaling infrastructure using AWS and open\-source tools
* Cross\-Functional Collaboration: Communicates clearly across technical and non\-technical teams, translating business needs into robust data solutions
* Proactive Ownership: Operates with a strong sense of accountability; identifies and solves data issues independently and efficiently
* Quality\-Driven Execution: Holds a high bar for data accuracy, auditability, and documentation throughout all systems and workflows
* Strategic Thinking: Anticipates how data infrastructure impacts wider company OKRs and proactively suggests improvements and innovations
* Growth Mindset: Seeks out opportunities to elevate team capabilities, mentor others, and stay ahead of evolving best practices in data engineering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64">
      <c r="A64" t="inlineStr">
        <is>
          <t>li-4370197638</t>
        </is>
      </c>
      <c r="B64" t="inlineStr">
        <is>
          <t>Senior Data Engineer</t>
        </is>
      </c>
      <c r="C64" t="inlineStr">
        <is>
          <t>Launch Potato</t>
        </is>
      </c>
      <c r="D64" t="inlineStr">
        <is>
          <t>linkedin</t>
        </is>
      </c>
      <c r="E64">
        <f>HYPERLINK("https://www.linkedin.com/jobs/view/4370197638", "https://www.linkedin.com/jobs/view/4370197638")</f>
        <v/>
      </c>
      <c r="F64">
        <f>HYPERLINK("https://job-boards.greenhouse.io/launch2/jobs/5795648004?gh_src=149bfe184us&amp;urlHash=5eFr", "https://job-boards.greenhouse.io/launch2/jobs/5795648004?gh_src=149bfe184us&amp;urlHash=5eFr")</f>
        <v/>
      </c>
      <c r="G64" t="inlineStr">
        <is>
          <t>Nashua, NH</t>
        </is>
      </c>
      <c r="H64" t="inlineStr"/>
      <c r="I64" t="inlineStr">
        <is>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$150,000 to $190,000 per year
**MUST HAVE:**
* 5\+ years of experience in data engineering within fast\-paced, cloud\-native environments
* Deep expertise in Python, SQL, Docker, and AWS (S3, Glue, Kinesis, Athena/Presto)
* Experience building and managing scalable ETL pipelines and data lake infrastructure
* Familiarity with distributed systems, Spark, and data quality best practices
* Strong cross\-functional collaboration skills to support BI, analytics, and engineering teams
**EXPERIENCE:** 
 5\+ years of data engineering experience in an AWS\-based environment where data powers decision\-making across product, marketing, and operations.
**YOUR ROLE**
 Lead scalable data engineering efforts that empower cross\-functional teams with reliable, timely, and actionable data, ensuring Launch Potato’s analytics and business intelligence infrastructure fuels strategic growth.
**OUTCOMES**
* Build and optimize scalable, efficient ETL and data lake processes that proactively catch issues before they impact the business
* Own the ingestion, modeling, and transformation of structured and unstructured data to support reporting and analysis across all business units
* Partner closely with BI and Analytics to deliver clean, query\-ready datasets that improve user acquisition, engagement, and revenue growth
* Maintain and enhance database monitoring, anomaly detection, and quality assurance workflows
* Serve as the internal point of contact for reporting infrastructure—delivering ad hoc data analyses and driving consistent data integrity
* Drive adoption and advancement of Looker dashboards by ensuring robust and scalable backend data support
* Contribute to the future of Launch Potato’s data team by mentoring peers and shaping a high\-performance, quality\-first engineering culture
**COMPETENCIES**
* Data Engineering Mastery: Demonstrates technical excellence in building data pipelines, troubleshooting distributed systems, and scaling infrastructure using AWS and open\-source tools
* Cross\-Functional Collaboration: Communicates clearly across technical and non\-technical teams, translating business needs into robust data solutions
* Proactive Ownership: Operates with a strong sense of accountability; identifies and solves data issues independently and efficiently
* Quality\-Driven Execution: Holds a high bar for data accuracy, auditability, and documentation throughout all systems and workflows
* Strategic Thinking: Anticipates how data infrastructure impacts wider company OKRs and proactively suggests improvements and innovations
* Growth Mindset: Seeks out opportunities to elevate team capabilities, mentor others, and stay ahead of evolving best practices in data engineering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65">
      <c r="A65" t="inlineStr">
        <is>
          <t>li-4370307403</t>
        </is>
      </c>
      <c r="B65" t="inlineStr">
        <is>
          <t>Lead Data Engineer</t>
        </is>
      </c>
      <c r="C65" t="inlineStr">
        <is>
          <t>Launch Potato</t>
        </is>
      </c>
      <c r="D65" t="inlineStr">
        <is>
          <t>linkedin</t>
        </is>
      </c>
      <c r="E65">
        <f>HYPERLINK("https://www.linkedin.com/jobs/view/4370307403", "https://www.linkedin.com/jobs/view/4370307403")</f>
        <v/>
      </c>
      <c r="F65" t="inlineStr"/>
      <c r="G65" t="inlineStr">
        <is>
          <t>Phoenix, AZ</t>
        </is>
      </c>
      <c r="H65" t="inlineStr"/>
      <c r="I65" t="inlineStr">
        <is>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$150,000 to $190,000 per year
**MUST HAVE:**
* 5\+ years of experience in data engineering within fast\-paced, cloud\-native environments
* Deep expertise in Python, SQL, Docker, and AWS (S3, Glue, Kinesis, Athena/Presto)
* Experience building and managing scalable ETL pipelines and data lake infrastructure
* Familiarity with distributed systems, Spark, and data quality best practices
* Strong cross\-functional collaboration skills to support BI, analytics, and engineering teams
**EXPERIENCE:** 
 5\+ years of data engineering experience in an AWS\-based environment where data powers decision\-making across product, marketing, and operations.
**YOUR ROLE**
 Lead scalable data engineering efforts that empower cross\-functional teams with reliable, timely, and actionable data, ensuring Launch Potato’s analytics and business intelligence infrastructure fuels strategic growth.
**OUTCOMES**
* Build and optimize scalable, efficient ETL and data lake processes that proactively catch issues before they impact the business
* Own the ingestion, modeling, and transformation of structured and unstructured data to support reporting and analysis across all business units
* Partner closely with BI and Analytics to deliver clean, query\-ready datasets that improve user acquisition, engagement, and revenue growth
* Maintain and enhance database monitoring, anomaly detection, and quality assurance workflows
* Serve as the internal point of contact for reporting infrastructure—delivering ad hoc data analyses and driving consistent data integrity
* Drive adoption and advancement of Looker dashboards by ensuring robust and scalable backend data support
* Contribute to the future of Launch Potato’s data team by mentoring peers and shaping a high\-performance, quality\-first engineering culture
**COMPETENCIES**
* Data Engineering Mastery: Demonstrates technical excellence in building data pipelines, troubleshooting distributed systems, and scaling infrastructure using AWS and open\-source tools
* Cross\-Functional Collaboration: Communicates clearly across technical and non\-technical teams, translating business needs into robust data solutions
* Proactive Ownership: Operates with a strong sense of accountability; identifies and solves data issues independently and efficiently
* Quality\-Driven Execution: Holds a high bar for data accuracy, auditability, and documentation throughout all systems and workflows
* Strategic Thinking: Anticipates how data infrastructure impacts wider company OKRs and proactively suggests improvements and innovations
* Growth Mindset: Seeks out opportunities to elevate team capabilities, mentor others, and stay ahead of evolving best practices in data engineering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66">
      <c r="A66" t="inlineStr">
        <is>
          <t>li-4370309181</t>
        </is>
      </c>
      <c r="B66" t="inlineStr">
        <is>
          <t>Senior Data Engineer</t>
        </is>
      </c>
      <c r="C66" t="inlineStr">
        <is>
          <t>Launch Potato</t>
        </is>
      </c>
      <c r="D66" t="inlineStr">
        <is>
          <t>linkedin</t>
        </is>
      </c>
      <c r="E66">
        <f>HYPERLINK("https://www.linkedin.com/jobs/view/4370309181", "https://www.linkedin.com/jobs/view/4370309181")</f>
        <v/>
      </c>
      <c r="F66" t="inlineStr"/>
      <c r="G66" t="inlineStr">
        <is>
          <t>Stamford, CT</t>
        </is>
      </c>
      <c r="H66" t="inlineStr"/>
      <c r="I66" t="inlineStr">
        <is>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$150,000 to $190,000 per year
**MUST HAVE:**
* 5\+ years of experience in data engineering within fast\-paced, cloud\-native environments
* Deep expertise in Python, SQL, Docker, and AWS (S3, Glue, Kinesis, Athena/Presto)
* Experience building and managing scalable ETL pipelines and data lake infrastructure
* Familiarity with distributed systems, Spark, and data quality best practices
* Strong cross\-functional collaboration skills to support BI, analytics, and engineering teams
**EXPERIENCE:** 
 5\+ years of data engineering experience in an AWS\-based environment where data powers decision\-making across product, marketing, and operations.
**YOUR ROLE**
 Lead scalable data engineering efforts that empower cross\-functional teams with reliable, timely, and actionable data, ensuring Launch Potato’s analytics and business intelligence infrastructure fuels strategic growth.
**OUTCOMES**
* Build and optimize scalable, efficient ETL and data lake processes that proactively catch issues before they impact the business
* Own the ingestion, modeling, and transformation of structured and unstructured data to support reporting and analysis across all business units
* Partner closely with BI and Analytics to deliver clean, query\-ready datasets that improve user acquisition, engagement, and revenue growth
* Maintain and enhance database monitoring, anomaly detection, and quality assurance workflows
* Serve as the internal point of contact for reporting infrastructure—delivering ad hoc data analyses and driving consistent data integrity
* Drive adoption and advancement of Looker dashboards by ensuring robust and scalable backend data support
* Contribute to the future of Launch Potato’s data team by mentoring peers and shaping a high\-performance, quality\-first engineering culture
**COMPETENCIES**
* Data Engineering Mastery: Demonstrates technical excellence in building data pipelines, troubleshooting distributed systems, and scaling infrastructure using AWS and open\-source tools
* Cross\-Functional Collaboration: Communicates clearly across technical and non\-technical teams, translating business needs into robust data solutions
* Proactive Ownership: Operates with a strong sense of accountability; identifies and solves data issues independently and efficiently
* Quality\-Driven Execution: Holds a high bar for data accuracy, auditability, and documentation throughout all systems and workflows
* Strategic Thinking: Anticipates how data infrastructure impacts wider company OKRs and proactively suggests improvements and innovations
* Growth Mindset: Seeks out opportunities to elevate team capabilities, mentor others, and stay ahead of evolving best practices in data engineering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67">
      <c r="A67" t="inlineStr">
        <is>
          <t>li-4370193750</t>
        </is>
      </c>
      <c r="B67" t="inlineStr">
        <is>
          <t>Sr. Starburst Data Engineer (Remote)</t>
        </is>
      </c>
      <c r="C67" t="inlineStr">
        <is>
          <t>Jobgether</t>
        </is>
      </c>
      <c r="D67" t="inlineStr">
        <is>
          <t>linkedin</t>
        </is>
      </c>
      <c r="E67">
        <f>HYPERLINK("https://www.linkedin.com/jobs/view/4370193750", "https://www.linkedin.com/jobs/view/4370193750")</f>
        <v/>
      </c>
      <c r="F67" t="inlineStr"/>
      <c r="G67" t="inlineStr">
        <is>
          <t>California, United States</t>
        </is>
      </c>
      <c r="H67" t="inlineStr"/>
      <c r="I67" t="inlineStr">
        <is>
          <t>This position is posted by Jobgether on behalf of a partner company. We are currently looking for a Senior Data Engineer \- REMOTE. In this role, you will play a critical part in a large\-scale data modernization initiative aimed at enhancing service delivery for U.S. Veterans. Your expertise will drive the design and optimization of secure, high\-performance data access across complex enterprise systems. You will work hands\-on with state\-of\-the\-art data platforms, facilitating data federation and analytics in hybrid and multi\-cloud environments. Collaboration is key, as you will engage with cross\-functional teams to ensure data strategies meet organizational requirements. Your contributions will lead to improved decision\-making and operational efficiency at a national scale.
**Accountabilities**
* Design, build, and optimize distributed query solutions using Starburst Enterprise Platform (SEP) and Trino.
* Enable secure and governed access to data across multiple sources including cloud platforms and data lakes.
* Implement and enhance data federation, performance tuning, and query optimization strategies.
* Support identity and access management (IAM) and data governance requirements.
* Develop and maintain backend services, APIs, and platform components.
* Contribute to CI/CD pipelines, observability, and platform reliability initiatives.
* Collaborate with product, UX, security, and infrastructure teams.
* Troubleshoot performance issues in distributed and cloud\-native environments.
**Requirements**
* Bachelor’s degree in Computer Science, Information Technology, or related field (Master’s preferred).
* Ability to obtain and maintain a Public Trust clearance.
* Hands\-on experience with Starburst Enterprise Platform (SEP) or significant experience with Trino/Presto.
* 8\+ years of experience with modern data platforms like Snowflake, Databricks, or Denodo.
* Strong SQL skills and experience in distributed query performance optimization.
* Experience integrating data across cloud and on\-premises environments.
* Knowledge of authentication, authorization frameworks, and data security best practices.
* Experience with CI/CD tools, containerization (Docker/Kubernetes), and infrastructure automation.
* Familiarity with cloud platforms (Azure experience strongly preferred).
* Strong communication and collaboration skills.
**Benefits**
* Opportunity to support high\-visibility federal missions.
* Culture that values innovation, growth, and collaboration.
* Access to cutting\-edge tools and technologies.
* Comprehensive benefits for you and your family.
* Career path that rewards ambition and performance.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8">
      <c r="A68" t="inlineStr">
        <is>
          <t>li-4370311041</t>
        </is>
      </c>
      <c r="B68" t="inlineStr">
        <is>
          <t>Remote Backend Data Engineer</t>
        </is>
      </c>
      <c r="C68" t="inlineStr">
        <is>
          <t>Jobgether</t>
        </is>
      </c>
      <c r="D68" t="inlineStr">
        <is>
          <t>linkedin</t>
        </is>
      </c>
      <c r="E68">
        <f>HYPERLINK("https://www.linkedin.com/jobs/view/4370311041", "https://www.linkedin.com/jobs/view/4370311041")</f>
        <v/>
      </c>
      <c r="F68">
        <f>HYPERLINK("https://jobs.lever.co/jobgether/4bafafad-78f2-4c9f-b02e-d4a72f709640/apply?source=LinkedIn&amp;urlHash=c0-p", "https://jobs.lever.co/jobgether/4bafafad-78f2-4c9f-b02e-d4a72f709640/apply?source=LinkedIn&amp;urlHash=c0-p")</f>
        <v/>
      </c>
      <c r="G68" t="inlineStr">
        <is>
          <t>Virginia, United States</t>
        </is>
      </c>
      <c r="H68" t="inlineStr"/>
      <c r="I68" t="inlineStr">
        <is>
          <t>This position is posted by Jobgether on behalf of a partner company. We are currently looking for a Senior Data Engineer \- REMOTE. In this role, you will play a critical part in a large\-scale data modernization initiative aimed at enhancing service delivery for U.S. Veterans. Your expertise will drive the design and optimization of secure, high\-performance data access across complex enterprise systems. You will work hands\-on with state\-of\-the\-art data platforms, facilitating data federation and analytics in hybrid and multi\-cloud environments. Collaboration is key, as you will engage with cross\-functional teams to ensure data strategies meet organizational requirements. Your contributions will lead to improved decision\-making and operational efficiency at a national scale.
**Accountabilities**
* Design, build, and optimize distributed query solutions using Starburst Enterprise Platform (SEP) and Trino.
* Enable secure and governed access to data across multiple sources including cloud platforms and data lakes.
* Implement and enhance data federation, performance tuning, and query optimization strategies.
* Support identity and access management (IAM) and data governance requirements.
* Develop and maintain backend services, APIs, and platform components.
* Contribute to CI/CD pipelines, observability, and platform reliability initiatives.
* Collaborate with product, UX, security, and infrastructure teams.
* Troubleshoot performance issues in distributed and cloud\-native environments.
**Requirements**
* Bachelor’s degree in Computer Science, Information Technology, or related field (Master’s preferred).
* Ability to obtain and maintain a Public Trust clearance.
* Hands\-on experience with Starburst Enterprise Platform (SEP) or significant experience with Trino/Presto.
* 8\+ years of experience with modern data platforms like Snowflake, Databricks, or Denodo.
* Strong SQL skills and experience in distributed query performance optimization.
* Experience integrating data across cloud and on\-premises environments.
* Knowledge of authentication, authorization frameworks, and data security best practices.
* Experience with CI/CD tools, containerization (Docker/Kubernetes), and infrastructure automation.
* Familiarity with cloud platforms (Azure experience strongly preferred).
* Strong communication and collaboration skills.
**Benefits**
* Opportunity to support high\-visibility federal missions.
* Culture that values innovation, growth, and collaboration.
* Access to cutting\-edge tools and technologies.
* Comprehensive benefits for you and your family.
* Career path that rewards ambition and performance.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9">
      <c r="A69" t="inlineStr">
        <is>
          <t>li-4370197635</t>
        </is>
      </c>
      <c r="B69" t="inlineStr">
        <is>
          <t>Lead Data Engineer</t>
        </is>
      </c>
      <c r="C69" t="inlineStr">
        <is>
          <t>Launch Potato</t>
        </is>
      </c>
      <c r="D69" t="inlineStr">
        <is>
          <t>linkedin</t>
        </is>
      </c>
      <c r="E69">
        <f>HYPERLINK("https://www.linkedin.com/jobs/view/4370197635", "https://www.linkedin.com/jobs/view/4370197635")</f>
        <v/>
      </c>
      <c r="F69" t="inlineStr"/>
      <c r="G69" t="inlineStr">
        <is>
          <t>Colorado Springs, CO</t>
        </is>
      </c>
      <c r="H69" t="inlineStr"/>
      <c r="I69" t="inlineStr">
        <is>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$150,000 to $190,000 per year
**MUST HAVE:**
* 5\+ years of experience in data engineering within fast\-paced, cloud\-native environments
* Deep expertise in Python, SQL, Docker, and AWS (S3, Glue, Kinesis, Athena/Presto)
* Experience building and managing scalable ETL pipelines and data lake infrastructure
* Familiarity with distributed systems, Spark, and data quality best practices
* Strong cross\-functional collaboration skills to support BI, analytics, and engineering teams
**EXPERIENCE:** 
 5\+ years of data engineering experience in an AWS\-based environment where data powers decision\-making across product, marketing, and operations.
**YOUR ROLE**
 Lead scalable data engineering efforts that empower cross\-functional teams with reliable, timely, and actionable data, ensuring Launch Potato’s analytics and business intelligence infrastructure fuels strategic growth.
**OUTCOMES**
* Build and optimize scalable, efficient ETL and data lake processes that proactively catch issues before they impact the business
* Own the ingestion, modeling, and transformation of structured and unstructured data to support reporting and analysis across all business units
* Partner closely with BI and Analytics to deliver clean, query\-ready datasets that improve user acquisition, engagement, and revenue growth
* Maintain and enhance database monitoring, anomaly detection, and quality assurance workflows
* Serve as the internal point of contact for reporting infrastructure—delivering ad hoc data analyses and driving consistent data integrity
* Drive adoption and advancement of Looker dashboards by ensuring robust and scalable backend data support
* Contribute to the future of Launch Potato’s data team by mentoring peers and shaping a high\-performance, quality\-first engineering culture
**COMPETENCIES**
* Data Engineering Mastery: Demonstrates technical excellence in building data pipelines, troubleshooting distributed systems, and scaling infrastructure using AWS and open\-source tools
* Cross\-Functional Collaboration: Communicates clearly across technical and non\-technical teams, translating business needs into robust data solutions
* Proactive Ownership: Operates with a strong sense of accountability; identifies and solves data issues independently and efficiently
* Quality\-Driven Execution: Holds a high bar for data accuracy, auditability, and documentation throughout all systems and workflows
* Strategic Thinking: Anticipates how data infrastructure impacts wider company OKRs and proactively suggests improvements and innovations
* Growth Mindset: Seeks out opportunities to elevate team capabilities, mentor others, and stay ahead of evolving best practices in data engineering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70">
      <c r="A70" t="inlineStr">
        <is>
          <t>li-4370189855</t>
        </is>
      </c>
      <c r="B70" t="inlineStr">
        <is>
          <t>Lead Data Engineer</t>
        </is>
      </c>
      <c r="C70" t="inlineStr">
        <is>
          <t>Launch Potato</t>
        </is>
      </c>
      <c r="D70" t="inlineStr">
        <is>
          <t>linkedin</t>
        </is>
      </c>
      <c r="E70">
        <f>HYPERLINK("https://www.linkedin.com/jobs/view/4370189855", "https://www.linkedin.com/jobs/view/4370189855")</f>
        <v/>
      </c>
      <c r="F70" t="inlineStr"/>
      <c r="G70" t="inlineStr">
        <is>
          <t>Wichita, KS</t>
        </is>
      </c>
      <c r="H70" t="inlineStr"/>
      <c r="I70" t="inlineStr">
        <is>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$150,000 to $190,000 per year
**MUST HAVE:**
* 5\+ years of experience in data engineering within fast\-paced, cloud\-native environments
* Deep expertise in Python, SQL, Docker, and AWS (S3, Glue, Kinesis, Athena/Presto)
* Experience building and managing scalable ETL pipelines and data lake infrastructure
* Familiarity with distributed systems, Spark, and data quality best practices
* Strong cross\-functional collaboration skills to support BI, analytics, and engineering teams
**EXPERIENCE:** 
 5\+ years of data engineering experience in an AWS\-based environment where data powers decision\-making across product, marketing, and operations.
**YOUR ROLE**
 Lead scalable data engineering efforts that empower cross\-functional teams with reliable, timely, and actionable data, ensuring Launch Potato’s analytics and business intelligence infrastructure fuels strategic growth.
**OUTCOMES**
* Build and optimize scalable, efficient ETL and data lake processes that proactively catch issues before they impact the business
* Own the ingestion, modeling, and transformation of structured and unstructured data to support reporting and analysis across all business units
* Partner closely with BI and Analytics to deliver clean, query\-ready datasets that improve user acquisition, engagement, and revenue growth
* Maintain and enhance database monitoring, anomaly detection, and quality assurance workflows
* Serve as the internal point of contact for reporting infrastructure—delivering ad hoc data analyses and driving consistent data integrity
* Drive adoption and advancement of Looker dashboards by ensuring robust and scalable backend data support
* Contribute to the future of Launch Potato’s data team by mentoring peers and shaping a high\-performance, quality\-first engineering culture
**COMPETENCIES**
* Data Engineering Mastery: Demonstrates technical excellence in building data pipelines, troubleshooting distributed systems, and scaling infrastructure using AWS and open\-source tools
* Cross\-Functional Collaboration: Communicates clearly across technical and non\-technical teams, translating business needs into robust data solutions
* Proactive Ownership: Operates with a strong sense of accountability; identifies and solves data issues independently and efficiently
* Quality\-Driven Execution: Holds a high bar for data accuracy, auditability, and documentation throughout all systems and workflows
* Strategic Thinking: Anticipates how data infrastructure impacts wider company OKRs and proactively suggests improvements and innovations
* Growth Mindset: Seeks out opportunities to elevate team capabilities, mentor others, and stay ahead of evolving best practices in data engineering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71">
      <c r="A71" t="inlineStr">
        <is>
          <t>li-4370310034</t>
        </is>
      </c>
      <c r="B71" t="inlineStr">
        <is>
          <t>Senior Data Engineer</t>
        </is>
      </c>
      <c r="C71" t="inlineStr">
        <is>
          <t>Launch Potato</t>
        </is>
      </c>
      <c r="D71" t="inlineStr">
        <is>
          <t>linkedin</t>
        </is>
      </c>
      <c r="E71">
        <f>HYPERLINK("https://www.linkedin.com/jobs/view/4370310034", "https://www.linkedin.com/jobs/view/4370310034")</f>
        <v/>
      </c>
      <c r="F71">
        <f>HYPERLINK("https://job-boards.greenhouse.io/launch2/jobs/5795657004?gh_src=149bfe184us&amp;urlHash=3k0t", "https://job-boards.greenhouse.io/launch2/jobs/5795657004?gh_src=149bfe184us&amp;urlHash=3k0t")</f>
        <v/>
      </c>
      <c r="G71" t="inlineStr">
        <is>
          <t>Oklahoma City, OK</t>
        </is>
      </c>
      <c r="H71" t="inlineStr"/>
      <c r="I71" t="inlineStr">
        <is>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$150,000 to $190,000 per year
**MUST HAVE:**
* 5\+ years of experience in data engineering within fast\-paced, cloud\-native environments
* Deep expertise in Python, SQL, Docker, and AWS (S3, Glue, Kinesis, Athena/Presto)
* Experience building and managing scalable ETL pipelines and data lake infrastructure
* Familiarity with distributed systems, Spark, and data quality best practices
* Strong cross\-functional collaboration skills to support BI, analytics, and engineering teams
**EXPERIENCE:** 
 5\+ years of data engineering experience in an AWS\-based environment where data powers decision\-making across product, marketing, and operations.
**YOUR ROLE**
 Lead scalable data engineering efforts that empower cross\-functional teams with reliable, timely, and actionable data, ensuring Launch Potato’s analytics and business intelligence infrastructure fuels strategic growth.
**OUTCOMES**
* Build and optimize scalable, efficient ETL and data lake processes that proactively catch issues before they impact the business
* Own the ingestion, modeling, and transformation of structured and unstructured data to support reporting and analysis across all business units
* Partner closely with BI and Analytics to deliver clean, query\-ready datasets that improve user acquisition, engagement, and revenue growth
* Maintain and enhance database monitoring, anomaly detection, and quality assurance workflows
* Serve as the internal point of contact for reporting infrastructure—delivering ad hoc data analyses and driving consistent data integrity
* Drive adoption and advancement of Looker dashboards by ensuring robust and scalable backend data support
* Contribute to the future of Launch Potato’s data team by mentoring peers and shaping a high\-performance, quality\-first engineering culture
**COMPETENCIES**
* Data Engineering Mastery: Demonstrates technical excellence in building data pipelines, troubleshooting distributed systems, and scaling infrastructure using AWS and open\-source tools
* Cross\-Functional Collaboration: Communicates clearly across technical and non\-technical teams, translating business needs into robust data solutions
* Proactive Ownership: Operates with a strong sense of accountability; identifies and solves data issues independently and efficiently
* Quality\-Driven Execution: Holds a high bar for data accuracy, auditability, and documentation throughout all systems and workflows
* Strategic Thinking: Anticipates how data infrastructure impacts wider company OKRs and proactively suggests improvements and innovations
* Growth Mindset: Seeks out opportunities to elevate team capabilities, mentor others, and stay ahead of evolving best practices in data engineering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72">
      <c r="A72" t="inlineStr">
        <is>
          <t>li-4370188996</t>
        </is>
      </c>
      <c r="B72" t="inlineStr">
        <is>
          <t>Lead Data Engineer</t>
        </is>
      </c>
      <c r="C72" t="inlineStr">
        <is>
          <t>Launch Potato</t>
        </is>
      </c>
      <c r="D72" t="inlineStr">
        <is>
          <t>linkedin</t>
        </is>
      </c>
      <c r="E72">
        <f>HYPERLINK("https://www.linkedin.com/jobs/view/4370188996", "https://www.linkedin.com/jobs/view/4370188996")</f>
        <v/>
      </c>
      <c r="F72" t="inlineStr"/>
      <c r="G72" t="inlineStr">
        <is>
          <t>Tucson, AZ</t>
        </is>
      </c>
      <c r="H72" t="inlineStr"/>
      <c r="I72" t="inlineStr">
        <is>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$150,000 to $190,000 per year
**MUST HAVE:**
* 5\+ years of experience in data engineering within fast\-paced, cloud\-native environments
* Deep expertise in Python, SQL, Docker, and AWS (S3, Glue, Kinesis, Athena/Presto)
* Experience building and managing scalable ETL pipelines and data lake infrastructure
* Familiarity with distributed systems, Spark, and data quality best practices
* Strong cross\-functional collaboration skills to support BI, analytics, and engineering teams
**EXPERIENCE:** 
 5\+ years of data engineering experience in an AWS\-based environment where data powers decision\-making across product, marketing, and operations.
**YOUR ROLE**
 Lead scalable data engineering efforts that empower cross\-functional teams with reliable, timely, and actionable data, ensuring Launch Potato’s analytics and business intelligence infrastructure fuels strategic growth.
**OUTCOMES**
* Build and optimize scalable, efficient ETL and data lake processes that proactively catch issues before they impact the business
* Own the ingestion, modeling, and transformation of structured and unstructured data to support reporting and analysis across all business units
* Partner closely with BI and Analytics to deliver clean, query\-ready datasets that improve user acquisition, engagement, and revenue growth
* Maintain and enhance database monitoring, anomaly detection, and quality assurance workflows
* Serve as the internal point of contact for reporting infrastructure—delivering ad hoc data analyses and driving consistent data integrity
* Drive adoption and advancement of Looker dashboards by ensuring robust and scalable backend data support
* Contribute to the future of Launch Potato’s data team by mentoring peers and shaping a high\-performance, quality\-first engineering culture
**COMPETENCIES**
* Data Engineering Mastery: Demonstrates technical excellence in building data pipelines, troubleshooting distributed systems, and scaling infrastructure using AWS and open\-source tools
* Cross\-Functional Collaboration: Communicates clearly across technical and non\-technical teams, translating business needs into robust data solutions
* Proactive Ownership: Operates with a strong sense of accountability; identifies and solves data issues independently and efficiently
* Quality\-Driven Execution: Holds a high bar for data accuracy, auditability, and documentation throughout all systems and workflows
* Strategic Thinking: Anticipates how data infrastructure impacts wider company OKRs and proactively suggests improvements and innovations
* Growth Mindset: Seeks out opportunities to elevate team capabilities, mentor others, and stay ahead of evolving best practices in data engineering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73">
      <c r="A73" t="inlineStr">
        <is>
          <t>li-4370301548</t>
        </is>
      </c>
      <c r="B73" t="inlineStr">
        <is>
          <t>Lead Data Engineer</t>
        </is>
      </c>
      <c r="C73" t="inlineStr">
        <is>
          <t>Launch Potato</t>
        </is>
      </c>
      <c r="D73" t="inlineStr">
        <is>
          <t>linkedin</t>
        </is>
      </c>
      <c r="E73">
        <f>HYPERLINK("https://www.linkedin.com/jobs/view/4370301548", "https://www.linkedin.com/jobs/view/4370301548")</f>
        <v/>
      </c>
      <c r="F73">
        <f>HYPERLINK("https://job-boards.greenhouse.io/launch2/jobs/5795545004?gh_src=149bfe184us&amp;urlHash=5HzS", "https://job-boards.greenhouse.io/launch2/jobs/5795545004?gh_src=149bfe184us&amp;urlHash=5HzS")</f>
        <v/>
      </c>
      <c r="G73" t="inlineStr">
        <is>
          <t>Columbia, SC</t>
        </is>
      </c>
      <c r="H73" t="inlineStr"/>
      <c r="I73" t="inlineStr">
        <is>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$150,000 to $190,000 per year
**MUST HAVE:**
* 5\+ years of experience in data engineering within fast\-paced, cloud\-native environments
* Deep expertise in Python, SQL, Docker, and AWS (S3, Glue, Kinesis, Athena/Presto)
* Experience building and managing scalable ETL pipelines and data lake infrastructure
* Familiarity with distributed systems, Spark, and data quality best practices
* Strong cross\-functional collaboration skills to support BI, analytics, and engineering teams
**EXPERIENCE:** 
 5\+ years of data engineering experience in an AWS\-based environment where data powers decision\-making across product, marketing, and operations.
**YOUR ROLE**
 Lead scalable data engineering efforts that empower cross\-functional teams with reliable, timely, and actionable data, ensuring Launch Potato’s analytics and business intelligence infrastructure fuels strategic growth.
**OUTCOMES**
* Build and optimize scalable, efficient ETL and data lake processes that proactively catch issues before they impact the business
* Own the ingestion, modeling, and transformation of structured and unstructured data to support reporting and analysis across all business units
* Partner closely with BI and Analytics to deliver clean, query\-ready datasets that improve user acquisition, engagement, and revenue growth
* Maintain and enhance database monitoring, anomaly detection, and quality assurance workflows
* Serve as the internal point of contact for reporting infrastructure—delivering ad hoc data analyses and driving consistent data integrity
* Drive adoption and advancement of Looker dashboards by ensuring robust and scalable backend data support
* Contribute to the future of Launch Potato’s data team by mentoring peers and shaping a high\-performance, quality\-first engineering culture
**COMPETENCIES**
* Data Engineering Mastery: Demonstrates technical excellence in building data pipelines, troubleshooting distributed systems, and scaling infrastructure using AWS and open\-source tools
* Cross\-Functional Collaboration: Communicates clearly across technical and non\-technical teams, translating business needs into robust data solutions
* Proactive Ownership: Operates with a strong sense of accountability; identifies and solves data issues independently and efficiently
* Quality\-Driven Execution: Holds a high bar for data accuracy, auditability, and documentation throughout all systems and workflows
* Strategic Thinking: Anticipates how data infrastructure impacts wider company OKRs and proactively suggests improvements and innovations
* Growth Mindset: Seeks out opportunities to elevate team capabilities, mentor others, and stay ahead of evolving best practices in data engineering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74">
      <c r="A74" t="inlineStr">
        <is>
          <t>li-4370302547</t>
        </is>
      </c>
      <c r="B74" t="inlineStr">
        <is>
          <t>Lead Data Engineer</t>
        </is>
      </c>
      <c r="C74" t="inlineStr">
        <is>
          <t>Launch Potato</t>
        </is>
      </c>
      <c r="D74" t="inlineStr">
        <is>
          <t>linkedin</t>
        </is>
      </c>
      <c r="E74">
        <f>HYPERLINK("https://www.linkedin.com/jobs/view/4370302547", "https://www.linkedin.com/jobs/view/4370302547")</f>
        <v/>
      </c>
      <c r="F74">
        <f>HYPERLINK("https://job-boards.greenhouse.io/launch2/jobs/5795537004?gh_src=149bfe184us&amp;urlHash=RbDO", "https://job-boards.greenhouse.io/launch2/jobs/5795537004?gh_src=149bfe184us&amp;urlHash=RbDO")</f>
        <v/>
      </c>
      <c r="G74" t="inlineStr">
        <is>
          <t>Cincinnati, OH</t>
        </is>
      </c>
      <c r="H74" t="inlineStr"/>
      <c r="I74" t="inlineStr">
        <is>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$150,000 to $190,000 per year
**MUST HAVE:**
* 5\+ years of experience in data engineering within fast\-paced, cloud\-native environments
* Deep expertise in Python, SQL, Docker, and AWS (S3, Glue, Kinesis, Athena/Presto)
* Experience building and managing scalable ETL pipelines and data lake infrastructure
* Familiarity with distributed systems, Spark, and data quality best practices
* Strong cross\-functional collaboration skills to support BI, analytics, and engineering teams
**EXPERIENCE:** 
 5\+ years of data engineering experience in an AWS\-based environment where data powers decision\-making across product, marketing, and operations.
**YOUR ROLE**
 Lead scalable data engineering efforts that empower cross\-functional teams with reliable, timely, and actionable data, ensuring Launch Potato’s analytics and business intelligence infrastructure fuels strategic growth.
**OUTCOMES**
* Build and optimize scalable, efficient ETL and data lake processes that proactively catch issues before they impact the business
* Own the ingestion, modeling, and transformation of structured and unstructured data to support reporting and analysis across all business units
* Partner closely with BI and Analytics to deliver clean, query\-ready datasets that improve user acquisition, engagement, and revenue growth
* Maintain and enhance database monitoring, anomaly detection, and quality assurance workflows
* Serve as the internal point of contact for reporting infrastructure—delivering ad hoc data analyses and driving consistent data integrity
* Drive adoption and advancement of Looker dashboards by ensuring robust and scalable backend data support
* Contribute to the future of Launch Potato’s data team by mentoring peers and shaping a high\-performance, quality\-first engineering culture
**COMPETENCIES**
* Data Engineering Mastery: Demonstrates technical excellence in building data pipelines, troubleshooting distributed systems, and scaling infrastructure using AWS and open\-source tools
* Cross\-Functional Collaboration: Communicates clearly across technical and non\-technical teams, translating business needs into robust data solutions
* Proactive Ownership: Operates with a strong sense of accountability; identifies and solves data issues independently and efficiently
* Quality\-Driven Execution: Holds a high bar for data accuracy, auditability, and documentation throughout all systems and workflows
* Strategic Thinking: Anticipates how data infrastructure impacts wider company OKRs and proactively suggests improvements and innovations
* Growth Mindset: Seeks out opportunities to elevate team capabilities, mentor others, and stay ahead of evolving best practices in data engineering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75">
      <c r="A75" t="inlineStr">
        <is>
          <t>li-4370192813</t>
        </is>
      </c>
      <c r="B75" t="inlineStr">
        <is>
          <t>Lead Data Engineer</t>
        </is>
      </c>
      <c r="C75" t="inlineStr">
        <is>
          <t>Launch Potato</t>
        </is>
      </c>
      <c r="D75" t="inlineStr">
        <is>
          <t>linkedin</t>
        </is>
      </c>
      <c r="E75">
        <f>HYPERLINK("https://www.linkedin.com/jobs/view/4370192813", "https://www.linkedin.com/jobs/view/4370192813")</f>
        <v/>
      </c>
      <c r="F75">
        <f>HYPERLINK("https://job-boards.greenhouse.io/launch2/jobs/5795528004?gh_src=149bfe184us&amp;urlHash=zjMY", "https://job-boards.greenhouse.io/launch2/jobs/5795528004?gh_src=149bfe184us&amp;urlHash=zjMY")</f>
        <v/>
      </c>
      <c r="G75" t="inlineStr">
        <is>
          <t>Charlotte, NC</t>
        </is>
      </c>
      <c r="H75" t="inlineStr"/>
      <c r="I75" t="inlineStr">
        <is>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$150,000 to $190,000 per year
**MUST HAVE:**
* 5\+ years of experience in data engineering within fast\-paced, cloud\-native environments
* Deep expertise in Python, SQL, Docker, and AWS (S3, Glue, Kinesis, Athena/Presto)
* Experience building and managing scalable ETL pipelines and data lake infrastructure
* Familiarity with distributed systems, Spark, and data quality best practices
* Strong cross\-functional collaboration skills to support BI, analytics, and engineering teams
**EXPERIENCE:** 
 5\+ years of data engineering experience in an AWS\-based environment where data powers decision\-making across product, marketing, and operations.
**YOUR ROLE**
 Lead scalable data engineering efforts that empower cross\-functional teams with reliable, timely, and actionable data, ensuring Launch Potato’s analytics and business intelligence infrastructure fuels strategic growth.
**OUTCOMES**
* Build and optimize scalable, efficient ETL and data lake processes that proactively catch issues before they impact the business
* Own the ingestion, modeling, and transformation of structured and unstructured data to support reporting and analysis across all business units
* Partner closely with BI and Analytics to deliver clean, query\-ready datasets that improve user acquisition, engagement, and revenue growth
* Maintain and enhance database monitoring, anomaly detection, and quality assurance workflows
* Serve as the internal point of contact for reporting infrastructure—delivering ad hoc data analyses and driving consistent data integrity
* Drive adoption and advancement of Looker dashboards by ensuring robust and scalable backend data support
* Contribute to the future of Launch Potato’s data team by mentoring peers and shaping a high\-performance, quality\-first engineering culture
**COMPETENCIES**
* Data Engineering Mastery: Demonstrates technical excellence in building data pipelines, troubleshooting distributed systems, and scaling infrastructure using AWS and open\-source tools
* Cross\-Functional Collaboration: Communicates clearly across technical and non\-technical teams, translating business needs into robust data solutions
* Proactive Ownership: Operates with a strong sense of accountability; identifies and solves data issues independently and efficiently
* Quality\-Driven Execution: Holds a high bar for data accuracy, auditability, and documentation throughout all systems and workflows
* Strategic Thinking: Anticipates how data infrastructure impacts wider company OKRs and proactively suggests improvements and innovations
* Growth Mindset: Seeks out opportunities to elevate team capabilities, mentor others, and stay ahead of evolving best practices in data engineering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76">
      <c r="A76" t="inlineStr">
        <is>
          <t>li-4370196750</t>
        </is>
      </c>
      <c r="B76" t="inlineStr">
        <is>
          <t>Lead Data Engineer - REMOTE</t>
        </is>
      </c>
      <c r="C76" t="inlineStr">
        <is>
          <t>Jobgether</t>
        </is>
      </c>
      <c r="D76" t="inlineStr">
        <is>
          <t>linkedin</t>
        </is>
      </c>
      <c r="E76">
        <f>HYPERLINK("https://www.linkedin.com/jobs/view/4370196750", "https://www.linkedin.com/jobs/view/4370196750")</f>
        <v/>
      </c>
      <c r="F76" t="inlineStr"/>
      <c r="G76" t="inlineStr">
        <is>
          <t>Connecticut, United States</t>
        </is>
      </c>
      <c r="H76" t="inlineStr"/>
      <c r="I76" t="inlineStr">
        <is>
          <t>This position is posted by Jobgether on behalf of a partner company. We are currently looking for a Senior Data Engineer \- REMOTE. In this role, you will play a critical part in a large\-scale data modernization initiative aimed at enhancing service delivery for U.S. Veterans. Your expertise will drive the design and optimization of secure, high\-performance data access across complex enterprise systems. You will work hands\-on with state\-of\-the\-art data platforms, facilitating data federation and analytics in hybrid and multi\-cloud environments. Collaboration is key, as you will engage with cross\-functional teams to ensure data strategies meet organizational requirements. Your contributions will lead to improved decision\-making and operational efficiency at a national scale.
**Accountabilities**
* Design, build, and optimize distributed query solutions using Starburst Enterprise Platform (SEP) and Trino.
* Enable secure and governed access to data across multiple sources including cloud platforms and data lakes.
* Implement and enhance data federation, performance tuning, and query optimization strategies.
* Support identity and access management (IAM) and data governance requirements.
* Develop and maintain backend services, APIs, and platform components.
* Contribute to CI/CD pipelines, observability, and platform reliability initiatives.
* Collaborate with product, UX, security, and infrastructure teams.
* Troubleshoot performance issues in distributed and cloud\-native environments.
**Requirements**
* Bachelor’s degree in Computer Science, Information Technology, or related field (Master’s preferred).
* Ability to obtain and maintain a Public Trust clearance.
* Hands\-on experience with Starburst Enterprise Platform (SEP) or significant experience with Trino/Presto.
* 8\+ years of experience with modern data platforms like Snowflake, Databricks, or Denodo.
* Strong SQL skills and experience in distributed query performance optimization.
* Experience integrating data across cloud and on\-premises environments.
* Knowledge of authentication, authorization frameworks, and data security best practices.
* Experience with CI/CD tools, containerization (Docker/Kubernetes), and infrastructure automation.
* Familiarity with cloud platforms (Azure experience strongly preferred).
* Strong communication and collaboration skills.
**Benefits**
* Opportunity to support high\-visibility federal missions.
* Culture that values innovation, growth, and collaboration.
* Access to cutting\-edge tools and technologies.
* Comprehensive benefits for you and your family.
* Career path that rewards ambition and performance.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7">
      <c r="A77" t="inlineStr">
        <is>
          <t>li-4370303504</t>
        </is>
      </c>
      <c r="B77" t="inlineStr">
        <is>
          <t>Lead Data Engineer</t>
        </is>
      </c>
      <c r="C77" t="inlineStr">
        <is>
          <t>Launch Potato</t>
        </is>
      </c>
      <c r="D77" t="inlineStr">
        <is>
          <t>linkedin</t>
        </is>
      </c>
      <c r="E77">
        <f>HYPERLINK("https://www.linkedin.com/jobs/view/4370303504", "https://www.linkedin.com/jobs/view/4370303504")</f>
        <v/>
      </c>
      <c r="F77">
        <f>HYPERLINK("https://job-boards.greenhouse.io/launch2/jobs/5795548004?gh_src=149bfe184us&amp;urlHash=vXn5", "https://job-boards.greenhouse.io/launch2/jobs/5795548004?gh_src=149bfe184us&amp;urlHash=vXn5")</f>
        <v/>
      </c>
      <c r="G77" t="inlineStr">
        <is>
          <t>Austin, TX</t>
        </is>
      </c>
      <c r="H77" t="inlineStr"/>
      <c r="I77" t="inlineStr">
        <is>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$150,000 to $190,000 per year
**MUST HAVE:**
* 5\+ years of experience in data engineering within fast\-paced, cloud\-native environments
* Deep expertise in Python, SQL, Docker, and AWS (S3, Glue, Kinesis, Athena/Presto)
* Experience building and managing scalable ETL pipelines and data lake infrastructure
* Familiarity with distributed systems, Spark, and data quality best practices
* Strong cross\-functional collaboration skills to support BI, analytics, and engineering teams
**EXPERIENCE:** 
 5\+ years of data engineering experience in an AWS\-based environment where data powers decision\-making across product, marketing, and operations.
**YOUR ROLE**
 Lead scalable data engineering efforts that empower cross\-functional teams with reliable, timely, and actionable data, ensuring Launch Potato’s analytics and business intelligence infrastructure fuels strategic growth.
**OUTCOMES**
* Build and optimize scalable, efficient ETL and data lake processes that proactively catch issues before they impact the business
* Own the ingestion, modeling, and transformation of structured and unstructured data to support reporting and analysis across all business units
* Partner closely with BI and Analytics to deliver clean, query\-ready datasets that improve user acquisition, engagement, and revenue growth
* Maintain and enhance database monitoring, anomaly detection, and quality assurance workflows
* Serve as the internal point of contact for reporting infrastructure—delivering ad hoc data analyses and driving consistent data integrity
* Drive adoption and advancement of Looker dashboards by ensuring robust and scalable backend data support
* Contribute to the future of Launch Potato’s data team by mentoring peers and shaping a high\-performance, quality\-first engineering culture
**COMPETENCIES**
* Data Engineering Mastery: Demonstrates technical excellence in building data pipelines, troubleshooting distributed systems, and scaling infrastructure using AWS and open\-source tools
* Cross\-Functional Collaboration: Communicates clearly across technical and non\-technical teams, translating business needs into robust data solutions
* Proactive Ownership: Operates with a strong sense of accountability; identifies and solves data issues independently and efficiently
* Quality\-Driven Execution: Holds a high bar for data accuracy, auditability, and documentation throughout all systems and workflows
* Strategic Thinking: Anticipates how data infrastructure impacts wider company OKRs and proactively suggests improvements and innovations
* Growth Mindset: Seeks out opportunities to elevate team capabilities, mentor others, and stay ahead of evolving best practices in data engineering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78">
      <c r="A78" t="inlineStr">
        <is>
          <t>li-4370199629</t>
        </is>
      </c>
      <c r="B78" t="inlineStr">
        <is>
          <t>Sr Data Platform Engineer - REMOTE</t>
        </is>
      </c>
      <c r="C78" t="inlineStr">
        <is>
          <t>Jobgether</t>
        </is>
      </c>
      <c r="D78" t="inlineStr">
        <is>
          <t>linkedin</t>
        </is>
      </c>
      <c r="E78">
        <f>HYPERLINK("https://www.linkedin.com/jobs/view/4370199629", "https://www.linkedin.com/jobs/view/4370199629")</f>
        <v/>
      </c>
      <c r="F78" t="inlineStr"/>
      <c r="G78" t="inlineStr">
        <is>
          <t>Washington, United States</t>
        </is>
      </c>
      <c r="H78" t="inlineStr"/>
      <c r="I78" t="inlineStr">
        <is>
          <t>This position is posted by Jobgether on behalf of a partner company. We are currently looking for a Senior Data Engineer \- REMOTE. In this role, you will play a critical part in a large\-scale data modernization initiative aimed at enhancing service delivery for U.S. Veterans. Your expertise will drive the design and optimization of secure, high\-performance data access across complex enterprise systems. You will work hands\-on with state\-of\-the\-art data platforms, facilitating data federation and analytics in hybrid and multi\-cloud environments. Collaboration is key, as you will engage with cross\-functional teams to ensure data strategies meet organizational requirements. Your contributions will lead to improved decision\-making and operational efficiency at a national scale.
**Accountabilities**
* Design, build, and optimize distributed query solutions using Starburst Enterprise Platform (SEP) and Trino.
* Enable secure and governed access to data across multiple sources including cloud platforms and data lakes.
* Implement and enhance data federation, performance tuning, and query optimization strategies.
* Support identity and access management (IAM) and data governance requirements.
* Develop and maintain backend services, APIs, and platform components.
* Contribute to CI/CD pipelines, observability, and platform reliability initiatives.
* Collaborate with product, UX, security, and infrastructure teams.
* Troubleshoot performance issues in distributed and cloud\-native environments.
**Requirements**
* Bachelor’s degree in Computer Science, Information Technology, or related field (Master’s preferred).
* Ability to obtain and maintain a Public Trust clearance.
* Hands\-on experience with Starburst Enterprise Platform (SEP) or significant experience with Trino/Presto.
* 8\+ years of experience with modern data platforms like Snowflake, Databricks, or Denodo.
* Strong SQL skills and experience in distributed query performance optimization.
* Experience integrating data across cloud and on\-premises environments.
* Knowledge of authentication, authorization frameworks, and data security best practices.
* Experience with CI/CD tools, containerization (Docker/Kubernetes), and infrastructure automation.
* Familiarity with cloud platforms (Azure experience strongly preferred).
* Strong communication and collaboration skills.
**Benefits**
* Opportunity to support high\-visibility federal missions.
* Culture that values innovation, growth, and collaboration.
* Access to cutting\-edge tools and technologies.
* Comprehensive benefits for you and your family.
* Career path that rewards ambition and performance.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9">
      <c r="A79" t="inlineStr">
        <is>
          <t>li-4370194673</t>
        </is>
      </c>
      <c r="B79" t="inlineStr">
        <is>
          <t>Lead Data Engineer</t>
        </is>
      </c>
      <c r="C79" t="inlineStr">
        <is>
          <t>Launch Potato</t>
        </is>
      </c>
      <c r="D79" t="inlineStr">
        <is>
          <t>linkedin</t>
        </is>
      </c>
      <c r="E79">
        <f>HYPERLINK("https://www.linkedin.com/jobs/view/4370194673", "https://www.linkedin.com/jobs/view/4370194673")</f>
        <v/>
      </c>
      <c r="F79" t="inlineStr"/>
      <c r="G79" t="inlineStr">
        <is>
          <t>Concord, NH</t>
        </is>
      </c>
      <c r="H79" t="inlineStr"/>
      <c r="I79" t="inlineStr">
        <is>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$150,000 to $190,000 per year
**MUST HAVE:**
* 5\+ years of experience in data engineering within fast\-paced, cloud\-native environments
* Deep expertise in Python, SQL, Docker, and AWS (S3, Glue, Kinesis, Athena/Presto)
* Experience building and managing scalable ETL pipelines and data lake infrastructure
* Familiarity with distributed systems, Spark, and data quality best practices
* Strong cross\-functional collaboration skills to support BI, analytics, and engineering teams
**EXPERIENCE:** 
 5\+ years of data engineering experience in an AWS\-based environment where data powers decision\-making across product, marketing, and operations.
**YOUR ROLE**
 Lead scalable data engineering efforts that empower cross\-functional teams with reliable, timely, and actionable data, ensuring Launch Potato’s analytics and business intelligence infrastructure fuels strategic growth.
**OUTCOMES**
* Build and optimize scalable, efficient ETL and data lake processes that proactively catch issues before they impact the business
* Own the ingestion, modeling, and transformation of structured and unstructured data to support reporting and analysis across all business units
* Partner closely with BI and Analytics to deliver clean, query\-ready datasets that improve user acquisition, engagement, and revenue growth
* Maintain and enhance database monitoring, anomaly detection, and quality assurance workflows
* Serve as the internal point of contact for reporting infrastructure—delivering ad hoc data analyses and driving consistent data integrity
* Drive adoption and advancement of Looker dashboards by ensuring robust and scalable backend data support
* Contribute to the future of Launch Potato’s data team by mentoring peers and shaping a high\-performance, quality\-first engineering culture
**COMPETENCIES**
* Data Engineering Mastery: Demonstrates technical excellence in building data pipelines, troubleshooting distributed systems, and scaling infrastructure using AWS and open\-source tools
* Cross\-Functional Collaboration: Communicates clearly across technical and non\-technical teams, translating business needs into robust data solutions
* Proactive Ownership: Operates with a strong sense of accountability; identifies and solves data issues independently and efficiently
* Quality\-Driven Execution: Holds a high bar for data accuracy, auditability, and documentation throughout all systems and workflows
* Strategic Thinking: Anticipates how data infrastructure impacts wider company OKRs and proactively suggests improvements and innovations
* Growth Mindset: Seeks out opportunities to elevate team capabilities, mentor others, and stay ahead of evolving best practices in data engineering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80">
      <c r="A80" t="inlineStr">
        <is>
          <t>li-4370308233</t>
        </is>
      </c>
      <c r="B80" t="inlineStr">
        <is>
          <t>Lead Data Engineer</t>
        </is>
      </c>
      <c r="C80" t="inlineStr">
        <is>
          <t>Launch Potato</t>
        </is>
      </c>
      <c r="D80" t="inlineStr">
        <is>
          <t>linkedin</t>
        </is>
      </c>
      <c r="E80">
        <f>HYPERLINK("https://www.linkedin.com/jobs/view/4370308233", "https://www.linkedin.com/jobs/view/4370308233")</f>
        <v/>
      </c>
      <c r="F80">
        <f>HYPERLINK("https://job-boards.greenhouse.io/launch2/jobs/5795541004?gh_src=149bfe184us&amp;urlHash=SR02", "https://job-boards.greenhouse.io/launch2/jobs/5795541004?gh_src=149bfe184us&amp;urlHash=SR02")</f>
        <v/>
      </c>
      <c r="G80" t="inlineStr">
        <is>
          <t>Tulsa, OK</t>
        </is>
      </c>
      <c r="H80" t="inlineStr"/>
      <c r="I80" t="inlineStr">
        <is>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$150,000 to $190,000 per year
**MUST HAVE:**
* 5\+ years of experience in data engineering within fast\-paced, cloud\-native environments
* Deep expertise in Python, SQL, Docker, and AWS (S3, Glue, Kinesis, Athena/Presto)
* Experience building and managing scalable ETL pipelines and data lake infrastructure
* Familiarity with distributed systems, Spark, and data quality best practices
* Strong cross\-functional collaboration skills to support BI, analytics, and engineering teams
**EXPERIENCE:** 
 5\+ years of data engineering experience in an AWS\-based environment where data powers decision\-making across product, marketing, and operations.
**YOUR ROLE**
 Lead scalable data engineering efforts that empower cross\-functional teams with reliable, timely, and actionable data, ensuring Launch Potato’s analytics and business intelligence infrastructure fuels strategic growth.
**OUTCOMES**
* Build and optimize scalable, efficient ETL and data lake processes that proactively catch issues before they impact the business
* Own the ingestion, modeling, and transformation of structured and unstructured data to support reporting and analysis across all business units
* Partner closely with BI and Analytics to deliver clean, query\-ready datasets that improve user acquisition, engagement, and revenue growth
* Maintain and enhance database monitoring, anomaly detection, and quality assurance workflows
* Serve as the internal point of contact for reporting infrastructure—delivering ad hoc data analyses and driving consistent data integrity
* Drive adoption and advancement of Looker dashboards by ensuring robust and scalable backend data support
* Contribute to the future of Launch Potato’s data team by mentoring peers and shaping a high\-performance, quality\-first engineering culture
**COMPETENCIES**
* Data Engineering Mastery: Demonstrates technical excellence in building data pipelines, troubleshooting distributed systems, and scaling infrastructure using AWS and open\-source tools
* Cross\-Functional Collaboration: Communicates clearly across technical and non\-technical teams, translating business needs into robust data solutions
* Proactive Ownership: Operates with a strong sense of accountability; identifies and solves data issues independently and efficiently
* Quality\-Driven Execution: Holds a high bar for data accuracy, auditability, and documentation throughout all systems and workflows
* Strategic Thinking: Anticipates how data infrastructure impacts wider company OKRs and proactively suggests improvements and innovations
* Growth Mindset: Seeks out opportunities to elevate team capabilities, mentor others, and stay ahead of evolving best practices in data engineering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81">
      <c r="A81" t="inlineStr">
        <is>
          <t>li-4370190863</t>
        </is>
      </c>
      <c r="B81" t="inlineStr">
        <is>
          <t>Lead Data Engineer</t>
        </is>
      </c>
      <c r="C81" t="inlineStr">
        <is>
          <t>Launch Potato</t>
        </is>
      </c>
      <c r="D81" t="inlineStr">
        <is>
          <t>linkedin</t>
        </is>
      </c>
      <c r="E81">
        <f>HYPERLINK("https://www.linkedin.com/jobs/view/4370190863", "https://www.linkedin.com/jobs/view/4370190863")</f>
        <v/>
      </c>
      <c r="F81">
        <f>HYPERLINK("https://job-boards.greenhouse.io/launch2/jobs/5795558004?gh_src=149bfe184us&amp;urlHash=xyqq", "https://job-boards.greenhouse.io/launch2/jobs/5795558004?gh_src=149bfe184us&amp;urlHash=xyqq")</f>
        <v/>
      </c>
      <c r="G81" t="inlineStr">
        <is>
          <t>Jersey City, NJ</t>
        </is>
      </c>
      <c r="H81" t="inlineStr"/>
      <c r="I81" t="inlineStr">
        <is>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$150,000 to $190,000 per year
**MUST HAVE:**
* 5\+ years of experience in data engineering within fast\-paced, cloud\-native environments
* Deep expertise in Python, SQL, Docker, and AWS (S3, Glue, Kinesis, Athena/Presto)
* Experience building and managing scalable ETL pipelines and data lake infrastructure
* Familiarity with distributed systems, Spark, and data quality best practices
* Strong cross\-functional collaboration skills to support BI, analytics, and engineering teams
**EXPERIENCE:** 
 5\+ years of data engineering experience in an AWS\-based environment where data powers decision\-making across product, marketing, and operations.
**YOUR ROLE**
 Lead scalable data engineering efforts that empower cross\-functional teams with reliable, timely, and actionable data, ensuring Launch Potato’s analytics and business intelligence infrastructure fuels strategic growth.
**OUTCOMES**
* Build and optimize scalable, efficient ETL and data lake processes that proactively catch issues before they impact the business
* Own the ingestion, modeling, and transformation of structured and unstructured data to support reporting and analysis across all business units
* Partner closely with BI and Analytics to deliver clean, query\-ready datasets that improve user acquisition, engagement, and revenue growth
* Maintain and enhance database monitoring, anomaly detection, and quality assurance workflows
* Serve as the internal point of contact for reporting infrastructure—delivering ad hoc data analyses and driving consistent data integrity
* Drive adoption and advancement of Looker dashboards by ensuring robust and scalable backend data support
* Contribute to the future of Launch Potato’s data team by mentoring peers and shaping a high\-performance, quality\-first engineering culture
**COMPETENCIES**
* Data Engineering Mastery: Demonstrates technical excellence in building data pipelines, troubleshooting distributed systems, and scaling infrastructure using AWS and open\-source tools
* Cross\-Functional Collaboration: Communicates clearly across technical and non\-technical teams, translating business needs into robust data solutions
* Proactive Ownership: Operates with a strong sense of accountability; identifies and solves data issues independently and efficiently
* Quality\-Driven Execution: Holds a high bar for data accuracy, auditability, and documentation throughout all systems and workflows
* Strategic Thinking: Anticipates how data infrastructure impacts wider company OKRs and proactively suggests improvements and innovations
* Growth Mindset: Seeks out opportunities to elevate team capabilities, mentor others, and stay ahead of evolving best practices in data engineering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82">
      <c r="A82" t="inlineStr">
        <is>
          <t>li-4370303511</t>
        </is>
      </c>
      <c r="B82" t="inlineStr">
        <is>
          <t>Lead Data Engineer</t>
        </is>
      </c>
      <c r="C82" t="inlineStr">
        <is>
          <t>Launch Potato</t>
        </is>
      </c>
      <c r="D82" t="inlineStr">
        <is>
          <t>linkedin</t>
        </is>
      </c>
      <c r="E82">
        <f>HYPERLINK("https://www.linkedin.com/jobs/view/4370303511", "https://www.linkedin.com/jobs/view/4370303511")</f>
        <v/>
      </c>
      <c r="F82" t="inlineStr"/>
      <c r="G82" t="inlineStr">
        <is>
          <t>Oklahoma City, OK</t>
        </is>
      </c>
      <c r="H82" t="inlineStr"/>
      <c r="I82" t="inlineStr">
        <is>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$150,000 to $190,000 per year
**MUST HAVE:**
* 5\+ years of experience in data engineering within fast\-paced, cloud\-native environments
* Deep expertise in Python, SQL, Docker, and AWS (S3, Glue, Kinesis, Athena/Presto)
* Experience building and managing scalable ETL pipelines and data lake infrastructure
* Familiarity with distributed systems, Spark, and data quality best practices
* Strong cross\-functional collaboration skills to support BI, analytics, and engineering teams
**EXPERIENCE:** 
 5\+ years of data engineering experience in an AWS\-based environment where data powers decision\-making across product, marketing, and operations.
**YOUR ROLE**
 Lead scalable data engineering efforts that empower cross\-functional teams with reliable, timely, and actionable data, ensuring Launch Potato’s analytics and business intelligence infrastructure fuels strategic growth.
**OUTCOMES**
* Build and optimize scalable, efficient ETL and data lake processes that proactively catch issues before they impact the business
* Own the ingestion, modeling, and transformation of structured and unstructured data to support reporting and analysis across all business units
* Partner closely with BI and Analytics to deliver clean, query\-ready datasets that improve user acquisition, engagement, and revenue growth
* Maintain and enhance database monitoring, anomaly detection, and quality assurance workflows
* Serve as the internal point of contact for reporting infrastructure—delivering ad hoc data analyses and driving consistent data integrity
* Drive adoption and advancement of Looker dashboards by ensuring robust and scalable backend data support
* Contribute to the future of Launch Potato’s data team by mentoring peers and shaping a high\-performance, quality\-first engineering culture
**COMPETENCIES**
* Data Engineering Mastery: Demonstrates technical excellence in building data pipelines, troubleshooting distributed systems, and scaling infrastructure using AWS and open\-source tools
* Cross\-Functional Collaboration: Communicates clearly across technical and non\-technical teams, translating business needs into robust data solutions
* Proactive Ownership: Operates with a strong sense of accountability; identifies and solves data issues independently and efficiently
* Quality\-Driven Execution: Holds a high bar for data accuracy, auditability, and documentation throughout all systems and workflows
* Strategic Thinking: Anticipates how data infrastructure impacts wider company OKRs and proactively suggests improvements and innovations
* Growth Mindset: Seeks out opportunities to elevate team capabilities, mentor others, and stay ahead of evolving best practices in data engineering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83">
      <c r="A83" t="inlineStr">
        <is>
          <t>li-4370307393</t>
        </is>
      </c>
      <c r="B83" t="inlineStr">
        <is>
          <t>Lead Data Engineer</t>
        </is>
      </c>
      <c r="C83" t="inlineStr">
        <is>
          <t>Launch Potato</t>
        </is>
      </c>
      <c r="D83" t="inlineStr">
        <is>
          <t>linkedin</t>
        </is>
      </c>
      <c r="E83">
        <f>HYPERLINK("https://www.linkedin.com/jobs/view/4370307393", "https://www.linkedin.com/jobs/view/4370307393")</f>
        <v/>
      </c>
      <c r="F83" t="inlineStr"/>
      <c r="G83" t="inlineStr">
        <is>
          <t>Chapel Hill, NC</t>
        </is>
      </c>
      <c r="H83" t="inlineStr"/>
      <c r="I83" t="inlineStr">
        <is>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$150,000 to $190,000 per year
**MUST HAVE:**
* 5\+ years of experience in data engineering within fast\-paced, cloud\-native environments
* Deep expertise in Python, SQL, Docker, and AWS (S3, Glue, Kinesis, Athena/Presto)
* Experience building and managing scalable ETL pipelines and data lake infrastructure
* Familiarity with distributed systems, Spark, and data quality best practices
* Strong cross\-functional collaboration skills to support BI, analytics, and engineering teams
**EXPERIENCE:** 
 5\+ years of data engineering experience in an AWS\-based environment where data powers decision\-making across product, marketing, and operations.
**YOUR ROLE**
 Lead scalable data engineering efforts that empower cross\-functional teams with reliable, timely, and actionable data, ensuring Launch Potato’s analytics and business intelligence infrastructure fuels strategic growth.
**OUTCOMES**
* Build and optimize scalable, efficient ETL and data lake processes that proactively catch issues before they impact the business
* Own the ingestion, modeling, and transformation of structured and unstructured data to support reporting and analysis across all business units
* Partner closely with BI and Analytics to deliver clean, query\-ready datasets that improve user acquisition, engagement, and revenue growth
* Maintain and enhance database monitoring, anomaly detection, and quality assurance workflows
* Serve as the internal point of contact for reporting infrastructure—delivering ad hoc data analyses and driving consistent data integrity
* Drive adoption and advancement of Looker dashboards by ensuring robust and scalable backend data support
* Contribute to the future of Launch Potato’s data team by mentoring peers and shaping a high\-performance, quality\-first engineering culture
**COMPETENCIES**
* Data Engineering Mastery: Demonstrates technical excellence in building data pipelines, troubleshooting distributed systems, and scaling infrastructure using AWS and open\-source tools
* Cross\-Functional Collaboration: Communicates clearly across technical and non\-technical teams, translating business needs into robust data solutions
* Proactive Ownership: Operates with a strong sense of accountability; identifies and solves data issues independently and efficiently
* Quality\-Driven Execution: Holds a high bar for data accuracy, auditability, and documentation throughout all systems and workflows
* Strategic Thinking: Anticipates how data infrastructure impacts wider company OKRs and proactively suggests improvements and innovations
* Growth Mindset: Seeks out opportunities to elevate team capabilities, mentor others, and stay ahead of evolving best practices in data engineering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84">
      <c r="A84" t="inlineStr">
        <is>
          <t>li-4370306477</t>
        </is>
      </c>
      <c r="B84" t="inlineStr">
        <is>
          <t>Lead Data Engineer</t>
        </is>
      </c>
      <c r="C84" t="inlineStr">
        <is>
          <t>Launch Potato</t>
        </is>
      </c>
      <c r="D84" t="inlineStr">
        <is>
          <t>linkedin</t>
        </is>
      </c>
      <c r="E84">
        <f>HYPERLINK("https://www.linkedin.com/jobs/view/4370306477", "https://www.linkedin.com/jobs/view/4370306477")</f>
        <v/>
      </c>
      <c r="F84" t="inlineStr"/>
      <c r="G84" t="inlineStr">
        <is>
          <t>Seattle, WA</t>
        </is>
      </c>
      <c r="H84" t="inlineStr"/>
      <c r="I84" t="inlineStr">
        <is>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$150,000 to $190,000 per year
**MUST HAVE:**
* 5\+ years of experience in data engineering within fast\-paced, cloud\-native environments
* Deep expertise in Python, SQL, Docker, and AWS (S3, Glue, Kinesis, Athena/Presto)
* Experience building and managing scalable ETL pipelines and data lake infrastructure
* Familiarity with distributed systems, Spark, and data quality best practices
* Strong cross\-functional collaboration skills to support BI, analytics, and engineering teams
**EXPERIENCE:** 
 5\+ years of data engineering experience in an AWS\-based environment where data powers decision\-making across product, marketing, and operations.
**YOUR ROLE**
 Lead scalable data engineering efforts that empower cross\-functional teams with reliable, timely, and actionable data, ensuring Launch Potato’s analytics and business intelligence infrastructure fuels strategic growth.
**OUTCOMES**
* Build and optimize scalable, efficient ETL and data lake processes that proactively catch issues before they impact the business
* Own the ingestion, modeling, and transformation of structured and unstructured data to support reporting and analysis across all business units
* Partner closely with BI and Analytics to deliver clean, query\-ready datasets that improve user acquisition, engagement, and revenue growth
* Maintain and enhance database monitoring, anomaly detection, and quality assurance workflows
* Serve as the internal point of contact for reporting infrastructure—delivering ad hoc data analyses and driving consistent data integrity
* Drive adoption and advancement of Looker dashboards by ensuring robust and scalable backend data support
* Contribute to the future of Launch Potato’s data team by mentoring peers and shaping a high\-performance, quality\-first engineering culture
**COMPETENCIES**
* Data Engineering Mastery: Demonstrates technical excellence in building data pipelines, troubleshooting distributed systems, and scaling infrastructure using AWS and open\-source tools
* Cross\-Functional Collaboration: Communicates clearly across technical and non\-technical teams, translating business needs into robust data solutions
* Proactive Ownership: Operates with a strong sense of accountability; identifies and solves data issues independently and efficiently
* Quality\-Driven Execution: Holds a high bar for data accuracy, auditability, and documentation throughout all systems and workflows
* Strategic Thinking: Anticipates how data infrastructure impacts wider company OKRs and proactively suggests improvements and innovations
* Growth Mindset: Seeks out opportunities to elevate team capabilities, mentor others, and stay ahead of evolving best practices in data engineering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85">
      <c r="A85" t="inlineStr">
        <is>
          <t>li-4370189862</t>
        </is>
      </c>
      <c r="B85" t="inlineStr">
        <is>
          <t>Lead Data Engineer</t>
        </is>
      </c>
      <c r="C85" t="inlineStr">
        <is>
          <t>Launch Potato</t>
        </is>
      </c>
      <c r="D85" t="inlineStr">
        <is>
          <t>linkedin</t>
        </is>
      </c>
      <c r="E85">
        <f>HYPERLINK("https://www.linkedin.com/jobs/view/4370189862", "https://www.linkedin.com/jobs/view/4370189862")</f>
        <v/>
      </c>
      <c r="F85" t="inlineStr"/>
      <c r="G85" t="inlineStr">
        <is>
          <t>Durham, NC</t>
        </is>
      </c>
      <c r="H85" t="inlineStr"/>
      <c r="I85" t="inlineStr">
        <is>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$150,000 to $190,000 per year
**MUST HAVE:**
* 5\+ years of experience in data engineering within fast\-paced, cloud\-native environments
* Deep expertise in Python, SQL, Docker, and AWS (S3, Glue, Kinesis, Athena/Presto)
* Experience building and managing scalable ETL pipelines and data lake infrastructure
* Familiarity with distributed systems, Spark, and data quality best practices
* Strong cross\-functional collaboration skills to support BI, analytics, and engineering teams
**EXPERIENCE:** 
 5\+ years of data engineering experience in an AWS\-based environment where data powers decision\-making across product, marketing, and operations.
**YOUR ROLE**
 Lead scalable data engineering efforts that empower cross\-functional teams with reliable, timely, and actionable data, ensuring Launch Potato’s analytics and business intelligence infrastructure fuels strategic growth.
**OUTCOMES**
* Build and optimize scalable, efficient ETL and data lake processes that proactively catch issues before they impact the business
* Own the ingestion, modeling, and transformation of structured and unstructured data to support reporting and analysis across all business units
* Partner closely with BI and Analytics to deliver clean, query\-ready datasets that improve user acquisition, engagement, and revenue growth
* Maintain and enhance database monitoring, anomaly detection, and quality assurance workflows
* Serve as the internal point of contact for reporting infrastructure—delivering ad hoc data analyses and driving consistent data integrity
* Drive adoption and advancement of Looker dashboards by ensuring robust and scalable backend data support
* Contribute to the future of Launch Potato’s data team by mentoring peers and shaping a high\-performance, quality\-first engineering culture
**COMPETENCIES**
* Data Engineering Mastery: Demonstrates technical excellence in building data pipelines, troubleshooting distributed systems, and scaling infrastructure using AWS and open\-source tools
* Cross\-Functional Collaboration: Communicates clearly across technical and non\-technical teams, translating business needs into robust data solutions
* Proactive Ownership: Operates with a strong sense of accountability; identifies and solves data issues independently and efficiently
* Quality\-Driven Execution: Holds a high bar for data accuracy, auditability, and documentation throughout all systems and workflows
* Strategic Thinking: Anticipates how data infrastructure impacts wider company OKRs and proactively suggests improvements and innovations
* Growth Mindset: Seeks out opportunities to elevate team capabilities, mentor others, and stay ahead of evolving best practices in data engineering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86">
      <c r="A86" t="inlineStr">
        <is>
          <t>li-4370301551</t>
        </is>
      </c>
      <c r="B86" t="inlineStr">
        <is>
          <t>Lead Data Engineer</t>
        </is>
      </c>
      <c r="C86" t="inlineStr">
        <is>
          <t>Launch Potato</t>
        </is>
      </c>
      <c r="D86" t="inlineStr">
        <is>
          <t>linkedin</t>
        </is>
      </c>
      <c r="E86">
        <f>HYPERLINK("https://www.linkedin.com/jobs/view/4370301551", "https://www.linkedin.com/jobs/view/4370301551")</f>
        <v/>
      </c>
      <c r="F86" t="inlineStr"/>
      <c r="G86" t="inlineStr">
        <is>
          <t>Newark, NJ</t>
        </is>
      </c>
      <c r="H86" t="inlineStr"/>
      <c r="I86" t="inlineStr">
        <is>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**BASE SALARY:** 
 $150,000 to $190,000 per year
**MUST HAVE:**
* 5\+ years of experience in data engineering within fast\-paced, cloud\-native environments
* Deep expertise in Python, SQL, Docker, and AWS (S3, Glue, Kinesis, Athena/Presto)
* Experience building and managing scalable ETL pipelines and data lake infrastructure
* Familiarity with distributed systems, Spark, and data quality best practices
* Strong cross\-functional collaboration skills to support BI, analytics, and engineering teams
**EXPERIENCE:** 
 5\+ years of data engineering experience in an AWS\-based environment where data powers decision\-making across product, marketing, and operations.
**YOUR ROLE**
 Lead scalable data engineering efforts that empower cross\-functional teams with reliable, timely, and actionable data, ensuring Launch Potato’s analytics and business intelligence infrastructure fuels strategic growth.
**OUTCOMES**
* Build and optimize scalable, efficient ETL and data lake processes that proactively catch issues before they impact the business
* Own the ingestion, modeling, and transformation of structured and unstructured data to support reporting and analysis across all business units
* Partner closely with BI and Analytics to deliver clean, query\-ready datasets that improve user acquisition, engagement, and revenue growth
* Maintain and enhance database monitoring, anomaly detection, and quality assurance workflows
* Serve as the internal point of contact for reporting infrastructure—delivering ad hoc data analyses and driving consistent data integrity
* Drive adoption and advancement of Looker dashboards by ensuring robust and scalable backend data support
* Contribute to the future of Launch Potato’s data team by mentoring peers and shaping a high\-performance, quality\-first engineering culture
**COMPETENCIES**
* Data Engineering Mastery: Demonstrates technical excellence in building data pipelines, troubleshooting distributed systems, and scaling infrastructure using AWS and open\-source tools
* Cross\-Functional Collaboration: Communicates clearly across technical and non\-technical teams, translating business needs into robust data solutions
* Proactive Ownership: Operates with a strong sense of accountability; identifies and solves data issues independently and efficiently
* Quality\-Driven Execution: Holds a high bar for data accuracy, auditability, and documentation throughout all systems and workflows
* Strategic Thinking: Anticipates how data infrastructure impacts wider company OKRs and proactively suggests improvements and innovations
* Growth Mindset: Seeks out opportunities to elevate team capabilities, mentor others, and stay ahead of evolving best practices in data engineering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87">
      <c r="A87" t="inlineStr">
        <is>
          <t>li-4370305448</t>
        </is>
      </c>
      <c r="B87" t="inlineStr">
        <is>
          <t>Lead Cloud Data Engineer - REMOTE</t>
        </is>
      </c>
      <c r="C87" t="inlineStr">
        <is>
          <t>Jobgether</t>
        </is>
      </c>
      <c r="D87" t="inlineStr">
        <is>
          <t>linkedin</t>
        </is>
      </c>
      <c r="E87">
        <f>HYPERLINK("https://www.linkedin.com/jobs/view/4370305448", "https://www.linkedin.com/jobs/view/4370305448")</f>
        <v/>
      </c>
      <c r="F87" t="inlineStr"/>
      <c r="G87" t="inlineStr">
        <is>
          <t>New York, United States</t>
        </is>
      </c>
      <c r="H87" t="inlineStr"/>
      <c r="I87" t="inlineStr">
        <is>
          <t>This position is posted by Jobgether on behalf of a partner company. We are currently looking for a Senior Data Engineer \- REMOTE. In this role, you will play a critical part in a large\-scale data modernization initiative aimed at enhancing service delivery for U.S. Veterans. Your expertise will drive the design and optimization of secure, high\-performance data access across complex enterprise systems. You will work hands\-on with state\-of\-the\-art data platforms, facilitating data federation and analytics in hybrid and multi\-cloud environments. Collaboration is key, as you will engage with cross\-functional teams to ensure data strategies meet organizational requirements. Your contributions will lead to improved decision\-making and operational efficiency at a national scale.
**Accountabilities**
* Design, build, and optimize distributed query solutions using Starburst Enterprise Platform (SEP) and Trino.
* Enable secure and governed access to data across multiple sources including cloud platforms and data lakes.
* Implement and enhance data federation, performance tuning, and query optimization strategies.
* Support identity and access management (IAM) and data governance requirements.
* Develop and maintain backend services, APIs, and platform components.
* Contribute to CI/CD pipelines, observability, and platform reliability initiatives.
* Collaborate with product, UX, security, and infrastructure teams.
* Troubleshoot performance issues in distributed and cloud\-native environments.
**Requirements**
* Bachelor’s degree in Computer Science, Information Technology, or related field (Master’s preferred).
* Ability to obtain and maintain a Public Trust clearance.
* Hands\-on experience with Starburst Enterprise Platform (SEP) or significant experience with Trino/Presto.
* 8\+ years of experience with modern data platforms like Snowflake, Databricks, or Denodo.
* Strong SQL skills and experience in distributed query performance optimization.
* Experience integrating data across cloud and on\-premises environments.
* Knowledge of authentication, authorization frameworks, and data security best practices.
* Experience with CI/CD tools, containerization (Docker/Kubernetes), and infrastructure automation.
* Familiarity with cloud platforms (Azure experience strongly preferred).
* Strong communication and collaboration skills.
**Benefits**
* Opportunity to support high\-visibility federal missions.
* Culture that values innovation, growth, and collaboration.
* Access to cutting\-edge tools and technologies.
* Comprehensive benefits for you and your family.
* Career path that rewards ambition and performance.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2026-02-08T02:44:43Z</dcterms:created>
  <dcterms:modified xsi:type="dcterms:W3CDTF">2026-02-08T02:44:43Z</dcterms:modified>
</cp:coreProperties>
</file>