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in-a9c2156e2b1c68b0</t>
        </is>
      </c>
      <c r="B2" t="inlineStr">
        <is>
          <t>Program Manager II - Phased Array and RF Technologies</t>
        </is>
      </c>
      <c r="C2" t="inlineStr">
        <is>
          <t>BAE Systems USA</t>
        </is>
      </c>
      <c r="D2" t="inlineStr">
        <is>
          <t>indeed</t>
        </is>
      </c>
      <c r="E2" t="inlineStr"/>
      <c r="F2" t="inlineStr"/>
      <c r="G2" t="inlineStr">
        <is>
          <t>Westminster, CO, US</t>
        </is>
      </c>
      <c r="H2" s="2" t="n">
        <v>46025</v>
      </c>
      <c r="I2" t="inlineStr">
        <is>
          <t>**Job Description**  
Plan, organize, direct, and control all activities of a program to satisfy contractual requirements and meet financial commitments to the company, while ensuring strong employee and customer relations.  
The Tactical Solutions Strategic Business Unit delivers mission system solutions, from specialized antennas to electro\-optical technologies, to the warfighter. Our systems enhance the performance of various military platforms, from aircraft and land vehicles to ships and satellites, and give warfighters the advantage they need to take action, identify targets and defend against evolving threats.
 **What You’ll Do:**  
* Responsible for overall program leadership, direction and guidance that ensures successful program execution in accordance with the budget, schedule, contract, Statement of Work (SOW) and technical specifications.
* Focal point for establishing program execution goals and strategy in a fast paced and often dynamic environment. Create the vision that energizes and enables the team to win and deliver new technologies to market.
* Act as the main interface with the Customer and BAE Systems stakeholders on all program related subjects.
* Lead technical, manufacturing, and subcontracts staff in execution of the contract.
* Responsible for the program’s major metrics – sales, bookings, profit, and the customer relationship.
* Review and evaluate the program status on a continuing basis and work unplanned program issues to a best solution, including development of plans\-forward, escalation and increased resources, as required.
* Work closely with Strategic Business Unit (SBU) management to communicate program progress and resolve issues and concerns.
* Work with Strategic Capabilities Unit (SCU) management to ensure the program is staffed with appropriate skill levels and that work is being accomplished according to plan.
* Ensure that all business is conducted using the highest ethical standards and in compliance with all applicable laws, statutes, and regulations.
* Identify and ensure required compliance with the government and company regulation, policies/procedures and guidelines; negotiate acceptance / approval of all program plans with internal interfaces and the customer.
* Coordinate the shared use of capital assets and company facilities with other programs.
* Ensure that program requirements, purposes, objectives, and expectations are communicated and flowed down to the internal team and subcontractors.
* Develop and monitor fidelity of the program baseline including definition of tasks, program budgets and program schedules.
* Employ proactive risk \&amp; opportunity management processes and practices to mitigate or capture potential program issues and improvements.
* Employ Earned Value (EV) and Earned Value Management (EVM) processes and practices including variance reporting.
* Lead in the development of program add\-on/follow\-on activities including capture planning, program execution strategies, definition of assumptions and ground rules, and developing executable program plans.
* Participate in proposal preparation activities in support of new business capture opportunities with existing and/or new customers and programs.
* Lead technical, contracts, and subcontracts staff in monitoring performance of subcontractors performing on the contract.
* Direct the work of program leads and other designated staff supporting contract execution, delegate critical functions, as required.
* Provide leadership to the program team, balancing the needs of the program with individual expectations. Be an advocate for career development of members of the program team.
* Create a motivational environment where team members understand the mission, are fully engaged and empowered to execute, and are recognized for their performance.
* Resolve conflicts, demands and priorities on assigned programs.
* Maintain a regular and predictable work schedule.
* Establish and maintain effective working relationships within the department, the Strategic Business Units, Strategic Capabilities Units and the Company. Interact appropriately with others in order to maintain a positive and productive work environment.
* Perform other duties as necessary.
**On\-Site Work Environment:** This position requires regular in\-person engagement by working **on\-site five days** each normally scheduled week in the primary work location. Travel and local commute between company campuses and other possible non\-company locations may be required.
 **Working Conditions:**  
Work is performed in an office environment, laboratory, cleanroom, or production floor.  
* 
**Required Education, Experience, \&amp; Skills**  
* BS/BA in related field plus 10 years or more related experience.
* Each higher\-level degree, i.e., Master’s Degree or Ph.D., may substitute for two years of experience. Related technical experience may be considered in lieu of education. Degree must be from a university, college, or school which is accredited by an agency recognized by the US Secretary of Education, US Department of Education.
* A current, active Secret security clearance is required as well as ability to obtain and maintain Top Secret.
* Experience in program and procurement management responsibilities for tactical hardware.
* Demonstrate ability to work successfully with demanding customers, difficult schedules, and technically challenging projects.
* Ability to utilize standard program status tools including:
	+ Earned Value (EV) and Earned Value Management Systems (EVMS) including variance reporting.
	+ Program performance reporting status including program highlights, Cost Performance Index (CPI), Schedule Performance Index (SPI), schedule progress, technical status and Customer Relations.
	+ Understanding of the risk and opportunity management process as related to program plan.
	+ Understanding of Change Control process to control, monitor and resolve internal and external changes related to Program plan.
* Excellent communication skills.
* Excellent presentation development and delivery skills.
\#LI\-SMOOT  
**Preferred Education, Experience, \&amp; Skills**  
* Familiarity with general government contractual requirements.
* Experience with an ISO 9001 environment.
* Familiarity with fast\-paced product development, New Product Introduction (NPI) and Design for Manufacturing (DFM) challenges.
**Pay Information**  
Full\-Time Salary Range: $146670 \- $249330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Space \&amp; Mission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Headquartered in Boulder, Colorado, Space \&amp; Mission Systems is a leading provider of national defense and civil space applications, advanced remote sensing, scientific and tactical systems for government and commercial customers. We continually pioneer ways to innovate spacecraft, mission payloads, optical systems, and other defense and civil capabilities. Powered by endlessly curious people with an unwavering mission focus, we continually discover ways to enable our customers to perform beyond expectation and protect what matters most.  
This position will be posted for at least 5 calendar days. The posting will remain active until the position is filled, or a qualified pool of candidates is identified.  
Multiple positions may be available on this opening.</t>
        </is>
      </c>
    </row>
    <row r="3">
      <c r="A3" t="inlineStr">
        <is>
          <t>in-09513db7acc5aaf0</t>
        </is>
      </c>
      <c r="B3" t="inlineStr">
        <is>
          <t>Sr. Product Manager, AWS Server Supply Chain</t>
        </is>
      </c>
      <c r="C3" t="inlineStr">
        <is>
          <t>Amazon.com</t>
        </is>
      </c>
      <c r="D3" t="inlineStr">
        <is>
          <t>indeed</t>
        </is>
      </c>
      <c r="E3" t="inlineStr"/>
      <c r="F3" t="inlineStr"/>
      <c r="G3" t="inlineStr">
        <is>
          <t>Austin, TX, US</t>
        </is>
      </c>
      <c r="H3" s="2" t="n">
        <v>45956</v>
      </c>
      <c r="I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in-6eda7e61af8b0517</t>
        </is>
      </c>
      <c r="B4" t="inlineStr">
        <is>
          <t>Sr. Product Manager, AWS Server Supply Chain</t>
        </is>
      </c>
      <c r="C4" t="inlineStr">
        <is>
          <t>Amazon.com</t>
        </is>
      </c>
      <c r="D4" t="inlineStr">
        <is>
          <t>indeed</t>
        </is>
      </c>
      <c r="E4" t="inlineStr"/>
      <c r="F4" t="inlineStr"/>
      <c r="G4" t="inlineStr">
        <is>
          <t>Cupertino, CA, US</t>
        </is>
      </c>
      <c r="H4" s="2" t="n">
        <v>45956</v>
      </c>
      <c r="I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in-1133234da7177944</t>
        </is>
      </c>
      <c r="B5" t="inlineStr">
        <is>
          <t>Sr. Product Manager, AWS Server Supply Chain</t>
        </is>
      </c>
      <c r="C5" t="inlineStr">
        <is>
          <t>Amazon.com</t>
        </is>
      </c>
      <c r="D5" t="inlineStr">
        <is>
          <t>indeed</t>
        </is>
      </c>
      <c r="E5" t="inlineStr"/>
      <c r="F5" t="inlineStr"/>
      <c r="G5" t="inlineStr">
        <is>
          <t>Seattle, WA, US</t>
        </is>
      </c>
      <c r="H5" s="2" t="n">
        <v>45956</v>
      </c>
      <c r="I5"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in-ddbacc4b857709ac</t>
        </is>
      </c>
      <c r="B6" t="inlineStr">
        <is>
          <t>Principal Product Manager Technical, Creative X - RAPID</t>
        </is>
      </c>
      <c r="C6" t="inlineStr">
        <is>
          <t>Amazon.com</t>
        </is>
      </c>
      <c r="D6" t="inlineStr">
        <is>
          <t>indeed</t>
        </is>
      </c>
      <c r="E6" t="inlineStr"/>
      <c r="F6" t="inlineStr"/>
      <c r="G6" t="inlineStr">
        <is>
          <t>New York, NY, US</t>
        </is>
      </c>
      <c r="H6" s="2" t="n">
        <v>45939</v>
      </c>
      <c r="I6"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in-5c0430e8e453ec63</t>
        </is>
      </c>
      <c r="B7" t="inlineStr">
        <is>
          <t>Principal Product Manager Technical, Creative X - RAPID</t>
        </is>
      </c>
      <c r="C7" t="inlineStr">
        <is>
          <t>Amazon.com</t>
        </is>
      </c>
      <c r="D7" t="inlineStr">
        <is>
          <t>indeed</t>
        </is>
      </c>
      <c r="E7" t="inlineStr"/>
      <c r="F7" t="inlineStr"/>
      <c r="G7" t="inlineStr">
        <is>
          <t>Seattle, WA, US</t>
        </is>
      </c>
      <c r="H7" s="2" t="n">
        <v>45939</v>
      </c>
      <c r="I7"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in-9e226173509dda09</t>
        </is>
      </c>
      <c r="B8" t="inlineStr">
        <is>
          <t>Senior Program Manager III, Planning, Amazon Leo, Global Service Compliance</t>
        </is>
      </c>
      <c r="C8" t="inlineStr">
        <is>
          <t>Amazon.com</t>
        </is>
      </c>
      <c r="D8" t="inlineStr">
        <is>
          <t>indeed</t>
        </is>
      </c>
      <c r="E8" t="inlineStr"/>
      <c r="F8" t="inlineStr"/>
      <c r="G8" t="inlineStr">
        <is>
          <t>Arlington, VA, US</t>
        </is>
      </c>
      <c r="H8" s="2" t="n">
        <v>45939</v>
      </c>
      <c r="I8"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in-771a536822bdb07a</t>
        </is>
      </c>
      <c r="B9" t="inlineStr">
        <is>
          <t>Senior Program Manager III, Planning, Amazon Leo, Global Service Compliance</t>
        </is>
      </c>
      <c r="C9" t="inlineStr">
        <is>
          <t>Amazon.com</t>
        </is>
      </c>
      <c r="D9" t="inlineStr">
        <is>
          <t>indeed</t>
        </is>
      </c>
      <c r="E9" t="inlineStr"/>
      <c r="F9" t="inlineStr"/>
      <c r="G9" t="inlineStr">
        <is>
          <t>Bellevue, WA, US</t>
        </is>
      </c>
      <c r="H9" s="2" t="n">
        <v>45939</v>
      </c>
      <c r="I9"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in-e7b7754c39237672</t>
        </is>
      </c>
      <c r="B10" t="inlineStr">
        <is>
          <t>Sr. Product Manager - Technical - Accumulation Conveyance, 1MHS - Field Fixed</t>
        </is>
      </c>
      <c r="C10" t="inlineStr">
        <is>
          <t>Amazon.com</t>
        </is>
      </c>
      <c r="D10" t="inlineStr">
        <is>
          <t>indeed</t>
        </is>
      </c>
      <c r="E10" t="inlineStr"/>
      <c r="F10" t="inlineStr"/>
      <c r="G10" t="inlineStr">
        <is>
          <t>Springdale, OH, US</t>
        </is>
      </c>
      <c r="H10" s="2" t="n">
        <v>45936</v>
      </c>
      <c r="I10"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in-50a3aeca6108b83a</t>
        </is>
      </c>
      <c r="B11" t="inlineStr">
        <is>
          <t>Sr. Product Manager - Technical - Accumulation Conveyance, 1MHS - Field Fixed</t>
        </is>
      </c>
      <c r="C11" t="inlineStr">
        <is>
          <t>Amazon.com</t>
        </is>
      </c>
      <c r="D11" t="inlineStr">
        <is>
          <t>indeed</t>
        </is>
      </c>
      <c r="E11" t="inlineStr"/>
      <c r="F11" t="inlineStr"/>
      <c r="G11" t="inlineStr">
        <is>
          <t>Arlington, VA, US</t>
        </is>
      </c>
      <c r="H11" s="2" t="n">
        <v>45936</v>
      </c>
      <c r="I11"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in-9a9756196978538f</t>
        </is>
      </c>
      <c r="B12" t="inlineStr">
        <is>
          <t>Sr. Product Manager - Technical - Accumulation Conveyance, 1MHS - Field Fixed</t>
        </is>
      </c>
      <c r="C12" t="inlineStr">
        <is>
          <t>Amazon.com</t>
        </is>
      </c>
      <c r="D12" t="inlineStr">
        <is>
          <t>indeed</t>
        </is>
      </c>
      <c r="E12" t="inlineStr"/>
      <c r="F12" t="inlineStr"/>
      <c r="G12" t="inlineStr">
        <is>
          <t>Westborough, MA, US</t>
        </is>
      </c>
      <c r="H12" s="2" t="n">
        <v>45936</v>
      </c>
      <c r="I12"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in-08d2385aa32a6e4a</t>
        </is>
      </c>
      <c r="B13" t="inlineStr">
        <is>
          <t>Sr. Product Manager - Technical - Accumulation Conveyance, 1MHS - Field Fixed</t>
        </is>
      </c>
      <c r="C13" t="inlineStr">
        <is>
          <t>Amazon.com</t>
        </is>
      </c>
      <c r="D13" t="inlineStr">
        <is>
          <t>indeed</t>
        </is>
      </c>
      <c r="E13" t="inlineStr"/>
      <c r="F13" t="inlineStr"/>
      <c r="G13" t="inlineStr">
        <is>
          <t>Nashville, TN, US</t>
        </is>
      </c>
      <c r="H13" s="2" t="n">
        <v>45936</v>
      </c>
      <c r="I13"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in-6c63ba5a37c62ab9</t>
        </is>
      </c>
      <c r="B14" t="inlineStr">
        <is>
          <t>Sr. Product Manager - Technical - Accumulation Conveyance, 1MHS - Field Fixed</t>
        </is>
      </c>
      <c r="C14" t="inlineStr">
        <is>
          <t>Amazon.com</t>
        </is>
      </c>
      <c r="D14" t="inlineStr">
        <is>
          <t>indeed</t>
        </is>
      </c>
      <c r="E14" t="inlineStr"/>
      <c r="F14" t="inlineStr"/>
      <c r="G14" t="inlineStr">
        <is>
          <t>Bellevue, WA, US</t>
        </is>
      </c>
      <c r="H14" s="2" t="n">
        <v>45936</v>
      </c>
      <c r="I14"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in-5bee6ee72d79d3c8</t>
        </is>
      </c>
      <c r="B15" t="inlineStr">
        <is>
          <t>Sr. Product Manager - Technical - Accumulation Conveyance, 1MHS - Field Fixed</t>
        </is>
      </c>
      <c r="C15" t="inlineStr">
        <is>
          <t>Amazon.com</t>
        </is>
      </c>
      <c r="D15" t="inlineStr">
        <is>
          <t>indeed</t>
        </is>
      </c>
      <c r="E15" t="inlineStr"/>
      <c r="F15" t="inlineStr"/>
      <c r="G15" t="inlineStr">
        <is>
          <t>Hebron, KY, US</t>
        </is>
      </c>
      <c r="H15" s="2" t="n">
        <v>45936</v>
      </c>
      <c r="I15"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in-6f94924ee7860a2a</t>
        </is>
      </c>
      <c r="B16" t="inlineStr">
        <is>
          <t>Principal Product Manager, Ship with Amazon</t>
        </is>
      </c>
      <c r="C16" t="inlineStr">
        <is>
          <t>Amazon.com</t>
        </is>
      </c>
      <c r="D16" t="inlineStr">
        <is>
          <t>indeed</t>
        </is>
      </c>
      <c r="E16" t="inlineStr"/>
      <c r="F16" t="inlineStr"/>
      <c r="G16" t="inlineStr">
        <is>
          <t>Bellevue, WA, US</t>
        </is>
      </c>
      <c r="H16" s="2" t="n">
        <v>45936</v>
      </c>
      <c r="I16" t="inlineStr">
        <is>
          <t>**DESCRIPTION**
---------------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Principal Product Manager, you will architect and drive our digital product strategy across web and mobile platforms, creating exceptional user experiences for our customers. In this key leadership role, you will spearhead the vision and roadmap for our digital ecosystem, leveraging customer insights, data analysis, and user research to deliver innovative solutions. You will lead cross\-functional teams through complex product development cycles, from conception to launch, ensuring seamless integration across all digital touchpoints.
The ideal candidate has a strong logistics/supply chain and digital product management background combined with a solid understanding of current technologies. S/he can develop and drive high\-level strategic initiatives but also roll up their sleeves, dig in and get the job done. Maturity, strong business judgment, ability to influence cross\-functional and remote teams, a customer\-centric and creative mindset with strong analytical skills are essential. This opportunity requires excellent product management, prioritization, and communication skills, as well as the ability to navigate ambiguity.  
Key job responsibilities  
* Define the digital product vision and roadmap.
* Work directly with customers, stakeholders, UX and engineering to build exceptional products.
\- Partner with other teams across Amazon Shipping \- Product and Tech to identify and influence development of new products and services.  
* Anticipate bottlenecks, provide escalation management, and make tradeoffs to balance business needs versus technical or operational constraints.
* Collaborate with global stakeholders in other regions to define requirements that support international use cases.
* Define user stories and product requirements; contribute to the technical design of new product features.
* Drive adoption of features, incorporating continuous feedback for improvements based on user experiences.
* About 10% travel required.
**BASIC QUALIFICATIONS**
------------------------
* Bachelor's degree in Computer Science, Engineering, or a related field
* 10\+ years of success in digital user experience, web/mobile development or digital product management experience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**PREFERRED QUALIFICATIONS**
----------------------------
* MBA, or Master's degree in business, data science, public administration, finance, engineering, human resources or related field
* Experience in program management, logistics, operations, supply chain, transportation, or equivalent
* Experience with AI\-driven personalization or automation in digital experiences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in-91d680be955e8df1</t>
        </is>
      </c>
      <c r="B17" t="inlineStr">
        <is>
          <t>Principal Product Manager, Ship with Amazon</t>
        </is>
      </c>
      <c r="C17" t="inlineStr">
        <is>
          <t>Amazon.com</t>
        </is>
      </c>
      <c r="D17" t="inlineStr">
        <is>
          <t>indeed</t>
        </is>
      </c>
      <c r="E17" t="inlineStr"/>
      <c r="F17" t="inlineStr"/>
      <c r="G17" t="inlineStr">
        <is>
          <t>Arlington, VA, US</t>
        </is>
      </c>
      <c r="H17" s="2" t="n">
        <v>45936</v>
      </c>
      <c r="I17" t="inlineStr">
        <is>
          <t>**DESCRIPTION**
---------------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Principal Product Manager, you will architect and drive our digital product strategy across web and mobile platforms, creating exceptional user experiences for our customers. In this key leadership role, you will spearhead the vision and roadmap for our digital ecosystem, leveraging customer insights, data analysis, and user research to deliver innovative solutions. You will lead cross\-functional teams through complex product development cycles, from conception to launch, ensuring seamless integration across all digital touchpoints.
The ideal candidate has a strong logistics/supply chain and digital product management background combined with a solid understanding of current technologies. S/he can develop and drive high\-level strategic initiatives but also roll up their sleeves, dig in and get the job done. Maturity, strong business judgment, ability to influence cross\-functional and remote teams, a customer\-centric and creative mindset with strong analytical skills are essential. This opportunity requires excellent product management, prioritization, and communication skills, as well as the ability to navigate ambiguity.  
Key job responsibilities  
* Define the digital product vision and roadmap.
* Work directly with customers, stakeholders, UX and engineering to build exceptional products.
\- Partner with other teams across Amazon Shipping \- Product and Tech to identify and influence development of new products and services.  
* Anticipate bottlenecks, provide escalation management, and make tradeoffs to balance business needs versus technical or operational constraints.
* Collaborate with global stakeholders in other regions to define requirements that support international use cases.
* Define user stories and product requirements; contribute to the technical design of new product features.
* Drive adoption of features, incorporating continuous feedback for improvements based on user experiences.
* About 10% travel required.
**BASIC QUALIFICATIONS**
------------------------
* Bachelor's degree in Computer Science, Engineering, or a related field
* 10\+ years of success in digital user experience, web/mobile development or digital product management experience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**PREFERRED QUALIFICATIONS**
----------------------------
* MBA, or Master's degree in business, data science, public administration, finance, engineering, human resources or related field
* Experience in program management, logistics, operations, supply chain, transportation, or equivalent
* Experience with AI\-driven personalization or automation in digital experiences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in-cc7d15900bebb61f</t>
        </is>
      </c>
      <c r="B18" t="inlineStr">
        <is>
          <t>Sr. Supply Chain Product Manager, Amazon Custom Modules</t>
        </is>
      </c>
      <c r="C18" t="inlineStr">
        <is>
          <t>Amazon.com</t>
        </is>
      </c>
      <c r="D18" t="inlineStr">
        <is>
          <t>indeed</t>
        </is>
      </c>
      <c r="E18" t="inlineStr"/>
      <c r="F18" t="inlineStr"/>
      <c r="G18" t="inlineStr">
        <is>
          <t>Seattle, WA, US</t>
        </is>
      </c>
      <c r="H18" s="2" t="n">
        <v>45935</v>
      </c>
      <c r="I1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in-4cdca482a385e214</t>
        </is>
      </c>
      <c r="B19" t="inlineStr">
        <is>
          <t>Sr. Supply Chain Product Manager, Amazon Custom Modules</t>
        </is>
      </c>
      <c r="C19" t="inlineStr">
        <is>
          <t>Amazon.com</t>
        </is>
      </c>
      <c r="D19" t="inlineStr">
        <is>
          <t>indeed</t>
        </is>
      </c>
      <c r="E19" t="inlineStr"/>
      <c r="F19" t="inlineStr"/>
      <c r="G19" t="inlineStr">
        <is>
          <t>Austin, TX, US</t>
        </is>
      </c>
      <c r="H19" s="2" t="n">
        <v>45935</v>
      </c>
      <c r="I19"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in-38ca8fc2baea5340</t>
        </is>
      </c>
      <c r="B20" t="inlineStr">
        <is>
          <t>Sr. Supply Chain Product Manager, Amazon Custom Modules</t>
        </is>
      </c>
      <c r="C20" t="inlineStr">
        <is>
          <t>Amazon.com</t>
        </is>
      </c>
      <c r="D20" t="inlineStr">
        <is>
          <t>indeed</t>
        </is>
      </c>
      <c r="E20" t="inlineStr"/>
      <c r="F20" t="inlineStr"/>
      <c r="G20" t="inlineStr">
        <is>
          <t>Cupertino, CA, US</t>
        </is>
      </c>
      <c r="H20" s="2" t="n">
        <v>45935</v>
      </c>
      <c r="I2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in-e084fad677f2a0d3</t>
        </is>
      </c>
      <c r="B21" t="inlineStr">
        <is>
          <t>SR. Technical Program Manager, Connectivity, Connectivity SW DeviceOS</t>
        </is>
      </c>
      <c r="C21" t="inlineStr">
        <is>
          <t>Amazon.com</t>
        </is>
      </c>
      <c r="D21" t="inlineStr">
        <is>
          <t>indeed</t>
        </is>
      </c>
      <c r="E21" t="inlineStr"/>
      <c r="F21" t="inlineStr"/>
      <c r="G21" t="inlineStr">
        <is>
          <t>Austin, TX, US</t>
        </is>
      </c>
      <c r="H21" s="2" t="n">
        <v>45932</v>
      </c>
      <c r="I21" t="inlineStr">
        <is>
          <t>**DESCRIPTION**
---------------
Amazon Lab126 is an inventive research and development company that designs and engineers high\-profile consumer electronics. Lab126 began in 2004 as a subsidiary of Amazon.com, Inc., originally creating the best\-selling Kindle family of products. Since then, we have produced groundbreaking devices like Fire tablets, Fire TV and Amazon Echo.  
What will you help us create?  
The Role:  
As a Sr. Technical Program Manager, you will engage with an experienced cross\-disciplinary staff to design, manage, and deliver innovative consumer products, technologies, and tools. In this role, you will:  
Work with key stakeholders in product management and executive teams to define strategy and requirements  
Drive data\-based activities to develop insights on device and accessory performance and improvement recommendations  
Lead cross functional and full stack problem\-solving and development activities from design through delivery  
Work with global teams to deliver supporting software and services in sync with launch timelines.  
Communicate regularly with senior management on status, risks and change control  
Work with subject matter experts to lead and drive new technology initiatives and evaluations for next generation Amazon products and features  
Work with component leads to drive evaluation and adoption of new vendor technologies and HW  
Work with vendors and external partners to deliver device software and firmware technologies into our products
**BASIC QUALIFICATIONS**
------------------------
* 7\+ years of working directly with engineering teams experience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in-aafd0ef21322ca20</t>
        </is>
      </c>
      <c r="B22" t="inlineStr">
        <is>
          <t>SR. Technical Program Manager, Connectivity, Connectivity SW DeviceOS</t>
        </is>
      </c>
      <c r="C22" t="inlineStr">
        <is>
          <t>Amazon.com</t>
        </is>
      </c>
      <c r="D22" t="inlineStr">
        <is>
          <t>indeed</t>
        </is>
      </c>
      <c r="E22" t="inlineStr"/>
      <c r="F22" t="inlineStr"/>
      <c r="G22" t="inlineStr">
        <is>
          <t>Irvine, CA, US</t>
        </is>
      </c>
      <c r="H22" s="2" t="n">
        <v>45932</v>
      </c>
      <c r="I22" t="inlineStr">
        <is>
          <t>**DESCRIPTION**
---------------
Amazon Lab126 is an inventive research and development company that designs and engineers high\-profile consumer electronics. Lab126 began in 2004 as a subsidiary of Amazon.com, Inc., originally creating the best\-selling Kindle family of products. Since then, we have produced groundbreaking devices like Fire tablets, Fire TV and Amazon Echo.  
What will you help us create?  
The Role:  
As a Sr. Technical Program Manager, you will engage with an experienced cross\-disciplinary staff to design, manage, and deliver innovative consumer products, technologies, and tools. In this role, you will:  
Work with key stakeholders in product management and executive teams to define strategy and requirements  
Drive data\-based activities to develop insights on device and accessory performance and improvement recommendations  
Lead cross functional and full stack problem\-solving and development activities from design through delivery  
Work with global teams to deliver supporting software and services in sync with launch timelines.  
Communicate regularly with senior management on status, risks and change control  
Work with subject matter experts to lead and drive new technology initiatives and evaluations for next generation Amazon products and features  
Work with component leads to drive evaluation and adoption of new vendor technologies and HW  
Work with vendors and external partners to deliver device software and firmware technologies into our products
**BASIC QUALIFICATIONS**
------------------------
* 7\+ years of working directly with engineering teams experience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in-2aee95128597d1ff</t>
        </is>
      </c>
      <c r="B23" t="inlineStr">
        <is>
          <t>SR. Technical Program Manager, Connectivity, Connectivity SW DeviceOS</t>
        </is>
      </c>
      <c r="C23" t="inlineStr">
        <is>
          <t>Amazon.com</t>
        </is>
      </c>
      <c r="D23" t="inlineStr">
        <is>
          <t>indeed</t>
        </is>
      </c>
      <c r="E23" t="inlineStr"/>
      <c r="F23" t="inlineStr"/>
      <c r="G23" t="inlineStr">
        <is>
          <t>Sunnyvale, CA, US</t>
        </is>
      </c>
      <c r="H23" s="2" t="n">
        <v>45932</v>
      </c>
      <c r="I23" t="inlineStr">
        <is>
          <t>**DESCRIPTION**
---------------
Amazon Lab126 is an inventive research and development company that designs and engineers high\-profile consumer electronics. Lab126 began in 2004 as a subsidiary of Amazon.com, Inc., originally creating the best\-selling Kindle family of products. Since then, we have produced groundbreaking devices like Fire tablets, Fire TV and Amazon Echo.  
What will you help us create?  
The Role:  
As a Sr. Technical Program Manager, you will engage with an experienced cross\-disciplinary staff to design, manage, and deliver innovative consumer products, technologies, and tools. In this role, you will:  
Work with key stakeholders in product management and executive teams to define strategy and requirements  
Drive data\-based activities to develop insights on device and accessory performance and improvement recommendations  
Lead cross functional and full stack problem\-solving and development activities from design through delivery  
Work with global teams to deliver supporting software and services in sync with launch timelines.  
Communicate regularly with senior management on status, risks and change control  
Work with subject matter experts to lead and drive new technology initiatives and evaluations for next generation Amazon products and features  
Work with component leads to drive evaluation and adoption of new vendor technologies and HW  
Work with vendors and external partners to deliver device software and firmware technologies into our products
**BASIC QUALIFICATIONS**
------------------------
* 7\+ years of working directly with engineering teams experience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in-1e996d2bdea44dca</t>
        </is>
      </c>
      <c r="B24" t="inlineStr">
        <is>
          <t>Sr. Program Manager, Same Day Programs,</t>
        </is>
      </c>
      <c r="C24" t="inlineStr">
        <is>
          <t>Amazon.com</t>
        </is>
      </c>
      <c r="D24" t="inlineStr">
        <is>
          <t>indeed</t>
        </is>
      </c>
      <c r="E24" t="inlineStr"/>
      <c r="F24" t="inlineStr"/>
      <c r="G24" t="inlineStr">
        <is>
          <t>Nashville, TN, US</t>
        </is>
      </c>
      <c r="H24" s="2" t="n">
        <v>45931</v>
      </c>
      <c r="I24"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in-7a83a8428ab926c1</t>
        </is>
      </c>
      <c r="B25" t="inlineStr">
        <is>
          <t>Sr. Program Manager, Same Day Programs</t>
        </is>
      </c>
      <c r="C25" t="inlineStr">
        <is>
          <t>Amazon.com</t>
        </is>
      </c>
      <c r="D25" t="inlineStr">
        <is>
          <t>indeed</t>
        </is>
      </c>
      <c r="E25" t="inlineStr"/>
      <c r="F25" t="inlineStr"/>
      <c r="G25" t="inlineStr">
        <is>
          <t>Nashville, TN, US</t>
        </is>
      </c>
      <c r="H25" s="2" t="n">
        <v>45931</v>
      </c>
      <c r="I25"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in-4883d435b2cdfdde</t>
        </is>
      </c>
      <c r="B26" t="inlineStr">
        <is>
          <t>Sr. Program Manager, Same Day Programs,</t>
        </is>
      </c>
      <c r="C26" t="inlineStr">
        <is>
          <t>Amazon.com</t>
        </is>
      </c>
      <c r="D26" t="inlineStr">
        <is>
          <t>indeed</t>
        </is>
      </c>
      <c r="E26" t="inlineStr"/>
      <c r="F26" t="inlineStr"/>
      <c r="G26" t="inlineStr">
        <is>
          <t>Bellevue, WA, US</t>
        </is>
      </c>
      <c r="H26" s="2" t="n">
        <v>45931</v>
      </c>
      <c r="I26"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in-c1312012468d90fc</t>
        </is>
      </c>
      <c r="B27" t="inlineStr">
        <is>
          <t>Sr. Program Manager, Same Day Programs</t>
        </is>
      </c>
      <c r="C27" t="inlineStr">
        <is>
          <t>Amazon.com</t>
        </is>
      </c>
      <c r="D27" t="inlineStr">
        <is>
          <t>indeed</t>
        </is>
      </c>
      <c r="E27" t="inlineStr"/>
      <c r="F27" t="inlineStr"/>
      <c r="G27" t="inlineStr">
        <is>
          <t>Bellevue, WA, US</t>
        </is>
      </c>
      <c r="H27" s="2" t="n">
        <v>45931</v>
      </c>
      <c r="I27"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in-5924b0821e3e2887</t>
        </is>
      </c>
      <c r="B28" t="inlineStr">
        <is>
          <t>Sr. Product Manager - Tech , AFX - Sales Planning Tools</t>
        </is>
      </c>
      <c r="C28" t="inlineStr">
        <is>
          <t>Amazon Web Services</t>
        </is>
      </c>
      <c r="D28" t="inlineStr">
        <is>
          <t>indeed</t>
        </is>
      </c>
      <c r="E28" t="inlineStr"/>
      <c r="F28" t="inlineStr"/>
      <c r="G28" t="inlineStr">
        <is>
          <t>Dallas, TX, US</t>
        </is>
      </c>
      <c r="H28" s="2" t="n">
        <v>45923</v>
      </c>
      <c r="I28" t="inlineStr">
        <is>
          <t>**DESCRIPTION**
---------------
Do you want to be part of an innovative and rapidly growing business? Are you looking for a role with ownership, autonomy, and the ability to lead teams across the globe to launch AI/ML enterprise applications?  
Then you should join the AWS Sales Marketing and Global Services (SMGS) Sales Planning Tools team. We provide the services, technology, and data to support the rapidly growing world\-wide AWS Sales organization. This includes finding inventive ways to scale the business, which will be critical for AWS to continue its strong growth. Our team manages a portfolio of complex, high\-impact, and intelligent planning tools, with an exciting multi\-year product roadmap. These are global, enterprise grade web applications that are early and mid\-stage in their lifecycle, and include both 1P and 3P products.
Our team is seeking a talented, innovative Sr. Product Manager with exceptional invent and simplify skillset, problem solving abilities, clear communication skills, think big mindset, and the ability to translate customers and business needs into inventive software solutions.
You will be responsible for onboarding the AWS Partner Organization to AWS Sales Planning, specifically owning GTM Partner Hierarchy, Partner Segmentation, and Partner Account Ownership. This entails designing and delivering a global, enterprise grade web\-based sales planning application to be used by the Partner organization for Partner Planning. The AWS Partner Organization is a rapidly growing business, and you will stand to deliver transformational value across the worldwide AWS Sales organization. You will work with a dedicated engineering pod; our product team works with a 70 person, and growing, engineering team. You will define the product’s 2\-3 year vision and strategy, including the delivery of automation and intelligent recommendations to drive a more efficient and effective Partner Sales Planning. You will be responsible for roadmap development, product requirements management, stakeholder and customer engagement, leadership reviews, user testing, and launch strategy and execution. You will partner with engineering, global sales customers, a data science team, and other application owners across the SMGS organization.  
Key job responsibilities  
* Develop product strategy and product definition.
* Define and manage multi\-year product roadmap, including introduction of AI/ML to transform AWS planning.
* Capture, document, and communicate business and technical product requirements.
* Translate requirements into features and user stories. Drive technical team understanding of requirements.
* Manage technical build against business requirements. Provide thought leadership with engineering on implementation.
* Collaborate with and influence key stakeholders from Global AWS Sales and Sales Operations teams and other System and Application teams across WWRO.
* Lead document development for leadership reviews.
* Own project status updates to customers, stakeholders, and leadership.
* Plan and conduct user testing.
* Drive change management and adoption of solution across AWS Sales and Sales Operations
* Manage post\-launch activities (user support, new feature development, etc.)
* Establish KPIs, identify gaps, and improve performance and adoption of the platform.
* Deep dive problems or opportunity areas and propose solutions to address.
* Generate new ideas to drive improvement, efficiency and automation across AWS Sales that will enable AWS to scale and grow.
A day in the life  
* Design new products and capabilities that enable business users to operate more effectively, intelligently, and efficiently.
* Engage with systems that are at the forefront of technology, pioneering new methods and approaches to delivering software, serving customers, and enabling large, distributed, worldwide sales teams.
* Work closely with engineering and other technical product/program managers to define, build, drive and measure mechanisms to enable our field sales teams
* Leverage strong communication skills and a passion for using data and software to drive business decisions at scale
About the team  
We have a team culture that encourages innovation and we expect team members and management alike to take high degree of ownership for their program vision and execution of ideas. Beyond a strong technical background and proven track record of product management, a successful candidate will have experience driving strategy and influencing executive leadership. We are looking for someone that is a self\-starter, someone that approaches complex business questions with data and curiosity, and a person that dives below the surface to identify the root cause and "so what" rather than just superficial trends.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 and mid\-market accounts to enterprise\-level customers including public sector.**BASIC QUALIFICATIONS**
------------------------
* Bachelor's degree in a quantitative/technical field such as computer science, engineering, statistics
* 5\+ years of technical product or program management experience
* Experience with end to end product delivery
* Experience contributing to engineering discussions around technology and data decisions and strategy related to product
* Excellent verbal and written communication; able to communicate effectively with technical and non\-technical individuals
**PREFERRED QUALIFICATIONS**
----------------------------
* Master's degree
* Experience managing technical products or online services
* Experience in building and driving adoption of new tools
* Experience contributing to engineering discussions around technology decisions and strategy related to a product
* Comfort with ambiguity; demonstrated track record of independently developing creative solutions to problems
* Demonstrated ability to successfully influence and drive stakeholders to decision without formal authority
* Experience with developing products and features for the sales and marketing space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in-c966d31ce233a168</t>
        </is>
      </c>
      <c r="B29" t="inlineStr">
        <is>
          <t>Sr. Product Manager - Tech , AFX - Sales Planning Tools</t>
        </is>
      </c>
      <c r="C29" t="inlineStr">
        <is>
          <t>Amazon Web Services</t>
        </is>
      </c>
      <c r="D29" t="inlineStr">
        <is>
          <t>indeed</t>
        </is>
      </c>
      <c r="E29" t="inlineStr"/>
      <c r="F29" t="inlineStr"/>
      <c r="G29" t="inlineStr">
        <is>
          <t>Seattle, WA, US</t>
        </is>
      </c>
      <c r="H29" s="2" t="n">
        <v>45923</v>
      </c>
      <c r="I29" t="inlineStr">
        <is>
          <t>**DESCRIPTION**
---------------
Do you want to be part of an innovative and rapidly growing business? Are you looking for a role with ownership, autonomy, and the ability to lead teams across the globe to launch AI/ML enterprise applications?  
Then you should join the AWS Sales Marketing and Global Services (SMGS) Sales Planning Tools team. We provide the services, technology, and data to support the rapidly growing world\-wide AWS Sales organization. This includes finding inventive ways to scale the business, which will be critical for AWS to continue its strong growth. Our team manages a portfolio of complex, high\-impact, and intelligent planning tools, with an exciting multi\-year product roadmap. These are global, enterprise grade web applications that are early and mid\-stage in their lifecycle, and include both 1P and 3P products.
Our team is seeking a talented, innovative Sr. Product Manager with exceptional invent and simplify skillset, problem solving abilities, clear communication skills, think big mindset, and the ability to translate customers and business needs into inventive software solutions.
You will be responsible for onboarding the AWS Partner Organization to AWS Sales Planning, specifically owning GTM Partner Hierarchy, Partner Segmentation, and Partner Account Ownership. This entails designing and delivering a global, enterprise grade web\-based sales planning application to be used by the Partner organization for Partner Planning. The AWS Partner Organization is a rapidly growing business, and you will stand to deliver transformational value across the worldwide AWS Sales organization. You will work with a dedicated engineering pod; our product team works with a 70 person, and growing, engineering team. You will define the product’s 2\-3 year vision and strategy, including the delivery of automation and intelligent recommendations to drive a more efficient and effective Partner Sales Planning. You will be responsible for roadmap development, product requirements management, stakeholder and customer engagement, leadership reviews, user testing, and launch strategy and execution. You will partner with engineering, global sales customers, a data science team, and other application owners across the SMGS organization.  
Key job responsibilities  
* Develop product strategy and product definition.
* Define and manage multi\-year product roadmap, including introduction of AI/ML to transform AWS planning.
* Capture, document, and communicate business and technical product requirements.
* Translate requirements into features and user stories. Drive technical team understanding of requirements.
* Manage technical build against business requirements. Provide thought leadership with engineering on implementation.
* Collaborate with and influence key stakeholders from Global AWS Sales and Sales Operations teams and other System and Application teams across WWRO.
* Lead document development for leadership reviews.
* Own project status updates to customers, stakeholders, and leadership.
* Plan and conduct user testing.
* Drive change management and adoption of solution across AWS Sales and Sales Operations
* Manage post\-launch activities (user support, new feature development, etc.)
* Establish KPIs, identify gaps, and improve performance and adoption of the platform.
* Deep dive problems or opportunity areas and propose solutions to address.
* Generate new ideas to drive improvement, efficiency and automation across AWS Sales that will enable AWS to scale and grow.
A day in the life  
* Design new products and capabilities that enable business users to operate more effectively, intelligently, and efficiently.
* Engage with systems that are at the forefront of technology, pioneering new methods and approaches to delivering software, serving customers, and enabling large, distributed, worldwide sales teams.
* Work closely with engineering and other technical product/program managers to define, build, drive and measure mechanisms to enable our field sales teams
* Leverage strong communication skills and a passion for using data and software to drive business decisions at scale
About the team  
We have a team culture that encourages innovation and we expect team members and management alike to take high degree of ownership for their program vision and execution of ideas. Beyond a strong technical background and proven track record of product management, a successful candidate will have experience driving strategy and influencing executive leadership. We are looking for someone that is a self\-starter, someone that approaches complex business questions with data and curiosity, and a person that dives below the surface to identify the root cause and "so what" rather than just superficial trends.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 and mid\-market accounts to enterprise\-level customers including public sector.**BASIC QUALIFICATIONS**
------------------------
* Bachelor's degree in a quantitative/technical field such as computer science, engineering, statistics
* 5\+ years of technical product or program management experience
* Experience with end to end product delivery
* Experience contributing to engineering discussions around technology and data decisions and strategy related to product
* Excellent verbal and written communication; able to communicate effectively with technical and non\-technical individuals
**PREFERRED QUALIFICATIONS**
----------------------------
* Master's degree
* Experience managing technical products or online services
* Experience in building and driving adoption of new tools
* Experience contributing to engineering discussions around technology decisions and strategy related to a product
* Comfort with ambiguity; demonstrated track record of independently developing creative solutions to problems
* Demonstrated ability to successfully influence and drive stakeholders to decision without formal authority
* Experience with developing products and features for the sales and marketing space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in-eb6a0633c39bcc1e</t>
        </is>
      </c>
      <c r="B30" t="inlineStr">
        <is>
          <t>Amazon Last Mile Fleet Program Manager, In Life Services-Recalls, Retrofits, and Tires</t>
        </is>
      </c>
      <c r="C30" t="inlineStr">
        <is>
          <t>Amazon.com</t>
        </is>
      </c>
      <c r="D30" t="inlineStr">
        <is>
          <t>indeed</t>
        </is>
      </c>
      <c r="E30" t="inlineStr"/>
      <c r="F30" t="inlineStr"/>
      <c r="G30" t="inlineStr">
        <is>
          <t>Arlington, VA, US</t>
        </is>
      </c>
      <c r="H30" s="2" t="n">
        <v>45911</v>
      </c>
      <c r="I30"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in-bb244b49e17c6429</t>
        </is>
      </c>
      <c r="B31" t="inlineStr">
        <is>
          <t>Amazon Last Mile Fleet Program Manager, In Life Services-Recalls, Retrofits, and Tires</t>
        </is>
      </c>
      <c r="C31" t="inlineStr">
        <is>
          <t>Amazon.com</t>
        </is>
      </c>
      <c r="D31" t="inlineStr">
        <is>
          <t>indeed</t>
        </is>
      </c>
      <c r="E31" t="inlineStr"/>
      <c r="F31" t="inlineStr"/>
      <c r="G31" t="inlineStr">
        <is>
          <t>Bellevue, WA, US</t>
        </is>
      </c>
      <c r="H31" s="2" t="n">
        <v>45911</v>
      </c>
      <c r="I31"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in-657c9fa6bbfd03a3</t>
        </is>
      </c>
      <c r="B32" t="inlineStr">
        <is>
          <t>Amazon Last Mile Fleet Program Manager, In Life Services-Recalls, Retrofits, and Tires</t>
        </is>
      </c>
      <c r="C32" t="inlineStr">
        <is>
          <t>Amazon.com</t>
        </is>
      </c>
      <c r="D32" t="inlineStr">
        <is>
          <t>indeed</t>
        </is>
      </c>
      <c r="E32" t="inlineStr"/>
      <c r="F32" t="inlineStr"/>
      <c r="G32" t="inlineStr">
        <is>
          <t>Nashville, TN, US</t>
        </is>
      </c>
      <c r="H32" s="2" t="n">
        <v>45911</v>
      </c>
      <c r="I32"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in-15f67916c2c71b91</t>
        </is>
      </c>
      <c r="B33" t="inlineStr">
        <is>
          <t>Sr Materials Program Manager, Ring Supply Chain and Operations</t>
        </is>
      </c>
      <c r="C33" t="inlineStr">
        <is>
          <t>Amazon.com</t>
        </is>
      </c>
      <c r="D33" t="inlineStr">
        <is>
          <t>indeed</t>
        </is>
      </c>
      <c r="E33" t="inlineStr"/>
      <c r="F33" t="inlineStr"/>
      <c r="G33" t="inlineStr">
        <is>
          <t>Sunnyvale, CA, US</t>
        </is>
      </c>
      <c r="H33" s="2" t="n">
        <v>45898</v>
      </c>
      <c r="I33"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in-12f713d434c5be1e</t>
        </is>
      </c>
      <c r="B34" t="inlineStr">
        <is>
          <t>Sr Materials Program Manager, Ring Supply Chain and Operations</t>
        </is>
      </c>
      <c r="C34" t="inlineStr">
        <is>
          <t>Amazon.com</t>
        </is>
      </c>
      <c r="D34" t="inlineStr">
        <is>
          <t>indeed</t>
        </is>
      </c>
      <c r="E34" t="inlineStr"/>
      <c r="F34" t="inlineStr"/>
      <c r="G34" t="inlineStr">
        <is>
          <t>Hawthorne, CA, US</t>
        </is>
      </c>
      <c r="H34" s="2" t="n">
        <v>45898</v>
      </c>
      <c r="I34"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in-5d4dec828186093f</t>
        </is>
      </c>
      <c r="B35" t="inlineStr">
        <is>
          <t>Sr. Product Manager, Sub-Same Day (SSD) - DOT, SSD Delivery Ops Tech</t>
        </is>
      </c>
      <c r="C35" t="inlineStr">
        <is>
          <t>Amazon.com</t>
        </is>
      </c>
      <c r="D35" t="inlineStr">
        <is>
          <t>indeed</t>
        </is>
      </c>
      <c r="E35" t="inlineStr"/>
      <c r="F35" t="inlineStr"/>
      <c r="G35" t="inlineStr">
        <is>
          <t>New York, NY, US</t>
        </is>
      </c>
      <c r="H35" s="2" t="n">
        <v>45876</v>
      </c>
      <c r="I35"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in-2816f99bececb67b</t>
        </is>
      </c>
      <c r="B36" t="inlineStr">
        <is>
          <t>Sr. Product Manager, Sub-Same Day (SSD) - DOT, SSD Delivery Ops Tech</t>
        </is>
      </c>
      <c r="C36" t="inlineStr">
        <is>
          <t>Amazon.com</t>
        </is>
      </c>
      <c r="D36" t="inlineStr">
        <is>
          <t>indeed</t>
        </is>
      </c>
      <c r="E36" t="inlineStr"/>
      <c r="F36" t="inlineStr"/>
      <c r="G36" t="inlineStr">
        <is>
          <t>Nashville, TN, US</t>
        </is>
      </c>
      <c r="H36" s="2" t="n">
        <v>45876</v>
      </c>
      <c r="I36"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in-73f7fbb1de193ab2</t>
        </is>
      </c>
      <c r="B37" t="inlineStr">
        <is>
          <t>Sr. Product Manager, Sub-Same Day (SSD) - DOT, SSD Delivery Ops Tech</t>
        </is>
      </c>
      <c r="C37" t="inlineStr">
        <is>
          <t>Amazon.com</t>
        </is>
      </c>
      <c r="D37" t="inlineStr">
        <is>
          <t>indeed</t>
        </is>
      </c>
      <c r="E37" t="inlineStr"/>
      <c r="F37" t="inlineStr"/>
      <c r="G37" t="inlineStr">
        <is>
          <t>Bellevue, WA, US</t>
        </is>
      </c>
      <c r="H37" s="2" t="n">
        <v>45876</v>
      </c>
      <c r="I37"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in-09170eeeec226343</t>
        </is>
      </c>
      <c r="B38" t="inlineStr">
        <is>
          <t>Sr. Product Manager, Sub-Same Day (SSD) Delivery</t>
        </is>
      </c>
      <c r="C38" t="inlineStr">
        <is>
          <t>Amazon.com</t>
        </is>
      </c>
      <c r="D38" t="inlineStr">
        <is>
          <t>indeed</t>
        </is>
      </c>
      <c r="E38" t="inlineStr"/>
      <c r="F38" t="inlineStr"/>
      <c r="G38" t="inlineStr">
        <is>
          <t>Nashville, TN, US</t>
        </is>
      </c>
      <c r="H38" s="2" t="n">
        <v>45874</v>
      </c>
      <c r="I38"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in-9ecda2da99375c88</t>
        </is>
      </c>
      <c r="B39" t="inlineStr">
        <is>
          <t>Sr. Product Manager, Sub-Same Day (SSD) Delivery</t>
        </is>
      </c>
      <c r="C39" t="inlineStr">
        <is>
          <t>Amazon.com</t>
        </is>
      </c>
      <c r="D39" t="inlineStr">
        <is>
          <t>indeed</t>
        </is>
      </c>
      <c r="E39" t="inlineStr"/>
      <c r="F39" t="inlineStr"/>
      <c r="G39" t="inlineStr">
        <is>
          <t>New York, NY, US</t>
        </is>
      </c>
      <c r="H39" s="2" t="n">
        <v>45874</v>
      </c>
      <c r="I39"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in-1e542b35d52249d7</t>
        </is>
      </c>
      <c r="B40" t="inlineStr">
        <is>
          <t>Sr. Product Manager, Sub-Same Day (SSD) Delivery</t>
        </is>
      </c>
      <c r="C40" t="inlineStr">
        <is>
          <t>Amazon.com</t>
        </is>
      </c>
      <c r="D40" t="inlineStr">
        <is>
          <t>indeed</t>
        </is>
      </c>
      <c r="E40" t="inlineStr"/>
      <c r="F40" t="inlineStr"/>
      <c r="G40" t="inlineStr">
        <is>
          <t>Bellevue, WA, US</t>
        </is>
      </c>
      <c r="H40" s="2" t="n">
        <v>45874</v>
      </c>
      <c r="I40"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in-7369096650fb60d5</t>
        </is>
      </c>
      <c r="B41" t="inlineStr">
        <is>
          <t>Sr. Product Manager Technical - Electrical, OneMHS</t>
        </is>
      </c>
      <c r="C41" t="inlineStr">
        <is>
          <t>Amazon.com</t>
        </is>
      </c>
      <c r="D41" t="inlineStr">
        <is>
          <t>indeed</t>
        </is>
      </c>
      <c r="E41" t="inlineStr"/>
      <c r="F41" t="inlineStr"/>
      <c r="G41" t="inlineStr">
        <is>
          <t>Arlington, VA, US</t>
        </is>
      </c>
      <c r="H41" s="2" t="n">
        <v>45867</v>
      </c>
      <c r="I41"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in-4c2d93d0d67b08ae</t>
        </is>
      </c>
      <c r="B42" t="inlineStr">
        <is>
          <t>Sr. Product Manager Technical - Electrical, OneMHS</t>
        </is>
      </c>
      <c r="C42" t="inlineStr">
        <is>
          <t>Amazon.com</t>
        </is>
      </c>
      <c r="D42" t="inlineStr">
        <is>
          <t>indeed</t>
        </is>
      </c>
      <c r="E42" t="inlineStr"/>
      <c r="F42" t="inlineStr"/>
      <c r="G42" t="inlineStr">
        <is>
          <t>Springdale, OH, US</t>
        </is>
      </c>
      <c r="H42" s="2" t="n">
        <v>45867</v>
      </c>
      <c r="I42"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in-4a498fd8f70dba47</t>
        </is>
      </c>
      <c r="B43" t="inlineStr">
        <is>
          <t>Sr. Product Manager Technical - Electrical, OneMHS</t>
        </is>
      </c>
      <c r="C43" t="inlineStr">
        <is>
          <t>Amazon.com</t>
        </is>
      </c>
      <c r="D43" t="inlineStr">
        <is>
          <t>indeed</t>
        </is>
      </c>
      <c r="E43" t="inlineStr"/>
      <c r="F43" t="inlineStr"/>
      <c r="G43" t="inlineStr">
        <is>
          <t>Nashville, TN, US</t>
        </is>
      </c>
      <c r="H43" s="2" t="n">
        <v>45867</v>
      </c>
      <c r="I43"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in-3ca5550d6ae37a6b</t>
        </is>
      </c>
      <c r="B44" t="inlineStr">
        <is>
          <t>Sr. Product Manager Technical - Electrical, OneMHS</t>
        </is>
      </c>
      <c r="C44" t="inlineStr">
        <is>
          <t>Amazon.com</t>
        </is>
      </c>
      <c r="D44" t="inlineStr">
        <is>
          <t>indeed</t>
        </is>
      </c>
      <c r="E44" t="inlineStr"/>
      <c r="F44" t="inlineStr"/>
      <c r="G44" t="inlineStr">
        <is>
          <t>Hebron, KY, US</t>
        </is>
      </c>
      <c r="H44" s="2" t="n">
        <v>45867</v>
      </c>
      <c r="I44"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in-1f734b371c944a66</t>
        </is>
      </c>
      <c r="B45" t="inlineStr">
        <is>
          <t>Sr. Product Manager Technical - Electrical, OneMHS</t>
        </is>
      </c>
      <c r="C45" t="inlineStr">
        <is>
          <t>Amazon.com</t>
        </is>
      </c>
      <c r="D45" t="inlineStr">
        <is>
          <t>indeed</t>
        </is>
      </c>
      <c r="E45" t="inlineStr"/>
      <c r="F45" t="inlineStr"/>
      <c r="G45" t="inlineStr">
        <is>
          <t>Westborough, MA, US</t>
        </is>
      </c>
      <c r="H45" s="2" t="n">
        <v>45867</v>
      </c>
      <c r="I45"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in-cfc2e49ef288a652</t>
        </is>
      </c>
      <c r="B46" t="inlineStr">
        <is>
          <t>Sr. Product Manager Technical - Electrical, OneMHS</t>
        </is>
      </c>
      <c r="C46" t="inlineStr">
        <is>
          <t>Amazon.com</t>
        </is>
      </c>
      <c r="D46" t="inlineStr">
        <is>
          <t>indeed</t>
        </is>
      </c>
      <c r="E46" t="inlineStr"/>
      <c r="F46" t="inlineStr"/>
      <c r="G46" t="inlineStr">
        <is>
          <t>Bellevue, WA, US</t>
        </is>
      </c>
      <c r="H46" s="2" t="n">
        <v>45867</v>
      </c>
      <c r="I46"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in-90075c483c72db71</t>
        </is>
      </c>
      <c r="B47" t="inlineStr">
        <is>
          <t>Environmental Program Manager, AWS Environmental, AWS EHS Compliance</t>
        </is>
      </c>
      <c r="C47" t="inlineStr">
        <is>
          <t>Amazon.com</t>
        </is>
      </c>
      <c r="D47" t="inlineStr">
        <is>
          <t>indeed</t>
        </is>
      </c>
      <c r="E47" t="inlineStr"/>
      <c r="F47" t="inlineStr"/>
      <c r="G47" t="inlineStr">
        <is>
          <t>New Carlisle, IN, US</t>
        </is>
      </c>
      <c r="H47" s="2" t="n">
        <v>45860</v>
      </c>
      <c r="I47"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in-ba9f0ebd0cf68f30</t>
        </is>
      </c>
      <c r="B48" t="inlineStr">
        <is>
          <t>Environmental Program Manager, AWS Environmental, AWS EHS Compliance</t>
        </is>
      </c>
      <c r="C48" t="inlineStr">
        <is>
          <t>Amazon.com</t>
        </is>
      </c>
      <c r="D48" t="inlineStr">
        <is>
          <t>indeed</t>
        </is>
      </c>
      <c r="E48" t="inlineStr"/>
      <c r="F48" t="inlineStr"/>
      <c r="G48" t="inlineStr">
        <is>
          <t>OH, US</t>
        </is>
      </c>
      <c r="H48" s="2" t="n">
        <v>45860</v>
      </c>
      <c r="I4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in-779146b79a3fd10e</t>
        </is>
      </c>
      <c r="B49" t="inlineStr">
        <is>
          <t>Environmental Program Manager, AWS Environmental, AWS EHS Compliance</t>
        </is>
      </c>
      <c r="C49" t="inlineStr">
        <is>
          <t>Amazon.com</t>
        </is>
      </c>
      <c r="D49" t="inlineStr">
        <is>
          <t>indeed</t>
        </is>
      </c>
      <c r="E49" t="inlineStr"/>
      <c r="F49" t="inlineStr"/>
      <c r="G49" t="inlineStr">
        <is>
          <t>OH, US</t>
        </is>
      </c>
      <c r="H49" s="2" t="n">
        <v>45860</v>
      </c>
      <c r="I49"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in-0d9307a00a594ffa</t>
        </is>
      </c>
      <c r="B50" t="inlineStr">
        <is>
          <t>Environmental Program Manager, AWS Environmental, AWS EHS Compliance</t>
        </is>
      </c>
      <c r="C50" t="inlineStr">
        <is>
          <t>Amazon.com</t>
        </is>
      </c>
      <c r="D50" t="inlineStr">
        <is>
          <t>indeed</t>
        </is>
      </c>
      <c r="E50" t="inlineStr"/>
      <c r="F50" t="inlineStr"/>
      <c r="G50" t="inlineStr">
        <is>
          <t>Columbus, OH, US</t>
        </is>
      </c>
      <c r="H50" s="2" t="n">
        <v>45860</v>
      </c>
      <c r="I5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in-026af33803de2f3d</t>
        </is>
      </c>
      <c r="B51" t="inlineStr">
        <is>
          <t>Senior Product Manager - Tech, Fire TV</t>
        </is>
      </c>
      <c r="C51" t="inlineStr">
        <is>
          <t>Amazon.com</t>
        </is>
      </c>
      <c r="D51" t="inlineStr">
        <is>
          <t>indeed</t>
        </is>
      </c>
      <c r="E51" t="inlineStr"/>
      <c r="F51" t="inlineStr"/>
      <c r="G51" t="inlineStr">
        <is>
          <t>Seattle, WA, US</t>
        </is>
      </c>
      <c r="H51" s="2" t="n">
        <v>45855</v>
      </c>
      <c r="I51"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in-1de23b00c5ef7efa</t>
        </is>
      </c>
      <c r="B52" t="inlineStr">
        <is>
          <t>Senior Product Manager - Tech, Fire TV</t>
        </is>
      </c>
      <c r="C52" t="inlineStr">
        <is>
          <t>Amazon.com</t>
        </is>
      </c>
      <c r="D52" t="inlineStr">
        <is>
          <t>indeed</t>
        </is>
      </c>
      <c r="E52" t="inlineStr"/>
      <c r="F52" t="inlineStr"/>
      <c r="G52" t="inlineStr">
        <is>
          <t>Sunnyvale, CA, US</t>
        </is>
      </c>
      <c r="H52" s="2" t="n">
        <v>45855</v>
      </c>
      <c r="I52"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in-1bc2cca13ad4c956</t>
        </is>
      </c>
      <c r="B53" t="inlineStr">
        <is>
          <t>Senior Product Manager - Technical, Alexa Communications</t>
        </is>
      </c>
      <c r="C53" t="inlineStr">
        <is>
          <t>Amazon.com</t>
        </is>
      </c>
      <c r="D53" t="inlineStr">
        <is>
          <t>indeed</t>
        </is>
      </c>
      <c r="E53" t="inlineStr"/>
      <c r="F53" t="inlineStr"/>
      <c r="G53" t="inlineStr">
        <is>
          <t>Seattle, WA, US</t>
        </is>
      </c>
      <c r="H53" s="2" t="n">
        <v>45851</v>
      </c>
      <c r="I53"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in-ea61e2586e35b541</t>
        </is>
      </c>
      <c r="B54" t="inlineStr">
        <is>
          <t>Senior Product Manager - Technical, Alexa Communications</t>
        </is>
      </c>
      <c r="C54" t="inlineStr">
        <is>
          <t>Amazon.com</t>
        </is>
      </c>
      <c r="D54" t="inlineStr">
        <is>
          <t>indeed</t>
        </is>
      </c>
      <c r="E54" t="inlineStr"/>
      <c r="F54" t="inlineStr"/>
      <c r="G54" t="inlineStr">
        <is>
          <t>Sunnyvale, CA, US</t>
        </is>
      </c>
      <c r="H54" s="2" t="n">
        <v>45851</v>
      </c>
      <c r="I54"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in-5c195320a11a1010</t>
        </is>
      </c>
      <c r="B55" t="inlineStr">
        <is>
          <t>Principal Product Manager Tech - Devices, Fire TV Devices</t>
        </is>
      </c>
      <c r="C55" t="inlineStr">
        <is>
          <t>Amazon.com</t>
        </is>
      </c>
      <c r="D55" t="inlineStr">
        <is>
          <t>indeed</t>
        </is>
      </c>
      <c r="E55" t="inlineStr"/>
      <c r="F55" t="inlineStr"/>
      <c r="G55" t="inlineStr">
        <is>
          <t>Seattle, WA, US</t>
        </is>
      </c>
      <c r="H55" s="2" t="n">
        <v>45844</v>
      </c>
      <c r="I55"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in-e1243b4d132f7d86</t>
        </is>
      </c>
      <c r="B56" t="inlineStr">
        <is>
          <t>Principal Product Manager Tech - Devices, Fire TV Devices</t>
        </is>
      </c>
      <c r="C56" t="inlineStr">
        <is>
          <t>Amazon.com</t>
        </is>
      </c>
      <c r="D56" t="inlineStr">
        <is>
          <t>indeed</t>
        </is>
      </c>
      <c r="E56" t="inlineStr"/>
      <c r="F56" t="inlineStr"/>
      <c r="G56" t="inlineStr">
        <is>
          <t>Sunnyvale, CA, US</t>
        </is>
      </c>
      <c r="H56" s="2" t="n">
        <v>45844</v>
      </c>
      <c r="I56"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in-cd81071bbec5f696</t>
        </is>
      </c>
      <c r="B57" t="inlineStr">
        <is>
          <t>Last Mile Program Manager, Global Fleet &amp; Product</t>
        </is>
      </c>
      <c r="C57" t="inlineStr">
        <is>
          <t>Amazon.com</t>
        </is>
      </c>
      <c r="D57" t="inlineStr">
        <is>
          <t>indeed</t>
        </is>
      </c>
      <c r="E57" t="inlineStr"/>
      <c r="F57" t="inlineStr"/>
      <c r="G57" t="inlineStr">
        <is>
          <t>Bellevue, WA, US</t>
        </is>
      </c>
      <c r="H57" s="2" t="n">
        <v>45844</v>
      </c>
      <c r="I57"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in-51d3b978c49628ed</t>
        </is>
      </c>
      <c r="B58" t="inlineStr">
        <is>
          <t>Last Mile Program Manager, Global Fleet &amp; Product</t>
        </is>
      </c>
      <c r="C58" t="inlineStr">
        <is>
          <t>Amazon.com</t>
        </is>
      </c>
      <c r="D58" t="inlineStr">
        <is>
          <t>indeed</t>
        </is>
      </c>
      <c r="E58" t="inlineStr"/>
      <c r="F58" t="inlineStr"/>
      <c r="G58" t="inlineStr">
        <is>
          <t>Arlington, VA, US</t>
        </is>
      </c>
      <c r="H58" s="2" t="n">
        <v>45844</v>
      </c>
      <c r="I58"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in-f1f120da6b92b2dd</t>
        </is>
      </c>
      <c r="B59" t="inlineStr">
        <is>
          <t>Last Mile Program Manager, Global Fleet &amp; Product</t>
        </is>
      </c>
      <c r="C59" t="inlineStr">
        <is>
          <t>Amazon.com</t>
        </is>
      </c>
      <c r="D59" t="inlineStr">
        <is>
          <t>indeed</t>
        </is>
      </c>
      <c r="E59" t="inlineStr"/>
      <c r="F59" t="inlineStr"/>
      <c r="G59" t="inlineStr">
        <is>
          <t>Nashville, TN, US</t>
        </is>
      </c>
      <c r="H59" s="2" t="n">
        <v>45844</v>
      </c>
      <c r="I59"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in-b8f9f6a0074404dc</t>
        </is>
      </c>
      <c r="B60" t="inlineStr">
        <is>
          <t>Principal Product Manager-Technical, AGI, Artificial General Intellgence</t>
        </is>
      </c>
      <c r="C60" t="inlineStr">
        <is>
          <t>Amazon.com</t>
        </is>
      </c>
      <c r="D60" t="inlineStr">
        <is>
          <t>indeed</t>
        </is>
      </c>
      <c r="E60" t="inlineStr"/>
      <c r="F60" t="inlineStr"/>
      <c r="G60" t="inlineStr">
        <is>
          <t>Boston, MA, US</t>
        </is>
      </c>
      <c r="H60" s="2" t="n">
        <v>45824</v>
      </c>
      <c r="I60"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in-1f6f835886bceb25</t>
        </is>
      </c>
      <c r="B61" t="inlineStr">
        <is>
          <t>Principal Product Manager-Technical, AGI, Artificial General Intellgence</t>
        </is>
      </c>
      <c r="C61" t="inlineStr">
        <is>
          <t>Amazon.com</t>
        </is>
      </c>
      <c r="D61" t="inlineStr">
        <is>
          <t>indeed</t>
        </is>
      </c>
      <c r="E61" t="inlineStr"/>
      <c r="F61" t="inlineStr"/>
      <c r="G61" t="inlineStr">
        <is>
          <t>Sunnyvale, CA, US</t>
        </is>
      </c>
      <c r="H61" s="2" t="n">
        <v>45824</v>
      </c>
      <c r="I61"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in-8bb3efb9b83480ec</t>
        </is>
      </c>
      <c r="B62" t="inlineStr">
        <is>
          <t>Principal Product Manager-Technical, AGI, Artificial General Intellgence</t>
        </is>
      </c>
      <c r="C62" t="inlineStr">
        <is>
          <t>Amazon.com</t>
        </is>
      </c>
      <c r="D62" t="inlineStr">
        <is>
          <t>indeed</t>
        </is>
      </c>
      <c r="E62" t="inlineStr"/>
      <c r="F62" t="inlineStr"/>
      <c r="G62" t="inlineStr">
        <is>
          <t>Bellevue, WA, US</t>
        </is>
      </c>
      <c r="H62" s="2" t="n">
        <v>45824</v>
      </c>
      <c r="I62"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in-e97c8f1865d86049</t>
        </is>
      </c>
      <c r="B63" t="inlineStr">
        <is>
          <t>Sr. Ergonomist/Principal Program Manager, Global Ergonomics</t>
        </is>
      </c>
      <c r="C63" t="inlineStr">
        <is>
          <t>Amazon.com</t>
        </is>
      </c>
      <c r="D63" t="inlineStr">
        <is>
          <t>indeed</t>
        </is>
      </c>
      <c r="E63" t="inlineStr"/>
      <c r="F63" t="inlineStr"/>
      <c r="G63" t="inlineStr">
        <is>
          <t>Nashville, TN, US</t>
        </is>
      </c>
      <c r="H63" s="2" t="n">
        <v>45771</v>
      </c>
      <c r="I63"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in-13ae288cf8e1faa2</t>
        </is>
      </c>
      <c r="B64" t="inlineStr">
        <is>
          <t>Sr. Ergonomist/Principal Program Manager, Global Ergonomics</t>
        </is>
      </c>
      <c r="C64" t="inlineStr">
        <is>
          <t>Amazon.com</t>
        </is>
      </c>
      <c r="D64" t="inlineStr">
        <is>
          <t>indeed</t>
        </is>
      </c>
      <c r="E64" t="inlineStr"/>
      <c r="F64" t="inlineStr"/>
      <c r="G64" t="inlineStr">
        <is>
          <t>Bellevue, WA, US</t>
        </is>
      </c>
      <c r="H64" s="2" t="n">
        <v>45771</v>
      </c>
      <c r="I64"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in-fd3309c94659e49c</t>
        </is>
      </c>
      <c r="B65" t="inlineStr">
        <is>
          <t>Sr. Product Manager – Tech, Tablets</t>
        </is>
      </c>
      <c r="C65" t="inlineStr">
        <is>
          <t>Amazon.com</t>
        </is>
      </c>
      <c r="D65" t="inlineStr">
        <is>
          <t>indeed</t>
        </is>
      </c>
      <c r="E65" t="inlineStr"/>
      <c r="F65" t="inlineStr"/>
      <c r="G65" t="inlineStr">
        <is>
          <t>Seattle, WA, US</t>
        </is>
      </c>
      <c r="H65" s="2" t="n">
        <v>45665</v>
      </c>
      <c r="I65"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in-cb6735754f36fc68</t>
        </is>
      </c>
      <c r="B66" t="inlineStr">
        <is>
          <t>Sr. Product Manager – Tech, Tablets</t>
        </is>
      </c>
      <c r="C66" t="inlineStr">
        <is>
          <t>Amazon.com</t>
        </is>
      </c>
      <c r="D66" t="inlineStr">
        <is>
          <t>indeed</t>
        </is>
      </c>
      <c r="E66" t="inlineStr"/>
      <c r="F66" t="inlineStr"/>
      <c r="G66" t="inlineStr">
        <is>
          <t>Sunnyvale, CA, US</t>
        </is>
      </c>
      <c r="H66" s="2" t="n">
        <v>45665</v>
      </c>
      <c r="I66"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in-71dc01ab772796b7</t>
        </is>
      </c>
      <c r="B67" t="inlineStr">
        <is>
          <t>Sr. Product Manager Technical, Deal Tooling &amp; Insights, Strategic Customer Engagements</t>
        </is>
      </c>
      <c r="C67" t="inlineStr">
        <is>
          <t>Amazon Web Services</t>
        </is>
      </c>
      <c r="D67" t="inlineStr">
        <is>
          <t>indeed</t>
        </is>
      </c>
      <c r="E67" t="inlineStr"/>
      <c r="F67" t="inlineStr"/>
      <c r="G67" t="inlineStr">
        <is>
          <t>Arlington, VA, US</t>
        </is>
      </c>
      <c r="H67" s="2" t="n">
        <v>45994</v>
      </c>
      <c r="I6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in-0941d752fbf3fc28</t>
        </is>
      </c>
      <c r="B68" t="inlineStr">
        <is>
          <t>Sr. Product Manager Technical, Deal Tooling &amp; Insights, Strategic Customer Engagements</t>
        </is>
      </c>
      <c r="C68" t="inlineStr">
        <is>
          <t>Amazon Web Services</t>
        </is>
      </c>
      <c r="D68" t="inlineStr">
        <is>
          <t>indeed</t>
        </is>
      </c>
      <c r="E68" t="inlineStr"/>
      <c r="F68" t="inlineStr"/>
      <c r="G68" t="inlineStr">
        <is>
          <t>Seattle, WA, US</t>
        </is>
      </c>
      <c r="H68" s="2" t="n">
        <v>45994</v>
      </c>
      <c r="I6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in-5aa398919893e526</t>
        </is>
      </c>
      <c r="B69" t="inlineStr">
        <is>
          <t>Sr. Product Manager Technical, Deal Tooling &amp; Insights, Strategic Customer Engagements</t>
        </is>
      </c>
      <c r="C69" t="inlineStr">
        <is>
          <t>Amazon Web Services</t>
        </is>
      </c>
      <c r="D69" t="inlineStr">
        <is>
          <t>indeed</t>
        </is>
      </c>
      <c r="E69" t="inlineStr"/>
      <c r="F69" t="inlineStr"/>
      <c r="G69" t="inlineStr">
        <is>
          <t>Dallas, TX, US</t>
        </is>
      </c>
      <c r="H69" s="2" t="n">
        <v>45994</v>
      </c>
      <c r="I6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in-09504e513aa88b95</t>
        </is>
      </c>
      <c r="B70" t="inlineStr">
        <is>
          <t>Sr. Product Manager Technical, Deal Tooling &amp; Insights, Strategic Customer Engagements</t>
        </is>
      </c>
      <c r="C70" t="inlineStr">
        <is>
          <t>Amazon Web Services</t>
        </is>
      </c>
      <c r="D70" t="inlineStr">
        <is>
          <t>indeed</t>
        </is>
      </c>
      <c r="E70" t="inlineStr"/>
      <c r="F70" t="inlineStr"/>
      <c r="G70" t="inlineStr">
        <is>
          <t>New York, NY, US</t>
        </is>
      </c>
      <c r="H70" s="2" t="n">
        <v>45994</v>
      </c>
      <c r="I70"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in-9b4865550b1c8332</t>
        </is>
      </c>
      <c r="B71" t="inlineStr">
        <is>
          <t>Sr. Product Manager Technical, Deal Tooling &amp; Insights, Strategic Customer Engagements</t>
        </is>
      </c>
      <c r="C71" t="inlineStr">
        <is>
          <t>Amazon Web Services</t>
        </is>
      </c>
      <c r="D71" t="inlineStr">
        <is>
          <t>indeed</t>
        </is>
      </c>
      <c r="E71" t="inlineStr"/>
      <c r="F71" t="inlineStr"/>
      <c r="G71" t="inlineStr">
        <is>
          <t>Herndon, VA, US</t>
        </is>
      </c>
      <c r="H71" s="2" t="n">
        <v>45994</v>
      </c>
      <c r="I7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in-28a83308bed37622</t>
        </is>
      </c>
      <c r="B72" t="inlineStr">
        <is>
          <t>Sr. Product Manager Technical, Deal Tooling &amp; Insights, Strategic Customer Engagements</t>
        </is>
      </c>
      <c r="C72" t="inlineStr">
        <is>
          <t>Amazon Web Services</t>
        </is>
      </c>
      <c r="D72" t="inlineStr">
        <is>
          <t>indeed</t>
        </is>
      </c>
      <c r="E72" t="inlineStr"/>
      <c r="F72" t="inlineStr"/>
      <c r="G72" t="inlineStr">
        <is>
          <t>Austin, TX, US</t>
        </is>
      </c>
      <c r="H72" s="2" t="n">
        <v>45994</v>
      </c>
      <c r="I7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in-534706ead0721da3</t>
        </is>
      </c>
      <c r="B73" t="inlineStr">
        <is>
          <t>Principal Product Manager - Tech, Recommender Systems, Prime Video Personalization &amp; Discovery</t>
        </is>
      </c>
      <c r="C73" t="inlineStr">
        <is>
          <t>Amazon.com</t>
        </is>
      </c>
      <c r="D73" t="inlineStr">
        <is>
          <t>indeed</t>
        </is>
      </c>
      <c r="E73" t="inlineStr"/>
      <c r="F73" t="inlineStr"/>
      <c r="G73" t="inlineStr">
        <is>
          <t>Washington, DC, US</t>
        </is>
      </c>
      <c r="H73" s="2" t="n">
        <v>45753</v>
      </c>
      <c r="I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in-67dd49c49f1165fa</t>
        </is>
      </c>
      <c r="B74" t="inlineStr">
        <is>
          <t>Principal Product Manager - Tech, Recommender Systems, Prime Video Personalization &amp; Discovery</t>
        </is>
      </c>
      <c r="C74" t="inlineStr">
        <is>
          <t>Amazon.com</t>
        </is>
      </c>
      <c r="D74" t="inlineStr">
        <is>
          <t>indeed</t>
        </is>
      </c>
      <c r="E74" t="inlineStr"/>
      <c r="F74" t="inlineStr"/>
      <c r="G74" t="inlineStr">
        <is>
          <t>Seattle, WA, US</t>
        </is>
      </c>
      <c r="H74" s="2" t="n">
        <v>45753</v>
      </c>
      <c r="I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in-d67c803a47c29754</t>
        </is>
      </c>
      <c r="B75" t="inlineStr">
        <is>
          <t>Product Manager: Irvine, CA Local. 3 years exp min</t>
        </is>
      </c>
      <c r="C75" t="inlineStr">
        <is>
          <t>Betria Interactive</t>
        </is>
      </c>
      <c r="D75" t="inlineStr">
        <is>
          <t>indeed</t>
        </is>
      </c>
      <c r="E75" t="inlineStr"/>
      <c r="F75" t="inlineStr"/>
      <c r="G75" t="inlineStr">
        <is>
          <t>Irvine, CA, US</t>
        </is>
      </c>
      <c r="H75" s="2" t="n">
        <v>46026</v>
      </c>
      <c r="I75" t="inlineStr">
        <is>
          <t>**About the Role**
This Product Manager role blends hands\-on product scoping with client and partner engagement. You’ll work across early\-stage product conversations, demos, and internal translation of ideas into actionable specs. You must deeply understand the FlightPath3D platform \- including our map, Luci travel companion, and destination content systems \- and help align commercial opportunities with engineering execution teams based in other time zones.
**What You’ll Do**
**Client\- and Partner\-Facing (\~50%)**
* Act as a product expert in client and partner discussions, especially in early\-stage or exploratory meetings.
* Lead product demos for both technical and non\-technical stakeholders.
* Help translate vague or high\-level client ideas into tangible product concepts that align with FlightPath3D’s roadmap.
* Support Sales and Strategic Accounts in defining viable product opportunities.
**Internal Product Work (\~50%)**
* Scope new features based on commercial goals, user needs, and platform constraints.
* Write clear, structured product briefs with UX flows, data needs, functional descriptions, and integration points across our inflight platform (map, Luci, Destination Guides, mobile, etc.).
* Collaborate with remote engineering teams across time zones to ensure product clarity and feasibility.
* Use tools like sketches, slides, product briefs, and Looms to communicate early\-stage product ideas.
**You Should Have**
* Experience in product roles where you’ve scoped and defined user\-facing software features from scratch.
* Strong communication and client\-facing skills, you can run a meeting and explain tech in plain English.
* Experience with B2B software and working with enterprise clients, ideally in contexts where client needs shape product direction.
* Ability to distill vague asks into real requirements and prioritize what matters.
* Comfort working across time zones and coordinating with remote engineering teams.
* Familiarity with UX design thinking, but you don’t need to be a designer.
* Experience with aviation, travel tech, or IFE systems is a plus (but not required).
**Why This Role Matters**
FlightPath3D powers inflight maps and destination content on 5,600\+ aircraft across 90\+ airlines. As we expand into more intelligent and revenue\-generating travel platforms (e.g. Luci, Destination Reels, Marketplace), this PM role is key to shaping how we turn ideas into real product and deliver value across the aviation ecosystem.
Job Type: Full\-time
Pay: From $110,000\.00 per year
Benefits:
* 401(k)
* 401(k) matching
* Dental insurance
* Health insurance
* Paid time off
* Vision insurance
Education:
* Bachelor's (Required)
Experience:
* Product Management: 3 years (Required)
Location:
* Irvine, CA 92618 (Required)
Work Location: In person</t>
        </is>
      </c>
    </row>
    <row r="76">
      <c r="A76" t="inlineStr">
        <is>
          <t>in-3c02e14228adf549</t>
        </is>
      </c>
      <c r="B76" t="inlineStr">
        <is>
          <t>Program Manager</t>
        </is>
      </c>
      <c r="C76" t="inlineStr">
        <is>
          <t>Tahoe Coalition for the Homeless</t>
        </is>
      </c>
      <c r="D76" t="inlineStr">
        <is>
          <t>indeed</t>
        </is>
      </c>
      <c r="E76" t="inlineStr"/>
      <c r="F76" t="inlineStr"/>
      <c r="G76" t="inlineStr">
        <is>
          <t>South Lake Tahoe, CA, US</t>
        </is>
      </c>
      <c r="H76" s="2" t="n">
        <v>46026</v>
      </c>
      <c r="I76" t="inlineStr">
        <is>
          <t>**Description:**Tahoe Coalition for the Homeless (TCH) is seeking a Program Manager to join its team to manage various programs providing services to those experiencing, or at risk of, homelessness in South Lake Tahoe and surrounding areas. The Program Manager will manage the development, administration, monitoring and evaluation of programs including the preparation of policies, procedures, and work plans to ensure compliance with requirements. The Program Manager will also oversee the client caseloads, daily activities, and the performance management of assigned direct reports.
**Goal:** To work as part of a multidisciplinary team with other client support staff to assist and support clients in establishing and meeting their individual housing goals.
**Specific Duties:** 
* Conducts business development activities that include identifying new opportunities for expansion of TCH programs.
* Develop program policy, procedures, and guidelines, including managing stakeholder processes to review changes. Ensure system wide training, implementation, and monitoring of projects.
* Coordinate with the Director of Compliance for reviewing, sending, and approving referrals for CalAim.
* Coordinate with site staff on correction/actions needed for file review/authorizations.
* Maintain TCH CalAim tracker, including checking status of new ECM referrals and authorizations, manage reauthorization schedules and paperwork readiness monitor Medi\-Cal eligibility.
* Review potential additions of residents in need of CalAim support.
* Assigns caseloads and provides routine daily support to direct reports . Review files to ensure direct reports are following housing plan.
* Oversees client leases, rent collection and associated recordkeeping.
* Work with centralized CalAim contacts and Director of Compliance to implement and maintain accurate and current Program Policies and Procedures.
* Establishes goals and objectives for all TCH programs, including defining quality standards and developing work plans for meeting program deliverables.
* Builds connections with local partners to improve client access to community resources. Develop and maintain relationships with representatives related to TCH programs.
* Documents and logs issues and incidents appropriately.
* Maintains accurate files, statistical data, and prepares reports quarterly or as required by oversight agencies.
* Participates in regular staff meetings and works closely with team members to provide support to each other as needed.
* Maintains required records accurately, comprehensively and in a timely manner, including data entry into the Homeless Management Information System (HMIS).
* Works in collaboration with administrative staff to coordinate volunteer teams and community donations.
* Collaborates with the Director of Compliance and Executive Director to develop, evaluate, and implement successful program policies and procedures that lead to achieving agency goals.
* Owns the performance management process for direct reports including goal setting, regular performance feedback, and performance evaluation.
* Provides on\-call support for after hour emergencies. Supports law enforcement and EMT and involves Facilities Manager regarding property management security as needed.
**Other Duties**: This job description is not designed to cover or contain a comprehensive listing of activities, duties or responsibilities that are required of the employee. Other duties, responsibilities and activities may change or be assigned at any time with or without notice
**Requirements:**
* Bachelor’s degree in Social Work or related field. Professional experience in the field or a related field may be considered in lieu of formal education.
* Minimum three (3\) years of related work experience, to include working with clients who are experiencing homelessness, mental illness, and substance use
* Must maintain a valid Driver’s License and minimum automobile insurance required by the State of California.
* Familiar with CalAim, Medi\-Cal state and federal laws, rules, and regulations.
* Ability to maintain clear personal and professional boundaries with clients.
* Ability to work effectively in constantly changing and sometimes demanding or stressful environments.
* Working knowledge of local community resources.
* Effective organizational and time management skills.
* Excellent interpersonal skills including, conflict resolution, listening, and problem\-solving skills
* Strong oral and written communication skills.
* Ability to respond responsibly in emergency and crisis situations.
* Ability to effectively interact with clients, co\-workers, and volunteers with diverse ethnic and cultural backgrounds and treat each individual with respect, dignity, and compassion.
* Understanding and support of Housing First principles as well as Harm Reduction Theory and practice.
* Experience using Motivational Interviewing techniques.
* Physical ability to lift 25 pounds, sit, stand, bend, reach, and perform cleaning duties.
* Skilled in non\-violent crisis intervention.
* Experience providing culturally competent services to a diverse population
* Satisfactory completion of background and reference checks.
**Hours:** Typically, the schedule is 9 am \- 5 pm, Monday \- Friday. Schedule may be subject to change to accommodate programmatic needs, as needed. May require some on\-call, evening, and weekend hours.
**Rate:** The annual salary range for this position starts at $70,304
**Benefits:** Compensation includes a paid portion of agency contracted healthcare benefits and paid time off. A cell phone stipend will be provided. Additional benefits are provided, as required by applicable law.
**Class:** The Program Manager position is full\-time and exempt.
**Reporting:** The Program Manager reports to the Executive DIrector
**Mission:**Our mission is to support our neighbors experiencing homelessness by partnering with our community to promote awareness, provide warm beds, and encourage self\-sufficiency.
**Vision:**Our vision is to work together to end homelessness on the South Shore.
**Values:**We cultivate a culture of shared responsibility that recognizes those experiencing homelessness as members of our community. We lead with integrity, show respect, and uphold fairness. We accept people where they are without judgment and treat one another with dignity and respect. We provide opportunities for growth through education and advocacy with passion and perseverance.
Job Type: Full\-time
Pay: From $70,300\.00 per year
Benefits:
* Dental insurance
* Health insurance
* Paid time off
* Vision insurance
Work Location: In person</t>
        </is>
      </c>
    </row>
    <row r="77">
      <c r="A77" t="inlineStr">
        <is>
          <t>in-ea9c0e46bbc947e2</t>
        </is>
      </c>
      <c r="B77" t="inlineStr">
        <is>
          <t>Retail Program Manager</t>
        </is>
      </c>
      <c r="C77" t="inlineStr">
        <is>
          <t>Savage Air Conditioning</t>
        </is>
      </c>
      <c r="D77" t="inlineStr">
        <is>
          <t>indeed</t>
        </is>
      </c>
      <c r="E77" t="inlineStr"/>
      <c r="F77" t="inlineStr"/>
      <c r="G77" t="inlineStr">
        <is>
          <t>Tempe, AZ, US</t>
        </is>
      </c>
      <c r="H77" s="2" t="n">
        <v>46026</v>
      </c>
      <c r="I77" t="inlineStr">
        <is>
          <t>**Retail Program Manager – The Home Depot HVAC Service Provider**
Tempe, AZ \| HVAC / Home Services
**About Us**
Savage Air Conditioning is a fast\-growing leader in residential and light commercial HVAC services. We don’t just sell systems—we deliver comfort, value, and trust. Our culture is built on accountability, urgency, discipline, and results. If you thrive in a high\-energy, performance\-driven environment and love leading teams to win, this role is for you.
**The Opportunity**
We’re looking for a charismatic, driven Retail Program Manager to lead and scale our Home Depot retail sales program. This is a hands\-on leadership role for someone who loves sales, people development, and being in the field—not behind a desk. You’ll own growth, performance, and execution across multiple Home Depot locations while building a motivated, high\-producing lead generation and sales support team. We are seeking an experienced and dynamic Retail Program Manager to lead and oversee retail operations across multiple store locations. The ideal candidate will be responsible for managing daily store activities, developing sales strategies, supervising staff, and ensuring exceptional customer service.
**What We’re Looking For**
* Proven sales leader with a **strong track record of team performance and growth**
* Minimum **5 years of sales experience** and **5 years of leadership/management experience**
* Retail, event, or lead generation management experience preferred
* High\-energy, confident communicator who leads from the front
* Organized, detail\-driven, and comfortable managing multiple locations and priorities
* Strong customer service mindset with the ability to resolve issues and build loyalty
* Tech\-savvy and comfortable with Microsoft Office and Google Suite
* Valid state driver’s license required
Physical Requirements
* Ability to stand, walk, and be active in retail environments
* Ability to lift up to 25 lbs
* Reasonable accommodations available
Why Join Us?
* **401(k)**
* **Health, dental, and vision insurance**
* **Paid time off \&amp; paid training**
* Work with a company that **invests in its leaders** and rewards performance
Our Commitment
Savage is an equal opportunity employer. We proudly build diverse, inclusive teams and hire based on talent, drive, and results.
Benefits:
* Dental insurance
* Health insurance
* Paid time off
* Vision insurance
Work Location: In person
Pay: $65,000\.00 \- $100,000\.00 per year
Benefits:
* 401(k)
* Dental insurance
* Health insurance
* Paid time off
* Vision insurance
Work Location: In person</t>
        </is>
      </c>
    </row>
    <row r="78">
      <c r="A78" t="inlineStr">
        <is>
          <t>in-fd7b32f5dfe52639</t>
        </is>
      </c>
      <c r="B78" t="inlineStr">
        <is>
          <t>IT-Strategic Program Manager</t>
        </is>
      </c>
      <c r="C78" t="inlineStr">
        <is>
          <t>AdventHealth Corporate</t>
        </is>
      </c>
      <c r="D78" t="inlineStr">
        <is>
          <t>indeed</t>
        </is>
      </c>
      <c r="E78" t="inlineStr"/>
      <c r="F78" t="inlineStr"/>
      <c r="G78" t="inlineStr">
        <is>
          <t>Altamonte Springs, FL, US</t>
        </is>
      </c>
      <c r="H78" s="2" t="n">
        <v>46025</v>
      </c>
      <c r="I78" t="inlineStr">
        <is>
          <t>**Our promise to you:**
Joining AdventHealth is about being part of something bigger. It’s about belonging to a community that believes in the wholeness of each person, and serves to uplift others in body, mind and spirit. AdventHealth is a place where you can thrive professionally, and grow spiritually, by Extending the Healing Ministry of Christ. Where you will be valued for who you are and the unique experiences you bring to our purpose\-minded team. All while understanding that **together** we are even better.
**All the benefits and perks you need for you and your family:**
* Benefits from Day One: Medical, Dental, Vision Insurance, Life Insurance, Disability Insurance
* Paid Time Off from Day One
* 403\-B Retirement Plan
* 4 Weeks 100% Paid Parental Leave
* Career Development
* Whole Person Well\-being Resources
* Mental Health Resources and Support
* Pet Benefits
**Schedule:**
Full time**Shift:**
Day (United States of America)**Address:**
900 HOPE WAY**City:**
ALTAMONTE SPRINGS**State:**
Florida**Postal Code:**
32714**Job Description:**
* Evaluates and manages strategic plans, developing priorities, determining structure, and defining approaches for clinical quality and outcomes.
* Works collaboratively with internal and external stakeholders to conduct analysis and develop key deliverables for governance and planning meetings.
* Presents strategic information, including analysis of existing initiatives and progress towards completion, to staff and operational leaders.
* Identifies and proposes potential projects aligned with strategic objectives.
* Analyzes performance improvement data to identify quality concerns, practice patterns, and areas for process improvement.
**The expertise and experiences you’ll need to succeed:**
**QUALIFICATION REQUIREMENTS:**
Bachelor's (Required)Portfolio Management Professional (PfMP) \- Accredited Issuing Body**Pay Range:**
$83,699\.48 \- $155,693\.55*This facility is an equal opportunity employer and complies with federal, state and local anti\-discrimination laws, regulations and ordinances.*</t>
        </is>
      </c>
    </row>
    <row r="79">
      <c r="A79" t="inlineStr">
        <is>
          <t>in-fda9c054d4fac5b9</t>
        </is>
      </c>
      <c r="B79" t="inlineStr">
        <is>
          <t>Part Time Program Manager (Chicago Public Schools)</t>
        </is>
      </c>
      <c r="C79" t="inlineStr">
        <is>
          <t>Right at School</t>
        </is>
      </c>
      <c r="D79" t="inlineStr">
        <is>
          <t>indeed</t>
        </is>
      </c>
      <c r="E79" t="inlineStr"/>
      <c r="F79" t="inlineStr"/>
      <c r="G79" t="inlineStr">
        <is>
          <t>Chicago, IL, US</t>
        </is>
      </c>
      <c r="H79" s="2" t="n">
        <v>46025</v>
      </c>
      <c r="I79" t="inlineStr">
        <is>
          <t>**OFFERS ON THE SPOT! PART TIME HOURS! FLEXIBLE SCHEDULE! NO WEEKENDS!**
 **Now hiring for programming at a variety of Chicago Public Schools!**
 **Length of Position:** This part time position will last the duration of the academic school year. There is also the potential for academic year break period employment, as well as future summer camp employment.\*
Right At School has been providing safe, fun, and meaningful extended day enrichment programs for more than a decade, and today we serve more than 35,000 students in 17 states across the country. Our after school, before school, and break camp programs give students a place to learn, play, grow, and most importantly—a place to be a kid!
Right At School’s mission is to inspire a love of learning, support schools, and give parents peace of mind. Our vision is to bring exceptional, affordable programs to as many students, families, and schools as possible. The core of everything we do is the team of amazing educators we have across the country, who bring their best to each program every day. So how do we build that team? We start with mission\-driven people who want to help foster a love of learning while providing a safe environment for children to explore and grow.
 **You’ll drive the mission by:**
* Organize program materials for lessons and activities, as well as document attendance, incidents and other observation
* Deliver our dynamic daily curriculum to engage children in academic and social character\-building that expands school day learning in a meaningful way
* Using your coursework training and our in\-person training, model positive guidance and effective classroom management to maintain the safety, well\-being and attention of all children while supporting homework completion, leading fun fitness activities, and guiding children at play
* Excellent communication skills with varied audience including children, parents, staff and school personnel
* Model positive guidance and effective classroom management to maintain the safety and well\-being and attention of all children
* Meets regularly with the Program Manager regarding professional progress and team accountability
 **Benefits of being an Educator with Right at School:**
* Competitive compensation
* Commuter benefits, supplemental insurance (short term disability, life insurance, etc.), based on eligibility
* 401k \- Opportunity to contribute to your future
* Free before \&amp; after school childcare with Right At School while you work
* Employee perks and discounts (hotels, car rentals, theme parks, sports events, shopping, etc)!
* Opportunity to make a difference in your community and positively impact families
* Ongoing professional development with pay raise incentives
* Provide meaningful fun and employ disguised learning
* Flexible working hours aligned to school schedules
 **Ideal Candidates will have the following:**
* Outstanding customer service and relationship building skills
* Works well in a team environment
* At least 1 year of experience working with children under 13 years of age
* College credits in early childhood education, child development, elementary education or a related field preferred
* Ability to lift 40lbs
* Drive to inspire a love for learning and commitment to healthy living
* Ability to meet state\-specific requirements; CPR, Mandated Reporter training, TB test, etc.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80">
      <c r="A80" t="inlineStr">
        <is>
          <t>in-455b8b98b97c8243</t>
        </is>
      </c>
      <c r="B80" t="inlineStr">
        <is>
          <t>Regulatory Affairs Program Manager, Digital Health</t>
        </is>
      </c>
      <c r="C80" t="inlineStr">
        <is>
          <t>Olympus Corporation</t>
        </is>
      </c>
      <c r="D80" t="inlineStr">
        <is>
          <t>indeed</t>
        </is>
      </c>
      <c r="E80" t="inlineStr"/>
      <c r="F80" t="inlineStr"/>
      <c r="G80" t="inlineStr">
        <is>
          <t>Westborough, MA, US</t>
        </is>
      </c>
      <c r="H80" s="2" t="n">
        <v>46025</v>
      </c>
      <c r="I80" t="inlineStr">
        <is>
          <t>**Workplace Flexibility: Field**
 ***For more than 100 years, Olympus has focused on making people’s lives healthier, safer and more fulfilling.***
Every day, we live by our philosophy, True to Life, by advancing medical technologies and elevating the standard of patient care so people everywhere can fulfill their desires, dreams, and lives.  
Our five Core Values empower us to achieve Our Purpose:
**Patient Focus, Integrity, Innovation, Impact and Empathy.**
Learn more about Life at Olympus: https://www.olympusamerica.com/careers.
**Job Description**
-------------------
This role is responsible for coordinating and managing regulatory activities across the Digital Unit (DU). The Digital Unit is a global, high\-growth area focused on how digital technologies can help transform current and future products.
This individual will play a key role in establishing and assessing regulatory strategies and requirements for digital health products and solutions, ensuring compliance with global medical device regulations. As part of a high\-growth, innovative team, this position oversees collaboration between internal Olympus Regulatory Affairs Teams and external vendors as needed and will work closely with the DU's development teams to drive digital transformation in the medical technology space. This role involves researching, recommending, and implementing regulatory best practices, contributing to both the strategic and operational functions of the Digital Unit.
**Job Duties**
--------------
* Develop and implement regulatory strategies for digital health solutions, including Artificial Intelligence (AI) exempt from the medical device classification, and connected technologies.
* Provide regulatory guidance, compliance risk assessment, and strategic input to digital product development and lifecycle management.
* Ensure that digital health products, services, and documentation comply with applicable global regulations (e.g., IEC 82340\-1, IEC 81001\-5\-1, GDPR, HIPAA, EU AI Act, Cybersecurity regulations, and relevant consumer protection laws).
* Support partnership initiatives to strengthen the Olympus Digital Health portfolio through well selected third party collaborations with third\-party providers, ensuring regulatory due diligence in vendor and technology selection.
* Oversee and support regulatory submissions and compliance filings where applicable (e.g., AI risk classification documentation, cybersecurity certifications, and voluntary compliance frameworks).
* Support responses to inquiries from regulatory authorities, auditors, or privacy/cybersecurity oversight bodies, and ensure appropriate documentation is maintained for inspections or audits.
* Monitor evolving regulatory landscapes across multiple regions (U.S., EU, Japan, other APAC markets), staying current on emerging standards and frameworks for AI, digital health software, cybersecurity, and data privacy, and translate these changes into actionable strategies.
* Assess the impact of regulatory changes on Olympus’ digital health initiatives and collaborate with development, privacy, and business stakeholders to adapt strategies and maintain compliance.
* Serve as a liaison between Olympus RA teams, digital product development teams, quality assurance, privacy, cybersecurity, and business units, fostering alignment across functions.
* Represent Olympus in relevant digital health and regulatory industry associations, contributing Olympus’ perspective and staying connected to external developments.
* Develop, implement, and maintain standard operating procedures (SOPs), compliance frameworks, and internal regulatory guidance specific to non\-medical device digital health initiatives.
* Design and deliver regular training programs to ensure employees understand and follow best practices in compliance, regulatory considerations, and ethical use of digital health technologies.
**Job Qualifications**
----------------------
**Required:**
* BS or comparable required.
* Minimum of 10 years’ experience in Regulatory Affairs, ideally within the medical device or digital health industries.
* Minimum of 3 years focused on software\-driven health technologies.
* Experience with regulatory compliance for digital health software not classified as medical devices, including AI\-enabled consumer health platforms, and connected technologies.
* Expertise in digital health regulatory affairs, with knowledge of relevant frameworks and guidance outside medical device pathways (e.g., IEC 82304\-1, IEC 81001\-5\-1, GDPR, HIPAA, EU AI Act, Cybersecurity regulations, and relevant consumer protection laws).
* Strong track record of leading regulatory strategy for digital health solutions in cross\-functional environments, including product development, data science, cybersecurity, and business leadership teams.
* Demonstrated knowledge of data protection, cybersecurity, and digital trust frameworks, including NIST Cybersecurity Framework, ISO/IEC 27001, and emerging AI ethics guidelines.
* Experience with digital product compliance documentation (e.g., data protection impact assessments, AI risk classification reports, cybersecurity certifications) and voluntary compliance schemes.
* Experience working in a global matrix environment and managing interactions with regulators, privacy authorities, and standards organizations.  
Skilled in working within regulated software development environments (Agile, DevOps) to ensure compliance requirements are integrated into sprint planning and delivery.
* Strong ability to align digital, business, and R\&amp;D leadership on global regulatory expectations, balancing compliance with innovation.
* Strong problem\-solving skills to ensure both compliance and agility in product development Mindset \&amp; Behaviours are upheld.
* Demonstrated ability to influence colleagues without direct managerial responsibility and build strong collaborative relationships within the organization.
* Excellent communication and stakeholder management skills to facilitate collaboration across teams and external partners.
* Strong project management skills with the ability to coordinate cross\-functional teams and manage multiple regulatory projects/initiatives.
* Passion to challenge the status quo and find new strategic directions – embraces change.
* Comfortable pushing back on multiple parties at the same time.
* Excellent writing and verbal skills.
* Travel on occasion, but not more than 10 %.
 **Preferred:**
* MS preferred.
* Strong understanding or hands\-on experience in software development and cloud technologies; experience with enterprise software and modern software engineering practices is desirable.
* Experience with 510(k), De Novo submissions, CE marking, and international regulatory pathways for Software as a Medical Device highly desirable.
**Why join Olympus?**
We offer a holistic employee experience supporting personal and professional well\-being through meaningful work, equitable offerings, and a connected culture.
**Equitable Offerings you can count on:**
* Competitive salaries, annual bonus and 401(k)\* with company match
* Comprehensive medical, dental, vision coverage effective on start date
* 24/7 Employee Assistance Program
* Free live and on\-demand Wellbeing Programs
* Generous Paid Vacation and Sick Time
* Paid Parental Leave and Adoption Assistance\*
* 12 Paid Holidays
* On\-Site Child Daycare, Café, Fitness Center\*\*
 **Connected Culture you can embrace:**
* Work\-life integrated culture that supports an employee centric mindset
* Offers onsite, hybrid and field work environments
* Paid volunteering and charitable donation/match programs
* Employee Resource Groups
* Dedicated Training Resources and Learning \&amp; Development Programs
* Paid Educational Assistance
* US Only
\*\*Center Valley, PA and Westborough, MA
 **Are you ready to be a part of our team?**
Learn more about our benefits and incentives: https://www.olympusamerica.com/careers/benefits\-perks.
The anticipated base pay range for this full\-time position working at this location is $104,061\.00 \- $145,685\.00 / year, plus potential for annual bonus (subject to plan eligibility and other requirements). Olympus considers a variety of factors when determining actual compensation for this position including: level of experience, working location, and relevant education and certifications.
At Olympus, we are committed to Our Purpose of making people’s lives healthier, safer and more fulfilling. As a global medical technology company, we partner with healthcare professionals to provide best\-in\-class solutions and services for early detection, diagnosis and minimally invasive treatment, aiming to improve patient outcomes by elevating the standard of care in targeted disease states.
For more than 100 years, Olympus has pursued a goal of contributing to society by producing products designed with the purpose of delivering optimal outcomes for its customers around the world.
Headquartered in Tokyo, Japan, Olympus employs more than 31,000 employees worldwide in nearly 40 countries and regions. Olympus Corporation of the Americas, a wholly owned subsidiary of Olympus Corporation, is headquartered in Center Valley, Pennsylvania, USA, and employs more than 5,200 employees throughout locations in North and South America. For more information, visit www.olympusamerica.com.
 **You Belong at Olympus**
We are deeply committed to fostering a respectful, fair, and welcoming workplace for all individuals, perspectives, and lifestyles. We believe in fostering a non\-discriminatory, inclusive work environment where everyone feels a sense of belonging, in full compliance with legal standards. Empathy and unity are core to our company culture, empowering employees to contribute fully and flourish. We warmly encourage all who wish to bring their talents to Olympus to apply.
***Applicants Requesting Accommodations:*** Olympus is committed to the full inclusion of all qualified individuals. As part of this commitment, Olympus will ensure that persons with disabilities are provided reasonable accommodations for the hiring process. If reasonable accommodation is needed, please contact OCAAccommodations@olympus.com. If your disability impairs your ability to email, you may call our HR Compliance Manager at 1\-888\-Olympus (1\-888\-659\-6787\).
 **Let’s realize your potential, together.**
It is the policy of Olympus to extend equal employment and advancement opportunity to all applicants and employees without regard to race, color, national origin (including language use restrictions), citizenship status, religious creed (including dress and grooming practices), age, sex (including pregnancy, childbirth, breastfeeding, medical conditions related to pregnancy, childbirth and/or breastfeeding), gender, gender identity and expression, sexual orientation, marital status, disability (physical or mental) and/or a medical condition, genetic information, ancestry, veteran status or service in the uniformed services, and any other characteristic protected by applicable federal, state or local law.
Posting Notes: \|\| United States (US) \|\| Massachusetts (US\-MA) \|\| Westborough \|\| Quality \&amp; Regulatory Affairs (QA/RA)</t>
        </is>
      </c>
    </row>
    <row r="81">
      <c r="A81" t="inlineStr">
        <is>
          <t>in-2607c6c2b286ebac</t>
        </is>
      </c>
      <c r="B81" t="inlineStr">
        <is>
          <t>CDBG Program Manager</t>
        </is>
      </c>
      <c r="C81" t="inlineStr">
        <is>
          <t>State of Indiana</t>
        </is>
      </c>
      <c r="D81" t="inlineStr">
        <is>
          <t>indeed</t>
        </is>
      </c>
      <c r="E81" t="inlineStr"/>
      <c r="F81" t="inlineStr"/>
      <c r="G81" t="inlineStr">
        <is>
          <t>Indianapolis, IN, US</t>
        </is>
      </c>
      <c r="H81" s="2" t="n">
        <v>46025</v>
      </c>
      <c r="I81" t="inlineStr">
        <is>
          <t>**Work for Indiana**
====================
Begin a fulfilling career with the State of Indiana by joining one of the largest employers in the state, offering a range of opportunities across 60\+ agencies. At the state, you'll find competitive compensation, a robust benefits package and a commitment to work\-life balance. Most importantly, you'll have the chance to make a real and measurable impact on the lives of Hoosiers across Indiana.
 **About the Lieutenant Governor's Office****:**
The Office of the Indiana Lieutenant Governor’s mission is to strengthen Indiana’s rural economies and communities through capacity building, advocacy, and innovation in agriculture, small business, tourism, defense development, housing, and community economic development.
OCRA works with local, state and national partners to provide resources and technical assistance to aid communities in shaping and achieving their vision for community and economic development.
 **Role Overview**:
The CDBG Program Manager (CDBG\-PM2\) supports the Indiana Office of Community and Rural Affairs (OCRA) by contributing to the development, implementation and oversight of Community Development Block Grant (CDBG) programs. This role provides training and technical assistance to stakeholders and plays a key part in ensuring program compliance and effectiveness. The position collaborates internally with OCRA teams including Main Street, Community \&amp; Economic Development and Community Liaisons, as well as with the Office of the Lieutenant Governor’s Grants Services team. Externally, the CDBG\-PM2 engages with grant administrators and rural local government entities across Indiana. Primary responsibilities include supporting the CDBG Planning Grant initiative and managing the OCRA Grant Administrator Program. This position reports directly to the State CDBG Program Director.
 **Salary Statement**:
The salary for this position traditionally starts at $53,222\.00 but may be commensurate with education or work experience.
**A Day in the Life:**
----------------------
**Program Development and Management**
* Assist the CDBG team in executing new policies, procedures and strategic initiatives to enhance program effectiveness and compliance.
* Act as the primary administrative backup for the CDBG\-PM1 duties.
* Manage the full lifecycle of the CDBG grant application process for planning grants, including the assessment of bonus points, allocation of program\-specific points and general application evaluations.
* Assist with cross\-cutting CDBG program activities as needed.
* Manage CDBG award selection and determination process; scoring activities, lead review meetings and contribute to scoring for other programs when assigned.
* Manage all aspects of the CDBG Grant Administrator Training Program, ensuring timely planning, content updates, presentation of some materials and testing administration.
* Maintain and update all master Grant Administrator records to support ongoing communication and track annual performance expectations.
 **Communication**
* Provide regular status updates to the direct supervisor regarding progress on assigned tasks and responsibilities.
* Engage in proactive collaboration and ensure ongoing regular dialogue with the CDBG Team, particularly with the CDBG\-PM1\.
* Assist with the management and responses to the CDBG Mailbox inquiries.
* Lead training and support efforts to OCRA Grant Administrators through scheduled meetings (e.g., GA Updates) and other communication channels to ensure compliance with program administrative requirements.
* Serve as a representative of OCRA and the CDBG team in relevant meetings, committees and stakeholder engagements, as needed.
* Respond to all inquiries within two (2\) business days via mail, email, virtually or by phone.
 **Capacity Building**
* Develop and update Standard Operating Procedures and Playbook for the position’s job duties.
* Design and implement operational tools, reporting mechanisms and management systems to ensure efficient oversight of day\-to\-day activities.
* Identify and recommend opportunities for program enhancements, operational efficiencies and policy improvements.
This position is exempt from overtime compensation for additional work hours which may be required to complete essential functions or other assigned work. Exempt employees may work more than 75 hours in a pay period without additional compensation and must report a minimum of 75 hours per pay period of work hours and/or paid leave taken to receive their base biweekly salary.
**What You'll Need for Success:**
---------------------------------
The CDBG\-PM2 supports the organization's mission, vision and values with a focus on the CDBG program. The successful candidate will have:
* + Required: Bachelor’s degree and a minimum of three (3\) years’ work experience in project management or equivalent.
		- Preferred: Bachelor’s degree in Public Administration or Education
		- Preferred: Two (2\) or more years of experience in state government program management or compliance.
	+ Experience with federal grants management (i.e., Community Development Block Grant (CDBG) or equivalent).
	+ Two (2\) or more years’ of experience training adult learners.
	+ Knowledge of principles of federal governmental accounting and budgeting, public administration, management, compliance monitoring and control mechanisms.
	+ Strong attention to detail, organizational, time management and documentation skills.
	+ Familiarity with the various programs and services provided by OCRA.
	+ Ability to develop and maintain positive working relationships with co\-workers, agency partners and community stakeholders.
	+ Ability to work independently and as part of a collaborative team.
	+ Ability to manage multiple projects/priorities simultaneously.
	+ Strong computer literacy, including the Microsoft suite, related office productivity software and databases.
	+ Proficient writing and editing, active listening and verbal communication skills, including public speaking.
* Able to perform essential functions with or without reasonable accommodation.
**Supervisory Responsibilities/Direct Reports:**
------------------------------------------------
 **Benefits of Employment with the State of Indiana:**
The State of Indiana offers a comprehensive benefit package for full\-time employees which includes:
* Three (3\) medical plan options (including RX coverage) as well as vision and dental plans
* Wellness Rewards Program: Complete wellness activities to earn gift card rewards
* Health savings account, which includes bi\-weekly state contribution
* Deferred compensation 457(b) account (similar to 401(k) plan) with employer match
* Two (2\) fully\-funded pension plan options
* A robust, comprehensive program of leave policies covering a variety of employee needs, including but not limited to:
	+ 150 hours of paid New Parent Leave and up to eight weeks of paid Childbirth Recovery Leave for eligible mothers
	+ Up to 15 hours of paid community service leave
* Combined 180 hours of paid vacation, personal, and sick leave time off
* 12 paid holidays, 14 on election years
* Education Reimbursement Program
* Group life insurance
* Referral Bonus program
* Employee assistance program that allows for covered behavioral health visits
* Qualified employer for the Public Service Loan Forgiveness Program
* Free Parking for most positions
* Free LinkedIn Learning access
 **Equal Employment Opportunity:**
The State of Indiana is an Equal Opportunity Employer and is committed to recruiting, selecting, developing, and promoting employees based on individual ability and job performance. Reasonable accommodations may be available to enable individuals with disabilities to complete the application and interview process as well as perform the essential functions of a role. If you require reasonable accommodations to complete this application, you can request assistance by contacting the Indiana State Personnel Department at jobs@spd.IN.gov.</t>
        </is>
      </c>
    </row>
    <row r="82">
      <c r="A82" t="inlineStr">
        <is>
          <t>in-38fe775f3ff0d72d</t>
        </is>
      </c>
      <c r="B82" t="inlineStr">
        <is>
          <t>Sr. Product Manager</t>
        </is>
      </c>
      <c r="C82" t="inlineStr">
        <is>
          <t>Amazon.com</t>
        </is>
      </c>
      <c r="D82" t="inlineStr">
        <is>
          <t>indeed</t>
        </is>
      </c>
      <c r="E82" t="inlineStr"/>
      <c r="F82" t="inlineStr"/>
      <c r="G82" t="inlineStr">
        <is>
          <t>San Francisco, CA, US</t>
        </is>
      </c>
      <c r="H82" s="2" t="n">
        <v>45979</v>
      </c>
      <c r="I8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in-89aeab3b62baff11</t>
        </is>
      </c>
      <c r="B83" t="inlineStr">
        <is>
          <t>Sr. Product Manager</t>
        </is>
      </c>
      <c r="C83" t="inlineStr">
        <is>
          <t>Amazon.com</t>
        </is>
      </c>
      <c r="D83" t="inlineStr">
        <is>
          <t>indeed</t>
        </is>
      </c>
      <c r="E83" t="inlineStr"/>
      <c r="F83" t="inlineStr"/>
      <c r="G83" t="inlineStr">
        <is>
          <t>New York, NY, US</t>
        </is>
      </c>
      <c r="H83" s="2" t="n">
        <v>45979</v>
      </c>
      <c r="I8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in-58a2366ad9caf31c</t>
        </is>
      </c>
      <c r="B84" t="inlineStr">
        <is>
          <t>Sr. Product Manager, AWS Server Supply Chain</t>
        </is>
      </c>
      <c r="C84" t="inlineStr">
        <is>
          <t>Amazon.com</t>
        </is>
      </c>
      <c r="D84" t="inlineStr">
        <is>
          <t>indeed</t>
        </is>
      </c>
      <c r="E84" t="inlineStr"/>
      <c r="F84" t="inlineStr"/>
      <c r="G84" t="inlineStr">
        <is>
          <t>Austin, TX, US</t>
        </is>
      </c>
      <c r="H84" s="2" t="n">
        <v>45956</v>
      </c>
      <c r="I8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in-7369873abd9ce576</t>
        </is>
      </c>
      <c r="B85" t="inlineStr">
        <is>
          <t>Sr. Product Manager, AWS Server Supply Chain</t>
        </is>
      </c>
      <c r="C85" t="inlineStr">
        <is>
          <t>Amazon.com</t>
        </is>
      </c>
      <c r="D85" t="inlineStr">
        <is>
          <t>indeed</t>
        </is>
      </c>
      <c r="E85" t="inlineStr"/>
      <c r="F85" t="inlineStr"/>
      <c r="G85" t="inlineStr">
        <is>
          <t>Cupertino, CA, US</t>
        </is>
      </c>
      <c r="H85" s="2" t="n">
        <v>45956</v>
      </c>
      <c r="I85"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in-b64cebb9d444834d</t>
        </is>
      </c>
      <c r="B86" t="inlineStr">
        <is>
          <t>Sr. Product Manager, AWS Server Supply Chain</t>
        </is>
      </c>
      <c r="C86" t="inlineStr">
        <is>
          <t>Amazon.com</t>
        </is>
      </c>
      <c r="D86" t="inlineStr">
        <is>
          <t>indeed</t>
        </is>
      </c>
      <c r="E86" t="inlineStr"/>
      <c r="F86" t="inlineStr"/>
      <c r="G86" t="inlineStr">
        <is>
          <t>Seattle, WA, US</t>
        </is>
      </c>
      <c r="H86" s="2" t="n">
        <v>45956</v>
      </c>
      <c r="I86"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in-276f073ff662ded8</t>
        </is>
      </c>
      <c r="B87" t="inlineStr">
        <is>
          <t>Principal Product Manager Technical, Creative X - RAPID</t>
        </is>
      </c>
      <c r="C87" t="inlineStr">
        <is>
          <t>Amazon.com</t>
        </is>
      </c>
      <c r="D87" t="inlineStr">
        <is>
          <t>indeed</t>
        </is>
      </c>
      <c r="E87" t="inlineStr"/>
      <c r="F87" t="inlineStr"/>
      <c r="G87" t="inlineStr">
        <is>
          <t>New York, NY, US</t>
        </is>
      </c>
      <c r="H87" s="2" t="n">
        <v>45939</v>
      </c>
      <c r="I87"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in-b844db2dfc891ed2</t>
        </is>
      </c>
      <c r="B88" t="inlineStr">
        <is>
          <t>Principal Product Manager Technical, Creative X - RAPID</t>
        </is>
      </c>
      <c r="C88" t="inlineStr">
        <is>
          <t>Amazon.com</t>
        </is>
      </c>
      <c r="D88" t="inlineStr">
        <is>
          <t>indeed</t>
        </is>
      </c>
      <c r="E88" t="inlineStr"/>
      <c r="F88" t="inlineStr"/>
      <c r="G88" t="inlineStr">
        <is>
          <t>Seattle, WA, US</t>
        </is>
      </c>
      <c r="H88" s="2" t="n">
        <v>45939</v>
      </c>
      <c r="I88"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in-e10feaedca12713d</t>
        </is>
      </c>
      <c r="B89" t="inlineStr">
        <is>
          <t>Senior Program Manager III, Planning, Amazon Leo, Global Service Compliance</t>
        </is>
      </c>
      <c r="C89" t="inlineStr">
        <is>
          <t>Amazon.com</t>
        </is>
      </c>
      <c r="D89" t="inlineStr">
        <is>
          <t>indeed</t>
        </is>
      </c>
      <c r="E89" t="inlineStr"/>
      <c r="F89" t="inlineStr"/>
      <c r="G89" t="inlineStr">
        <is>
          <t>Arlington, VA, US</t>
        </is>
      </c>
      <c r="H89" s="2" t="n">
        <v>45939</v>
      </c>
      <c r="I89"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in-7582a12f557fcb8c</t>
        </is>
      </c>
      <c r="B90" t="inlineStr">
        <is>
          <t>Senior Program Manager III, Planning, Amazon Leo, Global Service Compliance</t>
        </is>
      </c>
      <c r="C90" t="inlineStr">
        <is>
          <t>Amazon.com</t>
        </is>
      </c>
      <c r="D90" t="inlineStr">
        <is>
          <t>indeed</t>
        </is>
      </c>
      <c r="E90" t="inlineStr"/>
      <c r="F90" t="inlineStr"/>
      <c r="G90" t="inlineStr">
        <is>
          <t>Bellevue, WA, US</t>
        </is>
      </c>
      <c r="H90" s="2" t="n">
        <v>45939</v>
      </c>
      <c r="I90"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in-9b4678268d3da651</t>
        </is>
      </c>
      <c r="B91" t="inlineStr">
        <is>
          <t>Principal Product Manager, Ship with Amazon</t>
        </is>
      </c>
      <c r="C91" t="inlineStr">
        <is>
          <t>Amazon.com</t>
        </is>
      </c>
      <c r="D91" t="inlineStr">
        <is>
          <t>indeed</t>
        </is>
      </c>
      <c r="E91" t="inlineStr"/>
      <c r="F91" t="inlineStr"/>
      <c r="G91" t="inlineStr">
        <is>
          <t>Arlington, VA, US</t>
        </is>
      </c>
      <c r="H91" s="2" t="n">
        <v>45938</v>
      </c>
      <c r="I91" t="inlineStr">
        <is>
          <t>**DESCRIPTION**
---------------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a Principal PM, you will be responsible for defining and owning the strategic vision and roadmap for Sales tooling products in the Amazon Shipping organization. This leader will work closely with stakeholders from Sales, Sales Ops and Marketing Ops to recommend and implement products to support the organization's strategic objectives around improving sales productivity and efficiency, customer experience, and cost optimization.  
The ideal candidate has a strong background in Sales tooling products (Salesforce, Highspot, ZoomInfo, Marketo) combined with a solid understanding of current technologies (e.g. APIs, mobile, GenAI). S/he can develop and drive high\-level strategic initiatives but also roll up their sleeves, dig in and get the job done. Maturity, strong business judgment, ability to influence cross\-functional and remote teams, a customer\-centric and creative mindset and strong analytical skills are essential. This opportunity requires excellent product management, prioritization, and communication skills, as well as the ability to navigate ambiguity.  
Key job responsibilities  
* Define the strategic vision and own the long\-term roadmap for Sales tooling products across the Shipping organization
* Partner with Sales, Sales Ops and Marketing Ops to identify and influence development of new products and services that drive productivity and efficiency
* Work directly with engineering to build exceptional products by integrating 3P products into the broader ecosystem
* Define user stories and product requirements while contributing to the technical design of new product implementation and features
* Engage with stakeholders to prioritize features and drive go\-to\-market strategies while making appropriate trade\-offs to optimize time\-to\-market, and technical and business outcomes
* Influence executive leadership and drive alignment across multiple teams on long\-term priorities
* Display self\-starter mentality and the ability to dive below the surface to uncover the "so what" rather than just the symptoms
* Up to 10% travel
**BASIC QUALIFICATIONS**
------------------------
* Bachelor's degree in Computer Science, Engineering, or a related field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 10\+ years of Salesforce ecosystem experience
**PREFERRED QUALIFICATIONS**
----------------------------
* Master's degree, or MBA in management, business administration, economics, engineering, marketing
* Experience with AI/ML technologies
* One or more Salesforce certifications
* Experience in logistics, shipping, or supply chain technology industries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in-192db1dfc0917f71</t>
        </is>
      </c>
      <c r="B92" t="inlineStr">
        <is>
          <t>Principal Product Manager, Ship with Amazon</t>
        </is>
      </c>
      <c r="C92" t="inlineStr">
        <is>
          <t>Amazon.com</t>
        </is>
      </c>
      <c r="D92" t="inlineStr">
        <is>
          <t>indeed</t>
        </is>
      </c>
      <c r="E92" t="inlineStr"/>
      <c r="F92" t="inlineStr"/>
      <c r="G92" t="inlineStr">
        <is>
          <t>Bellevue, WA, US</t>
        </is>
      </c>
      <c r="H92" s="2" t="n">
        <v>45938</v>
      </c>
      <c r="I92" t="inlineStr">
        <is>
          <t>**DESCRIPTION**
---------------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a Principal PM, you will be responsible for defining and owning the strategic vision and roadmap for Sales tooling products in the Amazon Shipping organization. This leader will work closely with stakeholders from Sales, Sales Ops and Marketing Ops to recommend and implement products to support the organization's strategic objectives around improving sales productivity and efficiency, customer experience, and cost optimization.  
The ideal candidate has a strong background in Sales tooling products (Salesforce, Highspot, ZoomInfo, Marketo) combined with a solid understanding of current technologies (e.g. APIs, mobile, GenAI). S/he can develop and drive high\-level strategic initiatives but also roll up their sleeves, dig in and get the job done. Maturity, strong business judgment, ability to influence cross\-functional and remote teams, a customer\-centric and creative mindset and strong analytical skills are essential. This opportunity requires excellent product management, prioritization, and communication skills, as well as the ability to navigate ambiguity.  
Key job responsibilities  
* Define the strategic vision and own the long\-term roadmap for Sales tooling products across the Shipping organization
* Partner with Sales, Sales Ops and Marketing Ops to identify and influence development of new products and services that drive productivity and efficiency
* Work directly with engineering to build exceptional products by integrating 3P products into the broader ecosystem
* Define user stories and product requirements while contributing to the technical design of new product implementation and features
* Engage with stakeholders to prioritize features and drive go\-to\-market strategies while making appropriate trade\-offs to optimize time\-to\-market, and technical and business outcomes
* Influence executive leadership and drive alignment across multiple teams on long\-term priorities
* Display self\-starter mentality and the ability to dive below the surface to uncover the "so what" rather than just the symptoms
* Up to 10% travel
**BASIC QUALIFICATIONS**
------------------------
* Bachelor's degree in Computer Science, Engineering, or a related field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 10\+ years of Salesforce ecosystem experience
**PREFERRED QUALIFICATIONS**
----------------------------
* Master's degree, or MBA in management, business administration, economics, engineering, marketing
* Experience with AI/ML technologies
* One or more Salesforce certifications
* Experience in logistics, shipping, or supply chain technology industries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in-c0549e47d3d6bfda</t>
        </is>
      </c>
      <c r="B93" t="inlineStr">
        <is>
          <t>Sr. Product Manager - Technical - Accumulation Conveyance, 1MHS - Field Fixed</t>
        </is>
      </c>
      <c r="C93" t="inlineStr">
        <is>
          <t>Amazon.com</t>
        </is>
      </c>
      <c r="D93" t="inlineStr">
        <is>
          <t>indeed</t>
        </is>
      </c>
      <c r="E93" t="inlineStr"/>
      <c r="F93" t="inlineStr"/>
      <c r="G93" t="inlineStr">
        <is>
          <t>Arlington, VA, US</t>
        </is>
      </c>
      <c r="H93" s="2" t="n">
        <v>45936</v>
      </c>
      <c r="I93"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in-bfa7fc06a10916d8</t>
        </is>
      </c>
      <c r="B94" t="inlineStr">
        <is>
          <t>Sr. Product Manager - Technical - Accumulation Conveyance, 1MHS - Field Fixed</t>
        </is>
      </c>
      <c r="C94" t="inlineStr">
        <is>
          <t>Amazon.com</t>
        </is>
      </c>
      <c r="D94" t="inlineStr">
        <is>
          <t>indeed</t>
        </is>
      </c>
      <c r="E94" t="inlineStr"/>
      <c r="F94" t="inlineStr"/>
      <c r="G94" t="inlineStr">
        <is>
          <t>Bellevue, WA, US</t>
        </is>
      </c>
      <c r="H94" s="2" t="n">
        <v>45936</v>
      </c>
      <c r="I94"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in-8a1d577d32a7929f</t>
        </is>
      </c>
      <c r="B95" t="inlineStr">
        <is>
          <t>Sr. Product Manager - Technical - Accumulation Conveyance, 1MHS - Field Fixed</t>
        </is>
      </c>
      <c r="C95" t="inlineStr">
        <is>
          <t>Amazon.com</t>
        </is>
      </c>
      <c r="D95" t="inlineStr">
        <is>
          <t>indeed</t>
        </is>
      </c>
      <c r="E95" t="inlineStr"/>
      <c r="F95" t="inlineStr"/>
      <c r="G95" t="inlineStr">
        <is>
          <t>Nashville, TN, US</t>
        </is>
      </c>
      <c r="H95" s="2" t="n">
        <v>45936</v>
      </c>
      <c r="I95"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in-e144385935435a00</t>
        </is>
      </c>
      <c r="B96" t="inlineStr">
        <is>
          <t>Sr. Product Manager - Technical - Accumulation Conveyance, 1MHS - Field Fixed</t>
        </is>
      </c>
      <c r="C96" t="inlineStr">
        <is>
          <t>Amazon.com</t>
        </is>
      </c>
      <c r="D96" t="inlineStr">
        <is>
          <t>indeed</t>
        </is>
      </c>
      <c r="E96" t="inlineStr"/>
      <c r="F96" t="inlineStr"/>
      <c r="G96" t="inlineStr">
        <is>
          <t>Springdale, OH, US</t>
        </is>
      </c>
      <c r="H96" s="2" t="n">
        <v>45936</v>
      </c>
      <c r="I96"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in-a29982c30d90579d</t>
        </is>
      </c>
      <c r="B97" t="inlineStr">
        <is>
          <t>Sr. Product Manager - Technical - Accumulation Conveyance, 1MHS - Field Fixed</t>
        </is>
      </c>
      <c r="C97" t="inlineStr">
        <is>
          <t>Amazon.com</t>
        </is>
      </c>
      <c r="D97" t="inlineStr">
        <is>
          <t>indeed</t>
        </is>
      </c>
      <c r="E97" t="inlineStr"/>
      <c r="F97" t="inlineStr"/>
      <c r="G97" t="inlineStr">
        <is>
          <t>Westborough, MA, US</t>
        </is>
      </c>
      <c r="H97" s="2" t="n">
        <v>45936</v>
      </c>
      <c r="I97"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in-34d057c4e4aed051</t>
        </is>
      </c>
      <c r="B98" t="inlineStr">
        <is>
          <t>Sr. Product Manager - Technical - Accumulation Conveyance, 1MHS - Field Fixed</t>
        </is>
      </c>
      <c r="C98" t="inlineStr">
        <is>
          <t>Amazon.com</t>
        </is>
      </c>
      <c r="D98" t="inlineStr">
        <is>
          <t>indeed</t>
        </is>
      </c>
      <c r="E98" t="inlineStr"/>
      <c r="F98" t="inlineStr"/>
      <c r="G98" t="inlineStr">
        <is>
          <t>Hebron, KY, US</t>
        </is>
      </c>
      <c r="H98" s="2" t="n">
        <v>45936</v>
      </c>
      <c r="I98"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in-046910ba912f02af</t>
        </is>
      </c>
      <c r="B99" t="inlineStr">
        <is>
          <t>Principal Product Manager, Ship with Amazon</t>
        </is>
      </c>
      <c r="C99" t="inlineStr">
        <is>
          <t>Amazon.com</t>
        </is>
      </c>
      <c r="D99" t="inlineStr">
        <is>
          <t>indeed</t>
        </is>
      </c>
      <c r="E99" t="inlineStr"/>
      <c r="F99" t="inlineStr"/>
      <c r="G99" t="inlineStr">
        <is>
          <t>Arlington, VA, US</t>
        </is>
      </c>
      <c r="H99" s="2" t="n">
        <v>45936</v>
      </c>
      <c r="I99" t="inlineStr">
        <is>
          <t>**DESCRIPTION**
---------------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Principal Product Manager, you will architect and drive our digital product strategy across web and mobile platforms, creating exceptional user experiences for our customers. In this key leadership role, you will spearhead the vision and roadmap for our digital ecosystem, leveraging customer insights, data analysis, and user research to deliver innovative solutions. You will lead cross\-functional teams through complex product development cycles, from conception to launch, ensuring seamless integration across all digital touchpoints.
The ideal candidate has a strong logistics/supply chain and digital product management background combined with a solid understanding of current technologies. S/he can develop and drive high\-level strategic initiatives but also roll up their sleeves, dig in and get the job done. Maturity, strong business judgment, ability to influence cross\-functional and remote teams, a customer\-centric and creative mindset with strong analytical skills are essential. This opportunity requires excellent product management, prioritization, and communication skills, as well as the ability to navigate ambiguity.  
Key job responsibilities  
* Define the digital product vision and roadmap.
* Work directly with customers, stakeholders, UX and engineering to build exceptional products.
\- Partner with other teams across Amazon Shipping \- Product and Tech to identify and influence development of new products and services.  
* Anticipate bottlenecks, provide escalation management, and make tradeoffs to balance business needs versus technical or operational constraints.
* Collaborate with global stakeholders in other regions to define requirements that support international use cases.
* Define user stories and product requirements; contribute to the technical design of new product features.
* Drive adoption of features, incorporating continuous feedback for improvements based on user experiences.
* About 10% travel required.
**BASIC QUALIFICATIONS**
------------------------
* Bachelor's degree in Computer Science, Engineering, or a related field
* 10\+ years of success in digital user experience, web/mobile development or digital product management experience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**PREFERRED QUALIFICATIONS**
----------------------------
* MBA, or Master's degree in business, data science, public administration, finance, engineering, human resources or related field
* Experience in program management, logistics, operations, supply chain, transportation, or equivalent
* Experience with AI\-driven personalization or automation in digital experiences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in-c15db6f8d7e2eaba</t>
        </is>
      </c>
      <c r="B100" t="inlineStr">
        <is>
          <t>Principal Product Manager, Ship with Amazon</t>
        </is>
      </c>
      <c r="C100" t="inlineStr">
        <is>
          <t>Amazon.com</t>
        </is>
      </c>
      <c r="D100" t="inlineStr">
        <is>
          <t>indeed</t>
        </is>
      </c>
      <c r="E100" t="inlineStr"/>
      <c r="F100" t="inlineStr"/>
      <c r="G100" t="inlineStr">
        <is>
          <t>Bellevue, WA, US</t>
        </is>
      </c>
      <c r="H100" s="2" t="n">
        <v>45936</v>
      </c>
      <c r="I100" t="inlineStr">
        <is>
          <t>**DESCRIPTION**
---------------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Principal Product Manager, you will architect and drive our digital product strategy across web and mobile platforms, creating exceptional user experiences for our customers. In this key leadership role, you will spearhead the vision and roadmap for our digital ecosystem, leveraging customer insights, data analysis, and user research to deliver innovative solutions. You will lead cross\-functional teams through complex product development cycles, from conception to launch, ensuring seamless integration across all digital touchpoints.
The ideal candidate has a strong logistics/supply chain and digital product management background combined with a solid understanding of current technologies. S/he can develop and drive high\-level strategic initiatives but also roll up their sleeves, dig in and get the job done. Maturity, strong business judgment, ability to influence cross\-functional and remote teams, a customer\-centric and creative mindset with strong analytical skills are essential. This opportunity requires excellent product management, prioritization, and communication skills, as well as the ability to navigate ambiguity.  
Key job responsibilities  
* Define the digital product vision and roadmap.
* Work directly with customers, stakeholders, UX and engineering to build exceptional products.
\- Partner with other teams across Amazon Shipping \- Product and Tech to identify and influence development of new products and services.  
* Anticipate bottlenecks, provide escalation management, and make tradeoffs to balance business needs versus technical or operational constraints.
* Collaborate with global stakeholders in other regions to define requirements that support international use cases.
* Define user stories and product requirements; contribute to the technical design of new product features.
* Drive adoption of features, incorporating continuous feedback for improvements based on user experiences.
* About 10% travel required.
**BASIC QUALIFICATIONS**
------------------------
* Bachelor's degree in Computer Science, Engineering, or a related field
* 10\+ years of success in digital user experience, web/mobile development or digital product management experience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**PREFERRED QUALIFICATIONS**
----------------------------
* MBA, or Master's degree in business, data science, public administration, finance, engineering, human resources or related field
* Experience in program management, logistics, operations, supply chain, transportation, or equivalent
* Experience with AI\-driven personalization or automation in digital experiences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in-5ef911a0bccc639a</t>
        </is>
      </c>
      <c r="B101" t="inlineStr">
        <is>
          <t>Sr. Supply Chain Product Manager, Amazon Custom Modules</t>
        </is>
      </c>
      <c r="C101" t="inlineStr">
        <is>
          <t>Amazon.com</t>
        </is>
      </c>
      <c r="D101" t="inlineStr">
        <is>
          <t>indeed</t>
        </is>
      </c>
      <c r="E101" t="inlineStr"/>
      <c r="F101" t="inlineStr"/>
      <c r="G101" t="inlineStr">
        <is>
          <t>Cupertino, CA, US</t>
        </is>
      </c>
      <c r="H101" s="2" t="n">
        <v>45935</v>
      </c>
      <c r="I101"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in-30c4fad661072cad</t>
        </is>
      </c>
      <c r="B102" t="inlineStr">
        <is>
          <t>Sr. Supply Chain Product Manager, Amazon Custom Modules</t>
        </is>
      </c>
      <c r="C102" t="inlineStr">
        <is>
          <t>Amazon.com</t>
        </is>
      </c>
      <c r="D102" t="inlineStr">
        <is>
          <t>indeed</t>
        </is>
      </c>
      <c r="E102" t="inlineStr"/>
      <c r="F102" t="inlineStr"/>
      <c r="G102" t="inlineStr">
        <is>
          <t>Seattle, WA, US</t>
        </is>
      </c>
      <c r="H102" s="2" t="n">
        <v>45935</v>
      </c>
      <c r="I102"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in-78b9041092f7ed8c</t>
        </is>
      </c>
      <c r="B103" t="inlineStr">
        <is>
          <t>Sr. Supply Chain Product Manager, Amazon Custom Modules</t>
        </is>
      </c>
      <c r="C103" t="inlineStr">
        <is>
          <t>Amazon.com</t>
        </is>
      </c>
      <c r="D103" t="inlineStr">
        <is>
          <t>indeed</t>
        </is>
      </c>
      <c r="E103" t="inlineStr"/>
      <c r="F103" t="inlineStr"/>
      <c r="G103" t="inlineStr">
        <is>
          <t>Austin, TX, US</t>
        </is>
      </c>
      <c r="H103" s="2" t="n">
        <v>45935</v>
      </c>
      <c r="I10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in-b1d5c7812a16a3e3</t>
        </is>
      </c>
      <c r="B104" t="inlineStr">
        <is>
          <t>SR. Technical Program Manager, Connectivity, Connectivity SW DeviceOS</t>
        </is>
      </c>
      <c r="C104" t="inlineStr">
        <is>
          <t>Amazon.com</t>
        </is>
      </c>
      <c r="D104" t="inlineStr">
        <is>
          <t>indeed</t>
        </is>
      </c>
      <c r="E104" t="inlineStr"/>
      <c r="F104" t="inlineStr"/>
      <c r="G104" t="inlineStr">
        <is>
          <t>Austin, TX, US</t>
        </is>
      </c>
      <c r="H104" s="2" t="n">
        <v>45932</v>
      </c>
      <c r="I104" t="inlineStr">
        <is>
          <t>**DESCRIPTION**
---------------
Amazon Lab126 is an inventive research and development company that designs and engineers high\-profile consumer electronics. Lab126 began in 2004 as a subsidiary of Amazon.com, Inc., originally creating the best\-selling Kindle family of products. Since then, we have produced groundbreaking devices like Fire tablets, Fire TV and Amazon Echo.  
What will you help us create?  
The Role:  
As a Sr. Technical Program Manager, you will engage with an experienced cross\-disciplinary staff to design, manage, and deliver innovative consumer products, technologies, and tools. In this role, you will:  
Work with key stakeholders in product management and executive teams to define strategy and requirements  
Drive data\-based activities to develop insights on device and accessory performance and improvement recommendations  
Lead cross functional and full stack problem\-solving and development activities from design through delivery  
Work with global teams to deliver supporting software and services in sync with launch timelines.  
Communicate regularly with senior management on status, risks and change control  
Work with subject matter experts to lead and drive new technology initiatives and evaluations for next generation Amazon products and features  
Work with component leads to drive evaluation and adoption of new vendor technologies and HW  
Work with vendors and external partners to deliver device software and firmware technologies into our products
**BASIC QUALIFICATIONS**
------------------------
* 7\+ years of working directly with engineering teams experience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in-ab222c8066ae08eb</t>
        </is>
      </c>
      <c r="B105" t="inlineStr">
        <is>
          <t>SR. Technical Program Manager, Connectivity, Connectivity SW DeviceOS</t>
        </is>
      </c>
      <c r="C105" t="inlineStr">
        <is>
          <t>Amazon.com</t>
        </is>
      </c>
      <c r="D105" t="inlineStr">
        <is>
          <t>indeed</t>
        </is>
      </c>
      <c r="E105" t="inlineStr"/>
      <c r="F105" t="inlineStr"/>
      <c r="G105" t="inlineStr">
        <is>
          <t>Irvine, CA, US</t>
        </is>
      </c>
      <c r="H105" s="2" t="n">
        <v>45932</v>
      </c>
      <c r="I105" t="inlineStr">
        <is>
          <t>**DESCRIPTION**
---------------
Amazon Lab126 is an inventive research and development company that designs and engineers high\-profile consumer electronics. Lab126 began in 2004 as a subsidiary of Amazon.com, Inc., originally creating the best\-selling Kindle family of products. Since then, we have produced groundbreaking devices like Fire tablets, Fire TV and Amazon Echo.  
What will you help us create?  
The Role:  
As a Sr. Technical Program Manager, you will engage with an experienced cross\-disciplinary staff to design, manage, and deliver innovative consumer products, technologies, and tools. In this role, you will:  
Work with key stakeholders in product management and executive teams to define strategy and requirements  
Drive data\-based activities to develop insights on device and accessory performance and improvement recommendations  
Lead cross functional and full stack problem\-solving and development activities from design through delivery  
Work with global teams to deliver supporting software and services in sync with launch timelines.  
Communicate regularly with senior management on status, risks and change control  
Work with subject matter experts to lead and drive new technology initiatives and evaluations for next generation Amazon products and features  
Work with component leads to drive evaluation and adoption of new vendor technologies and HW  
Work with vendors and external partners to deliver device software and firmware technologies into our products
**BASIC QUALIFICATIONS**
------------------------
* 7\+ years of working directly with engineering teams experience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in-54000b2d660c8660</t>
        </is>
      </c>
      <c r="B106" t="inlineStr">
        <is>
          <t>SR. Technical Program Manager, Connectivity, Connectivity SW DeviceOS</t>
        </is>
      </c>
      <c r="C106" t="inlineStr">
        <is>
          <t>Amazon.com</t>
        </is>
      </c>
      <c r="D106" t="inlineStr">
        <is>
          <t>indeed</t>
        </is>
      </c>
      <c r="E106" t="inlineStr"/>
      <c r="F106" t="inlineStr"/>
      <c r="G106" t="inlineStr">
        <is>
          <t>Sunnyvale, CA, US</t>
        </is>
      </c>
      <c r="H106" s="2" t="n">
        <v>45932</v>
      </c>
      <c r="I106" t="inlineStr">
        <is>
          <t>**DESCRIPTION**
---------------
Amazon Lab126 is an inventive research and development company that designs and engineers high\-profile consumer electronics. Lab126 began in 2004 as a subsidiary of Amazon.com, Inc., originally creating the best\-selling Kindle family of products. Since then, we have produced groundbreaking devices like Fire tablets, Fire TV and Amazon Echo.  
What will you help us create?  
The Role:  
As a Sr. Technical Program Manager, you will engage with an experienced cross\-disciplinary staff to design, manage, and deliver innovative consumer products, technologies, and tools. In this role, you will:  
Work with key stakeholders in product management and executive teams to define strategy and requirements  
Drive data\-based activities to develop insights on device and accessory performance and improvement recommendations  
Lead cross functional and full stack problem\-solving and development activities from design through delivery  
Work with global teams to deliver supporting software and services in sync with launch timelines.  
Communicate regularly with senior management on status, risks and change control  
Work with subject matter experts to lead and drive new technology initiatives and evaluations for next generation Amazon products and features  
Work with component leads to drive evaluation and adoption of new vendor technologies and HW  
Work with vendors and external partners to deliver device software and firmware technologies into our products
**BASIC QUALIFICATIONS**
------------------------
* 7\+ years of working directly with engineering teams experience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in-333b33ccd455ee13</t>
        </is>
      </c>
      <c r="B107" t="inlineStr">
        <is>
          <t>Sr. Program Manager, Same Day Programs</t>
        </is>
      </c>
      <c r="C107" t="inlineStr">
        <is>
          <t>Amazon.com</t>
        </is>
      </c>
      <c r="D107" t="inlineStr">
        <is>
          <t>indeed</t>
        </is>
      </c>
      <c r="E107" t="inlineStr"/>
      <c r="F107" t="inlineStr"/>
      <c r="G107" t="inlineStr">
        <is>
          <t>Nashville, TN, US</t>
        </is>
      </c>
      <c r="H107" s="2" t="n">
        <v>45931</v>
      </c>
      <c r="I107"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in-4ffda46c9f944f05</t>
        </is>
      </c>
      <c r="B108" t="inlineStr">
        <is>
          <t>Sr. Program Manager, Same Day Programs,</t>
        </is>
      </c>
      <c r="C108" t="inlineStr">
        <is>
          <t>Amazon.com</t>
        </is>
      </c>
      <c r="D108" t="inlineStr">
        <is>
          <t>indeed</t>
        </is>
      </c>
      <c r="E108" t="inlineStr"/>
      <c r="F108" t="inlineStr"/>
      <c r="G108" t="inlineStr">
        <is>
          <t>Nashville, TN, US</t>
        </is>
      </c>
      <c r="H108" s="2" t="n">
        <v>45931</v>
      </c>
      <c r="I108"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in-7da0160640c1a9c3</t>
        </is>
      </c>
      <c r="B109" t="inlineStr">
        <is>
          <t>Sr. Program Manager, Same Day Programs,</t>
        </is>
      </c>
      <c r="C109" t="inlineStr">
        <is>
          <t>Amazon.com</t>
        </is>
      </c>
      <c r="D109" t="inlineStr">
        <is>
          <t>indeed</t>
        </is>
      </c>
      <c r="E109" t="inlineStr"/>
      <c r="F109" t="inlineStr"/>
      <c r="G109" t="inlineStr">
        <is>
          <t>Bellevue, WA, US</t>
        </is>
      </c>
      <c r="H109" s="2" t="n">
        <v>45931</v>
      </c>
      <c r="I109"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in-d9dea66d495da699</t>
        </is>
      </c>
      <c r="B110" t="inlineStr">
        <is>
          <t>Sr. Program Manager, Same Day Programs</t>
        </is>
      </c>
      <c r="C110" t="inlineStr">
        <is>
          <t>Amazon.com</t>
        </is>
      </c>
      <c r="D110" t="inlineStr">
        <is>
          <t>indeed</t>
        </is>
      </c>
      <c r="E110" t="inlineStr"/>
      <c r="F110" t="inlineStr"/>
      <c r="G110" t="inlineStr">
        <is>
          <t>Bellevue, WA, US</t>
        </is>
      </c>
      <c r="H110" s="2" t="n">
        <v>45931</v>
      </c>
      <c r="I110"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in-e5133998bf69ef48</t>
        </is>
      </c>
      <c r="B111" t="inlineStr">
        <is>
          <t>Sr. Product Manager - Tech , AFX - Sales Planning Tools</t>
        </is>
      </c>
      <c r="C111" t="inlineStr">
        <is>
          <t>Amazon Web Services</t>
        </is>
      </c>
      <c r="D111" t="inlineStr">
        <is>
          <t>indeed</t>
        </is>
      </c>
      <c r="E111" t="inlineStr"/>
      <c r="F111" t="inlineStr"/>
      <c r="G111" t="inlineStr">
        <is>
          <t>Dallas, TX, US</t>
        </is>
      </c>
      <c r="H111" s="2" t="n">
        <v>45923</v>
      </c>
      <c r="I111" t="inlineStr">
        <is>
          <t>**DESCRIPTION**
---------------
Do you want to be part of an innovative and rapidly growing business? Are you looking for a role with ownership, autonomy, and the ability to lead teams across the globe to launch AI/ML enterprise applications?  
Then you should join the AWS Sales Marketing and Global Services (SMGS) Sales Planning Tools team. We provide the services, technology, and data to support the rapidly growing world\-wide AWS Sales organization. This includes finding inventive ways to scale the business, which will be critical for AWS to continue its strong growth. Our team manages a portfolio of complex, high\-impact, and intelligent planning tools, with an exciting multi\-year product roadmap. These are global, enterprise grade web applications that are early and mid\-stage in their lifecycle, and include both 1P and 3P products.
Our team is seeking a talented, innovative Sr. Product Manager with exceptional invent and simplify skillset, problem solving abilities, clear communication skills, think big mindset, and the ability to translate customers and business needs into inventive software solutions.
You will be responsible for onboarding the AWS Partner Organization to AWS Sales Planning, specifically owning GTM Partner Hierarchy, Partner Segmentation, and Partner Account Ownership. This entails designing and delivering a global, enterprise grade web\-based sales planning application to be used by the Partner organization for Partner Planning. The AWS Partner Organization is a rapidly growing business, and you will stand to deliver transformational value across the worldwide AWS Sales organization. You will work with a dedicated engineering pod; our product team works with a 70 person, and growing, engineering team. You will define the product’s 2\-3 year vision and strategy, including the delivery of automation and intelligent recommendations to drive a more efficient and effective Partner Sales Planning. You will be responsible for roadmap development, product requirements management, stakeholder and customer engagement, leadership reviews, user testing, and launch strategy and execution. You will partner with engineering, global sales customers, a data science team, and other application owners across the SMGS organization.  
Key job responsibilities  
* Develop product strategy and product definition.
* Define and manage multi\-year product roadmap, including introduction of AI/ML to transform AWS planning.
* Capture, document, and communicate business and technical product requirements.
* Translate requirements into features and user stories. Drive technical team understanding of requirements.
* Manage technical build against business requirements. Provide thought leadership with engineering on implementation.
* Collaborate with and influence key stakeholders from Global AWS Sales and Sales Operations teams and other System and Application teams across WWRO.
* Lead document development for leadership reviews.
* Own project status updates to customers, stakeholders, and leadership.
* Plan and conduct user testing.
* Drive change management and adoption of solution across AWS Sales and Sales Operations
* Manage post\-launch activities (user support, new feature development, etc.)
* Establish KPIs, identify gaps, and improve performance and adoption of the platform.
* Deep dive problems or opportunity areas and propose solutions to address.
* Generate new ideas to drive improvement, efficiency and automation across AWS Sales that will enable AWS to scale and grow.
A day in the life  
* Design new products and capabilities that enable business users to operate more effectively, intelligently, and efficiently.
* Engage with systems that are at the forefront of technology, pioneering new methods and approaches to delivering software, serving customers, and enabling large, distributed, worldwide sales teams.
* Work closely with engineering and other technical product/program managers to define, build, drive and measure mechanisms to enable our field sales teams
* Leverage strong communication skills and a passion for using data and software to drive business decisions at scale
About the team  
We have a team culture that encourages innovation and we expect team members and management alike to take high degree of ownership for their program vision and execution of ideas. Beyond a strong technical background and proven track record of product management, a successful candidate will have experience driving strategy and influencing executive leadership. We are looking for someone that is a self\-starter, someone that approaches complex business questions with data and curiosity, and a person that dives below the surface to identify the root cause and "so what" rather than just superficial trends.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 and mid\-market accounts to enterprise\-level customers including public sector.**BASIC QUALIFICATIONS**
------------------------
* Bachelor's degree in a quantitative/technical field such as computer science, engineering, statistics
* 5\+ years of technical product or program management experience
* Experience with end to end product delivery
* Experience contributing to engineering discussions around technology and data decisions and strategy related to product
* Excellent verbal and written communication; able to communicate effectively with technical and non\-technical individuals
**PREFERRED QUALIFICATIONS**
----------------------------
* Master's degree
* Experience managing technical products or online services
* Experience in building and driving adoption of new tools
* Experience contributing to engineering discussions around technology decisions and strategy related to a product
* Comfort with ambiguity; demonstrated track record of independently developing creative solutions to problems
* Demonstrated ability to successfully influence and drive stakeholders to decision without formal authority
* Experience with developing products and features for the sales and marketing space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in-3e58a486acdacc93</t>
        </is>
      </c>
      <c r="B112" t="inlineStr">
        <is>
          <t>Sr. Product Manager - Tech , AFX - Sales Planning Tools</t>
        </is>
      </c>
      <c r="C112" t="inlineStr">
        <is>
          <t>Amazon Web Services</t>
        </is>
      </c>
      <c r="D112" t="inlineStr">
        <is>
          <t>indeed</t>
        </is>
      </c>
      <c r="E112" t="inlineStr"/>
      <c r="F112" t="inlineStr"/>
      <c r="G112" t="inlineStr">
        <is>
          <t>Seattle, WA, US</t>
        </is>
      </c>
      <c r="H112" s="2" t="n">
        <v>45923</v>
      </c>
      <c r="I112" t="inlineStr">
        <is>
          <t>**DESCRIPTION**
---------------
Do you want to be part of an innovative and rapidly growing business? Are you looking for a role with ownership, autonomy, and the ability to lead teams across the globe to launch AI/ML enterprise applications?  
Then you should join the AWS Sales Marketing and Global Services (SMGS) Sales Planning Tools team. We provide the services, technology, and data to support the rapidly growing world\-wide AWS Sales organization. This includes finding inventive ways to scale the business, which will be critical for AWS to continue its strong growth. Our team manages a portfolio of complex, high\-impact, and intelligent planning tools, with an exciting multi\-year product roadmap. These are global, enterprise grade web applications that are early and mid\-stage in their lifecycle, and include both 1P and 3P products.
Our team is seeking a talented, innovative Sr. Product Manager with exceptional invent and simplify skillset, problem solving abilities, clear communication skills, think big mindset, and the ability to translate customers and business needs into inventive software solutions.
You will be responsible for onboarding the AWS Partner Organization to AWS Sales Planning, specifically owning GTM Partner Hierarchy, Partner Segmentation, and Partner Account Ownership. This entails designing and delivering a global, enterprise grade web\-based sales planning application to be used by the Partner organization for Partner Planning. The AWS Partner Organization is a rapidly growing business, and you will stand to deliver transformational value across the worldwide AWS Sales organization. You will work with a dedicated engineering pod; our product team works with a 70 person, and growing, engineering team. You will define the product’s 2\-3 year vision and strategy, including the delivery of automation and intelligent recommendations to drive a more efficient and effective Partner Sales Planning. You will be responsible for roadmap development, product requirements management, stakeholder and customer engagement, leadership reviews, user testing, and launch strategy and execution. You will partner with engineering, global sales customers, a data science team, and other application owners across the SMGS organization.  
Key job responsibilities  
* Develop product strategy and product definition.
* Define and manage multi\-year product roadmap, including introduction of AI/ML to transform AWS planning.
* Capture, document, and communicate business and technical product requirements.
* Translate requirements into features and user stories. Drive technical team understanding of requirements.
* Manage technical build against business requirements. Provide thought leadership with engineering on implementation.
* Collaborate with and influence key stakeholders from Global AWS Sales and Sales Operations teams and other System and Application teams across WWRO.
* Lead document development for leadership reviews.
* Own project status updates to customers, stakeholders, and leadership.
* Plan and conduct user testing.
* Drive change management and adoption of solution across AWS Sales and Sales Operations
* Manage post\-launch activities (user support, new feature development, etc.)
* Establish KPIs, identify gaps, and improve performance and adoption of the platform.
* Deep dive problems or opportunity areas and propose solutions to address.
* Generate new ideas to drive improvement, efficiency and automation across AWS Sales that will enable AWS to scale and grow.
A day in the life  
* Design new products and capabilities that enable business users to operate more effectively, intelligently, and efficiently.
* Engage with systems that are at the forefront of technology, pioneering new methods and approaches to delivering software, serving customers, and enabling large, distributed, worldwide sales teams.
* Work closely with engineering and other technical product/program managers to define, build, drive and measure mechanisms to enable our field sales teams
* Leverage strong communication skills and a passion for using data and software to drive business decisions at scale
About the team  
We have a team culture that encourages innovation and we expect team members and management alike to take high degree of ownership for their program vision and execution of ideas. Beyond a strong technical background and proven track record of product management, a successful candidate will have experience driving strategy and influencing executive leadership. We are looking for someone that is a self\-starter, someone that approaches complex business questions with data and curiosity, and a person that dives below the surface to identify the root cause and "so what" rather than just superficial trends.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 and mid\-market accounts to enterprise\-level customers including public sector.**BASIC QUALIFICATIONS**
------------------------
* Bachelor's degree in a quantitative/technical field such as computer science, engineering, statistics
* 5\+ years of technical product or program management experience
* Experience with end to end product delivery
* Experience contributing to engineering discussions around technology and data decisions and strategy related to product
* Excellent verbal and written communication; able to communicate effectively with technical and non\-technical individuals
**PREFERRED QUALIFICATIONS**
----------------------------
* Master's degree
* Experience managing technical products or online services
* Experience in building and driving adoption of new tools
* Experience contributing to engineering discussions around technology decisions and strategy related to a product
* Comfort with ambiguity; demonstrated track record of independently developing creative solutions to problems
* Demonstrated ability to successfully influence and drive stakeholders to decision without formal authority
* Experience with developing products and features for the sales and marketing space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in-870116451aea6f25</t>
        </is>
      </c>
      <c r="B113" t="inlineStr">
        <is>
          <t>Amazon Last Mile Fleet Program Manager, In Life Services-Recalls, Retrofits, and Tires</t>
        </is>
      </c>
      <c r="C113" t="inlineStr">
        <is>
          <t>Amazon.com</t>
        </is>
      </c>
      <c r="D113" t="inlineStr">
        <is>
          <t>indeed</t>
        </is>
      </c>
      <c r="E113" t="inlineStr"/>
      <c r="F113" t="inlineStr"/>
      <c r="G113" t="inlineStr">
        <is>
          <t>Arlington, VA, US</t>
        </is>
      </c>
      <c r="H113" s="2" t="n">
        <v>45911</v>
      </c>
      <c r="I113"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in-232e1b539ab006c3</t>
        </is>
      </c>
      <c r="B114" t="inlineStr">
        <is>
          <t>Amazon Last Mile Fleet Program Manager, In Life Services-Recalls, Retrofits, and Tires</t>
        </is>
      </c>
      <c r="C114" t="inlineStr">
        <is>
          <t>Amazon.com</t>
        </is>
      </c>
      <c r="D114" t="inlineStr">
        <is>
          <t>indeed</t>
        </is>
      </c>
      <c r="E114" t="inlineStr"/>
      <c r="F114" t="inlineStr"/>
      <c r="G114" t="inlineStr">
        <is>
          <t>Bellevue, WA, US</t>
        </is>
      </c>
      <c r="H114" s="2" t="n">
        <v>45911</v>
      </c>
      <c r="I114"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in-fabd51edc971cef0</t>
        </is>
      </c>
      <c r="B115" t="inlineStr">
        <is>
          <t>Amazon Last Mile Fleet Program Manager, In Life Services-Recalls, Retrofits, and Tires</t>
        </is>
      </c>
      <c r="C115" t="inlineStr">
        <is>
          <t>Amazon.com</t>
        </is>
      </c>
      <c r="D115" t="inlineStr">
        <is>
          <t>indeed</t>
        </is>
      </c>
      <c r="E115" t="inlineStr"/>
      <c r="F115" t="inlineStr"/>
      <c r="G115" t="inlineStr">
        <is>
          <t>Nashville, TN, US</t>
        </is>
      </c>
      <c r="H115" s="2" t="n">
        <v>45911</v>
      </c>
      <c r="I115"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in-454c8b1dfae74ea1</t>
        </is>
      </c>
      <c r="B116" t="inlineStr">
        <is>
          <t>Sr Materials Program Manager, Ring Supply Chain and Operations</t>
        </is>
      </c>
      <c r="C116" t="inlineStr">
        <is>
          <t>Amazon.com</t>
        </is>
      </c>
      <c r="D116" t="inlineStr">
        <is>
          <t>indeed</t>
        </is>
      </c>
      <c r="E116" t="inlineStr"/>
      <c r="F116" t="inlineStr"/>
      <c r="G116" t="inlineStr">
        <is>
          <t>Sunnyvale, CA, US</t>
        </is>
      </c>
      <c r="H116" s="2" t="n">
        <v>45898</v>
      </c>
      <c r="I116"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in-b2ed3615601934d6</t>
        </is>
      </c>
      <c r="B117" t="inlineStr">
        <is>
          <t>Sr Materials Program Manager, Ring Supply Chain and Operations</t>
        </is>
      </c>
      <c r="C117" t="inlineStr">
        <is>
          <t>Amazon.com</t>
        </is>
      </c>
      <c r="D117" t="inlineStr">
        <is>
          <t>indeed</t>
        </is>
      </c>
      <c r="E117" t="inlineStr"/>
      <c r="F117" t="inlineStr"/>
      <c r="G117" t="inlineStr">
        <is>
          <t>Hawthorne, CA, US</t>
        </is>
      </c>
      <c r="H117" s="2" t="n">
        <v>45898</v>
      </c>
      <c r="I117"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in-b7e35be50ce388ad</t>
        </is>
      </c>
      <c r="B118" t="inlineStr">
        <is>
          <t>Sr. Product Manager, Sub-Same Day (SSD) - DOT, SSD Delivery Ops Tech</t>
        </is>
      </c>
      <c r="C118" t="inlineStr">
        <is>
          <t>Amazon.com</t>
        </is>
      </c>
      <c r="D118" t="inlineStr">
        <is>
          <t>indeed</t>
        </is>
      </c>
      <c r="E118" t="inlineStr"/>
      <c r="F118" t="inlineStr"/>
      <c r="G118" t="inlineStr">
        <is>
          <t>Nashville, TN, US</t>
        </is>
      </c>
      <c r="H118" s="2" t="n">
        <v>45876</v>
      </c>
      <c r="I118"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in-cc7ae4602a7679fd</t>
        </is>
      </c>
      <c r="B119" t="inlineStr">
        <is>
          <t>Sr. Product Manager, Sub-Same Day (SSD) - DOT, SSD Delivery Ops Tech</t>
        </is>
      </c>
      <c r="C119" t="inlineStr">
        <is>
          <t>Amazon.com</t>
        </is>
      </c>
      <c r="D119" t="inlineStr">
        <is>
          <t>indeed</t>
        </is>
      </c>
      <c r="E119" t="inlineStr"/>
      <c r="F119" t="inlineStr"/>
      <c r="G119" t="inlineStr">
        <is>
          <t>Bellevue, WA, US</t>
        </is>
      </c>
      <c r="H119" s="2" t="n">
        <v>45876</v>
      </c>
      <c r="I119"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in-4847047ecdd0158a</t>
        </is>
      </c>
      <c r="B120" t="inlineStr">
        <is>
          <t>Sr. Product Manager, Sub-Same Day (SSD) - DOT, SSD Delivery Ops Tech</t>
        </is>
      </c>
      <c r="C120" t="inlineStr">
        <is>
          <t>Amazon.com</t>
        </is>
      </c>
      <c r="D120" t="inlineStr">
        <is>
          <t>indeed</t>
        </is>
      </c>
      <c r="E120" t="inlineStr"/>
      <c r="F120" t="inlineStr"/>
      <c r="G120" t="inlineStr">
        <is>
          <t>New York, NY, US</t>
        </is>
      </c>
      <c r="H120" s="2" t="n">
        <v>45876</v>
      </c>
      <c r="I120"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in-bcacc0da8e946dee</t>
        </is>
      </c>
      <c r="B121" t="inlineStr">
        <is>
          <t>Sr. Product Manager, Sub-Same Day (SSD) Delivery</t>
        </is>
      </c>
      <c r="C121" t="inlineStr">
        <is>
          <t>Amazon.com</t>
        </is>
      </c>
      <c r="D121" t="inlineStr">
        <is>
          <t>indeed</t>
        </is>
      </c>
      <c r="E121" t="inlineStr"/>
      <c r="F121" t="inlineStr"/>
      <c r="G121" t="inlineStr">
        <is>
          <t>Bellevue, WA, US</t>
        </is>
      </c>
      <c r="H121" s="2" t="n">
        <v>45874</v>
      </c>
      <c r="I121"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in-ea1436f3b5a80c6a</t>
        </is>
      </c>
      <c r="B122" t="inlineStr">
        <is>
          <t>Sr. Product Manager, Sub-Same Day (SSD) Delivery</t>
        </is>
      </c>
      <c r="C122" t="inlineStr">
        <is>
          <t>Amazon.com</t>
        </is>
      </c>
      <c r="D122" t="inlineStr">
        <is>
          <t>indeed</t>
        </is>
      </c>
      <c r="E122" t="inlineStr"/>
      <c r="F122" t="inlineStr"/>
      <c r="G122" t="inlineStr">
        <is>
          <t>New York, NY, US</t>
        </is>
      </c>
      <c r="H122" s="2" t="n">
        <v>45874</v>
      </c>
      <c r="I122"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in-184a402b3156dc6a</t>
        </is>
      </c>
      <c r="B123" t="inlineStr">
        <is>
          <t>Sr. Product Manager, Sub-Same Day (SSD) Delivery</t>
        </is>
      </c>
      <c r="C123" t="inlineStr">
        <is>
          <t>Amazon.com</t>
        </is>
      </c>
      <c r="D123" t="inlineStr">
        <is>
          <t>indeed</t>
        </is>
      </c>
      <c r="E123" t="inlineStr"/>
      <c r="F123" t="inlineStr"/>
      <c r="G123" t="inlineStr">
        <is>
          <t>Nashville, TN, US</t>
        </is>
      </c>
      <c r="H123" s="2" t="n">
        <v>45874</v>
      </c>
      <c r="I123"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in-75ad5fef95bb6e10</t>
        </is>
      </c>
      <c r="B124" t="inlineStr">
        <is>
          <t>Sr. Product Manager Technical - Electrical, OneMHS</t>
        </is>
      </c>
      <c r="C124" t="inlineStr">
        <is>
          <t>Amazon.com</t>
        </is>
      </c>
      <c r="D124" t="inlineStr">
        <is>
          <t>indeed</t>
        </is>
      </c>
      <c r="E124" t="inlineStr"/>
      <c r="F124" t="inlineStr"/>
      <c r="G124" t="inlineStr">
        <is>
          <t>Nashville, TN, US</t>
        </is>
      </c>
      <c r="H124" s="2" t="n">
        <v>45867</v>
      </c>
      <c r="I124"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in-632a5aed2f66fbcf</t>
        </is>
      </c>
      <c r="B125" t="inlineStr">
        <is>
          <t>Sr. Product Manager Technical - Electrical, OneMHS</t>
        </is>
      </c>
      <c r="C125" t="inlineStr">
        <is>
          <t>Amazon.com</t>
        </is>
      </c>
      <c r="D125" t="inlineStr">
        <is>
          <t>indeed</t>
        </is>
      </c>
      <c r="E125" t="inlineStr"/>
      <c r="F125" t="inlineStr"/>
      <c r="G125" t="inlineStr">
        <is>
          <t>Springdale, OH, US</t>
        </is>
      </c>
      <c r="H125" s="2" t="n">
        <v>45867</v>
      </c>
      <c r="I125"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in-3928831a8a9fb811</t>
        </is>
      </c>
      <c r="B126" t="inlineStr">
        <is>
          <t>Sr. Product Manager Technical - Electrical, OneMHS</t>
        </is>
      </c>
      <c r="C126" t="inlineStr">
        <is>
          <t>Amazon.com</t>
        </is>
      </c>
      <c r="D126" t="inlineStr">
        <is>
          <t>indeed</t>
        </is>
      </c>
      <c r="E126" t="inlineStr"/>
      <c r="F126" t="inlineStr"/>
      <c r="G126" t="inlineStr">
        <is>
          <t>Bellevue, WA, US</t>
        </is>
      </c>
      <c r="H126" s="2" t="n">
        <v>45867</v>
      </c>
      <c r="I126"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in-63fe8a6a09d3664c</t>
        </is>
      </c>
      <c r="B127" t="inlineStr">
        <is>
          <t>Sr. Product Manager Technical - Electrical, OneMHS</t>
        </is>
      </c>
      <c r="C127" t="inlineStr">
        <is>
          <t>Amazon.com</t>
        </is>
      </c>
      <c r="D127" t="inlineStr">
        <is>
          <t>indeed</t>
        </is>
      </c>
      <c r="E127" t="inlineStr"/>
      <c r="F127" t="inlineStr"/>
      <c r="G127" t="inlineStr">
        <is>
          <t>Westborough, MA, US</t>
        </is>
      </c>
      <c r="H127" s="2" t="n">
        <v>45867</v>
      </c>
      <c r="I127"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in-44d33f41b86681e0</t>
        </is>
      </c>
      <c r="B128" t="inlineStr">
        <is>
          <t>Sr. Product Manager Technical - Electrical, OneMHS</t>
        </is>
      </c>
      <c r="C128" t="inlineStr">
        <is>
          <t>Amazon.com</t>
        </is>
      </c>
      <c r="D128" t="inlineStr">
        <is>
          <t>indeed</t>
        </is>
      </c>
      <c r="E128" t="inlineStr"/>
      <c r="F128" t="inlineStr"/>
      <c r="G128" t="inlineStr">
        <is>
          <t>Hebron, KY, US</t>
        </is>
      </c>
      <c r="H128" s="2" t="n">
        <v>45867</v>
      </c>
      <c r="I128"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in-73d27601d675770a</t>
        </is>
      </c>
      <c r="B129" t="inlineStr">
        <is>
          <t>Sr. Product Manager Technical - Electrical, OneMHS</t>
        </is>
      </c>
      <c r="C129" t="inlineStr">
        <is>
          <t>Amazon.com</t>
        </is>
      </c>
      <c r="D129" t="inlineStr">
        <is>
          <t>indeed</t>
        </is>
      </c>
      <c r="E129" t="inlineStr"/>
      <c r="F129" t="inlineStr"/>
      <c r="G129" t="inlineStr">
        <is>
          <t>Arlington, VA, US</t>
        </is>
      </c>
      <c r="H129" s="2" t="n">
        <v>45867</v>
      </c>
      <c r="I129"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in-296765f528b19167</t>
        </is>
      </c>
      <c r="B130" t="inlineStr">
        <is>
          <t>Environmental Program Manager, AWS Environmental, AWS EHS Compliance</t>
        </is>
      </c>
      <c r="C130" t="inlineStr">
        <is>
          <t>Amazon.com</t>
        </is>
      </c>
      <c r="D130" t="inlineStr">
        <is>
          <t>indeed</t>
        </is>
      </c>
      <c r="E130" t="inlineStr"/>
      <c r="F130" t="inlineStr"/>
      <c r="G130" t="inlineStr">
        <is>
          <t>Columbus, OH, US</t>
        </is>
      </c>
      <c r="H130" s="2" t="n">
        <v>45860</v>
      </c>
      <c r="I13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in-d7a6d47ea98289e1</t>
        </is>
      </c>
      <c r="B131" t="inlineStr">
        <is>
          <t>Environmental Program Manager, AWS Environmental, AWS EHS Compliance</t>
        </is>
      </c>
      <c r="C131" t="inlineStr">
        <is>
          <t>Amazon.com</t>
        </is>
      </c>
      <c r="D131" t="inlineStr">
        <is>
          <t>indeed</t>
        </is>
      </c>
      <c r="E131" t="inlineStr"/>
      <c r="F131" t="inlineStr"/>
      <c r="G131" t="inlineStr">
        <is>
          <t>New Carlisle, IN, US</t>
        </is>
      </c>
      <c r="H131" s="2" t="n">
        <v>45860</v>
      </c>
      <c r="I131"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in-652441d0790bc636</t>
        </is>
      </c>
      <c r="B132" t="inlineStr">
        <is>
          <t>Environmental Program Manager, AWS Environmental, AWS EHS Compliance</t>
        </is>
      </c>
      <c r="C132" t="inlineStr">
        <is>
          <t>Amazon.com</t>
        </is>
      </c>
      <c r="D132" t="inlineStr">
        <is>
          <t>indeed</t>
        </is>
      </c>
      <c r="E132" t="inlineStr"/>
      <c r="F132" t="inlineStr"/>
      <c r="G132" t="inlineStr">
        <is>
          <t>OH, US</t>
        </is>
      </c>
      <c r="H132" s="2" t="n">
        <v>45860</v>
      </c>
      <c r="I132"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in-04366561929386c3</t>
        </is>
      </c>
      <c r="B133" t="inlineStr">
        <is>
          <t>Environmental Program Manager, AWS Environmental, AWS EHS Compliance</t>
        </is>
      </c>
      <c r="C133" t="inlineStr">
        <is>
          <t>Amazon.com</t>
        </is>
      </c>
      <c r="D133" t="inlineStr">
        <is>
          <t>indeed</t>
        </is>
      </c>
      <c r="E133" t="inlineStr"/>
      <c r="F133" t="inlineStr"/>
      <c r="G133" t="inlineStr">
        <is>
          <t>OH, US</t>
        </is>
      </c>
      <c r="H133" s="2" t="n">
        <v>45860</v>
      </c>
      <c r="I13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in-c2a91fff1e7dcac3</t>
        </is>
      </c>
      <c r="B134" t="inlineStr">
        <is>
          <t>Senior Product Manager - Tech, Fire TV</t>
        </is>
      </c>
      <c r="C134" t="inlineStr">
        <is>
          <t>Amazon.com</t>
        </is>
      </c>
      <c r="D134" t="inlineStr">
        <is>
          <t>indeed</t>
        </is>
      </c>
      <c r="E134" t="inlineStr"/>
      <c r="F134" t="inlineStr"/>
      <c r="G134" t="inlineStr">
        <is>
          <t>Sunnyvale, CA, US</t>
        </is>
      </c>
      <c r="H134" s="2" t="n">
        <v>45855</v>
      </c>
      <c r="I134"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in-e1fe76d09cb0f1df</t>
        </is>
      </c>
      <c r="B135" t="inlineStr">
        <is>
          <t>Senior Product Manager - Tech, Fire TV</t>
        </is>
      </c>
      <c r="C135" t="inlineStr">
        <is>
          <t>Amazon.com</t>
        </is>
      </c>
      <c r="D135" t="inlineStr">
        <is>
          <t>indeed</t>
        </is>
      </c>
      <c r="E135" t="inlineStr"/>
      <c r="F135" t="inlineStr"/>
      <c r="G135" t="inlineStr">
        <is>
          <t>Seattle, WA, US</t>
        </is>
      </c>
      <c r="H135" s="2" t="n">
        <v>45855</v>
      </c>
      <c r="I135"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in-835f7b827afc52d7</t>
        </is>
      </c>
      <c r="B136" t="inlineStr">
        <is>
          <t>Senior Product Manager - Technical, Alexa Communications</t>
        </is>
      </c>
      <c r="C136" t="inlineStr">
        <is>
          <t>Amazon.com</t>
        </is>
      </c>
      <c r="D136" t="inlineStr">
        <is>
          <t>indeed</t>
        </is>
      </c>
      <c r="E136" t="inlineStr"/>
      <c r="F136" t="inlineStr"/>
      <c r="G136" t="inlineStr">
        <is>
          <t>Sunnyvale, CA, US</t>
        </is>
      </c>
      <c r="H136" s="2" t="n">
        <v>45851</v>
      </c>
      <c r="I136"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in-4cc55d005670900e</t>
        </is>
      </c>
      <c r="B137" t="inlineStr">
        <is>
          <t>Senior Product Manager - Technical, Alexa Communications</t>
        </is>
      </c>
      <c r="C137" t="inlineStr">
        <is>
          <t>Amazon.com</t>
        </is>
      </c>
      <c r="D137" t="inlineStr">
        <is>
          <t>indeed</t>
        </is>
      </c>
      <c r="E137" t="inlineStr"/>
      <c r="F137" t="inlineStr"/>
      <c r="G137" t="inlineStr">
        <is>
          <t>Seattle, WA, US</t>
        </is>
      </c>
      <c r="H137" s="2" t="n">
        <v>45851</v>
      </c>
      <c r="I137"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in-6d4c63bab89b3a9b</t>
        </is>
      </c>
      <c r="B138" t="inlineStr">
        <is>
          <t>Principal Product Manager Tech - Devices, Fire TV Devices</t>
        </is>
      </c>
      <c r="C138" t="inlineStr">
        <is>
          <t>Amazon.com</t>
        </is>
      </c>
      <c r="D138" t="inlineStr">
        <is>
          <t>indeed</t>
        </is>
      </c>
      <c r="E138" t="inlineStr"/>
      <c r="F138" t="inlineStr"/>
      <c r="G138" t="inlineStr">
        <is>
          <t>Seattle, WA, US</t>
        </is>
      </c>
      <c r="H138" s="2" t="n">
        <v>45844</v>
      </c>
      <c r="I138"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in-042edb459838f75f</t>
        </is>
      </c>
      <c r="B139" t="inlineStr">
        <is>
          <t>Principal Product Manager Tech - Devices, Fire TV Devices</t>
        </is>
      </c>
      <c r="C139" t="inlineStr">
        <is>
          <t>Amazon.com</t>
        </is>
      </c>
      <c r="D139" t="inlineStr">
        <is>
          <t>indeed</t>
        </is>
      </c>
      <c r="E139" t="inlineStr"/>
      <c r="F139" t="inlineStr"/>
      <c r="G139" t="inlineStr">
        <is>
          <t>Sunnyvale, CA, US</t>
        </is>
      </c>
      <c r="H139" s="2" t="n">
        <v>45844</v>
      </c>
      <c r="I139"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in-8330b40c7a290e9f</t>
        </is>
      </c>
      <c r="B140" t="inlineStr">
        <is>
          <t>Last Mile Program Manager, Global Fleet &amp; Product</t>
        </is>
      </c>
      <c r="C140" t="inlineStr">
        <is>
          <t>Amazon.com</t>
        </is>
      </c>
      <c r="D140" t="inlineStr">
        <is>
          <t>indeed</t>
        </is>
      </c>
      <c r="E140" t="inlineStr"/>
      <c r="F140" t="inlineStr"/>
      <c r="G140" t="inlineStr">
        <is>
          <t>Bellevue, WA, US</t>
        </is>
      </c>
      <c r="H140" s="2" t="n">
        <v>45844</v>
      </c>
      <c r="I140"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in-ddea5c104574cb17</t>
        </is>
      </c>
      <c r="B141" t="inlineStr">
        <is>
          <t>Last Mile Program Manager, Global Fleet &amp; Product</t>
        </is>
      </c>
      <c r="C141" t="inlineStr">
        <is>
          <t>Amazon.com</t>
        </is>
      </c>
      <c r="D141" t="inlineStr">
        <is>
          <t>indeed</t>
        </is>
      </c>
      <c r="E141" t="inlineStr"/>
      <c r="F141" t="inlineStr"/>
      <c r="G141" t="inlineStr">
        <is>
          <t>Nashville, TN, US</t>
        </is>
      </c>
      <c r="H141" s="2" t="n">
        <v>45844</v>
      </c>
      <c r="I141"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in-887dd5ffe7566c2b</t>
        </is>
      </c>
      <c r="B142" t="inlineStr">
        <is>
          <t>Last Mile Program Manager, Global Fleet &amp; Product</t>
        </is>
      </c>
      <c r="C142" t="inlineStr">
        <is>
          <t>Amazon.com</t>
        </is>
      </c>
      <c r="D142" t="inlineStr">
        <is>
          <t>indeed</t>
        </is>
      </c>
      <c r="E142" t="inlineStr"/>
      <c r="F142" t="inlineStr"/>
      <c r="G142" t="inlineStr">
        <is>
          <t>Arlington, VA, US</t>
        </is>
      </c>
      <c r="H142" s="2" t="n">
        <v>45844</v>
      </c>
      <c r="I142"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in-f93676ce7a7a6165</t>
        </is>
      </c>
      <c r="B143" t="inlineStr">
        <is>
          <t>Principal Product Manager-Technical, AGI, Artificial General Intellgence</t>
        </is>
      </c>
      <c r="C143" t="inlineStr">
        <is>
          <t>Amazon.com</t>
        </is>
      </c>
      <c r="D143" t="inlineStr">
        <is>
          <t>indeed</t>
        </is>
      </c>
      <c r="E143" t="inlineStr"/>
      <c r="F143" t="inlineStr"/>
      <c r="G143" t="inlineStr">
        <is>
          <t>Bellevue, WA, US</t>
        </is>
      </c>
      <c r="H143" s="2" t="n">
        <v>45824</v>
      </c>
      <c r="I143"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in-b89a05ad222bc783</t>
        </is>
      </c>
      <c r="B144" t="inlineStr">
        <is>
          <t>Principal Product Manager-Technical, AGI, Artificial General Intellgence</t>
        </is>
      </c>
      <c r="C144" t="inlineStr">
        <is>
          <t>Amazon.com</t>
        </is>
      </c>
      <c r="D144" t="inlineStr">
        <is>
          <t>indeed</t>
        </is>
      </c>
      <c r="E144" t="inlineStr"/>
      <c r="F144" t="inlineStr"/>
      <c r="G144" t="inlineStr">
        <is>
          <t>Sunnyvale, CA, US</t>
        </is>
      </c>
      <c r="H144" s="2" t="n">
        <v>45824</v>
      </c>
      <c r="I144"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in-1047f81f974f05ce</t>
        </is>
      </c>
      <c r="B145" t="inlineStr">
        <is>
          <t>Principal Product Manager-Technical, AGI, Artificial General Intellgence</t>
        </is>
      </c>
      <c r="C145" t="inlineStr">
        <is>
          <t>Amazon.com</t>
        </is>
      </c>
      <c r="D145" t="inlineStr">
        <is>
          <t>indeed</t>
        </is>
      </c>
      <c r="E145" t="inlineStr"/>
      <c r="F145" t="inlineStr"/>
      <c r="G145" t="inlineStr">
        <is>
          <t>Boston, MA, US</t>
        </is>
      </c>
      <c r="H145" s="2" t="n">
        <v>45824</v>
      </c>
      <c r="I145"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in-e6669e684c06e320</t>
        </is>
      </c>
      <c r="B146" t="inlineStr">
        <is>
          <t>Sr. Ergonomist/Principal Program Manager, Global Ergonomics</t>
        </is>
      </c>
      <c r="C146" t="inlineStr">
        <is>
          <t>Amazon.com</t>
        </is>
      </c>
      <c r="D146" t="inlineStr">
        <is>
          <t>indeed</t>
        </is>
      </c>
      <c r="E146" t="inlineStr"/>
      <c r="F146" t="inlineStr"/>
      <c r="G146" t="inlineStr">
        <is>
          <t>Bellevue, WA, US</t>
        </is>
      </c>
      <c r="H146" s="2" t="n">
        <v>45771</v>
      </c>
      <c r="I146"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in-3066e5327b6eca2d</t>
        </is>
      </c>
      <c r="B147" t="inlineStr">
        <is>
          <t>Sr. Ergonomist/Principal Program Manager, Global Ergonomics</t>
        </is>
      </c>
      <c r="C147" t="inlineStr">
        <is>
          <t>Amazon.com</t>
        </is>
      </c>
      <c r="D147" t="inlineStr">
        <is>
          <t>indeed</t>
        </is>
      </c>
      <c r="E147" t="inlineStr"/>
      <c r="F147" t="inlineStr"/>
      <c r="G147" t="inlineStr">
        <is>
          <t>Nashville, TN, US</t>
        </is>
      </c>
      <c r="H147" s="2" t="n">
        <v>45771</v>
      </c>
      <c r="I147"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in-c858668a921f0d90</t>
        </is>
      </c>
      <c r="B148" t="inlineStr">
        <is>
          <t>Senior Technical Program Manager, EC2 Capacity Customer Experience</t>
        </is>
      </c>
      <c r="C148" t="inlineStr">
        <is>
          <t>Amazon Web Services</t>
        </is>
      </c>
      <c r="D148" t="inlineStr">
        <is>
          <t>indeed</t>
        </is>
      </c>
      <c r="E148" t="inlineStr"/>
      <c r="F148" t="inlineStr"/>
      <c r="G148" t="inlineStr">
        <is>
          <t>Seattle, WA, US</t>
        </is>
      </c>
      <c r="H148" s="2" t="n">
        <v>45683</v>
      </c>
      <c r="I148" t="inlineStr">
        <is>
          <t>**DESCRIPTION**
---------------
Amazon Elastic Compute Cloud (Amazon EC2\) is a web service that provides secure, resizable compute capacity in the cloud. It is designed to make web\-scale cloud computing easier and more cost effective for developers. On the EC2 Capacity Customer Experience (CCX) team within AWS, our mission is to ensure the right capacity is available for customers through forecasting, planning, guidance and execution, especially for large unpredictable scaling events.
The EC2 CCX team is searching for a passionate, driven, and talented technical program manager to plan customer capacity within our Amazon Dedicated Cloud (ADC) portfolio. This portfolio enables EC2 to deliver cloud services to government customers who have unique access control, security, and compliance requirements. This role serves as EC2’s primary POC for managing demand intake, organizing supportability scenarios to influence VP\+ business decisions, and ensuring infrastructure and EC2 teams execute against global commitments. This customer facing role includes driving key initiatives that support goals/KPIs that are measured and reported to executive leadership. You will make high velocity decisions under circumstances that can at times be ambiguous. As the business of cloud computing grows increasingly technologically complex, it also brings new opportunity to drive capital efficiency and ensure the right decisions are getting made to the delight of our customers. Additional responsibilities include driving process improvements and collaborating with engineering organizations to build new technologies that automate all aspects of EC2's capacity planning and delivery within the portfolio.  
From Day 1, Technical Program Managers are given ownership and the autonomy to think strategically and make data driven decisions, along with the ability to drive significant impact on the customer experience as well as the business. This role requires working with professionals in many different domains including Engineering, Product Management, Supply Chain, and Finance along with high visibility to senior leaders at AWS.  
This position requires that the candidate selected be a US Citizen and must currently possess and maintain an active TS/SCI security clearance with polygraph. A successful clearance crossover to AWS is required prior to a Day 1 start.  
About the team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technical product or program management experience
* Experience leading highly technical programs involving infrastructure, complex systems, systems engineering
* Experience managing programs across cross functional teams, building processes and coordinating release schedules
* Current, active US Government Security Clearance of TS/SCI with Polygraph
**PREFERRED QUALIFICATIONS**
----------------------------
* 5\+ years of project management disciplines including scope, schedule, budget, quality, along with risk and critical path management experience
* Experience defining KPI's/SLA's used to drive multi\-million dollar businesses and reporting to senior leadership
* Experience in technical program management working directly with software engineering teams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in-ffa450d8368e6500</t>
        </is>
      </c>
      <c r="B149" t="inlineStr">
        <is>
          <t>Sr. Product Manager – Tech, Tablets</t>
        </is>
      </c>
      <c r="C149" t="inlineStr">
        <is>
          <t>Amazon.com</t>
        </is>
      </c>
      <c r="D149" t="inlineStr">
        <is>
          <t>indeed</t>
        </is>
      </c>
      <c r="E149" t="inlineStr"/>
      <c r="F149" t="inlineStr"/>
      <c r="G149" t="inlineStr">
        <is>
          <t>Sunnyvale, CA, US</t>
        </is>
      </c>
      <c r="H149" s="2" t="n">
        <v>45665</v>
      </c>
      <c r="I149"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in-17d868ae17c608a4</t>
        </is>
      </c>
      <c r="B150" t="inlineStr">
        <is>
          <t>Sr. Product Manager – Tech, Tablets</t>
        </is>
      </c>
      <c r="C150" t="inlineStr">
        <is>
          <t>Amazon.com</t>
        </is>
      </c>
      <c r="D150" t="inlineStr">
        <is>
          <t>indeed</t>
        </is>
      </c>
      <c r="E150" t="inlineStr"/>
      <c r="F150" t="inlineStr"/>
      <c r="G150" t="inlineStr">
        <is>
          <t>Seattle, WA, US</t>
        </is>
      </c>
      <c r="H150" s="2" t="n">
        <v>45665</v>
      </c>
      <c r="I150"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in-b3753aa9b90544b6</t>
        </is>
      </c>
      <c r="B151" t="inlineStr">
        <is>
          <t>Sr. Product Manager Technical, Deal Tooling &amp; Insights, Strategic Customer Engagements</t>
        </is>
      </c>
      <c r="C151" t="inlineStr">
        <is>
          <t>Amazon Web Services</t>
        </is>
      </c>
      <c r="D151" t="inlineStr">
        <is>
          <t>indeed</t>
        </is>
      </c>
      <c r="E151" t="inlineStr"/>
      <c r="F151" t="inlineStr"/>
      <c r="G151" t="inlineStr">
        <is>
          <t>Austin, TX, US</t>
        </is>
      </c>
      <c r="H151" s="2" t="n">
        <v>45994</v>
      </c>
      <c r="I15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in-f06a736320ec7b76</t>
        </is>
      </c>
      <c r="B152" t="inlineStr">
        <is>
          <t>Sr. Product Manager Technical, Deal Tooling &amp; Insights, Strategic Customer Engagements</t>
        </is>
      </c>
      <c r="C152" t="inlineStr">
        <is>
          <t>Amazon Web Services</t>
        </is>
      </c>
      <c r="D152" t="inlineStr">
        <is>
          <t>indeed</t>
        </is>
      </c>
      <c r="E152" t="inlineStr"/>
      <c r="F152" t="inlineStr"/>
      <c r="G152" t="inlineStr">
        <is>
          <t>Arlington, VA, US</t>
        </is>
      </c>
      <c r="H152" s="2" t="n">
        <v>45994</v>
      </c>
      <c r="I15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in-6da27d87a2fd742f</t>
        </is>
      </c>
      <c r="B153" t="inlineStr">
        <is>
          <t>Sr. Product Manager Technical, Deal Tooling &amp; Insights, Strategic Customer Engagements</t>
        </is>
      </c>
      <c r="C153" t="inlineStr">
        <is>
          <t>Amazon Web Services</t>
        </is>
      </c>
      <c r="D153" t="inlineStr">
        <is>
          <t>indeed</t>
        </is>
      </c>
      <c r="E153" t="inlineStr"/>
      <c r="F153" t="inlineStr"/>
      <c r="G153" t="inlineStr">
        <is>
          <t>Seattle, WA, US</t>
        </is>
      </c>
      <c r="H153" s="2" t="n">
        <v>45994</v>
      </c>
      <c r="I15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in-19daa6905597cd2c</t>
        </is>
      </c>
      <c r="B154" t="inlineStr">
        <is>
          <t>Sr. Product Manager Technical, Deal Tooling &amp; Insights, Strategic Customer Engagements</t>
        </is>
      </c>
      <c r="C154" t="inlineStr">
        <is>
          <t>Amazon Web Services</t>
        </is>
      </c>
      <c r="D154" t="inlineStr">
        <is>
          <t>indeed</t>
        </is>
      </c>
      <c r="E154" t="inlineStr"/>
      <c r="F154" t="inlineStr"/>
      <c r="G154" t="inlineStr">
        <is>
          <t>Herndon, VA, US</t>
        </is>
      </c>
      <c r="H154" s="2" t="n">
        <v>45994</v>
      </c>
      <c r="I15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in-7d5e76e23efffd09</t>
        </is>
      </c>
      <c r="B155" t="inlineStr">
        <is>
          <t>Sr. Product Manager Technical, Deal Tooling &amp; Insights, Strategic Customer Engagements</t>
        </is>
      </c>
      <c r="C155" t="inlineStr">
        <is>
          <t>Amazon Web Services</t>
        </is>
      </c>
      <c r="D155" t="inlineStr">
        <is>
          <t>indeed</t>
        </is>
      </c>
      <c r="E155" t="inlineStr"/>
      <c r="F155" t="inlineStr"/>
      <c r="G155" t="inlineStr">
        <is>
          <t>New York, NY, US</t>
        </is>
      </c>
      <c r="H155" s="2" t="n">
        <v>45994</v>
      </c>
      <c r="I15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in-2c9ba1c7ceb7b0fa</t>
        </is>
      </c>
      <c r="B156" t="inlineStr">
        <is>
          <t>Sr. Product Manager Technical, Deal Tooling &amp; Insights, Strategic Customer Engagements</t>
        </is>
      </c>
      <c r="C156" t="inlineStr">
        <is>
          <t>Amazon Web Services</t>
        </is>
      </c>
      <c r="D156" t="inlineStr">
        <is>
          <t>indeed</t>
        </is>
      </c>
      <c r="E156" t="inlineStr"/>
      <c r="F156" t="inlineStr"/>
      <c r="G156" t="inlineStr">
        <is>
          <t>Dallas, TX, US</t>
        </is>
      </c>
      <c r="H156" s="2" t="n">
        <v>45994</v>
      </c>
      <c r="I15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in-dfcfb61db2621252</t>
        </is>
      </c>
      <c r="B157" t="inlineStr">
        <is>
          <t>Principal Product Manager - Tech, Recommender Systems, Prime Video Personalization &amp; Discovery</t>
        </is>
      </c>
      <c r="C157" t="inlineStr">
        <is>
          <t>Amazon.com</t>
        </is>
      </c>
      <c r="D157" t="inlineStr">
        <is>
          <t>indeed</t>
        </is>
      </c>
      <c r="E157" t="inlineStr"/>
      <c r="F157" t="inlineStr"/>
      <c r="G157" t="inlineStr">
        <is>
          <t>Washington, DC, US</t>
        </is>
      </c>
      <c r="H157" s="2" t="n">
        <v>45753</v>
      </c>
      <c r="I15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in-b24ab244ab085d46</t>
        </is>
      </c>
      <c r="B158" t="inlineStr">
        <is>
          <t>Principal Product Manager - Tech, Recommender Systems, Prime Video Personalization &amp; Discovery</t>
        </is>
      </c>
      <c r="C158" t="inlineStr">
        <is>
          <t>Amazon.com</t>
        </is>
      </c>
      <c r="D158" t="inlineStr">
        <is>
          <t>indeed</t>
        </is>
      </c>
      <c r="E158" t="inlineStr"/>
      <c r="F158" t="inlineStr"/>
      <c r="G158" t="inlineStr">
        <is>
          <t>Seattle, WA, US</t>
        </is>
      </c>
      <c r="H158" s="2" t="n">
        <v>45753</v>
      </c>
      <c r="I15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in-7bbab19ccc31090b</t>
        </is>
      </c>
      <c r="B159" t="inlineStr">
        <is>
          <t>Acquisition Program Manager</t>
        </is>
      </c>
      <c r="C159" t="inlineStr">
        <is>
          <t>Odyssey Consulting</t>
        </is>
      </c>
      <c r="D159" t="inlineStr">
        <is>
          <t>indeed</t>
        </is>
      </c>
      <c r="E159" t="inlineStr"/>
      <c r="F159" t="inlineStr"/>
      <c r="G159" t="inlineStr">
        <is>
          <t>Warner Robins, GA, US</t>
        </is>
      </c>
      <c r="H159" s="2" t="n">
        <v>46025</v>
      </c>
      <c r="I159" t="inlineStr">
        <is>
          <t>**Position Summary**
--------------------
Odyssey has an exciting new opportunity for a **Acquisition Program Manager** supporting EBUI. The Weapons Superiority Division, AFLCMC/EBUI, has responsibility for all development, acquisition, and sustainment activities for a portfolio of weapon systems. This role will play a vital part in the acquisition and sustainment of a vast array of Air Force (AF) conventional munitions, missiles and other related systems and subsystems. **\*\*\*Contingent upon contract award\*\*\***
**Responsibilities**
--------------------
Duties include, but not limited to:* Plan, evaluate and implement program acquisition strategies to meet DoD 5000\.2 guidance.
* Plan, research, analyze and assess system acquisition in terms of development, production and deployment of weapons systems and associated equipment; formulate plans; and recommend effective strategies in meeting cost, schedule, and performance objectives.
* Support and develop acquisition reports, including statutory and regulatory reports (e.g. DAES and MAR).
* Support program management reviews, senior level meeting/reviews and IMP/IMS reviews; develop various briefings/schedules of program status and acquisition tasks to senior management.
* Advise and assist the Government in performing source selection tasks, to include but not limited to, recommending evaluation areas, factors, sub\-factors, elements and criteria; developing and administering source selection documentation; developing and analyzing acquisition strategies; developing, reviewing and finalizing reports, summaries, memorandums and briefings necessary to the source selection process; conducting proposal evaluation in a non\-decision making role as an advisor (not an evaluator); analyzing and reviewing proposals; and preparing responses to the proposals.
* Develop, maintain, and update program risk management plans IAW the Risk Management Guide for DoD Acquisition, AFPAM 63\-128, and the Air Force Risk
Identification Integration and Ilities (RI3\) Guidebook; facilitate program risk identification, risk analysis, risk handling and risk monitoring; executing program risk management boards, risk management working groups (or equivalent), and
document results. This task includes analyzing weapon system prime contractor and subcontractor risk management processes.
* Support implementation and execution of Agile development and management processes in concert with Government and weapon system prime contractors
* Develop Business Case Analyses (IAW AFI 65\-509 and AFMAN 65\-510, or tailored), trade studies, any/all DoDI 5000\.02 acquisition milestone documents and
briefings (including 2366a/b certification), program assessments, Analyses of Alternatives (AoA) study guidance, study plans and reports, programmatic Integrated Master Schedules (IMS), market research reports, Early Strategy and Issues Sessions (ESIS), and Acquisition Strategy Panel (ASP) briefings.
* Develop program management documentation to support all phases of the acquisition life cycle.
* Assist with planning and management of a product’s life cycle data requirements, which includes development and management of CDRLs and Data Item Descriptions (DIDs) and the use of databases to store and manage the data.
* Develop briefings to support acquisition decision milestones.
**\*\*\*Contingent upon contract award\*\*\***
**Qualifications**
------------------
**Citizenship: Must be a US citizen** ***Minimum Required Qualifications*****Clearance****:** Secret**Education and Years of Experience:*** Associates Degree in a relevant discipline and at least 15 years of relevant experience; **OR**
* Bachelor's Degree in a relevant discipline and at least 10 years of relevant experience; **OR**
* Master's Degree in a relevant discipline and at least seven (7\) years of relevant experience
**Interpersonal Skills:*** Strong communication skills and ability to deliver information across all levels of the organization
* Works effectively with cross\-functional teams, including engineers, logisticians, and program managers
* Builds strong working relationships with DoD agencies, contractors, and joint service partners
* Applies critical thinking to assess program performance and recommend actionable solutions
* Evaluates data trends to support decision\-making and risk mitigation
* Responds effectively to changing program requirements, timelines, and priorities
* Maintains flexibility in a dynamic acquisition and sustainment environment
 ***Additional Information*****Location:** Robins AFB, Georgia**Travel:** 10%**Remote, Onsite, or Hybrid:** Onsite  
\#LI\-JK1 **\*\*\*Contingent upon contract award\*\*\***
**Company Overview**
--------------------
**Odyssey Systems** is a world\-class technical, engineering, and integration company serving the warfighting ecosystem with airborne integration, ISR, C2, and warfighter readiness capabilities. Odyssey meets the military’s operational needs by integrating layered defense systems from equipment, technology, and services to data, information, and business operations. We streamline defense acquisition and sustainment, engineering the technical battlefield with domain\-specific proficiency to ensure lethality. Odyssey is dedicated to excellent contract execution, peak organizational performance, and fostering a workplace built on employee care.  
Odyssey is proud to live out our core values of commitment, ambition, and respect in our work and communities through OdysseyCares, a philanthropic group focused on giving back through direct donations, an employer match program, and volunteering events. **Please note**: Final compensation for this position will be determined by various factors such as the Federal Government contract labor categories and contract wage rates, relevant work experience, specific skills and competencies, geographic location, education, and certifications. ***Equal Opportunity Employer/Protected Veterans/Individuals with Disabilities***</t>
        </is>
      </c>
    </row>
    <row r="160">
      <c r="A160" t="inlineStr">
        <is>
          <t>in-37a17f97bb2acb7a</t>
        </is>
      </c>
      <c r="B160" t="inlineStr">
        <is>
          <t>Product Program Manager</t>
        </is>
      </c>
      <c r="C160" t="inlineStr">
        <is>
          <t>Rain</t>
        </is>
      </c>
      <c r="D160" t="inlineStr">
        <is>
          <t>indeed</t>
        </is>
      </c>
      <c r="E160" t="inlineStr"/>
      <c r="F160" t="inlineStr"/>
      <c r="G160" t="inlineStr">
        <is>
          <t>New York, NY, US</t>
        </is>
      </c>
      <c r="H160" s="2" t="n">
        <v>46025</v>
      </c>
      <c r="I160" t="inlineStr">
        <is>
          <t>**About Rain**  
At Rain, we’re rebuilding the global financial pipes money flows through. Our infrastructure makes stablecoins usable in the real world by powering credit card transactions, cross\-border payments, B2B purchases, remittances, and more. We partner with fintechs, neobanks, and institutions to help them launch solutions that are global, inclusive, and efficient. If you’re curious, bold, and excited to help shape a borderless financial system, we’d love to talk.
 **Our Ethos:**
We believe in an open and flat structure. You will be able to grow into the role that most aligns with your goals. Our team members at all levels have the freedom to explore ideas and impact the roadmap and vision of our company.
**About the role:**
Uptop (a Rain company) is looking for a versatile **Product Program Manager** to help lead the next phase of growth for our sports rewards business. This role sits at the intersection of product, partnerships, and execution, working directly with the Uptop leadership team to scale and optimize rewards programs with professional sports organizations.
The ideal candidate is equally comfortable in **client\-facing commercial conversations** and **internal product execution**, translating partner needs into high\-quality product experiences. You will act as the connective tissue between sports partners, customer support, marketing execution, and engineering—ensuring our rewards platform delivers measurable value in real time.
**What You’ll Do**
------------------
### **Partner \&amp; Client Leadership**
* Serve as the primary point of contact for Uptop’s professional sports partners
* Lead customer support efforts across all sports rewards programs, ensuring high partner satisfaction
* Work closely with sports teams to understand business goals, fan engagement strategies, and success metrics
* Guide partners through launches, optimizations, and ongoing program execution
### **Product Management**
* Gather, synthesize, and prioritize product feedback from sports partners
* Translate partner needs and insights into clear product requirements and feature improvements
* Partner with engineering and design to guide product development and iteration
* Ensure the rewards product continues to evolve toward scalability, reliability, and performance
### **Program \&amp; Execution Management**
* Own end\-to\-end execution of sports rewards programs, from planning through launch and optimization
* Coordinate cross\-functional efforts across product, engineering, support, and marketing
* Track milestones, manage risks, and ensure on\-time delivery of initiatives
* Audit and monitor marketing campaigns in real time, identifying issues and opportunities for optimization
### **Marketing \&amp; Growth Enablement**
* Collaborate with sports teams to architect rewards\-driven marketing strategies  
Support real\-time campaign execution and performance monitoring
* Provide insights and recommendations to improve fan engagement and program effectiveness
**What We’re Looking For**
--------------------------
* Experience in **product management, program management, or project management**, ideally in a tech\-enabled or marketplace environment
* Strong client\-facing skills with experience working directly with external partners
* Ability to translate business and customer needs into product and execution plans
* Comfort working cross\-functionally with engineering, design, marketing, and leadership
* Highly organized, proactive, and comfortable operating in a fast\-paced growth environment
* Passion for sports, consumer products, or fan engagement is a plus
 **Benefits:**
* Unlimited time off Unlimited vacation can be daunting, so at Rain we require our teammates to take 10 days minimum for themselves.
* Flexible working We support a flexible workplace, if you feel comfortable at home please work from home. If you’d like to work with others in an office feel free to come in. We want everyone to be able to work in the environment in which they are their most confident and productive selves.
* Flexible Benefits Easy\-to\-access benefits, for all employees based in the US, Rain pays a percentage of your benefits for the employee and for your dependents. We offer comprehensive health, dental and vision plans as well as a 100% company\-subsidized life insurance plan.
* Equity plan On top of a competitive salary, we offer every Rain employee an equity option plan so we can all can benefit from our success.
* Rain Cards We want our teammates to be knowledgeable about our core products and services and to support this mission we issue a card for our team to utilize the card for testing.
* Health and Wellness High performance begins from within. Our members are welcome to use their company card for eligible health and wellness spending like gym memberships, fitness classes and other wellness items.
* Team summits Summits play an important role at Rain! Time spent together helps us get to know each other, strengthen our relationships, and build a common destiny. Stay tuned for upcoming destinations!
Compensation Range: $147\.4K \- $161\.2K</t>
        </is>
      </c>
    </row>
    <row r="161">
      <c r="A161" t="inlineStr">
        <is>
          <t>in-ff305154887c13fd</t>
        </is>
      </c>
      <c r="B161" t="inlineStr">
        <is>
          <t>12th Grade Program Manager</t>
        </is>
      </c>
      <c r="C161" t="inlineStr">
        <is>
          <t>SEO Scholars</t>
        </is>
      </c>
      <c r="D161" t="inlineStr">
        <is>
          <t>indeed</t>
        </is>
      </c>
      <c r="E161" t="inlineStr"/>
      <c r="F161" t="inlineStr"/>
      <c r="G161" t="inlineStr">
        <is>
          <t>San Francisco, CA, US</t>
        </is>
      </c>
      <c r="H161" s="2" t="n">
        <v>46025</v>
      </c>
      <c r="I161" t="inlineStr">
        <is>
          <t>**Title:** 12th Grade Program Manager
**Department:** SEO High School Scholars, San Francisco
**Report to:** Director, Programs
**Compensation:** $68,640 \- $73,000
**FLSA:** Exempt
**Location/Hours:**  
This is a full\-time, exempt position with a hybrid schedule requiring in\-person work three days a week (including required Saturdays) and virtual work two days a week. The typical weekly schedule is as follows:
**Fall Term:** Tuesday through Saturday (3x a month); Monday through Friday (1x month).
**Spring Term:** Tuesday through Saturday (3x a month); Monday through Friday (1x month).
**Summer Term:** Monday through Friday.
In\-person attendance is required for all Saturday programming dates.
Two weeks of in\-person attendance will be required during our College Application Bootcamp programming from mid to late July.
Upon hire, all candidates must be within commutable distance of SEO’s offices at Three Embarcadero Center Promenade Level, Suite P\-1 San Francisco, CA 94111\.
Work requires local travel beyond the office for Saturday programming at the following locations (subject to change):
UC Law San Francisco, 200 McAllister St, San Francisco, CA 94102\.
Berkeley City College, 2050 Center St, Berkeley, CA 94704\.
ABOUT SEO
Founded in 1963 during the Civil Rights Movement, SEO closes educational and career opportunity gaps for 7,000 ambitious young people annually.
SEO Scholars is a free, eight\-year, academic program that transforms public high school students in New York City, San Francisco, North Carolina, and Miami into college graduates. SEO Scholars successfully educates and mentors students to and through college. 100% of Scholars are accepted into four\-year colleges, 85% of Scholars graduate with a Bachelor’s degree, and 80% are first\-generation college graduates. All are welcome to apply.
POSITION OVERVIEW
The 12th Grade Program Manager is a perfect role for someone eager to provide individualized advising directly to academically\-prepared students throughout the year they apply to college. We are seeking highly motivated, professional, self\-directed, and enthusiastic candidates who are passionate about propelling the potential of young people who are farthest away from academic opportunity. The ideal candidate will have experience as a college counselor in a high school or college setting with financial aid and scholarship advising experience, and possess a strong belief that, through commitment and hard work, students can achieve their dreams of college acceptance, attendance, and completion.
College Advising
Create and foster an environment for all 12th grade Scholars that encourages intellectual curiosity, an inclusive, close\-knit and supportive community, and a college\-going culture.
Provide data\-driven advising to all Scholars in the cohort via one\-on\-one, small group, and family meetings.
Guide all 12th grade Scholars through the development of their college applications, all associated essays, and the financial aid process following SEO’s college advising approach.
Manage all college applications and matriculation decisions from start to completion, providing individualized support as needed and ensuring 100% of applications are submitted on time.
Instruction \&amp; Coaching
Design and deliver weekly college advisory, admissions, and transition seminars to 12th grade Scholars to prepare them for the college process.
Deliver curriculum to 11th and 12th Grade Scholars including 12th grade Advisory classes during the Fall, Spring, and Summer, and 11th Grade Advisory classes during the Spring.
Partner with writing instructors to support all associated college essays as well as and all scholarship, enrichment program, and opportunity program applications.
Project an energetic, engaging, and approachable persona to promote students’ connection to the content, investment in the learning, and positive relationship to all members of the community.
Scholar \&amp; Family Engagement
Plan several key College Admissions related events throughout the school year including but not limited to Graduation, Mock admissions day, FAFSA day, and College Decision Day.
Plan and manage operations for the annual Spring Break College Trip to Southern California for 11th grade Scholars and staff.
Collect, enter, and analyze all key data points for 12th grade.
Create, update, and manage all student\-facing trackers.
Create and send monthly Family Newsletters.
Deliver and support all 12th grade Family Workshops and assist in workshop content creation.
QUALIFICATIONS
Bachelor’s degree.
2\+ years of experience teaching, coaching, or advising high school students, with a focus on college\-bound pathways and English; experience as a college counselor or advisor.
Experience working with students in communities aligned with SEO’s mission and passion for preparing them to lead by example in their families, communities, and careers.
COMPETENCIES \&amp; SKILLS
Knowledge of the California public college system and top ranked private colleges preferred.
Strong work ethic and positive attitude.
Demonstrated ability to execute on short\-term, deadline\-driven tasks, as well as important long\-term projects requiring collaboration with internal and external constituencies.
Adept at building authentic relationships with students quickly.
Ability to conduct difficult conversations with Scholars and families to give honest, productive feedback.
Excellent interpersonal skills and a high level of professionalism.
Exceptional communication skills, both written and oral.
Highly organized with exceptional attention to detail.
Proficiency in Microsoft Suite and Google Suite.
Must be data driven. Knowledge of Excel and experience working with Salesforce (database) and Brightspace (LMS) are a plus.
Bilingual Spanish/English preferred.
Ability to work a Tuesday through Saturday schedule from September to June and some evenings.
COMPENSATION \&amp; BENEFITS
SEO offers a competitive compensation package and comprehensive benefits plan including low\-cost health, vision, and dental options, a generous holiday schedule and PTO policies, disability coverage, fully paid time off for new parents, and employer contributions to health reimbursement and retirement accounts. We are constantly working to improve our benefits each year based on the needs of our employees. We value wellness and strive to put people first and foremost.
The compensation listed in this posting reflects what SEO believes it will pay for this position at the time of this posting. Consistent with applicable law, compensation will be determined based on the skills, qualifications, and experience of the applicant along with the requirements of the position, and SEO reserves the right to modify this pay range at any time.
EEOC Policy
At SEO we are committed to cultivating a team that embodies the backgrounds and experiences of the constituencies we serve and the communities we live in, and a workplace that reflects the impact we make in the world. Candidates from all communities – including people of color, women, members of the LGBTQIA\+ Community, veterans, and people with disabilities – are strongly encouraged to apply.
Equal Employment Opportunity is not just the law, it is our commitment.
Sponsors for Educational Opportunity is an Equal Opportunity/Affirmative Action Employer – M/F/D/V. We will consider all qualified applicants for employment regardless of race, color, ethnicity, religion, sex, gender, gender identity and expression, sexual orientation, national origin, disability, age, marital status, veteran status, pregnancy, parental status, genetic information or characteristics, or any other legally protected status.
If you need accommodation while applying for a role with SEO, due to a disability, please email SEO Talent.
THE ORGANIZATION
Established in 1963 by Michael Osheowitz, SEO (Sponsors for Educational Opportunity) is an educational non\-profit founded on the belief that talent is everywhere; but opportunity is not. Our programs are designed to educate, train, mentor, and amplify the voices of our participants to give them a seat at the table – every table. We propel human potential.
SEO is an innovator in education, mentorship, and creating educational career opportunities that maximize the full potential of our participants. Each year SEO serves 7,000\+ participants nationally, and the organization is widely recognized for developing best\-in\-class programs with exceptional results.
Not every SEO participant is on the same journey, but all are hungry for opportunity and SEO creates an ecosystem of excellence. Learn more about SEO's programs here: https://www.seo\-usa.org/our\-programs/.</t>
        </is>
      </c>
    </row>
    <row r="162">
      <c r="A162" t="inlineStr">
        <is>
          <t>in-8473f6ee821fc905</t>
        </is>
      </c>
      <c r="B162" t="inlineStr">
        <is>
          <t>Risk Management - Model and Data Product Manager - Executive Director</t>
        </is>
      </c>
      <c r="C162" t="inlineStr">
        <is>
          <t>JPMorganChase</t>
        </is>
      </c>
      <c r="D162" t="inlineStr">
        <is>
          <t>indeed</t>
        </is>
      </c>
      <c r="E162" t="inlineStr"/>
      <c r="F162" t="inlineStr"/>
      <c r="G162" t="inlineStr">
        <is>
          <t>New York, NY, US</t>
        </is>
      </c>
      <c r="H162" s="2" t="n">
        <v>46025</v>
      </c>
      <c r="I162" t="inlineStr">
        <is>
          <t>**JOB DESCRIPTION**  
Bring your expertise to JPMorgan Chase. As part of Risk Management and Compliance, you are at the center of keeping JPMorgan Chase strong and resilient. You help the firm grow its business in a responsible way by anticipating new and emerging risks, and using your expert judgement to solve real\-world challenges that impact our company, customers and communities. Our culture in Risk Management and Compliance is all about thinking outside the box, challenging the status quo and striving to be best\-in\-class.
As an Executive Director for Climate, Nature and Social Risk (CN\&amp;S) Data and Model Implementation Lead, you will play a pivotal role in shaping our bank's approach to managing and advancing our analytical frameworks to address climate\-related risks. This role requires a deep understanding of various climate models used in understanding climate risks and their linkages, offering oversight on the integration of these models, data requirements and analytical work. You will have the opportunity to leverage your extensive experience in overseeing data and model development activities in a large financial institution or data solutions provider. This role will allow you to promote innovation in risk management, product development, and operational efficiency.
**Job Responsibilities:**
* Lead the design and implementation of climate risk data and analytical frameworks to support the bank's risk management strategies, with a focus on understanding and integrating different climate models.
* Oversee the execution and integration of climate risk data into existing systems, ensuring accuracy, consistency, reliability and compliance with regulatory requirements and internal policies.
* Be a subject matter expert in climate models, including the logic and assumptions underlying the CN\&amp;S teams’ model suite.
* Work closely with the Modelling Team as part of continuous delivery to ensure seamless integration and updates.
* Gather evidence and define requirements for high\-value recurring issues, usability gaps, or additions to modelling features. Establish tests to ensure that model updates and features meet quality expectations before client release.
* Enhance operational efficiency by streamlining processes and implementing best practices in data management and model execution. Utilize advanced techniques (e.g. statistical analysis, visualization, sensitivity testing) to interrogate, validate, and interpret model outputs.
* Collaborate with cross\-functional teams to integrate risk model insights into business strategies and decision\-making processes
* Spearhead accelerator activities to fast\-track the development and deployment of climate risk solutions, leveraging partnerships and external resources as appropriate
**Required qualifications, capabilities, and skills**
* Bachelor's degree in Finance, Economics, Data Science, or a related quantitative field
* Strong technical background with in\-depth expertise of data quality, data management, and data contracts and possess the ability to write and understand technical specifications
* Demonstrated analytical skills with the ability to ”connect the dots” across different data sources and modelling areas
* Excellent communication and presentation skills, with the ability to convey business implications of model outputs to senior management and other stakeholders
* Proven experience in risk management, data analytics, product development or a related field within a large financial institution or vendor
**Preferred qualifications, capabilities and skills**
* Advanced knowledge of data modeling, statistical analysis, and risk assessment methodologies
* Experience with climate risk modeling tools and software
* Familiarity with regulatory requirements related to climate risk in the banking sector
* Strong problem\-solving skills and the ability to think strategically and innovatively
* Experience in product management, including the development and launch of new products or services
* Advanced degree preferred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  
Risk Management helps the firm understand, manage and anticipate risks in a constantly changing environment. The work covers areas such as evaluating country\-specific risk, understanding regulatory changes and determining credit worthiness. Risk Management provides independent oversight and maintains an effective control environment.</t>
        </is>
      </c>
    </row>
    <row r="163">
      <c r="A163" t="inlineStr">
        <is>
          <t>in-bc2b72cc843ea05e</t>
        </is>
      </c>
      <c r="B163" t="inlineStr">
        <is>
          <t>Program Manager II - Phased Array and RF Technologies</t>
        </is>
      </c>
      <c r="C163" t="inlineStr">
        <is>
          <t>Dhara Consulting Group</t>
        </is>
      </c>
      <c r="D163" t="inlineStr">
        <is>
          <t>indeed</t>
        </is>
      </c>
      <c r="E163" t="inlineStr"/>
      <c r="F163" t="inlineStr"/>
      <c r="G163" t="inlineStr">
        <is>
          <t>Westminster, CO, US</t>
        </is>
      </c>
      <c r="H163" s="2" t="n">
        <v>46025</v>
      </c>
      <c r="I163" t="inlineStr">
        <is>
          <t>Posted today
Top Secret
$146,670 \- $249,330
Unspecified
Management
Westminster, CO **(ON\-SITE/OFFICE)****Job Description**  
Plan, organize, direct, and control all activities of a program to satisfy contractual requirements and meet financial commitments to the company, while ensuring strong employee and customer relations.  
The Tactical Solutions Strategic Business Unit delivers mission system solutions, from specialized antennas to electro\-optical technologies, to the warfighter. Our systems enhance the performance of various military platforms, from aircraft and land vehicles to ships and satellites, and give warfighters the advantage they need to take action, identify targets and defend against evolving threats.  
**What You'll Do:**  
* Responsible for overall program leadership, direction and guidance that ensures successful program execution in accordance with the budget, schedule, contract, Statement of Work (SOW) and technical specifications.
* Focal point for establishing program execution goals and strategy in a fast paced and often dynamic environment. Create the vision that energizes and enables the team to win and deliver new technologies to market.
* Act as the main interface with the Customer and BAE Systems stakeholders on all program related subjects.
* Lead technical, manufacturing, and subcontracts staff in execution of the contract.
* Responsible for the program's major metrics \- sales, bookings, profit, and the customer relationship.
* Review and evaluate the program status on a continuing basis and work unplanned program issues to a best solution, including development of plans\-forward, escalation and increased resources, as required.
* Work closely with Strategic Business Unit (SBU) management to communicate program progress and resolve issues and concerns.
* Work with Strategic Capabilities Unit (SCU) management to ensure the program is staffed with appropriate skill levels and that work is being accomplished according to plan.
* Ensure that all business is conducted using the highest ethical standards and in compliance with all applicable laws, statutes, and regulations.
* Identify and ensure required compliance with the government and company regulation, policies/procedures and guidelines; negotiate acceptance / approval of all program plans with internal interfaces and the customer.
* Coordinate the shared use of capital assets and company facilities with other programs.
* Ensure that program requirements, purposes, objectives, and expectations are communicated and flowed down to the internal team and subcontractors.
* Develop and monitor fidelity of the program baseline including definition of tasks, program budgets and program schedules.
* Employ proactive risk \&amp; opportunity management processes and practices to mitigate or capture potential program issues and improvements.
* Employ Earned Value (EV) and Earned Value Management (EVM) processes and practices including variance reporting.
* Lead in the development of program add\-on/follow\-on activities including capture planning, program execution strategies, definition of assumptions and ground rules, and developing executable program plans.
* Participate in proposal preparation activities in support of new business capture opportunities with existing and/or new customers and programs.
* Lead technical, contracts, and subcontracts staff in monitoring performance of subcontractors performing on the contract.
* Direct the work of program leads and other designated staff supporting contract execution, delegate critical functions, as required.
* Provide leadership to the program team, balancing the needs of the program with individual expectations. Be an advocate for career development of members of the program team.
* Create a motivational environment where team members understand the mission, are fully engaged and empowered to execute, and are recognized for their performance.
* Resolve conflicts, demands and priorities on assigned programs.
* Maintain a regular and predictable work schedule.
* Establish and maintain effective working relationships within the department, the Strategic Business Units, Strategic Capabilities Units and the Company. Interact appropriately with others in order to maintain a positive and productive work environment.
* Perform other duties as necessary.
**On\-Site Work Environment:** This position requires regular in\-person engagement by working **on\-site five days** each normally scheduled week in the primary work location. Travel and local commute between company campuses and other possible non\-company locations may be required.  
**Working Conditions:**  
Work is performed in an office environment, laboratory, cleanroom, or production floor.  
* 
**Required Education, Experience, \&amp; Skills**  
* BS/BA in related field plus 10 years or more related experience.
* Each higher\-level degree, i.e., Master's Degree or Ph.D., may substitute for two years of experience. Related technical experience may be considered in lieu of education. Degree must be from a university, college, or school which is accredited by an agency recognized by the US Secretary of Education, US Department of Education.
* A current, active Secret security clearance is required as well as ability to obtain and maintain Top Secret.
* Experience in program and procurement management responsibilities for tactical hardware.
* Demonstrate ability to work successfully with demanding customers, difficult schedules, and technically challenging projects.
* Ability to utilize standard program status tools including:
	+ Earned Value (EV) and Earned Value Management Systems (EVMS) including variance reporting.
	+ Program performance reporting status including program highlights, Cost Performance Index (CPI), Schedule Performance Index (SPI), schedule progress, technical status and Customer Relations.
	+ Understanding of the risk and opportunity management process as related to program plan.
	+ Understanding of Change Control process to control, monitor and resolve internal and external changes related to Program plan.
* Excellent communication skills.
* Excellent presentation development and delivery skills.
\#LI\-SMOOT
**Preferred Education, Experience, \&amp; Skills**  
* Familiarity with general government contractual requirements.
* Experience with an ISO 9001 environment.
* Familiarity with fast\-paced product development, New Product Introduction (NPI) and Design for Manufacturing (DFM) challenges.
**Pay Information**  
Full\-Time Salary Range: $146670 \- $249330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Space \&amp; Mission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Headquartered in Boulder, Colorado, Space \&amp; Mission Systems is a leading provider of national defense and civil space applications, advanced remote sensing, scientific and tactical systems for government and commercial customers. We continually pioneer ways to innovate spacecraft, mission payloads, optical systems, and other defense and civil capabilities. Powered by endlessly curious people with an unwavering mission focus, we continually discover ways to enable our customers to perform beyond expectation and protect what matters most.  
This position will be posted for at least 5 calendar days. The posting will remain active until the position is filled, or a qualified pool of candidates is identified.  
Multiple positions may be available on this opening.**GROUP ID:** 10122330**R****Recruiter**
**APPLY NOW**</t>
        </is>
      </c>
    </row>
    <row r="164">
      <c r="A164" t="inlineStr">
        <is>
          <t>in-372db856d1fdaad9</t>
        </is>
      </c>
      <c r="B164" t="inlineStr">
        <is>
          <t>12th Grade Program Manager</t>
        </is>
      </c>
      <c r="C164" t="inlineStr">
        <is>
          <t>SEO (Sponsors for Educational Opportunity)</t>
        </is>
      </c>
      <c r="D164" t="inlineStr">
        <is>
          <t>indeed</t>
        </is>
      </c>
      <c r="E164" t="inlineStr"/>
      <c r="F164" t="inlineStr"/>
      <c r="G164" t="inlineStr">
        <is>
          <t>San Francisco, CA, US</t>
        </is>
      </c>
      <c r="H164" s="2" t="n">
        <v>46025</v>
      </c>
      <c r="I164" t="inlineStr">
        <is>
          <t>**Title:** 12th Grade Program Manager
**Department:** SEO High School Scholars, San Francisco
**Report to:** Director, Programs
**Compensation:** $68,640 \- $73,000
**FLSA:** Exempt
**Location/Hours:**
* This is a full\-time, exempt position with a hybrid schedule requiring in\-person work three days a week (including required Saturdays) and virtual work two days a week. The typical weekly schedule is as follows:
* + Fall Term: Tuesday through Saturday (3x a month); Monday through Friday (1x month).
	+ Spring Term: Tuesday through Saturday (3x a month); Monday through Friday (1x month).
	+ Summer Term: Monday through Friday.
	+ In\-person attendance is required for all Saturday programming dates.
	+ Two weeks of in\-person attendance will be required during our College Application Bootcamp programming from mid to late July.
* Upon hire, all candidates must be within commutable distance of SEO's offices at Three Embarcadero Center Promenade Level, Suite P\-1 San Francisco, CA 94111\.
* Work requires local travel beyond the office for Saturday programming at the following locations (subject to change):
* + UC Law San Francisco, 200 McAllister St, San Francisco, CA 94102\.
	+ Berkeley City College, 2050 Center St, Berkeley, CA 94704\.
**ABOUT SEO**
Founded in 1963 during the Civil Rights Movement, SEO closes educational and career opportunity gaps for 7,000 ambitious young people annually.
SEO Scholars is a free, eight\-year, academic program that transforms public high school students in New York City, San Francisco, North Carolina, and Miami into college graduates. SEO Scholars successfully educates and mentors students to and through college. 100% of Scholars are accepted into four\-year colleges, 85% of Scholars graduate with a Bachelor's degree, and 80% are first\-generation college graduates. All are welcome to apply.
**POSITION OVERVIEW**
The 12th Grade Program Manager is a perfect role for someone eager to provide individualized advising directly to academically\-prepared students throughout the year they apply to college. We are seeking highly motivated, professional, self\-directed, and enthusiastic candidates who are passionate about propelling the potential of young people who are farthest away from academic opportunity. The ideal candidate will have experience as a college counselor in a high school or college setting with financial aid and scholarship advising experience, and possess a strong belief that, through commitment and hard work, students can achieve their dreams of college acceptance, attendance, and completion.
**College Advising**
* Create and foster an environment for all 12th grade Scholars that encourages intellectual curiosity, an inclusive, close\-knit and supportive community, and a college\-going culture.
* Provide data\-driven advising to all Scholars in the cohort via one\-on\-one, small group, and family meetings.
* Guide all 12th grade Scholars through the development of their college applications, all associated essays, and the financial aid process following SEO's college advising approach.
* Manage all college applications and matriculation decisions from start to completion, providing individualized support as needed and ensuring 100% of applications are submitted on time.
**Instruction \&amp; Coaching**
* Design and deliver weekly college advisory, admissions, and transition seminars to 12th grade Scholars to prepare them for the college process.
* Deliver curriculum to 11th and 12th Grade Scholars including 12th grade Advisory classes during the Fall, Spring, and Summer, and 11th Grade Advisory classes during the Spring.
* Partner with writing instructors to support all associated college essays as well as and all scholarship, enrichment program, and opportunity program applications.
* Project an energetic, engaging, and approachable persona to promote students' connection to the content, investment in the learning, and positive relationship to all members of the community.
**Scholar \&amp; Family Engagement**
* Plan several key College Admissions related events throughout the school year including but not limited to Graduation, Mock admissions day, FAFSA day, and College Decision Day.
* Plan and manage operations for the annual Spring Break College Trip to Southern California for 11th grade Scholars and staff.
* Collect, enter, and analyze all key data points for 12th grade.
* Create, update, and manage all student\-facing trackers.
* Create and send monthly Family Newsletters.
* Deliver and support all 12th grade Family Workshops and assist in workshop content creation.
**QUALIFICATIONS**
* Bachelor's degree.
* 2\+ years of experience teaching, coaching, or advising high school students, with a focus on college\-bound pathways and English; experience as a college counselor or advisor.
* Experience working with students in communities aligned with SEO's mission and passion for preparing them to lead by example in their families, communities, and careers.
**COMPETENCIES \&amp; SKILLS**
* Knowledge of the California public college system and top ranked private colleges preferred.
* Strong work ethic and positive attitude.
* Demonstrated ability to execute on short\-term, deadline\-driven tasks, as well as important long\-term projects requiring collaboration with internal and external constituencies.
* Adept at building authentic relationships with students quickly.
* Ability to conduct difficult conversations with Scholars and families to give honest, productive feedback.
* Excellent interpersonal skills and a high level of professionalism.
* Exceptional communication skills, both written and oral.
* Highly organized with exceptional attention to detail.
* Proficiency in Microsoft Suite and Google Suite.
* Must be data driven. Knowledge of Excel and experience working with Salesforce (database) and Brightspace (LMS) are a plus.
* Bilingual Spanish/English preferred.
* Ability to work a Tuesday through Saturday schedule from September to June and some evenings.
**COMPENSATION \&amp; BENEFITS**
SEO offers a competitive compensation package and comprehensive benefits plan including low\-cost health, vision, and dental options, a generous holiday schedule and PTO policies, disability coverage, fully paid time off for new parents, and employer contributions to health reimbursement and retirement accounts. We are constantly working to improve our benefits each year based on the needs of our employees. We value wellness and strive to put people first and foremost.
The compensation listed in this posting reflects what SEO believes it will pay for this position at the time of this posting. Consistent with applicable law, compensation will be determined based on the skills, qualifications, and experience of the applicant along with the requirements of the position, and SEO reserves the right to modify this pay range at any time.
**EEOC Policy**
At SEO we are committed to cultivating a team that embodies the backgrounds and experiences of the constituencies we serve and the communities we live in, and a workplace that reflects the impact we make in the world. Candidates from all communities – including people of color, women, members of the LGBTQIA\+ Community, veterans, and people with disabilities – are strongly encouraged to apply.
**Equal Employment Opportunity is not just the law, it is our commitment.**
Sponsors for Educational Opportunity is an Equal Opportunity/Affirmative Action Employer – M/F/D/V. We will consider all qualified applicants for employment regardless of race, color, ethnicity, religion, sex, gender, gender identity and expression, sexual orientation, national origin, disability, age, marital status, veteran status, pregnancy, parental status, genetic information or characteristics, or any other legally protected status.
If you need accommodation while applying for a role with SEO, due to a disability, please email SEO Talent.
**THE ORGANIZATION**
Established in 1963 by Michael Osheowitz, SEO (Sponsors for Educational Opportunity) is an educational non\-profit founded on the belief that talent is everywhere; but opportunity is not. Our programs are designed to educate, train, mentor, and amplify the voices of our participants to give them a seat at the table – every table. We propel human potential.
SEO is an innovator in education, mentorship, and creating educational career opportunities that maximize the full potential of our participants. Each year SEO serves 7,000\+ participants nationally, and the organization is widely recognized for developing best\-in\-class programs with exceptional results.
Not every SEO participant is on the same journey, but all are hungry for opportunity and SEO creates an ecosystem of excellence. Learn more about SEO's programs here: https://www.seo\-usa.org/our\-programs/.</t>
        </is>
      </c>
    </row>
    <row r="165">
      <c r="A165" t="inlineStr">
        <is>
          <t>in-ce3d2240eaa47f48</t>
        </is>
      </c>
      <c r="B165" t="inlineStr">
        <is>
          <t>Program Manager, Defense</t>
        </is>
      </c>
      <c r="C165" t="inlineStr">
        <is>
          <t>Bombardier</t>
        </is>
      </c>
      <c r="D165" t="inlineStr">
        <is>
          <t>indeed</t>
        </is>
      </c>
      <c r="E165">
        <f>HYPERLINK("https://www.indeed.com/viewjob?jk=ce3d2240eaa47f48", "https://www.indeed.com/viewjob?jk=ce3d2240eaa47f48")</f>
        <v/>
      </c>
      <c r="F165">
        <f>HYPERLINK("https://jobs.bombardier.com/job/Wichita-Program-Manager%2C-Defense-KS-67209/1254852901/?feedId=383233&amp;utm_source=Indeed", "https://jobs.bombardier.com/job/Wichita-Program-Manager%2C-Defense-KS-67209/1254852901/?feedId=383233&amp;utm_source=Indeed")</f>
        <v/>
      </c>
      <c r="G165" t="inlineStr">
        <is>
          <t>Wichita, KS, US</t>
        </is>
      </c>
      <c r="H165" s="3" t="n">
        <v>46026</v>
      </c>
      <c r="I165" t="inlineStr">
        <is>
          <t>*When applicable, Bombardier promotes flexible and hybrid work policies.*
#### **Why join us?**
At Bombardier, we design, build and maintain the world’s peak\-performing aircraft for the world’s most discerning people and businesses, governments and militaries. We have been successful in setting the highest standards by putting our people at the heart of it all, and defining excellence, together.  
Working at Bombardier means operating at the highest level. Every day, you are part of a team that delivers superior experiences and products, pushing the boundaries of what's possible in our industry and beyond. By prioritizing employee growth and development, we empower everyone to reach their full potential on their own terms, because the best work happens when you are free to be yourself and share your unique expertise.
#### **Bombardier’s Benefits Program**
With our employees’ well\-being top of mind, we offer a comprehensive and competitive Benefits Program, which includes the following:
* Insurance plans *(Dental, medical, life insurance, disability, and more)*
* Competitive base salary
* Retirement savings plan
* Employee Assistance Program
* Tele Health Program
**What are your contributions to the team?**
--------------------------------------------
At Bombardier, our employees work together to evolve mobility worldwide \- one good idea at a time. If you have a good idea, we will provide the environment where it will thrive and grow into a great product or customer experience. Your ideas are our fuel.
This role is key to support Bombardier Defense Programs out of Toronto, Ontario, Montreal, Quebec or Wichita, Kansas. Reporting to the Manager, Bombardier Defense Programs \- the candidate will have the following responsibilities (but not limited to):
* Leads negotiations, proposal and commercial impact phases for contractual change management throughout the program execution
* Support the overall program execution of assigned accounts:
* Develop and track the detailed program schedule and milestones
* Track program requirements, scope, budget
* Perform continuous risk management
* Track and support Flight Test and aircraft modification;
* Track and support aircraft deliveries as required;
* Act as the face of the organization to external customers;
* Holds P\&amp;L oversight for assigned program and accountable for overall customer satisfaction;
* Ensure milestones are achieved per committed schedule and budget – ensuring proactive risk assessment and contingency management;
* Has intimate knowledge of contractual requirements for assigned program and ensures timely execution and administration to remain in compliance with such requirements;
* Prepare and lead weekly Program reviews; including internal executive reviews and external customer reviews;
* Coordinate with internal resources/stakeholders such as engineering, contracts, finance and logistics during program execution;
* Coordinate payment/invoicing;
* Manage program performance using appropriate systems, tools and techniques. Establish and manage program key performance indices.
**How to thrive in this role?**
-------------------------------
* You hold a Bachelor's Degree in Engineering (or equivalent);
* You have a minimum of five (5\) years of experience in program management; or equivalent experience;
* You are team player with initiative and excellent communication skills;
* You have excellent customer\-facing skills and experience are required;
* You have the ability to effectively negotiate in\-line with business objectives;
* You are able to manage time and prioritize tasks effectively while working toward aggressive deadlines;
* You have a strong working knowledge of Bombardier's policies and processes;
* You have experience interfacing with operations.
* You have a strong technical knowledge of aircraft, aircraft systems and special mission equipment;
* You have knowledge of CGR, ITAR and previous experience in government and military flight operations exposure would be considered an asset;
* You may be required to travel and work extended hours when required;
* You are eligible to view and handle CGR material as well as be able to obtain a NATO Secret security clearance (as required).
**Now that you can see yourself in this role, apply and join the Bombardier Team!**
Bombardier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age, disability status, veteran status, or any other characteristic protected by Federal, National, or Local Laws.
 **Job** Program Manager, Defense
**Primary Location** Wichita, ADMN / MFG, Learjet
**Organization** Learjet Inc
**Shift**
**Employee Status** Regular
**Requisition** 9561 Program Manager, Defense</t>
        </is>
      </c>
    </row>
    <row r="166">
      <c r="A166" t="inlineStr">
        <is>
          <t>in-1f255e78c63c3431</t>
        </is>
      </c>
      <c r="B166" t="inlineStr">
        <is>
          <t>Product Manager – CRM &amp; Service Enablement (Post-Purchase &amp; Service)</t>
        </is>
      </c>
      <c r="C166" t="inlineStr">
        <is>
          <t>Kimberly-Clark</t>
        </is>
      </c>
      <c r="D166" t="inlineStr">
        <is>
          <t>indeed</t>
        </is>
      </c>
      <c r="E166">
        <f>HYPERLINK("https://www.indeed.com/viewjob?jk=1f255e78c63c3431", "https://www.indeed.com/viewjob?jk=1f255e78c63c3431")</f>
        <v/>
      </c>
      <c r="F166">
        <f>HYPERLINK("https://jsv3.recruitics.com/redirect?rx_cid=3409&amp;rx_jobId=882418_1001_rxr-1&amp;rx_url=https%3A%2F%2Fkimberlyclark.wd1.myworkdayjobs.com%2FGLOBAL%2Fjob%2FUSA-GA-Atlanta%2FProduct-Manager---CRM---Service-Enablement--Post-Purchase---Service-_882418%3Frx_a%3D1%26rx_c%3Dna_commercial_ppc%26rx_ch%3Djobp4p%26rx_group%3D527057%26rx_id%3D65f38915-e9ca-11f0-ba66-ff02ea62530f%26rx_job%3D882418_1001_rxr-1%26rx_medium%3Dcpc%26rx_r%3Dnone%26rx_source%3DIndeed%26rx_ts%3D20260105T030004Z%26rx_vp%3Dcpc%26source%3DIndeed%26utm_campaign%3DCommercial_NA_US_PPC%26utm_medium%3Dcpc%26utm_source%3DIndeed_Sponsored", "https://jsv3.recruitics.com/redirect?rx_cid=3409&amp;rx_jobId=882418_1001_rxr-1&amp;rx_url=https%3A%2F%2Fkimberlyclark.wd1.myworkdayjobs.com%2FGLOBAL%2Fjob%2FUSA-GA-Atlanta%2FProduct-Manager---CRM---Service-Enablement--Post-Purchase---Service-_882418%3Frx_a%3D1%26rx_c%3Dna_commercial_ppc%26rx_ch%3Djobp4p%26rx_group%3D527057%26rx_id%3D65f38915-e9ca-11f0-ba66-ff02ea62530f%26rx_job%3D882418_1001_rxr-1%26rx_medium%3Dcpc%26rx_r%3Dnone%26rx_source%3DIndeed%26rx_ts%3D20260105T030004Z%26rx_vp%3Dcpc%26source%3DIndeed%26utm_campaign%3DCommercial_NA_US_PPC%26utm_medium%3Dcpc%26utm_source%3DIndeed_Sponsored")</f>
        <v/>
      </c>
      <c r="G166" t="inlineStr">
        <is>
          <t>Chicago, IL, US</t>
        </is>
      </c>
      <c r="H166" s="3" t="n">
        <v>46026</v>
      </c>
      <c r="I166" t="inlineStr">
        <is>
          <t>You’re not the person who will settle for just any role. Neither are we. Because we’re out to create Better Care for a Better World, and that takes a certain kind of person and teams who care about making a difference. Here, you’ll bring your professional expertise, talent, and drive to building and managing our portfolio of iconic, ground\-breaking brands. In this role, you’ll help us deliver better care for billions of people around the world. It starts with YOU.
The Kimberly\-Clark Professional (KCP) CX \&amp; Marketing organization aims to be an innovative, “customer\-first” thought leader and invaluable business partner to all industry end users and distributors by providing insights\-driven solutions that meet unique needs. The team strives to exceed Channel and End User expectations with unparalleled thought leadership and innovative category technology, resulting in relevant solution bundles that maximize KCP's competitive advantage, share leadership, volume growth, and best\-in\-class partner status. Their Purpose is to unlock quantifiable growth through brand leadership for long\-term market dominance. The Vision is to be a united team focused on customer needs, innovative marketing, and data\-driven execution. They prioritize transparency, a customer\-centric approach, data\-driven decisions, and empathetic collaboration. Upholding values of integrity, curiosity, tenacity, agility, and inclusivity, the team is committed to continuous improvement and adapting to changes while celebrating diversity as a strength.
The Product Manager for CRM \&amp; Service Enablement owns the strategy, roadmap, and delivery of CRM capabilities that support post\-purchase experiences—including service delivery, case management, issue resolution, and customer support. This role is accountable for enabling seamless, efficient, and personalized service experiences across channels and touchpoints.
Working closely with Journey Managers, Experience Design Architects, and Product Designers, this role ensures that CRM capabilities—primarily within Salesforce Service Cloud—are aligned to journey goals, experience blueprints, and internal workflows. The Product Manager translates service needs into scalable platform solutions that empower internal teams and elevate the customer experience.
In this role, you will:
**Product Vision \&amp; Strategy**
* Define and evolve the CRM product vision for service enablement, aligned to post\-purchase journey goals and business outcomes.
* Partner with Journey Managers to ensure CRM capabilities support the execution and continuous improvement of service and support journeys.
* Stay attuned to service trends, customer expectations, and competitive benchmarks to inform product direction.
* Establish a persona\-based CRM platform that supports differentiated service experiences and drives internal adoption across service roles.
**Cross\-Functional Collaboration**
* Collaborate with Experience Design Architects to ensure CRM capabilities align with service blueprints and experience architecture.
* Work with Product Designers to translate experience strategy into tangible workflows, UI/UX, and technical product designs for service agents and support teams.
* Partner with customer care, operations, and digital teams to capture requirements and prioritize enhancements that improve resolution speed, satisfaction, and efficiency.
* Strong collaboration with customer\-facing self\-service portal Product Manager to ensure seamless omnichannel service experience.
**Product Delivery \&amp; Execution**
* Lead product development from discovery through delivery, including backlog management, sprint planning, and release communication.
* Translate roadmap into executable features and user stories in partnership with Product Owners and technical teams.
* Ensure CRM integrations with knowledge bases, case management, field service, logistics and escalation tools are seamless and scalable.
* Track adoption and impact using KPIs such as case resolution time, first contact resolution, CSAT, and agent productivity.
**Data \&amp; Intelligence Enablement**
* Define and maintain a CRM data strategy that supports a 360° customer view and enables AI/ML\-driven insights for service personalization and automation.
* Ensure data quality, governance, and analytics capabilities support proactive service, escalation management, and customer retention.
* Leverage Salesforce Service Cloud as a system of intelligence to simplify processes and drive automation, triage, and decision\-making.
**Change Management \&amp; Adoption**
* Partner with enablement and change teams to drive adoption of CRM capabilities across service and support teams.
* Communicate product vision, roadmap, and results to stakeholders and leadership.
* Foster a culture of continuous improvement through feedback loops, usability testing, and iteration.
**About Us**
Huggies®. Kleenex®. Cottonelle®. Scott®. Kotex®. Poise®. Depend®. Kimberly\-Clark Professional®. You already know our legendary brands—and so does the rest of the world. In fact, millions of people use Kimberly\-Clark products every day. We know these amazing Kimberly\-Clark products wouldn’t exist without talented professionals, like you.
At Kimberly\-Clark, you’ll be part of the best team committed to driving innovation, growth and impact. We’re founded on more than 150 years of market leadership, and we’re always looking for new and better ways to perform – so there’s your open door of opportunity. It’s all here for you at Kimberly\-Clark.
**Led by Purpose. Driven by You.**
**About You**
You perform at the highest level possible, and you appreciate a performance culture fueled by authentic caring. You want to be part of a company actively dedicated to sustainability, inclusion, wellbeing, and career development.
You love what you do, especially when the work you do makes a difference. At Kimberly\-Clark, we’re constantly exploring new ideas on how, when, and where we can best achieve results. When you join our team, you’ll experience Flex That Works: flexible (hybrid) work arrangements that empower you to have purposeful time in the office and partner with your leader to make flexibility work for both you and the business.
In one of our professional roles, you’ll focus on winning with consumers and the market, while putting safety, mutual respect, and human dignity at the center. To succeed in this role, you will need the following qualifications:
* 6\+ years of product management experience, including 3\+ years working in the Salesforce ecosystem.
* Bachelor's degree
* Proven track record of delivering CRM capabilities that drive service excellence and operational efficiency.
* Deep expertise in Salesforce Service Cloud, including case management, knowledge, and automation features.
* Strong understanding of post\-purchase service processes, escalation workflows, and customer support operations.
* Proficiency in agile methodologies, backlog management, and cross\-functional collaboration.
* Ability to translate service needs into technical requirements and user\-centric solutions.
**Preferred:**
* Experience working with Journey Managers, Experience Designers, and cross\-functional product teams.
* Familiarity with service blueprinting, experience mapping, and workflow design.
* Strong communication and storytelling skills to influence stakeholders and drive alignment.
* Experience with AI/ML, data strategy, and CRM analytics for service optimization.
* Vendor management and experience with service ecosystem tools (e.g., field service, chatbots, escalation platforms, FourKites).
**Total Benefits**
Here are just a few of the benefits you’d enjoy working in this role for Kimberly\-Clark. For a complete overview, see www.mykcbenefits.com.
 **Great support for good health** with medical, dental, and vision coverage options with no waiting periods or pre\-existing condition restrictions. Access to an on\-site fitness center, occupational health nurse, and allowances for high\-quality safety equipment.
**Flexible Savings and spending accounts** to maximize health care options and stretch dollars when caring for yourself or dependents.
**Diverse income protection insurance options** to protect yourself and your family in case of illness, injury, or other unexpected events.
**Additional programs and support** to continue your education, adopt a child, relocate, or even find temporary childcare.
**To Be Considered**  
Click the Apply button and complete the online application process. A member of our recruiting team will review your application and follow up if you seem like a great fit for this role.
In the meantime, please check out the careers website.
**And finally, the fine print….**
*For Kimberly\-Clark to grow and prosper, we must be an inclusive organization that applies the diverse* *experiences and passions of its team members to brands that make life better for people all around the world, which is why we seek to build a workforce that encompasses the experiences of our consumers. When you bring your original thinking to Kimberly\-Clark,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pre\-screening tests, which may include drug screening, background check, and DMV check.*
*Veterans and members of the Reserve and Guard are highly encouraged to apply.*
*Kimberly\-Clark will support in\-country relocation for the chosen candidate for the role. The benefits provided will be per the terms of Kimberly\-Clark’s applicable mobility policies. The benefits/policy provided will be decided at Kimberly\-Clark’s sole discretion.*
*\#LI\-Hybrid*
Grade 8/P4 \- grade level and / or compensation may vary based on location/country
Salary Range: 127,600 – 157,600 USD. At Kimberly\-Clark, pay is just one aspect of our total rewards package, which also includes a variety of benefits and opportunities to achieve, thrive and grow. Along with base pay, this position offers eligibility for a target bonus and a comprehensive benefits suite, including our 401(k) and Profit Sharing plan. The anticipated base pay range for this role is provided above for a fully qualified hire. Actual pay will depend on several factors, such as location, role, skills, performance, and experience. Please note that the stated pay range applies to US locations only.</t>
        </is>
      </c>
    </row>
    <row r="167">
      <c r="A167" t="inlineStr">
        <is>
          <t>in-69f6b1981a909cfb</t>
        </is>
      </c>
      <c r="B167" t="inlineStr">
        <is>
          <t>Product Manager – CRM &amp; Sales/Marketing Enablement (Pre-Purchase/Purchase)</t>
        </is>
      </c>
      <c r="C167" t="inlineStr">
        <is>
          <t>Kimberly-Clark</t>
        </is>
      </c>
      <c r="D167" t="inlineStr">
        <is>
          <t>indeed</t>
        </is>
      </c>
      <c r="E167">
        <f>HYPERLINK("https://www.indeed.com/viewjob?jk=69f6b1981a909cfb", "https://www.indeed.com/viewjob?jk=69f6b1981a909cfb")</f>
        <v/>
      </c>
      <c r="F167">
        <f>HYPERLINK("https://jsv3.recruitics.com/redirect?rx_cid=3409&amp;rx_jobId=882417-1_1001_rxr-1&amp;rx_url=https%3A%2F%2Fkimberlyclark.wd1.myworkdayjobs.com%2FGLOBAL%2Fjob%2FUSA-GA-Atlanta%2FProduct-Manager---CRM---Sales-Marketing-Enablement--Pre-Purchase-Purchase-_882417-1%3Frx_a%3D1%26rx_c%3Dna_commercial_ppc%26rx_ch%3Djobp4p%26rx_group%3D527057%26rx_id%3D66d3fdf1-e9ca-11f0-ba66-7519ec60ce33%26rx_job%3D882417-1_1001_rxr-1%26rx_medium%3Dcpc%26rx_r%3Dnone%26rx_source%3DIndeed%26rx_ts%3D20260105T030004Z%26rx_vp%3Dcpc%26source%3DIndeed%26utm_campaign%3DCommercial_NA_US_PPC%26utm_medium%3Dcpc%26utm_source%3DIndeed_Sponsored", "https://jsv3.recruitics.com/redirect?rx_cid=3409&amp;rx_jobId=882417-1_1001_rxr-1&amp;rx_url=https%3A%2F%2Fkimberlyclark.wd1.myworkdayjobs.com%2FGLOBAL%2Fjob%2FUSA-GA-Atlanta%2FProduct-Manager---CRM---Sales-Marketing-Enablement--Pre-Purchase-Purchase-_882417-1%3Frx_a%3D1%26rx_c%3Dna_commercial_ppc%26rx_ch%3Djobp4p%26rx_group%3D527057%26rx_id%3D66d3fdf1-e9ca-11f0-ba66-7519ec60ce33%26rx_job%3D882417-1_1001_rxr-1%26rx_medium%3Dcpc%26rx_r%3Dnone%26rx_source%3DIndeed%26rx_ts%3D20260105T030004Z%26rx_vp%3Dcpc%26source%3DIndeed%26utm_campaign%3DCommercial_NA_US_PPC%26utm_medium%3Dcpc%26utm_source%3DIndeed_Sponsored")</f>
        <v/>
      </c>
      <c r="G167" t="inlineStr">
        <is>
          <t>Chicago, IL, US</t>
        </is>
      </c>
      <c r="H167" s="3" t="n">
        <v>46026</v>
      </c>
      <c r="I167" t="inlineStr">
        <is>
          <t>You’re not the person who will settle for just any role. Neither are we. Because we’re out to create Better Care for a Better World, and that takes a certain kind of person and teams who care about making a difference. Here, you’ll bring your professional expertise, talent, and drive to building and managing our portfolio of iconic, ground\-breaking brands. In this role, you’ll help us deliver better care for billions of people around the world. It starts with YOU.
The Kimberly\-Clark Professional (KCP) CX \&amp; Marketing organization aims to be an innovative, “customer\-first” thought leader and invaluable business partner to all industry end users and distributors by providing insights\-driven solutions that meet unique needs. The team strives to exceed Channel and End User expectations with unparalleled thought leadership and innovative category technology, resulting in relevant solution bundles that maximize KCP's competitive advantage, share leadership, volume growth, and best\-in\-class partner status. Their Purpose is to unlock quantifiable growth through brand leadership for long\-term market dominance. The Vision is to be a united team focused on customer needs, innovative marketing, and data\-driven execution. They prioritize transparency, a customer\-centric approach, data\-driven decisions, and empathetic collaboration. Upholding values of integrity, curiosity, tenacity, agility, and inclusivity, the team is committed to continuous improvement and adapting to changes while celebrating diversity as a strength.
The Product Manager for CRM \&amp; Sales/Marketing Enablement owns the strategy, roadmap, and delivery of CRM capabilities that support demand generation, lead management, opportunity tracking, and purchase conversion. This role is accountable for enabling seamless, data\-driven pre\-purchase and purchase experiences across channels.
Working closely with Journey Managers, Experience Design Architects, and Product Designers, this role ensures that CRM capabilities are aligned to journey goals, experience blueprints, and internal workflows. The Product Manager translates business needs into scalable platform solutions—primarily within Salesforce and integrated tools—to drive customer acquisition, sales productivity, and marketing effectiveness.
In this role, you will:
**Product Vision \&amp; Strategy**
* Define and evolve the CRM product vision for sales and marketing enablement, aligned to customer journey goals and business outcomes.
* Partner with Journey Managers to ensure CRM and supporting capabilities support the execution and continuous improvement of pre\-purchase and purchase journeys.
* Stay attuned to industry trends, customer needs, and competitive benchmarks to inform product direction.
* Establish a persona\-based CRM platform and technical solutions that supports differentiated experiences and drives internal adoption with a focus on marketing and sales roles.
**Cross\-Functional Collaboration**
* Collaborate with Experience Design Architects to ensure CRM capabilities align with service blueprints and experience architecture.
* Work with Product Designers to translate experience strategy into tangible workflows, UI/UX, and technical product designs.
* Partner with sales, marketing, and digital teams to capture requirements and prioritize enhancements that improve conversion and productivity.
* Strong collaboration with customer\-facing web Product Manager to ensure seamless omnichannel pre\-purchase and purchase experience.
**Product Delivery \&amp; Execution**
* Lead product development from discovery through delivery, including backlog management, sprint planning, and release communication.
* Translate roadmap into executable features and user stories in partnership with Product Owners and technical teams.
* Ensure CRM integrations with marketing automation, CPQ, pricing, and commerce platforms are seamless and scalable.
* Track adoption and impact using KPIs such as lead conversion rate, opportunity velocity and closed/won rate, and campaign ROI.
**Data \&amp; Intelligence Enablement**
* Define and maintain a CRM data strategy that supports a 360° customer view and enables AI/ML\-driven insights.
* Ensure data quality, governance, and analytics capabilities support forecasting, segmentation, and personalization.
* Leverage Salesforce as a system of intelligence to simplify processes and drive automation and decision\-making.
**Change Management \&amp; Adoption**
* Partner with enablement and change teams to drive adoption of CRM capabilities across sales and marketing teams.
* Communicate product vision, roadmap, and results to stakeholders and leadership.
* Foster a culture of continuous improvement through feedback loops, testing, and iteration.
**About Us**
Huggies®. Kleenex®. Cottonelle®. Scott®. Kotex®. Poise®. Depend®. Kimberly\-Clark Professional®. You already know our legendary brands—and so does the rest of the world. In fact, millions of people use Kimberly\-Clark products every day. We know these amazing Kimberly\-Clark products wouldn’t exist without talented professionals, like you.
At Kimberly\-Clark, you’ll be part of the best team committed to driving innovation, growth and impact. We’re founded on more than 150 years of market leadership, and we’re always looking for new and better ways to perform – so there’s your open door of opportunity. It’s all here for you at Kimberly\-Clark.
**Led by Purpose. Driven by You.**
**About You**
You perform at the highest level possible, and you appreciate a performance culture fueled by authentic caring. You want to be part of a company actively dedicated to sustainability, inclusion, wellbeing, and career development.
You love what you do, especially when the work you do makes a difference. At Kimberly\-Clark, we’re constantly exploring new ideas on how, when, and where we can best achieve results. When you join our team, you’ll experience Flex That Works: flexible (hybrid) work arrangements that empower you to have purposeful time in the office and partner with your leader to make flexibility work for both you and the business.
In one of our professional roles, you’ll focus on winning with consumers and the market, while putting safety, mutual respect, and human dignity at the center. To succeed in this role, you will need the following qualifications:
**Required:**
* 6\+ years of product management experience, including 3\+ years working in the Salesforce ecosystem.
* Bachelor's degree
* Proven track record of delivering CRM capabilities that drive business results in B2B or B2B2B environments.
* Experience with marketing automation platforms and sales enablement tools.
* Strong understanding of sales and marketing processes, lead lifecycle, and opportunity management.
* Proficiency in agile methodologies, backlog management, and cross\-functional collaboration.
* Ability to translate business needs into technical requirements and user\-centric solutions.
**Preferred:**
* Experience working with Journey Managers, Experience Designers, and cross\-functional product teams.
* Familiarity with service blueprinting, experience mapping, and workflow design.
* Strong communication and storytelling skills to influence stakeholders and drive alignment.
* Experience with AI/ML, data strategy, and CRM analytics.
* Vendor management and experience with CRM ecosystem tools (e.g., CPQ, pricing, commerce, Microsoft Copilot).
**Total Benefits**
Here are just a few of the benefits you’d enjoy working in this role for Kimberly\-Clark. For a complete overview, see www.mykcbenefits.com.
 **Great support for good health** with medical, dental, and vision coverage options with no waiting periods or pre\-existing condition restrictions. Access to an on\-site fitness center, occupational health nurse, and allowances for high\-quality safety equipment.
**Flexible Savings and spending accounts** to maximize health care options and stretch dollars when caring for yourself or dependents.
**Diverse income protection insurance options** to protect yourself and your family in case of illness, injury, or other unexpected events.
**Additional programs and support** to continue your education, adopt a child, relocate, or even find temporary childcare.
**To Be Considered**  
Click the Apply button and complete the online application process. A member of our recruiting team will review your application and follow up if you seem like a great fit for this role.
In the meantime, please check out the careers website.
**And finally, the fine print….**
*For Kimberly\-Clark to grow and prosper, we must be an inclusive organization that applies the diverse* *experiences and passions of its team members to brands that make life better for people all around the world, which is why we seek to build a workforce that encompasses the experiences of our consumers. When you bring your original thinking to Kimberly\-Clark,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pre\-screening tests, which may include drug screening, background check, and DMV check.*
*Veterans and members of the Reserve and Guard are highly encouraged to apply.*
*Kimberly\-Clark will support in\-country relocation for the chosen candidate for the role. The benefits provided will be per the terms of Kimberly\-Clark’s applicable mobility policies. The benefits/policy provided will be decided at Kimberly\-Clark’s sole discretion.*
*\#LI\-Hybrid*
Grade 8/M4 \- grade level and / or compensation may vary based on location/country
Salary Range: 127,600 – 157,600 USD. At Kimberly\-Clark, pay is just one aspect of our total rewards package, which also includes a variety of benefits and opportunities to achieve, thrive and grow. Along with base pay, this position offers eligibility for a target bonus and a comprehensive benefits suite, including our 401(k) and Profit Sharing plan. The anticipated base pay range for this role is provided above for a fully qualified hire. Actual pay will depend on several factors, such as location, role, skills, performance, and experience. Please note that the stated pay range applies to US locations only.</t>
        </is>
      </c>
    </row>
    <row r="168">
      <c r="A168" t="inlineStr">
        <is>
          <t>in-21fe3fd2f0a88b74</t>
        </is>
      </c>
      <c r="B168" t="inlineStr">
        <is>
          <t>Marketing &amp; CX Program Manager</t>
        </is>
      </c>
      <c r="C168" t="inlineStr">
        <is>
          <t>Kimberly-Clark</t>
        </is>
      </c>
      <c r="D168" t="inlineStr">
        <is>
          <t>indeed</t>
        </is>
      </c>
      <c r="E168">
        <f>HYPERLINK("https://www.indeed.com/viewjob?jk=21fe3fd2f0a88b74", "https://www.indeed.com/viewjob?jk=21fe3fd2f0a88b74")</f>
        <v/>
      </c>
      <c r="F168">
        <f>HYPERLINK("https://jsv3.recruitics.com/redirect?rx_cid=3409&amp;rx_jobId=882322-2_1001_rxr-1&amp;rx_url=https%3A%2F%2Fkimberlyclark.wd1.myworkdayjobs.com%2FGLOBAL%2Fjob%2FUSA-GA-Atlanta%2FMarketing---CX-Program-Manager_882322-2%3Frx_a%3D1%26rx_c%3Dna_commercial_ppc%26rx_ch%3Djobp4p%26rx_group%3D527057%26rx_id%3D66075eb1-e9ca-11f0-ba66-c74af087b1a1%26rx_job%3D882322-2_1001_rxr-1%26rx_medium%3Dcpc%26rx_r%3Dnone%26rx_source%3DIndeed%26rx_ts%3D20260105T030004Z%26rx_vp%3Dcpc%26source%3DIndeed%26utm_campaign%3DCommercial_NA_US_PPC%26utm_medium%3Dcpc%26utm_source%3DIndeed_Sponsored", "https://jsv3.recruitics.com/redirect?rx_cid=3409&amp;rx_jobId=882322-2_1001_rxr-1&amp;rx_url=https%3A%2F%2Fkimberlyclark.wd1.myworkdayjobs.com%2FGLOBAL%2Fjob%2FUSA-GA-Atlanta%2FMarketing---CX-Program-Manager_882322-2%3Frx_a%3D1%26rx_c%3Dna_commercial_ppc%26rx_ch%3Djobp4p%26rx_group%3D527057%26rx_id%3D66075eb1-e9ca-11f0-ba66-c74af087b1a1%26rx_job%3D882322-2_1001_rxr-1%26rx_medium%3Dcpc%26rx_r%3Dnone%26rx_source%3DIndeed%26rx_ts%3D20260105T030004Z%26rx_vp%3Dcpc%26source%3DIndeed%26utm_campaign%3DCommercial_NA_US_PPC%26utm_medium%3Dcpc%26utm_source%3DIndeed_Sponsored")</f>
        <v/>
      </c>
      <c r="G168" t="inlineStr">
        <is>
          <t>Chicago, IL, US</t>
        </is>
      </c>
      <c r="H168" s="3" t="n">
        <v>46026</v>
      </c>
      <c r="I168" t="inlineStr">
        <is>
          <t>You’re not the person who will settle for just any role. Neither are we. Because we’re out to create Better Care for a Better World, and that takes a certain kind of person and teams who care about making a difference. Here, you’ll bring your professional expertise, talent, and drive to building and managing our portfolio of iconic, ground\-breaking brands. In this role, you’ll help us deliver better care for billions of people around the world. It starts with YOU.
The Kimberly\-Clark Professional (KCP) CX \&amp; Marketing organization aims to be an innovative, “customer\-first” thought leader and invaluable business partner to all industry end users and distributors by providing insights\-driven solutions that meet unique needs. The team strives to exceed Channel and End User expectations with unparalleled thought leadership and innovative category technology, resulting in relevant solution bundles that maximize KCP's competitive advantage, share leadership, volume growth, and best\-in\-class partner status. Their Purpose is to unlock quantifiable growth through brand leadership for long\-term market dominance. The Vision is to be a united team focused on customer needs, innovative marketing, and data\-driven execution. They prioritize transparency, a customer\-centric approach, data\-driven decisions, and empathetic collaboration. Upholding values of integrity, curiosity, tenacity, agility, and inclusivity, the team is committed to continuous improvement and adapting to changes while celebrating diversity as a strength.
The Marketing \&amp; CX Program Manager plays a pivotal role in driving strategic outcomes across customer experience and marketing initiatives. This role leads cross\-functional programs that translate insights into action, ensure disciplined execution, and deliver measurable impact aligned with business goals.
Reporting to the Associate Director of Marketing \&amp; CX Operations, this role ensures clarity, momentum, and progress across high\-priority active initiatives by establishing and running best\-practice program management standards and frameworks. The Program Manager partners Marketing/CX leaders to connect strategy to execution and ensure operational excellence.
In this role, you will:
**Program Leadership \&amp; Execution Discipline**
* Lead cross\-functional program management for priority CX and marketing initiatives from planning through delivery.
* Define outcome\-based KPIs upfront, track progress, and ensure benefits realization is reported back to leadership.
* Establish governance models, operating rhythms, and transparent reporting cadences.
* Manage dependencies, risks, and change management with discipline.
* Ensure initiatives are delivered on time, on budget, and achieve intended outcomes—not just outputs.
**Operational Coordination \&amp; Enablement**
* Monitor and document the status of all priority CX and marketing programs, providing regular updates to stakeholders and leadership.
* Identify and communicate project dependencies, blockers, and risks; proactively collaborate to resolve issues and maintain momentum.
* Facilitate recurring team meetings with clear agendas, action\-oriented discussions, and follow\-ups.
**Stakeholder Engagement \&amp; Communication**
* Build understanding, engagement, and commitment across teams to execute against program objectives.
* Provide timely and concise updates through dashboards, reports, and other communication tools.
* Partner with internal teams to ensure alignment with annual and three\-year business plans.
**Strategic Alignment \&amp; Outcome Delivery**
* Translate strategic priorities into executable roadmaps for priority CX and marketing initiatives.
* Support the Marketing \&amp; CX function in prioritizing initiatives and maintaining visibility into progress and impact.
* Ensure alignment to Digital Transformation and other cross\-functional priorities for KCP North America.
* Ensure cross\-functional teams are aligned and accountable for delivering experience and marketing improvements.
**Executive Communication \&amp; Strategic Visibility**
* Deliver clear, concise, and compelling updates to executive stakeholders—highlighting progress, risks, and strategic impact of CX and marketing initiatives.
* Tailor communications to align with leadership priorities and ensure visibility into program outcomes and value realization.
**Team Engagement \&amp; Recognition**
* Foster a culture of momentum and celebration by actively communicating wins, milestones, and contributions across execution teams.
* Use storytelling, dashboards, and team forums to reinforce progress, build morale, and sustain engagement throughout program lifecycles.
**About Us**
Huggies®. Kleenex®. Cottonelle®. Scott®. Kotex®. Poise®. Depend®. Kimberly\-Clark Professional®. You already know our legendary brands—and so does the rest of the world. In fact, millions of people use Kimberly\-Clark products every day. We know these amazing Kimberly\-Clark products wouldn’t exist without talented professionals, like you.
At Kimberly\-Clark, you’ll be part of the best team committed to driving innovation, growth and impact. We’re founded on more than 150 years of market leadership, and we’re always looking for new and better ways to perform – so there’s your open door of opportunity. It’s all here for you at Kimberly\-Clark.
**Led by Purpose. Driven by You.**
**About You**
You perform at the highest level possible, and you appreciate a performance culture fueled by authentic caring. You want to be part of a company actively dedicated to sustainability, inclusion, wellbeing, and career development.
You love what you do, especially when the work you do makes a difference. At Kimberly\-Clark, we’re constantly exploring new ideas on how, when, and where we can best achieve results. When you join our team, you’ll experience Flex That Works: flexible (hybrid) work arrangements that empower you to have purposeful time in the office and partner with your leader to make flexibility work for both you and the business.
In one of our professional roles, you’ll focus on winning with consumers and the market, while putting safety, mutual respect, and human dignity at the center. To succeed in this role, you will need the following qualifications:
**Required:**
* Bachelor’s degree in Business, Communications, Marketing, or Technology/IT; MBA preferred.
* 7\+ years of experience in program or project management within large, complex organizations.
* Proven success in leading cross\-functional initiatives and driving change.
* Strong communication, facilitation, and stakeholder management skills.
* Experience with agile methodologies and program governance frameworks.
* High comfort level with Microsoft Office tools (Word, Excel, PowerPoint).
**Preferred:**
* Experience in customer experience, marketing, service, or related fields.
* Familiarity with CX measurement, journey management, and marketing analytics.
* Exposure to program portfolio management and enterprise\-level reporting tools.
**Total Benefits**
Here are just a few of the benefits you’d enjoy working in this role for Kimberly\-Clark. For a complete overview, see www.mykcbenefits.com.
 **Great support for good health** with medical, dental, and vision coverage options with no waiting periods or pre\-existing condition restrictions. Access to an on\-site fitness center, occupational health nurse, and allowances for high\-quality safety equipment.
**Flexible Savings and spending accounts** to maximize health care options and stretch dollars when caring for yourself or dependents.
**Diverse income protection insurance options** to protect yourself and your family in case of illness, injury, or other unexpected events.
**Additional programs and support** to continue your education, adopt a child, relocate, or even find temporary childcare.
**To Be Considered**  
Click the Apply button and complete the online application process. A member of our recruiting team will review your application and follow up if you seem like a great fit for this role.
In the meantime, please check out the careers website.
**And finally, the fine print….**
*For Kimberly\-Clark to grow and prosper, we must be an inclusive organization that applies the diverse* *experiences and passions of its team members to brands that make life better for people all around the world, which is why we seek to build a workforce that encompasses the experiences of our consumers. When you bring your original thinking to Kimberly\-Clark,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pre\-screening tests, which may include drug screening, background check, and DMV check.*
*Veterans and members of the Reserve and Guard are highly encouraged to apply.*
*Kimberly\-Clark will support in\-country relocation for the chosen candidate for the role. The benefits provided will be per the terms of Kimberly\-Clark’s applicable mobility policies. The benefits/policy provided will be decided at Kimberly\-Clark’s sole discretion.*
*\#LI\-Hybrid*
Grade 9/P3 \- grade level and / or compensation may vary based on location/country
Salary Range: 105,740 – 130,620 USD. At Kimberly\-Clark, pay is just one aspect of our total rewards package, which also includes a variety of benefits and opportunities to achieve, thrive and grow. Along with base pay, this position offers eligibility for a target bonus and a comprehensive benefits suite, including our 401(k) and Profit Sharing plan. The anticipated base pay range for this role is provided above for a fully qualified hire. Actual pay will depend on several factors, such as location, role, skills, performance, and experience. Please note that the stated pay range applies to US locations only.</t>
        </is>
      </c>
    </row>
    <row r="169">
      <c r="A169" t="inlineStr">
        <is>
          <t>in-01e266df6cdaa27c</t>
        </is>
      </c>
      <c r="B169" t="inlineStr">
        <is>
          <t>Product Manager, Workflow Infrastructure (Ads Platform)</t>
        </is>
      </c>
      <c r="C169" t="inlineStr">
        <is>
          <t>Netflix</t>
        </is>
      </c>
      <c r="D169" t="inlineStr">
        <is>
          <t>indeed</t>
        </is>
      </c>
      <c r="E169">
        <f>HYPERLINK("https://www.indeed.com/viewjob?jk=01e266df6cdaa27c", "https://www.indeed.com/viewjob?jk=01e266df6cdaa27c")</f>
        <v/>
      </c>
      <c r="F169">
        <f>HYPERLINK("https://explore.jobs.netflix.net/careers/job/790313321177", "https://explore.jobs.netflix.net/careers/job/790313321177")</f>
        <v/>
      </c>
      <c r="G169" t="inlineStr">
        <is>
          <t>Los Gatos, CA, US</t>
        </is>
      </c>
      <c r="H169" s="3" t="n">
        <v>46026</v>
      </c>
      <c r="I169"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We recently launched a new ad\-supported tier to offer our members with more choice in how they consume their content. Our new tier allows us to attract new members at a lower price point, while also creating a compelling path for advertisers to reach audiences that are deeply immersed.
**Our Team:**
-------------
The Ads Platform team builds the advertising systems and integrations that power the delivery of ads using our world class content delivery ecosystem. We deliver ads in a manner that’s thoughtful of our members’ viewing experience and drives great outcomes for advertisers.
Our team is new and yet faced with the ambitions of building highly performant advertising systems and delivering high impact to our business by monetizing our incredible slate of content. As one of the newest entrants in the Connected TV advertising space that’s rapidly growing, we seek to build unique value propositions that differentiate Netflix from other ad\-supported streaming services.
We are looking for a Product Manager in the advertising space who is excited to join us on this journey.
**About the Role:**
-------------------
This PM will be responsible for building a new foundational technology that connects systems across Netflix Ads. Our Workflow Infrastructure will enable product teams to design, assemble, and operate configurable, multi\-user workflows (spanning UI and API) without creating fragile one\-off applications.
This means building for other builders; laying the foundations for our stunning colleagues across engineering, product, data science, sales, and operations. The goal is to dramatically increase the velocity and reliability of complex multi\-party workflows across different teams (e.g., approvals, handoffs, changes, troubleshooting), and to make cross\-surface experiences uniform, auditable, and automatable.
This PM will:
* Define and own the end\-to\-end product vision for a shared Workflow Infrastructure that spans every Netflix Ad Suite surface.
* Deliver a platform (APIs, SDKs, UI components) that product teams can plug into to create composable workflows using reusable building blocks (steps, policies, approvals, automations).
* Establish governance, privacy, and safety standards in partnership with Legal, Privacy, Policy, Operations, and Finance to ensure responsible, auditable outcomes.
* Partner with Experience Design to invent guided, task\-focused flows that reduce handoffs, context switching, and cycle time for operators and customers.
* Serve as connective tissue across PMs in demand, supply, creatives, reporting, insights, policy, and more; aligning roadmaps and eliminating duplicative workflow logic.
* Integrate with third\-party applications (e.g., Salesforce, Jira) where needed while charting a path to consolidate tools and increase automation.
* Define and track success metrics such as workflow time reductions, handoff/approval latency, platform adoption, and partner satisfaction; iterate quickly based on data and feedback.
* Orchestrate both the strategy and the shared platform that deliver uniform, intuitive, and high\-impact experiences for every stakeholder.
**We’re seeking a candidate who has:**
--------------------------------------
* Experience: 10\+ years of Product Management experience with a proven track record of launching and scaling foundational platforms that power complex, multi\-user workflows (like, media planning, creative approvals, customer onboarding).
* Domain Acumen: Deep understanding of advertising\-oriented workflows; publisher\-side experience preferred, demand\-side experience also valuable.
* Visionary Leadership: Ability to deliver a comprehensive roadmap and vision for composable, workflows that support varied customer groups and use cases.
* Technical Depth: Comfort with the concepts behind modern workflow systems (state machines, orchestration, versioning, approvals, auditability, RBAC/ABAC, policy engines, APIs/SDKs, webhooks, observability).
* Collaborative Skills: Proven experience working with cross\-functional partners including Operations, Demand Management, Policy, Finance, Design, Engineering, Data Science, and other Product teams.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$240,000 \- $725,000\.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170">
      <c r="A170" t="inlineStr">
        <is>
          <t>in-d34a07e2cb302c9f</t>
        </is>
      </c>
      <c r="B170" t="inlineStr">
        <is>
          <t>Program Manager – Multi-Family Energy</t>
        </is>
      </c>
      <c r="C170" t="inlineStr">
        <is>
          <t>Performance Energy</t>
        </is>
      </c>
      <c r="D170" t="inlineStr">
        <is>
          <t>indeed</t>
        </is>
      </c>
      <c r="E170">
        <f>HYPERLINK("https://www.indeed.com/viewjob?jk=d34a07e2cb302c9f", "https://www.indeed.com/viewjob?jk=d34a07e2cb302c9f")</f>
        <v/>
      </c>
      <c r="F170">
        <f>HYPERLINK("http://www.indeed.com/job/program-manager-multi-family-energy-d34a07e2cb302c9f", "http://www.indeed.com/job/program-manager-multi-family-energy-d34a07e2cb302c9f")</f>
        <v/>
      </c>
      <c r="G170" t="inlineStr">
        <is>
          <t>Atlanta, GA, US</t>
        </is>
      </c>
      <c r="H170" s="3" t="n">
        <v>46026</v>
      </c>
      <c r="I170" t="inlineStr">
        <is>
          <t>Location: Hybrid (Travel / Work From Home) – Must be willing to relocate to Atlanta, GeorgiaTravel: Required statewide across Georgia
Job Summary:We are seeking an experienced Program Manager to coordinate and oversee multi\-family energy retrofitting projects across the state of Georgia. This role requires a strong leader who can manage crews, calculate and track inventory needs, ensure quality control, and interface with high\-level stakeholders. The position offers a hybrid work environment with required travel to project sites.
Key Responsibilities:
* Coordinate and oversee scheduling of all multi\-family energy retrofitting projects statewide
* Set up and launch jobs throughout the state of Georgia
* Calculate total project inventory needs and break down inventory requirements per project
* Prepare and distribute weekly inventory and project status reports
* Manage field crews and subcontractors to ensure project timelines and performance goals are met
* Oversee QA/QC (Quality Assurance / Quality Control) for all multi\-family work
* Interface with utilities, implementers, and other high\-level decision makers and stakeholders
* Ensure compliance with program guidelines, safety standards, and contractual requirements
* Identify risks, resolve issues, and drive projects to successful completion
* Maintain clear communication between field teams, office staff, and leadership
Qualifications:
* Proven experience as a Program Manager or similar leadership role
* Strong background in construction, energy efficiency, or multi\-family project management preferred
* Experience managing crews and coordinating multiple projects simultaneously
* Ability to analyze inventory needs and produce accurate reports
* Excellent communication and stakeholder management skills
* Strong organizational, leadership, and problem\-solving abilities
* Proficiency with scheduling tools, spreadsheets, and reporting systems
Work Environment:
* Hybrid position: work from home, office, and travel as required
* Willingness to relocate to Atlanta, Georgia
* Regular travel to job sites throughout the state
Pay: From $150,000\.00 per year
Work Location: In person</t>
        </is>
      </c>
    </row>
    <row r="171">
      <c r="A171" t="inlineStr">
        <is>
          <t>in-86f99f54bbe38bad</t>
        </is>
      </c>
      <c r="B171" t="inlineStr">
        <is>
          <t>Senior Product Manager, FinTech Products</t>
        </is>
      </c>
      <c r="C171" t="inlineStr">
        <is>
          <t>Second Nature</t>
        </is>
      </c>
      <c r="D171" t="inlineStr">
        <is>
          <t>indeed</t>
        </is>
      </c>
      <c r="E171">
        <f>HYPERLINK("https://www.indeed.com/viewjob?jk=86f99f54bbe38bad", "https://www.indeed.com/viewjob?jk=86f99f54bbe38bad")</f>
        <v/>
      </c>
      <c r="F171">
        <f>HYPERLINK("https://jobs.ashbyhq.com/second-nature/1b01f31c-b557-4f0f-86e2-dda171a14f63?utm_source=j4ZxlQaZzG", "https://jobs.ashbyhq.com/second-nature/1b01f31c-b557-4f0f-86e2-dda171a14f63?utm_source=j4ZxlQaZzG")</f>
        <v/>
      </c>
      <c r="G171" t="inlineStr">
        <is>
          <t>US</t>
        </is>
      </c>
      <c r="H171" s="3" t="n">
        <v>46025</v>
      </c>
      <c r="I171" t="inlineStr">
        <is>
          <t>Today, we live in a world where everything has become convenient. Now you can get a ride anywhere, buy anything, answer any question with just a couple clicks on your phone. Convenience isn't a luxury, it's an expectation. So why not renting? It's still a chore to get utilities set up, buy renters insurance, get air filters changed, handle pest control, and more.
That's why we've built the world's first Resident Experience Platform that makes resident onboarding, resident services, and ancillary revenue effortless for property managers.
We're passionate about turning friction into “Triple Win” experiences for residents, property managers, and investors. That way renting can be easy and rewarding for everyone.
And now you can join us. Apply today to join 200\+ passionate, creative people who strive to make a difference each day so residents, property managers, and investors all win; creating the ultimate Triple Win.
**About the Role**
Second Nature is seeking an experienced Senior Product Manager to focus on our Fintech products. In this role, you will own the end\-to\-end lifecycle, from discovery and strategy to roadmap execution, delivering products that create meaningful value for residents and property managers alike.  
This role requires a bias for action and the ability to make critical decisions in a fast\-paced, iterative landscape. Reporting to the Group Product Manager, you will work collaboratively across Engineering, Design, and Compliance to bring the vision to life.
**Key Outcomes**
----------------
* Launch products with defined MVPs within 12 months, achieving adoption and revenue targets (e.g., % of units enrolled) validated through customer discovery and pilot testing.
* Define and achieve product\-market fit milestones, including target user adoption rates, NPS 55 from residents and property managers, and qualitative evidence (via user interviews) that the product is "must\-have" rather than "nice\-to\-have."
* Drive reliability and success rates to target thresholds (e.g., reduction in failed ACH transactions, NSF incidents, or chargeback rates by a target %), maintaining or improving resident and property manager satisfaction scores (CSAT/NPS).
* Build a discovery and experimentation process that produces at least two validated product hypotheses per quarter through user research, prototypes, and controlled A/B tests, informing roadmap prioritization and reducing execution risk.
**Key Responsibilities**
------------------------
0 to 1 Product Discovery \&amp; Validation
* Conduct ongoing discovery with residents, property managers, and internal teams to understand pain points, workflows, and unmet needs.
* Synthesize research, user feedback, and market data to build a compelling product narrative and business case for each new initiative; communicate findings clearly to leadership and cross\-functional teams.
* Develop and test multiple product hypotheses via wireframes, prototypes, and early\-stage pilots; manage the learning cycle to rapidly converge on product\-market fit while knowing when to pivot.
Strategy, Roadmap \&amp; Execution
* Define product strategy and a rolling 12 month roadmap, translating business objectives into clear, outcome\-focused quarterly OKRs and a prioritized backlog.
* Write concise, unambiguous product specs and collaborate with Engineering and Design to deliver features on schedule, on scope, and at quality standards.
* Monitor execution progress against roadmap, celebrate wins, identify blockers early, and pivot quickly when signals indicate a change of direction is needed.
Domain \&amp; Technical Ownership
* Own core technical flows and user experiences.
* Collaborate with Engineering on integrations with service providers and banking partners, defining APIs, data schemas, and integration specifications that enable scalability and reduce technical debt.
Compliance, Risk \&amp; Security
* Partner with Legal, Security, and Compliance teams to ensure products adhere to all relevant regulations governing payments, deposits, and fee collection.
* Build risk and fraud mitigation into product design, balancing security and regulatory requirements with a frictionless resident and property manager experience.
Commercial \&amp; Cross\-Functional Leadership
* Collaborate with GTM, Sales, and Customer Success to develop positioning, pricing, and rollout strategies that drive adoption among property managers and residents. Work closely with Sales to identify early pilots and customer advocates.
* Monitor product performance against KPIs and use insights to inform backlog prioritization and optimization efforts. Establish dashboards visible to leadership.
* Build alignment across stakeholders on priorities, trade\-offs, and investment decisions through clear communication and data\-driven advocacy. Escalate conflicts or constraints to leadership promptly.
* Conduct competitive and market analysis to stay informed of emerging Fintech solutions, identifying differentiation opportunities and product gaps.
**About You**
-------------
* 5\+ years of product management in SaaS environments, with demonstrated success in SAAS payments or fintech products.
* Demonstrated ability to take products from 0 to 1 in ambiguous environments (startup or new venture within a larger company), including leading discovery, MVP launch, and early scaling based on customer feedback and market signals.
* Strong user empathy and ability to work closely with customers and frontline teams to translate insights into exceptional product experiences. Comfortable spending time with users and gathering qualitative feedback.
* Familiarity with the payments regulatory landscape, including NACHA, PCI DSS, and relevant state/federal regulations;
* Proven ability to define outcome\-focused roadmaps, establish and monitor success metrics, and make data\-driven prioritization decisions with incomplete information.
* Track record of influencing and aligning cross\-functional partners (Engineering, Design, Ops, Finance) and external partners (PSPs, banking partners, regulators).
* Experience in SFR property management, or adjacent verticals.
* Experience building or scaling products in a high\-growth environment.
* Ability to work EST work hours
**Remote Work Statement**
This is a remote\-first, work\-from\-home position. At Second Nature, we see remote work as a core part of our company's identity and success. We're dedicated to building a remote culture that promotes collaboration and strong connections.
To join our team and succeed in this remote environment, you will be expected to:
	+ **Be present and engaged** during your scheduled working hours. Your specific work schedule will be based on your role and team, but you must be able to join an all\-hands company meeting on Mondays at 10\.30 a.m. EST and be available for any other early morning meetings appropriate for the role.
	+ **Work from a quiet, professional, and distraction\-free space.**
	+ **Have a dependable high\-speed internet connection** that supports video calls, as we operate with cameras on by default.
	+ **Attend our bi\-annual company\-wide in\-person meetings,** with all business travel costs reimbursed according to company policy.
**Why Second Nature**
---------------------
* Health First: Medical, Dental, Vision, \&amp; Life Insurance; 401(k) Plan
* Location: Work Remotely from anywhere in the US (with core collaboration hours 9am–5pm EST)
* Flexibility: Open PTO and sick days
* Culture: Diverse, inclusive, supportive, and growth\-focused
* Growth: Be part of a fast\-growing team building a new category and making a real difference
* The Product: Expanding, customer\-loved platform that truly delivers on our mission
**The anticipated annual compensation for this role is between $175 to $200K, depending on budget, location, experience. Plus options, remote environment, 401K program, open PTO, health benefits, and more.**
**Our Core Values**
-------------------
**Pirate Ship, Not A Cruise Ship:** We are innovators who move quickly and decisively.
**Extreme Ownership:** We own our results and act with integrity.
**Grow the Pie:** We deliver real outcomes for customers and stakeholders.
**Massive Growth Takes Massive Growth:** We seek out challenges and learn from them.
**Purple Heart:** We normalize the rebound and value resilience.
**Be a Moment\-Maker:** We always look for ways to do the most we can.
 **AI Innovation**
We’re thrilled about the transformative potential of AI innovation and its ability to drive progress at Second Nature. As we continue to explore and integrate AI into our workflows, we’re eager to learn how you’ve embraced and implemented AI in your professional journey. In the interview process, we look forward to hearing about your experiences and exploring how we can collectively leverage AI technology to accelerate our growth.
*Second Nature is an Equal Opportunity Employer and prohibits discrimination and harassment of any kind. We take action to ensure equal employment opportunities for all candidates and employees and to provide employees with a workplace free of discrimination and harassment. Our hiring decisions are based on business needs, job requirements and individual qualifications, without regard to race, color, religion or belief, family or parental status, or any other status protected by federal and/or state law.*</t>
        </is>
      </c>
    </row>
    <row r="172">
      <c r="A172" t="inlineStr">
        <is>
          <t>in-f1cf5b75427fc3c9</t>
        </is>
      </c>
      <c r="B172" t="inlineStr">
        <is>
          <t>NSMS Munitions Acceleration Material Program Manager</t>
        </is>
      </c>
      <c r="C172" t="inlineStr">
        <is>
          <t>Raytheon</t>
        </is>
      </c>
      <c r="D172" t="inlineStr">
        <is>
          <t>indeed</t>
        </is>
      </c>
      <c r="E172">
        <f>HYPERLINK("https://www.indeed.com/viewjob?jk=f1cf5b75427fc3c9", "https://www.indeed.com/viewjob?jk=f1cf5b75427fc3c9")</f>
        <v/>
      </c>
      <c r="F172">
        <f>HYPERLINK("https://jsv3.recruitics.com/redirect?rx_cid=3426&amp;rx_jobId=01804846_rxr-1&amp;rx_url=https%3A%2F%2Fcareers.rtx.com%2Fglobal%2Fen%2Fjob%2F01804846%3Frx_a%3D0%26rx_c%3D%26rx_ch%3Djobp4p%26rx_group%3D122223%26rx_id%3D58f2fbdd-e9ca-11f0-ba66-076c9ff30934%26rx_job%3D01804846_rxr-1%26rx_medium%3Dcpc%26rx_r%3Dnone%26rx_source%3Dindeed%26rx_ts%3D20260105T040410Z%26rx_vp%3Dcpc", "https://jsv3.recruitics.com/redirect?rx_cid=3426&amp;rx_jobId=01804846_rxr-1&amp;rx_url=https%3A%2F%2Fcareers.rtx.com%2Fglobal%2Fen%2Fjob%2F01804846%3Frx_a%3D0%26rx_c%3D%26rx_ch%3Djobp4p%26rx_group%3D122223%26rx_id%3D58f2fbdd-e9ca-11f0-ba66-076c9ff30934%26rx_job%3D01804846_rxr-1%26rx_medium%3Dcpc%26rx_r%3Dnone%26rx_source%3Dindeed%26rx_ts%3D20260105T040410Z%26rx_vp%3Dcpc")</f>
        <v/>
      </c>
      <c r="G172" t="inlineStr">
        <is>
          <t>Tucson, AZ, US</t>
        </is>
      </c>
      <c r="H172" s="3" t="n">
        <v>46025</v>
      </c>
      <c r="I172" t="inlineStr">
        <is>
          <t>**Date Posted:**
2026\-01\-02**Country:**
United States of America**Location:**
AZ808: RMS AP Bldg 808 1151 East Hermans Road Building 808, Tucson, AZ, 85756 USA**Position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Secret \- Current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**Job Summary**
The Standard Missile portfolio is seeking an NSMS Manager, Supply Chain Management, to support Production Assurance efforts within the Naval Standard Missile Systems Production (NSMS) area of Naval Power onsite in Tucson, Arizona. Production Assurance ensures the future success of franchise NSMS production programs via proposal support, the cut in of new assemblies \&amp; designs into current production configurations, the execution of life time buys, and the execution of investments in our supply base to grow or ensure production capacity. **This position is contingent upon a contract award. Employment in this role will only be extended if the program is awarded to the Standard Missile portfolio.**
In this role, you’ll bring your advanced/applied knowledge of proposal activities, customer negotiation support, material requirements planning (MRP) process, subcontract management and project management (to include program start up as well as execution).
You will apply your experience with Supply Chain, material requirements planning and business acumen within a matrixed organization. You’ll also develop and lead a material program strategy/plan for programs or integrated product teams and will participate in proposals by developing and leading supply chain proposal activities including task descriptions and basis of estimates and participating in gate review preparation and/or support activities as well as assist with the generation of Supplier Statement of Works (SSOW).
The successful candidate will have excellent written and verbal communications skills to influence and communicate effectively across multiple areas outside of one’s own job function as well as with parties external to the organization.
**What You Will Do:**
* Work closely with Program Management, Integrated Product Teams (IPTs), Engineering, Quality, Production Control and Procurement to develop and execute Material Strategies which support Customer requirements and meet Program objectives
* Lead by influence in a matrixed organization
* Brief program and customer leadership teams on Supply Chain status, material constraints and risk mitigation or opportunity capture plans
* Customer Proposal support including generating Supplier Request for Proposals / Quotes (RFP’s / RFQ’s) as well as labor basis of estimates (BOEs)
* Support supplier negotiations and PO placement as required to meet program cost and schedule objectives
* Financial management (i.e., EV, budgets, targets, working capital, proposals, material sales forecasts, etc.). The MPM may act as the Control Account Manager.
* Overall ownership of the supplier management process (i.e., Supplier Risk/Opportunity Management Plan, supplier performance, metrics, international issues, develop/evaluate the make/buy strategy, the Collaborative Agreement process, etc.), and communication of customer flow\-through requirements such as FAR/DFARS, ITAR, offset, public law, quality, warranty, etc.
* Issue/Conflict resolution within organizations, between organizations and with suppliers
* Management of timely and compliant quarterly Estimates At Completion (EACs) to include Risk \&amp; Opportunity management
* Support MRP Scheduling and Master Data requests
* Willingness to travel domestically/internationally, as required (expected to be \&lt;20%)
**Qualifications You Must Have:**
* Typically requires a University Degree or equivalent experience and a minimum of 8 years prior relevant experience, or an Advanced degree and a minimum of 5 years of prior relevant experience
**Qualifications We Prefer:**
* Advanced Microsoft Office skillset
* Advanced Supply Chain Planning tool experience (i.e. SAP/PRISM, Kinaxis, MFT, ROMS, etc.)
* Experience with proposals or material estimating
* MPM Level 4 (or higher) Certification
* EVMS Certification
* PM Level 7 (or higher) Certification
**What We Offer**
Our values drive our actions, behaviors, and performance with a vision for a safer, more connected world. At RTX we value: Safety, Trust, Respect, Accountability, Collaboration, and Innovation.
**Learn More \&amp; Apply Now!**
* There is NO relocation assistance for this role
**Please consider the following role type definition as you apply for this role.**
* ***Onsite****: Employees who are working in Onsite roles will work primarily onsite. This includes all production and maintenance employees, as they are essential to the development of our products.*
**Location:**
Tucson, AZ: https://careers.rtx.com/global/en/raytheon\-tucson,\-az\-location
**\#LI\-ONSITE**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107,500 USD \- 204,500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73">
      <c r="A173" t="inlineStr">
        <is>
          <t>in-f87027ea89101043</t>
        </is>
      </c>
      <c r="B173" t="inlineStr">
        <is>
          <t>Senior Program Manager (Value Stream Leader) - Strategic Solutions (Onsite)</t>
        </is>
      </c>
      <c r="C173" t="inlineStr">
        <is>
          <t>Collins Aerospace</t>
        </is>
      </c>
      <c r="D173" t="inlineStr">
        <is>
          <t>indeed</t>
        </is>
      </c>
      <c r="E173">
        <f>HYPERLINK("https://www.indeed.com/viewjob?jk=f87027ea89101043", "https://www.indeed.com/viewjob?jk=f87027ea89101043")</f>
        <v/>
      </c>
      <c r="F173">
        <f>HYPERLINK("https://jsv3.recruitics.com/redirect?rx_cid=3426&amp;rx_jobId=01803794_rxr-1&amp;rx_url=https%3A%2F%2Fcareers.rtx.com%2Fglobal%2Fen%2Fjob%2F01803794%3Frx_a%3D0%26rx_c%3D%26rx_ch%3Djobp4p%26rx_group%3D122223%26rx_id%3D586d7851-e9ca-11f0-ba66-a168fbac2fe5%26rx_job%3D01803794_rxr-1%26rx_medium%3Dcpc%26rx_r%3Dnone%26rx_source%3Dindeed%26rx_ts%3D20260105T040410Z%26rx_vp%3Dcpc", "https://jsv3.recruitics.com/redirect?rx_cid=3426&amp;rx_jobId=01803794_rxr-1&amp;rx_url=https%3A%2F%2Fcareers.rtx.com%2Fglobal%2Fen%2Fjob%2F01803794%3Frx_a%3D0%26rx_c%3D%26rx_ch%3Djobp4p%26rx_group%3D122223%26rx_id%3D586d7851-e9ca-11f0-ba66-a168fbac2fe5%26rx_job%3D01803794_rxr-1%26rx_medium%3Dcpc%26rx_r%3Dnone%26rx_source%3Dindeed%26rx_ts%3D20260105T040410Z%26rx_vp%3Dcpc")</f>
        <v/>
      </c>
      <c r="G173" t="inlineStr">
        <is>
          <t>Richardson, TX, US</t>
        </is>
      </c>
      <c r="H173" s="3" t="n">
        <v>46025</v>
      </c>
      <c r="I173" t="inlineStr">
        <is>
          <t>**Date Posted:**
2025\-11\-06**Country:**
United States of America**Location:**
HTX36: Richardson, TX 3200 E Renner Rd , Richardson, TX, 75082\-2402 USA**Position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Top Secret \- Current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We’re looking for a proven leader to take on a key role within Collins Integrated Platform portfolio. As the Level 5 Value Stream Leader (VSL) Manager, you’ll be working with other VSL overseeing a large development program. This role indirectly leads a matrix organization, is accountable for performance and profit/loss and may lead future bid and proposal efforts.
The VSL role combines three core responsibilities: delivering on financial commitments, leading a high\-performing team, and ensuring successful execution. It requires someone who is comfortable making decisions, managing complexity, and working across functions to get results. This role is also customer\-facing, requiring strong communication and relationship\-building skills to ensure alignment, responsiveness, and trust with key government and industry partners.
This is a critical leadership role with direct influence on the success of our mission and the teams who deliver it. Key attributes needed to align with the business culture include a candidate who is People Focused, has a One Team mentality and is Mission Driven.
* **One Team** \- This leader will foster a collaborative environment, build strong internal and customer relationships, and enable open communication to have high\-performing and effective program teams
* **People Focused** \- We develop talent and are passionate about building knowledge.
* **Mission Driven** \- Providing critical capabilities, for no fail missions, in support of our Nation’s defense is part of our legacy and motivation, and meeting commitments is our priority
**What You Will Do**
As the Level 5 Value Stream Leader, you will be accountable for driving execution within the program. Your role combines financial leadership, program execution, and customer engagement, and team development. Key responsibilities include:
**Financial and Forecasting Leadership**
* Providing timely and accurate inputs for quarterly forecasts and monthly flash cycles
* Ensure non\-recurring engineering (NRE) cost elements are reviewed for timing, risk, and alignment with program phases
* Partner with Operations to develop reliable production forecasts, factoring in delivery schedules and risk
* Maintain accurate orders forecasts in collaboration with the Business Development team, including order timing, value, and probability of win
* Track and communicate anticipated sales resulting from new orders to maintain revenue predictability
* Help prepare Strategic Financial Plan inputs in partnership with Operations, Engineering, and Business Development
**Program Execution and Strategy**
* Set and execute short\-, mid\-, and long\-term objectives aligned with customer goals and the Strategic Communications Systems strategy
* Ensure cost, schedule, and technical performance targets are met for internal stakeholders and external customers
* Lead program/development reviews, CAM reviews and PM\-IPT reviews—owning program status updates and escalation paths as needed
* Input and presentation of Estimates at Completion (EACs) and ensure compliance with EVMS, CMS/RLPM, and quality requirements
* Champion innovation by challenging the status quo and helping shape strategies that improve the business
* Lead and be accountable for Pursuit, Order, Capture activities
**Team Leadership and Talent Development**
* Provide daily leadership for a team of matrixed employees, fostering a high\-performance, customer\-focused culture
* Drive accountability across the team while empowering Value Stream Leaders to own and lead their areas of responsibility
* Promote a positive environment where employees feel supported, trusted, and encouraged to grow
**Customer and Stakeholder Engagement**
* Build and sustain strong, trust\-based relationships with both internal and external customers
* Communicate effectively across all levels of leadership—internally and externally—to ensure alignment and program success
* Partner with cross\-functional stakeholders to negotiate program needs and deliver on commitments
* This position requires the ability to travel required \- up to 25%
**Qualifications You Must Have**
* Typically requires a University Degree and minimum 10 years prior relevant experience or an Advanced Degree in a related field and minimum 7 years of experience
* Active and transferable U.S. government issued **Top Secret** security clearance is required prior to start date. U.S. citizenship is required, as only U.S. citizens are eligible for a security clearance
* Requires advanced business knowledge, general management and leadership capability to lead business or functional teams
* Must have strong earned value management (EVM) experience, including baseline planning, performance measurement, and variance analysis.
**Qualifications We Prefer**
* Ability to thrive in a fast paced, manufacturing environment
* Strong people leadership and organization skills
* Meet Collins/RTX Enterprise Values including Ethical Behavior, Customer Focused Improvement, Accountability \&amp; Teamwork and Openness \&amp; Trust
* Strong attention to detail and drive for excellence
* Experience working with operations as products transition from Engineer design into a manufacturing environment
**What We Offer**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124,000 USD \- 250,000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74">
      <c r="A174" t="inlineStr">
        <is>
          <t>in-72f2127024e4cb69</t>
        </is>
      </c>
      <c r="B174" t="inlineStr">
        <is>
          <t>Marketing &amp; CX Program Manager</t>
        </is>
      </c>
      <c r="C174" t="inlineStr">
        <is>
          <t>Kimberly-Clark</t>
        </is>
      </c>
      <c r="D174" t="inlineStr">
        <is>
          <t>indeed</t>
        </is>
      </c>
      <c r="E174">
        <f>HYPERLINK("https://www.indeed.com/viewjob?jk=72f2127024e4cb69", "https://www.indeed.com/viewjob?jk=72f2127024e4cb69")</f>
        <v/>
      </c>
      <c r="F174">
        <f>HYPERLINK("https://jsv3.recruitics.com/redirect?rx_cid=3409&amp;rx_jobId=882322-2_rxr-1&amp;rx_url=https%3A%2F%2Fkimberlyclark.wd1.myworkdayjobs.com%2FGLOBAL%2Fjob%2FUSA-GA-Atlanta%2FMarketing---CX-Program-Manager_882322-2%3Frx_campaign%3Dindeed0%26rx_ch%3Djobp4p%26rx_group%3D120205%26rx_id%3D65c1a381-e9ca-11f0-ba66-6b272435dddd%26rx_job%3D882322-2_rxr-1%26rx_medium%3Dcpc%26rx_r%3Dnone%26rx_source%3DIndeed%26rx_ts%3D20260105T040002Z%26rx_vp%3Dcpc%26source%3DIndeed%26utm_campaign%3Dchicago%26utm_medium%3Dcpc%26utm_source%3DIndeed_organic", "https://jsv3.recruitics.com/redirect?rx_cid=3409&amp;rx_jobId=882322-2_rxr-1&amp;rx_url=https%3A%2F%2Fkimberlyclark.wd1.myworkdayjobs.com%2FGLOBAL%2Fjob%2FUSA-GA-Atlanta%2FMarketing---CX-Program-Manager_882322-2%3Frx_campaign%3Dindeed0%26rx_ch%3Djobp4p%26rx_group%3D120205%26rx_id%3D65c1a381-e9ca-11f0-ba66-6b272435dddd%26rx_job%3D882322-2_rxr-1%26rx_medium%3Dcpc%26rx_r%3Dnone%26rx_source%3DIndeed%26rx_ts%3D20260105T040002Z%26rx_vp%3Dcpc%26source%3DIndeed%26utm_campaign%3Dchicago%26utm_medium%3Dcpc%26utm_source%3DIndeed_organic")</f>
        <v/>
      </c>
      <c r="G174" t="inlineStr">
        <is>
          <t>Roswell, GA, US</t>
        </is>
      </c>
      <c r="H174" s="3" t="n">
        <v>46025</v>
      </c>
      <c r="I174" t="inlineStr">
        <is>
          <t>You’re not the person who will settle for just any role. Neither are we. Because we’re out to create Better Care for a Better World, and that takes a certain kind of person and teams who care about making a difference. Here, you’ll bring your professional expertise, talent, and drive to building and managing our portfolio of iconic, ground\-breaking brands. In this role, you’ll help us deliver better care for billions of people around the world. It starts with YOU.
The Kimberly\-Clark Professional (KCP) CX \&amp; Marketing organization aims to be an innovative, “customer\-first” thought leader and invaluable business partner to all industry end users and distributors by providing insights\-driven solutions that meet unique needs. The team strives to exceed Channel and End User expectations with unparalleled thought leadership and innovative category technology, resulting in relevant solution bundles that maximize KCP's competitive advantage, share leadership, volume growth, and best\-in\-class partner status. Their Purpose is to unlock quantifiable growth through brand leadership for long\-term market dominance. The Vision is to be a united team focused on customer needs, innovative marketing, and data\-driven execution. They prioritize transparency, a customer\-centric approach, data\-driven decisions, and empathetic collaboration. Upholding values of integrity, curiosity, tenacity, agility, and inclusivity, the team is committed to continuous improvement and adapting to changes while celebrating diversity as a strength.
The Marketing \&amp; CX Program Manager plays a pivotal role in driving strategic outcomes across customer experience and marketing initiatives. This role leads cross\-functional programs that translate insights into action, ensure disciplined execution, and deliver measurable impact aligned with business goals.
Reporting to the Associate Director of Marketing \&amp; CX Operations, this role ensures clarity, momentum, and progress across high\-priority active initiatives by establishing and running best\-practice program management standards and frameworks. The Program Manager partners Marketing/CX leaders to connect strategy to execution and ensure operational excellence.
In this role, you will:
**Program Leadership \&amp; Execution Discipline**
* Lead cross\-functional program management for priority CX and marketing initiatives from planning through delivery.
* Define outcome\-based KPIs upfront, track progress, and ensure benefits realization is reported back to leadership.
* Establish governance models, operating rhythms, and transparent reporting cadences.
* Manage dependencies, risks, and change management with discipline.
* Ensure initiatives are delivered on time, on budget, and achieve intended outcomes—not just outputs.
**Operational Coordination \&amp; Enablement**
* Monitor and document the status of all priority CX and marketing programs, providing regular updates to stakeholders and leadership.
* Identify and communicate project dependencies, blockers, and risks; proactively collaborate to resolve issues and maintain momentum.
* Facilitate recurring team meetings with clear agendas, action\-oriented discussions, and follow\-ups.
**Stakeholder Engagement \&amp; Communication**
* Build understanding, engagement, and commitment across teams to execute against program objectives.
* Provide timely and concise updates through dashboards, reports, and other communication tools.
* Partner with internal teams to ensure alignment with annual and three\-year business plans.
**Strategic Alignment \&amp; Outcome Delivery**
* Translate strategic priorities into executable roadmaps for priority CX and marketing initiatives.
* Support the Marketing \&amp; CX function in prioritizing initiatives and maintaining visibility into progress and impact.
* Ensure alignment to Digital Transformation and other cross\-functional priorities for KCP North America.
* Ensure cross\-functional teams are aligned and accountable for delivering experience and marketing improvements.
**Executive Communication \&amp; Strategic Visibility**
* Deliver clear, concise, and compelling updates to executive stakeholders—highlighting progress, risks, and strategic impact of CX and marketing initiatives.
* Tailor communications to align with leadership priorities and ensure visibility into program outcomes and value realization.
**Team Engagement \&amp; Recognition**
* Foster a culture of momentum and celebration by actively communicating wins, milestones, and contributions across execution teams.
* Use storytelling, dashboards, and team forums to reinforce progress, build morale, and sustain engagement throughout program lifecycles.
**About Us**
Huggies®. Kleenex®. Cottonelle®. Scott®. Kotex®. Poise®. Depend®. Kimberly\-Clark Professional®. You already know our legendary brands—and so does the rest of the world. In fact, millions of people use Kimberly\-Clark products every day. We know these amazing Kimberly\-Clark products wouldn’t exist without talented professionals, like you.
At Kimberly\-Clark, you’ll be part of the best team committed to driving innovation, growth and impact. We’re founded on more than 150 years of market leadership, and we’re always looking for new and better ways to perform – so there’s your open door of opportunity. It’s all here for you at Kimberly\-Clark.
**Led by Purpose. Driven by You.**
**About You**
You perform at the highest level possible, and you appreciate a performance culture fueled by authentic caring. You want to be part of a company actively dedicated to sustainability, inclusion, wellbeing, and career development.
You love what you do, especially when the work you do makes a difference. At Kimberly\-Clark, we’re constantly exploring new ideas on how, when, and where we can best achieve results. When you join our team, you’ll experience Flex That Works: flexible (hybrid) work arrangements that empower you to have purposeful time in the office and partner with your leader to make flexibility work for both you and the business.
In one of our professional roles, you’ll focus on winning with consumers and the market, while putting safety, mutual respect, and human dignity at the center. To succeed in this role, you will need the following qualifications:
**Required:**
* Bachelor’s degree in Business, Communications, Marketing, or Technology/IT; MBA preferred.
* 7\+ years of experience in program or project management within large, complex organizations.
* Proven success in leading cross\-functional initiatives and driving change.
* Strong communication, facilitation, and stakeholder management skills.
* Experience with agile methodologies and program governance frameworks.
* High comfort level with Microsoft Office tools (Word, Excel, PowerPoint).
**Preferred:**
* Experience in customer experience, marketing, service, or related fields.
* Familiarity with CX measurement, journey management, and marketing analytics.
* Exposure to program portfolio management and enterprise\-level reporting tools.
**Total Benefits**
Here are just a few of the benefits you’d enjoy working in this role for Kimberly\-Clark. For a complete overview, see www.mykcbenefits.com.
 **Great support for good health** with medical, dental, and vision coverage options with no waiting periods or pre\-existing condition restrictions. Access to an on\-site fitness center, occupational health nurse, and allowances for high\-quality safety equipment.
**Flexible Savings and spending accounts** to maximize health care options and stretch dollars when caring for yourself or dependents.
**Diverse income protection insurance options** to protect yourself and your family in case of illness, injury, or other unexpected events.
**Additional programs and support** to continue your education, adopt a child, relocate, or even find temporary childcare.
**To Be Considered**  
Click the Apply button and complete the online application process. A member of our recruiting team will review your application and follow up if you seem like a great fit for this role.
In the meantime, please check out the careers website.
**And finally, the fine print….**
*For Kimberly\-Clark to grow and prosper, we must be an inclusive organization that applies the diverse* *experiences and passions of its team members to brands that make life better for people all around the world, which is why we seek to build a workforce that encompasses the experiences of our consumers. When you bring your original thinking to Kimberly\-Clark,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pre\-screening tests, which may include drug screening, background check, and DMV check.*
*Veterans and members of the Reserve and Guard are highly encouraged to apply.*
*Kimberly\-Clark will support in\-country relocation for the chosen candidate for the role. The benefits provided will be per the terms of Kimberly\-Clark’s applicable mobility policies. The benefits/policy provided will be decided at Kimberly\-Clark’s sole discretion.*
*\#LI\-Hybrid*
Grade 9/P3 \- grade level and / or compensation may vary based on location/country
Salary Range: 105,740 – 130,620 USD. At Kimberly\-Clark, pay is just one aspect of our total rewards package, which also includes a variety of benefits and opportunities to achieve, thrive and grow. Along with base pay, this position offers eligibility for a target bonus and a comprehensive benefits suite, including our 401(k) and Profit Sharing plan. The anticipated base pay range for this role is provided above for a fully qualified hire. Actual pay will depend on several factors, such as location, role, skills, performance, and experience. Please note that the stated pay range applies to US locations only.</t>
        </is>
      </c>
    </row>
    <row r="175">
      <c r="A175" t="inlineStr">
        <is>
          <t>in-1be35401001ae678</t>
        </is>
      </c>
      <c r="B175" t="inlineStr">
        <is>
          <t>Product Manager – CRM &amp; Service Enablement (Post-Purchase &amp; Service)</t>
        </is>
      </c>
      <c r="C175" t="inlineStr">
        <is>
          <t>Kimberly-Clark</t>
        </is>
      </c>
      <c r="D175" t="inlineStr">
        <is>
          <t>indeed</t>
        </is>
      </c>
      <c r="E175">
        <f>HYPERLINK("https://www.indeed.com/viewjob?jk=1be35401001ae678", "https://www.indeed.com/viewjob?jk=1be35401001ae678")</f>
        <v/>
      </c>
      <c r="F175">
        <f>HYPERLINK("https://jsv3.recruitics.com/redirect?rx_cid=3409&amp;rx_jobId=882418_rxr-1&amp;rx_url=https%3A%2F%2Fkimberlyclark.wd1.myworkdayjobs.com%2FGLOBAL%2Fjob%2FUSA-GA-Atlanta%2FProduct-Manager---CRM---Service-Enablement--Post-Purchase---Service-_882418%3Frx_campaign%3Dindeed0%26rx_ch%3Djobp4p%26rx_group%3D120205%26rx_id%3D667d0471-e9ca-11f0-ba66-292ace39fd85%26rx_job%3D882418_rxr-1%26rx_medium%3Dcpc%26rx_r%3Dnone%26rx_source%3DIndeed%26rx_ts%3D20260105T040002Z%26rx_vp%3Dcpc%26source%3DIndeed%26utm_campaign%3Dchicago%26utm_medium%3Dcpc%26utm_source%3DIndeed_organic", "https://jsv3.recruitics.com/redirect?rx_cid=3409&amp;rx_jobId=882418_rxr-1&amp;rx_url=https%3A%2F%2Fkimberlyclark.wd1.myworkdayjobs.com%2FGLOBAL%2Fjob%2FUSA-GA-Atlanta%2FProduct-Manager---CRM---Service-Enablement--Post-Purchase---Service-_882418%3Frx_campaign%3Dindeed0%26rx_ch%3Djobp4p%26rx_group%3D120205%26rx_id%3D667d0471-e9ca-11f0-ba66-292ace39fd85%26rx_job%3D882418_rxr-1%26rx_medium%3Dcpc%26rx_r%3Dnone%26rx_source%3DIndeed%26rx_ts%3D20260105T040002Z%26rx_vp%3Dcpc%26source%3DIndeed%26utm_campaign%3Dchicago%26utm_medium%3Dcpc%26utm_source%3DIndeed_organic")</f>
        <v/>
      </c>
      <c r="G175" t="inlineStr">
        <is>
          <t>Roswell, GA, US</t>
        </is>
      </c>
      <c r="H175" s="3" t="n">
        <v>46025</v>
      </c>
      <c r="I175" t="inlineStr">
        <is>
          <t>You’re not the person who will settle for just any role. Neither are we. Because we’re out to create Better Care for a Better World, and that takes a certain kind of person and teams who care about making a difference. Here, you’ll bring your professional expertise, talent, and drive to building and managing our portfolio of iconic, ground\-breaking brands. In this role, you’ll help us deliver better care for billions of people around the world. It starts with YOU.
The Kimberly\-Clark Professional (KCP) CX \&amp; Marketing organization aims to be an innovative, “customer\-first” thought leader and invaluable business partner to all industry end users and distributors by providing insights\-driven solutions that meet unique needs. The team strives to exceed Channel and End User expectations with unparalleled thought leadership and innovative category technology, resulting in relevant solution bundles that maximize KCP's competitive advantage, share leadership, volume growth, and best\-in\-class partner status. Their Purpose is to unlock quantifiable growth through brand leadership for long\-term market dominance. The Vision is to be a united team focused on customer needs, innovative marketing, and data\-driven execution. They prioritize transparency, a customer\-centric approach, data\-driven decisions, and empathetic collaboration. Upholding values of integrity, curiosity, tenacity, agility, and inclusivity, the team is committed to continuous improvement and adapting to changes while celebrating diversity as a strength.
The Product Manager for CRM \&amp; Service Enablement owns the strategy, roadmap, and delivery of CRM capabilities that support post\-purchase experiences—including service delivery, case management, issue resolution, and customer support. This role is accountable for enabling seamless, efficient, and personalized service experiences across channels and touchpoints.
Working closely with Journey Managers, Experience Design Architects, and Product Designers, this role ensures that CRM capabilities—primarily within Salesforce Service Cloud—are aligned to journey goals, experience blueprints, and internal workflows. The Product Manager translates service needs into scalable platform solutions that empower internal teams and elevate the customer experience.
In this role, you will:
**Product Vision \&amp; Strategy**
* Define and evolve the CRM product vision for service enablement, aligned to post\-purchase journey goals and business outcomes.
* Partner with Journey Managers to ensure CRM capabilities support the execution and continuous improvement of service and support journeys.
* Stay attuned to service trends, customer expectations, and competitive benchmarks to inform product direction.
* Establish a persona\-based CRM platform that supports differentiated service experiences and drives internal adoption across service roles.
**Cross\-Functional Collaboration**
* Collaborate with Experience Design Architects to ensure CRM capabilities align with service blueprints and experience architecture.
* Work with Product Designers to translate experience strategy into tangible workflows, UI/UX, and technical product designs for service agents and support teams.
* Partner with customer care, operations, and digital teams to capture requirements and prioritize enhancements that improve resolution speed, satisfaction, and efficiency.
* Strong collaboration with customer\-facing self\-service portal Product Manager to ensure seamless omnichannel service experience.
**Product Delivery \&amp; Execution**
* Lead product development from discovery through delivery, including backlog management, sprint planning, and release communication.
* Translate roadmap into executable features and user stories in partnership with Product Owners and technical teams.
* Ensure CRM integrations with knowledge bases, case management, field service, logistics and escalation tools are seamless and scalable.
* Track adoption and impact using KPIs such as case resolution time, first contact resolution, CSAT, and agent productivity.
**Data \&amp; Intelligence Enablement**
* Define and maintain a CRM data strategy that supports a 360° customer view and enables AI/ML\-driven insights for service personalization and automation.
* Ensure data quality, governance, and analytics capabilities support proactive service, escalation management, and customer retention.
* Leverage Salesforce Service Cloud as a system of intelligence to simplify processes and drive automation, triage, and decision\-making.
**Change Management \&amp; Adoption**
* Partner with enablement and change teams to drive adoption of CRM capabilities across service and support teams.
* Communicate product vision, roadmap, and results to stakeholders and leadership.
* Foster a culture of continuous improvement through feedback loops, usability testing, and iteration.
**About Us**
Huggies®. Kleenex®. Cottonelle®. Scott®. Kotex®. Poise®. Depend®. Kimberly\-Clark Professional®. You already know our legendary brands—and so does the rest of the world. In fact, millions of people use Kimberly\-Clark products every day. We know these amazing Kimberly\-Clark products wouldn’t exist without talented professionals, like you.
At Kimberly\-Clark, you’ll be part of the best team committed to driving innovation, growth and impact. We’re founded on more than 150 years of market leadership, and we’re always looking for new and better ways to perform – so there’s your open door of opportunity. It’s all here for you at Kimberly\-Clark.
**Led by Purpose. Driven by You.**
**About You**
You perform at the highest level possible, and you appreciate a performance culture fueled by authentic caring. You want to be part of a company actively dedicated to sustainability, inclusion, wellbeing, and career development.
You love what you do, especially when the work you do makes a difference. At Kimberly\-Clark, we’re constantly exploring new ideas on how, when, and where we can best achieve results. When you join our team, you’ll experience Flex That Works: flexible (hybrid) work arrangements that empower you to have purposeful time in the office and partner with your leader to make flexibility work for both you and the business.
In one of our professional roles, you’ll focus on winning with consumers and the market, while putting safety, mutual respect, and human dignity at the center. To succeed in this role, you will need the following qualifications:
* 6\+ years of product management experience, including 3\+ years working in the Salesforce ecosystem.
* Bachelor's degree
* Proven track record of delivering CRM capabilities that drive service excellence and operational efficiency.
* Deep expertise in Salesforce Service Cloud, including case management, knowledge, and automation features.
* Strong understanding of post\-purchase service processes, escalation workflows, and customer support operations.
* Proficiency in agile methodologies, backlog management, and cross\-functional collaboration.
* Ability to translate service needs into technical requirements and user\-centric solutions.
**Preferred:**
* Experience working with Journey Managers, Experience Designers, and cross\-functional product teams.
* Familiarity with service blueprinting, experience mapping, and workflow design.
* Strong communication and storytelling skills to influence stakeholders and drive alignment.
* Experience with AI/ML, data strategy, and CRM analytics for service optimization.
* Vendor management and experience with service ecosystem tools (e.g., field service, chatbots, escalation platforms, FourKites).
**Total Benefits**
Here are just a few of the benefits you’d enjoy working in this role for Kimberly\-Clark. For a complete overview, see www.mykcbenefits.com.
 **Great support for good health** with medical, dental, and vision coverage options with no waiting periods or pre\-existing condition restrictions. Access to an on\-site fitness center, occupational health nurse, and allowances for high\-quality safety equipment.
**Flexible Savings and spending accounts** to maximize health care options and stretch dollars when caring for yourself or dependents.
**Diverse income protection insurance options** to protect yourself and your family in case of illness, injury, or other unexpected events.
**Additional programs and support** to continue your education, adopt a child, relocate, or even find temporary childcare.
**To Be Considered**  
Click the Apply button and complete the online application process. A member of our recruiting team will review your application and follow up if you seem like a great fit for this role.
In the meantime, please check out the careers website.
**And finally, the fine print….**
*For Kimberly\-Clark to grow and prosper, we must be an inclusive organization that applies the diverse* *experiences and passions of its team members to brands that make life better for people all around the world, which is why we seek to build a workforce that encompasses the experiences of our consumers. When you bring your original thinking to Kimberly\-Clark,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pre\-screening tests, which may include drug screening, background check, and DMV check.*
*Veterans and members of the Reserve and Guard are highly encouraged to apply.*
*Kimberly\-Clark will support in\-country relocation for the chosen candidate for the role. The benefits provided will be per the terms of Kimberly\-Clark’s applicable mobility policies. The benefits/policy provided will be decided at Kimberly\-Clark’s sole discretion.*
*\#LI\-Hybrid*
Grade 8/P4 \- grade level and / or compensation may vary based on location/country
Salary Range: 127,600 – 157,600 USD. At Kimberly\-Clark, pay is just one aspect of our total rewards package, which also includes a variety of benefits and opportunities to achieve, thrive and grow. Along with base pay, this position offers eligibility for a target bonus and a comprehensive benefits suite, including our 401(k) and Profit Sharing plan. The anticipated base pay range for this role is provided above for a fully qualified hire. Actual pay will depend on several factors, such as location, role, skills, performance, and experience. Please note that the stated pay range applies to US locations only.</t>
        </is>
      </c>
    </row>
    <row r="176">
      <c r="A176" t="inlineStr">
        <is>
          <t>in-c1a1e4615395cce5</t>
        </is>
      </c>
      <c r="B176" t="inlineStr">
        <is>
          <t>Marketing &amp; CX Program Manager</t>
        </is>
      </c>
      <c r="C176" t="inlineStr">
        <is>
          <t>Kimberly-Clark</t>
        </is>
      </c>
      <c r="D176" t="inlineStr">
        <is>
          <t>indeed</t>
        </is>
      </c>
      <c r="E176">
        <f>HYPERLINK("https://www.indeed.com/viewjob?jk=c1a1e4615395cce5", "https://www.indeed.com/viewjob?jk=c1a1e4615395cce5")</f>
        <v/>
      </c>
      <c r="F176">
        <f>HYPERLINK("https://jsv3.recruitics.com/redirect?rx_cid=3409&amp;rx_jobId=882322-2_1003_rxr-1&amp;rx_url=https%3A%2F%2Fkimberlyclark.wd1.myworkdayjobs.com%2FGLOBAL%2Fjob%2FUSA-GA-Atlanta%2FMarketing---CX-Program-Manager_882322-2%3Frx_campaign%3Dindeed0%26rx_ch%3Djobp4p%26rx_group%3D120205%26rx_id%3D66a8a831-e9ca-11f0-ba66-67c373724240%26rx_job%3D882322-2_1003_rxr-1%26rx_medium%3Dcpc%26rx_r%3Dnone%26rx_source%3DIndeed%26rx_ts%3D20260105T040002Z%26rx_vp%3Dcpc%26source%3DIndeed%26utm_campaign%3Dchicago%26utm_medium%3Dcpc%26utm_source%3DIndeed_organic", "https://jsv3.recruitics.com/redirect?rx_cid=3409&amp;rx_jobId=882322-2_1003_rxr-1&amp;rx_url=https%3A%2F%2Fkimberlyclark.wd1.myworkdayjobs.com%2FGLOBAL%2Fjob%2FUSA-GA-Atlanta%2FMarketing---CX-Program-Manager_882322-2%3Frx_campaign%3Dindeed0%26rx_ch%3Djobp4p%26rx_group%3D120205%26rx_id%3D66a8a831-e9ca-11f0-ba66-67c373724240%26rx_job%3D882322-2_1003_rxr-1%26rx_medium%3Dcpc%26rx_r%3Dnone%26rx_source%3DIndeed%26rx_ts%3D20260105T040002Z%26rx_vp%3Dcpc%26source%3DIndeed%26utm_campaign%3Dchicago%26utm_medium%3Dcpc%26utm_source%3DIndeed_organic")</f>
        <v/>
      </c>
      <c r="G176" t="inlineStr">
        <is>
          <t>Neenah, WI, US</t>
        </is>
      </c>
      <c r="H176" s="3" t="n">
        <v>46025</v>
      </c>
      <c r="I176" t="inlineStr">
        <is>
          <t>You’re not the person who will settle for just any role. Neither are we. Because we’re out to create Better Care for a Better World, and that takes a certain kind of person and teams who care about making a difference. Here, you’ll bring your professional expertise, talent, and drive to building and managing our portfolio of iconic, ground\-breaking brands. In this role, you’ll help us deliver better care for billions of people around the world. It starts with YOU.
The Kimberly\-Clark Professional (KCP) CX \&amp; Marketing organization aims to be an innovative, “customer\-first” thought leader and invaluable business partner to all industry end users and distributors by providing insights\-driven solutions that meet unique needs. The team strives to exceed Channel and End User expectations with unparalleled thought leadership and innovative category technology, resulting in relevant solution bundles that maximize KCP's competitive advantage, share leadership, volume growth, and best\-in\-class partner status. Their Purpose is to unlock quantifiable growth through brand leadership for long\-term market dominance. The Vision is to be a united team focused on customer needs, innovative marketing, and data\-driven execution. They prioritize transparency, a customer\-centric approach, data\-driven decisions, and empathetic collaboration. Upholding values of integrity, curiosity, tenacity, agility, and inclusivity, the team is committed to continuous improvement and adapting to changes while celebrating diversity as a strength.
The Marketing \&amp; CX Program Manager plays a pivotal role in driving strategic outcomes across customer experience and marketing initiatives. This role leads cross\-functional programs that translate insights into action, ensure disciplined execution, and deliver measurable impact aligned with business goals.
Reporting to the Associate Director of Marketing \&amp; CX Operations, this role ensures clarity, momentum, and progress across high\-priority active initiatives by establishing and running best\-practice program management standards and frameworks. The Program Manager partners Marketing/CX leaders to connect strategy to execution and ensure operational excellence.
In this role, you will:
**Program Leadership \&amp; Execution Discipline**
* Lead cross\-functional program management for priority CX and marketing initiatives from planning through delivery.
* Define outcome\-based KPIs upfront, track progress, and ensure benefits realization is reported back to leadership.
* Establish governance models, operating rhythms, and transparent reporting cadences.
* Manage dependencies, risks, and change management with discipline.
* Ensure initiatives are delivered on time, on budget, and achieve intended outcomes—not just outputs.
**Operational Coordination \&amp; Enablement**
* Monitor and document the status of all priority CX and marketing programs, providing regular updates to stakeholders and leadership.
* Identify and communicate project dependencies, blockers, and risks; proactively collaborate to resolve issues and maintain momentum.
* Facilitate recurring team meetings with clear agendas, action\-oriented discussions, and follow\-ups.
**Stakeholder Engagement \&amp; Communication**
* Build understanding, engagement, and commitment across teams to execute against program objectives.
* Provide timely and concise updates through dashboards, reports, and other communication tools.
* Partner with internal teams to ensure alignment with annual and three\-year business plans.
**Strategic Alignment \&amp; Outcome Delivery**
* Translate strategic priorities into executable roadmaps for priority CX and marketing initiatives.
* Support the Marketing \&amp; CX function in prioritizing initiatives and maintaining visibility into progress and impact.
* Ensure alignment to Digital Transformation and other cross\-functional priorities for KCP North America.
* Ensure cross\-functional teams are aligned and accountable for delivering experience and marketing improvements.
**Executive Communication \&amp; Strategic Visibility**
* Deliver clear, concise, and compelling updates to executive stakeholders—highlighting progress, risks, and strategic impact of CX and marketing initiatives.
* Tailor communications to align with leadership priorities and ensure visibility into program outcomes and value realization.
**Team Engagement \&amp; Recognition**
* Foster a culture of momentum and celebration by actively communicating wins, milestones, and contributions across execution teams.
* Use storytelling, dashboards, and team forums to reinforce progress, build morale, and sustain engagement throughout program lifecycles.
**About Us**
Huggies®. Kleenex®. Cottonelle®. Scott®. Kotex®. Poise®. Depend®. Kimberly\-Clark Professional®. You already know our legendary brands—and so does the rest of the world. In fact, millions of people use Kimberly\-Clark products every day. We know these amazing Kimberly\-Clark products wouldn’t exist without talented professionals, like you.
At Kimberly\-Clark, you’ll be part of the best team committed to driving innovation, growth and impact. We’re founded on more than 150 years of market leadership, and we’re always looking for new and better ways to perform – so there’s your open door of opportunity. It’s all here for you at Kimberly\-Clark.
**Led by Purpose. Driven by You.**
**About You**
You perform at the highest level possible, and you appreciate a performance culture fueled by authentic caring. You want to be part of a company actively dedicated to sustainability, inclusion, wellbeing, and career development.
You love what you do, especially when the work you do makes a difference. At Kimberly\-Clark, we’re constantly exploring new ideas on how, when, and where we can best achieve results. When you join our team, you’ll experience Flex That Works: flexible (hybrid) work arrangements that empower you to have purposeful time in the office and partner with your leader to make flexibility work for both you and the business.
In one of our professional roles, you’ll focus on winning with consumers and the market, while putting safety, mutual respect, and human dignity at the center. To succeed in this role, you will need the following qualifications:
**Required:**
* Bachelor’s degree in Business, Communications, Marketing, or Technology/IT; MBA preferred.
* 7\+ years of experience in program or project management within large, complex organizations.
* Proven success in leading cross\-functional initiatives and driving change.
* Strong communication, facilitation, and stakeholder management skills.
* Experience with agile methodologies and program governance frameworks.
* High comfort level with Microsoft Office tools (Word, Excel, PowerPoint).
**Preferred:**
* Experience in customer experience, marketing, service, or related fields.
* Familiarity with CX measurement, journey management, and marketing analytics.
* Exposure to program portfolio management and enterprise\-level reporting tools.
**Total Benefits**
Here are just a few of the benefits you’d enjoy working in this role for Kimberly\-Clark. For a complete overview, see www.mykcbenefits.com.
 **Great support for good health** with medical, dental, and vision coverage options with no waiting periods or pre\-existing condition restrictions. Access to an on\-site fitness center, occupational health nurse, and allowances for high\-quality safety equipment.
**Flexible Savings and spending accounts** to maximize health care options and stretch dollars when caring for yourself or dependents.
**Diverse income protection insurance options** to protect yourself and your family in case of illness, injury, or other unexpected events.
**Additional programs and support** to continue your education, adopt a child, relocate, or even find temporary childcare.
**To Be Considered**  
Click the Apply button and complete the online application process. A member of our recruiting team will review your application and follow up if you seem like a great fit for this role.
In the meantime, please check out the careers website.
**And finally, the fine print….**
*For Kimberly\-Clark to grow and prosper, we must be an inclusive organization that applies the diverse* *experiences and passions of its team members to brands that make life better for people all around the world, which is why we seek to build a workforce that encompasses the experiences of our consumers. When you bring your original thinking to Kimberly\-Clark,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pre\-screening tests, which may include drug screening, background check, and DMV check.*
*Veterans and members of the Reserve and Guard are highly encouraged to apply.*
*Kimberly\-Clark will support in\-country relocation for the chosen candidate for the role. The benefits provided will be per the terms of Kimberly\-Clark’s applicable mobility policies. The benefits/policy provided will be decided at Kimberly\-Clark’s sole discretion.*
*\#LI\-Hybrid*
Grade 9/P3 \- grade level and / or compensation may vary based on location/country
Salary Range: 105,740 – 130,620 USD. At Kimberly\-Clark, pay is just one aspect of our total rewards package, which also includes a variety of benefits and opportunities to achieve, thrive and grow. Along with base pay, this position offers eligibility for a target bonus and a comprehensive benefits suite, including our 401(k) and Profit Sharing plan. The anticipated base pay range for this role is provided above for a fully qualified hire. Actual pay will depend on several factors, such as location, role, skills, performance, and experience. Please note that the stated pay range applies to US locations only.</t>
        </is>
      </c>
    </row>
    <row r="177">
      <c r="A177" t="inlineStr">
        <is>
          <t>in-4a3a52ac4fbfdc25</t>
        </is>
      </c>
      <c r="B177" t="inlineStr">
        <is>
          <t>Product Manager – CRM &amp; Sales/Marketing Enablement (Pre-Purchase/Purchase)</t>
        </is>
      </c>
      <c r="C177" t="inlineStr">
        <is>
          <t>Kimberly-Clark</t>
        </is>
      </c>
      <c r="D177" t="inlineStr">
        <is>
          <t>indeed</t>
        </is>
      </c>
      <c r="E177">
        <f>HYPERLINK("https://www.indeed.com/viewjob?jk=4a3a52ac4fbfdc25", "https://www.indeed.com/viewjob?jk=4a3a52ac4fbfdc25")</f>
        <v/>
      </c>
      <c r="F177">
        <f>HYPERLINK("https://jsv3.recruitics.com/redirect?rx_cid=3409&amp;rx_jobId=882417-1_1002_rxr-1&amp;rx_url=https%3A%2F%2Fkimberlyclark.wd1.myworkdayjobs.com%2FGLOBAL%2Fjob%2FUSA-GA-Atlanta%2FProduct-Manager---CRM---Sales-Marketing-Enablement--Pre-Purchase-Purchase-_882417-1%3Frx_campaign%3Dindeed0%26rx_ch%3Djobp4p%26rx_group%3D120205%26rx_id%3D65da833f-e9ca-11f0-ba66-99625f021b06%26rx_job%3D882417-1_1002_rxr-1%26rx_medium%3Dcpc%26rx_r%3Dnone%26rx_source%3DIndeed%26rx_ts%3D20260105T040002Z%26rx_vp%3Dcpc%26source%3DIndeed%26utm_campaign%3Dchicago%26utm_medium%3Dcpc%26utm_source%3DIndeed_organic", "https://jsv3.recruitics.com/redirect?rx_cid=3409&amp;rx_jobId=882417-1_1002_rxr-1&amp;rx_url=https%3A%2F%2Fkimberlyclark.wd1.myworkdayjobs.com%2FGLOBAL%2Fjob%2FUSA-GA-Atlanta%2FProduct-Manager---CRM---Sales-Marketing-Enablement--Pre-Purchase-Purchase-_882417-1%3Frx_campaign%3Dindeed0%26rx_ch%3Djobp4p%26rx_group%3D120205%26rx_id%3D65da833f-e9ca-11f0-ba66-99625f021b06%26rx_job%3D882417-1_1002_rxr-1%26rx_medium%3Dcpc%26rx_r%3Dnone%26rx_source%3DIndeed%26rx_ts%3D20260105T040002Z%26rx_vp%3Dcpc%26source%3DIndeed%26utm_campaign%3Dchicago%26utm_medium%3Dcpc%26utm_source%3DIndeed_organic")</f>
        <v/>
      </c>
      <c r="G177" t="inlineStr">
        <is>
          <t>Irving, TX, US</t>
        </is>
      </c>
      <c r="H177" s="3" t="n">
        <v>46025</v>
      </c>
      <c r="I177" t="inlineStr">
        <is>
          <t>You’re not the person who will settle for just any role. Neither are we. Because we’re out to create Better Care for a Better World, and that takes a certain kind of person and teams who care about making a difference. Here, you’ll bring your professional expertise, talent, and drive to building and managing our portfolio of iconic, ground\-breaking brands. In this role, you’ll help us deliver better care for billions of people around the world. It starts with YOU.
The Kimberly\-Clark Professional (KCP) CX \&amp; Marketing organization aims to be an innovative, “customer\-first” thought leader and invaluable business partner to all industry end users and distributors by providing insights\-driven solutions that meet unique needs. The team strives to exceed Channel and End User expectations with unparalleled thought leadership and innovative category technology, resulting in relevant solution bundles that maximize KCP's competitive advantage, share leadership, volume growth, and best\-in\-class partner status. Their Purpose is to unlock quantifiable growth through brand leadership for long\-term market dominance. The Vision is to be a united team focused on customer needs, innovative marketing, and data\-driven execution. They prioritize transparency, a customer\-centric approach, data\-driven decisions, and empathetic collaboration. Upholding values of integrity, curiosity, tenacity, agility, and inclusivity, the team is committed to continuous improvement and adapting to changes while celebrating diversity as a strength.
The Product Manager for CRM \&amp; Sales/Marketing Enablement owns the strategy, roadmap, and delivery of CRM capabilities that support demand generation, lead management, opportunity tracking, and purchase conversion. This role is accountable for enabling seamless, data\-driven pre\-purchase and purchase experiences across channels.
Working closely with Journey Managers, Experience Design Architects, and Product Designers, this role ensures that CRM capabilities are aligned to journey goals, experience blueprints, and internal workflows. The Product Manager translates business needs into scalable platform solutions—primarily within Salesforce and integrated tools—to drive customer acquisition, sales productivity, and marketing effectiveness.
In this role, you will:
**Product Vision \&amp; Strategy**
* Define and evolve the CRM product vision for sales and marketing enablement, aligned to customer journey goals and business outcomes.
* Partner with Journey Managers to ensure CRM and supporting capabilities support the execution and continuous improvement of pre\-purchase and purchase journeys.
* Stay attuned to industry trends, customer needs, and competitive benchmarks to inform product direction.
* Establish a persona\-based CRM platform and technical solutions that supports differentiated experiences and drives internal adoption with a focus on marketing and sales roles.
**Cross\-Functional Collaboration**
* Collaborate with Experience Design Architects to ensure CRM capabilities align with service blueprints and experience architecture.
* Work with Product Designers to translate experience strategy into tangible workflows, UI/UX, and technical product designs.
* Partner with sales, marketing, and digital teams to capture requirements and prioritize enhancements that improve conversion and productivity.
* Strong collaboration with customer\-facing web Product Manager to ensure seamless omnichannel pre\-purchase and purchase experience.
**Product Delivery \&amp; Execution**
* Lead product development from discovery through delivery, including backlog management, sprint planning, and release communication.
* Translate roadmap into executable features and user stories in partnership with Product Owners and technical teams.
* Ensure CRM integrations with marketing automation, CPQ, pricing, and commerce platforms are seamless and scalable.
* Track adoption and impact using KPIs such as lead conversion rate, opportunity velocity and closed/won rate, and campaign ROI.
**Data \&amp; Intelligence Enablement**
* Define and maintain a CRM data strategy that supports a 360° customer view and enables AI/ML\-driven insights.
* Ensure data quality, governance, and analytics capabilities support forecasting, segmentation, and personalization.
* Leverage Salesforce as a system of intelligence to simplify processes and drive automation and decision\-making.
**Change Management \&amp; Adoption**
* Partner with enablement and change teams to drive adoption of CRM capabilities across sales and marketing teams.
* Communicate product vision, roadmap, and results to stakeholders and leadership.
* Foster a culture of continuous improvement through feedback loops, testing, and iteration.
**About Us**
Huggies®. Kleenex®. Cottonelle®. Scott®. Kotex®. Poise®. Depend®. Kimberly\-Clark Professional®. You already know our legendary brands—and so does the rest of the world. In fact, millions of people use Kimberly\-Clark products every day. We know these amazing Kimberly\-Clark products wouldn’t exist without talented professionals, like you.
At Kimberly\-Clark, you’ll be part of the best team committed to driving innovation, growth and impact. We’re founded on more than 150 years of market leadership, and we’re always looking for new and better ways to perform – so there’s your open door of opportunity. It’s all here for you at Kimberly\-Clark.
**Led by Purpose. Driven by You.**
**About You**
You perform at the highest level possible, and you appreciate a performance culture fueled by authentic caring. You want to be part of a company actively dedicated to sustainability, inclusion, wellbeing, and career development.
You love what you do, especially when the work you do makes a difference. At Kimberly\-Clark, we’re constantly exploring new ideas on how, when, and where we can best achieve results. When you join our team, you’ll experience Flex That Works: flexible (hybrid) work arrangements that empower you to have purposeful time in the office and partner with your leader to make flexibility work for both you and the business.
In one of our professional roles, you’ll focus on winning with consumers and the market, while putting safety, mutual respect, and human dignity at the center. To succeed in this role, you will need the following qualifications:
**Required:**
* 6\+ years of product management experience, including 3\+ years working in the Salesforce ecosystem.
* Bachelor's degree
* Proven track record of delivering CRM capabilities that drive business results in B2B or B2B2B environments.
* Experience with marketing automation platforms and sales enablement tools.
* Strong understanding of sales and marketing processes, lead lifecycle, and opportunity management.
* Proficiency in agile methodologies, backlog management, and cross\-functional collaboration.
* Ability to translate business needs into technical requirements and user\-centric solutions.
**Preferred:**
* Experience working with Journey Managers, Experience Designers, and cross\-functional product teams.
* Familiarity with service blueprinting, experience mapping, and workflow design.
* Strong communication and storytelling skills to influence stakeholders and drive alignment.
* Experience with AI/ML, data strategy, and CRM analytics.
* Vendor management and experience with CRM ecosystem tools (e.g., CPQ, pricing, commerce, Microsoft Copilot).
**Total Benefits**
Here are just a few of the benefits you’d enjoy working in this role for Kimberly\-Clark. For a complete overview, see www.mykcbenefits.com.
 **Great support for good health** with medical, dental, and vision coverage options with no waiting periods or pre\-existing condition restrictions. Access to an on\-site fitness center, occupational health nurse, and allowances for high\-quality safety equipment.
**Flexible Savings and spending accounts** to maximize health care options and stretch dollars when caring for yourself or dependents.
**Diverse income protection insurance options** to protect yourself and your family in case of illness, injury, or other unexpected events.
**Additional programs and support** to continue your education, adopt a child, relocate, or even find temporary childcare.
**To Be Considered**  
Click the Apply button and complete the online application process. A member of our recruiting team will review your application and follow up if you seem like a great fit for this role.
In the meantime, please check out the careers website.
**And finally, the fine print….**
*For Kimberly\-Clark to grow and prosper, we must be an inclusive organization that applies the diverse* *experiences and passions of its team members to brands that make life better for people all around the world, which is why we seek to build a workforce that encompasses the experiences of our consumers. When you bring your original thinking to Kimberly\-Clark,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pre\-screening tests, which may include drug screening, background check, and DMV check.*
*Veterans and members of the Reserve and Guard are highly encouraged to apply.*
*Kimberly\-Clark will support in\-country relocation for the chosen candidate for the role. The benefits provided will be per the terms of Kimberly\-Clark’s applicable mobility policies. The benefits/policy provided will be decided at Kimberly\-Clark’s sole discretion.*
*\#LI\-Hybrid*
Grade 8/M4 \- grade level and / or compensation may vary based on location/country
Salary Range: 127,600 – 157,600 USD. At Kimberly\-Clark, pay is just one aspect of our total rewards package, which also includes a variety of benefits and opportunities to achieve, thrive and grow. Along with base pay, this position offers eligibility for a target bonus and a comprehensive benefits suite, including our 401(k) and Profit Sharing plan. The anticipated base pay range for this role is provided above for a fully qualified hire. Actual pay will depend on several factors, such as location, role, skills, performance, and experience. Please note that the stated pay range applies to US locations only.</t>
        </is>
      </c>
    </row>
    <row r="178">
      <c r="A178" t="inlineStr">
        <is>
          <t>in-60d137f04141c06e</t>
        </is>
      </c>
      <c r="B178" t="inlineStr">
        <is>
          <t>Marketing &amp; CX Program Manager</t>
        </is>
      </c>
      <c r="C178" t="inlineStr">
        <is>
          <t>Kimberly-Clark</t>
        </is>
      </c>
      <c r="D178" t="inlineStr">
        <is>
          <t>indeed</t>
        </is>
      </c>
      <c r="E178">
        <f>HYPERLINK("https://www.indeed.com/viewjob?jk=60d137f04141c06e", "https://www.indeed.com/viewjob?jk=60d137f04141c06e")</f>
        <v/>
      </c>
      <c r="F178">
        <f>HYPERLINK("https://jsv3.recruitics.com/redirect?rx_cid=3409&amp;rx_jobId=882322-2_1002_rxr-1&amp;rx_url=https%3A%2F%2Fkimberlyclark.wd1.myworkdayjobs.com%2FGLOBAL%2Fjob%2FUSA-GA-Atlanta%2FMarketing---CX-Program-Manager_882322-2%3Frx_campaign%3Dindeed0%26rx_ch%3Djobp4p%26rx_group%3D120205%26rx_id%3D65efdf7f-e9ca-11f0-ba66-0955e947d7c6%26rx_job%3D882322-2_1002_rxr-1%26rx_medium%3Dcpc%26rx_r%3Dnone%26rx_source%3DIndeed%26rx_ts%3D20260105T040002Z%26rx_vp%3Dcpc%26source%3DIndeed%26utm_campaign%3Dchicago%26utm_medium%3Dcpc%26utm_source%3DIndeed_organic", "https://jsv3.recruitics.com/redirect?rx_cid=3409&amp;rx_jobId=882322-2_1002_rxr-1&amp;rx_url=https%3A%2F%2Fkimberlyclark.wd1.myworkdayjobs.com%2FGLOBAL%2Fjob%2FUSA-GA-Atlanta%2FMarketing---CX-Program-Manager_882322-2%3Frx_campaign%3Dindeed0%26rx_ch%3Djobp4p%26rx_group%3D120205%26rx_id%3D65efdf7f-e9ca-11f0-ba66-0955e947d7c6%26rx_job%3D882322-2_1002_rxr-1%26rx_medium%3Dcpc%26rx_r%3Dnone%26rx_source%3DIndeed%26rx_ts%3D20260105T040002Z%26rx_vp%3Dcpc%26source%3DIndeed%26utm_campaign%3Dchicago%26utm_medium%3Dcpc%26utm_source%3DIndeed_organic")</f>
        <v/>
      </c>
      <c r="G178" t="inlineStr">
        <is>
          <t>Irving, TX, US</t>
        </is>
      </c>
      <c r="H178" s="3" t="n">
        <v>46025</v>
      </c>
      <c r="I178" t="inlineStr">
        <is>
          <t>You’re not the person who will settle for just any role. Neither are we. Because we’re out to create Better Care for a Better World, and that takes a certain kind of person and teams who care about making a difference. Here, you’ll bring your professional expertise, talent, and drive to building and managing our portfolio of iconic, ground\-breaking brands. In this role, you’ll help us deliver better care for billions of people around the world. It starts with YOU.
The Kimberly\-Clark Professional (KCP) CX \&amp; Marketing organization aims to be an innovative, “customer\-first” thought leader and invaluable business partner to all industry end users and distributors by providing insights\-driven solutions that meet unique needs. The team strives to exceed Channel and End User expectations with unparalleled thought leadership and innovative category technology, resulting in relevant solution bundles that maximize KCP's competitive advantage, share leadership, volume growth, and best\-in\-class partner status. Their Purpose is to unlock quantifiable growth through brand leadership for long\-term market dominance. The Vision is to be a united team focused on customer needs, innovative marketing, and data\-driven execution. They prioritize transparency, a customer\-centric approach, data\-driven decisions, and empathetic collaboration. Upholding values of integrity, curiosity, tenacity, agility, and inclusivity, the team is committed to continuous improvement and adapting to changes while celebrating diversity as a strength.
The Marketing \&amp; CX Program Manager plays a pivotal role in driving strategic outcomes across customer experience and marketing initiatives. This role leads cross\-functional programs that translate insights into action, ensure disciplined execution, and deliver measurable impact aligned with business goals.
Reporting to the Associate Director of Marketing \&amp; CX Operations, this role ensures clarity, momentum, and progress across high\-priority active initiatives by establishing and running best\-practice program management standards and frameworks. The Program Manager partners Marketing/CX leaders to connect strategy to execution and ensure operational excellence.
In this role, you will:
**Program Leadership \&amp; Execution Discipline**
* Lead cross\-functional program management for priority CX and marketing initiatives from planning through delivery.
* Define outcome\-based KPIs upfront, track progress, and ensure benefits realization is reported back to leadership.
* Establish governance models, operating rhythms, and transparent reporting cadences.
* Manage dependencies, risks, and change management with discipline.
* Ensure initiatives are delivered on time, on budget, and achieve intended outcomes—not just outputs.
**Operational Coordination \&amp; Enablement**
* Monitor and document the status of all priority CX and marketing programs, providing regular updates to stakeholders and leadership.
* Identify and communicate project dependencies, blockers, and risks; proactively collaborate to resolve issues and maintain momentum.
* Facilitate recurring team meetings with clear agendas, action\-oriented discussions, and follow\-ups.
**Stakeholder Engagement \&amp; Communication**
* Build understanding, engagement, and commitment across teams to execute against program objectives.
* Provide timely and concise updates through dashboards, reports, and other communication tools.
* Partner with internal teams to ensure alignment with annual and three\-year business plans.
**Strategic Alignment \&amp; Outcome Delivery**
* Translate strategic priorities into executable roadmaps for priority CX and marketing initiatives.
* Support the Marketing \&amp; CX function in prioritizing initiatives and maintaining visibility into progress and impact.
* Ensure alignment to Digital Transformation and other cross\-functional priorities for KCP North America.
* Ensure cross\-functional teams are aligned and accountable for delivering experience and marketing improvements.
**Executive Communication \&amp; Strategic Visibility**
* Deliver clear, concise, and compelling updates to executive stakeholders—highlighting progress, risks, and strategic impact of CX and marketing initiatives.
* Tailor communications to align with leadership priorities and ensure visibility into program outcomes and value realization.
**Team Engagement \&amp; Recognition**
* Foster a culture of momentum and celebration by actively communicating wins, milestones, and contributions across execution teams.
* Use storytelling, dashboards, and team forums to reinforce progress, build morale, and sustain engagement throughout program lifecycles.
**About Us**
Huggies®. Kleenex®. Cottonelle®. Scott®. Kotex®. Poise®. Depend®. Kimberly\-Clark Professional®. You already know our legendary brands—and so does the rest of the world. In fact, millions of people use Kimberly\-Clark products every day. We know these amazing Kimberly\-Clark products wouldn’t exist without talented professionals, like you.
At Kimberly\-Clark, you’ll be part of the best team committed to driving innovation, growth and impact. We’re founded on more than 150 years of market leadership, and we’re always looking for new and better ways to perform – so there’s your open door of opportunity. It’s all here for you at Kimberly\-Clark.
**Led by Purpose. Driven by You.**
**About You**
You perform at the highest level possible, and you appreciate a performance culture fueled by authentic caring. You want to be part of a company actively dedicated to sustainability, inclusion, wellbeing, and career development.
You love what you do, especially when the work you do makes a difference. At Kimberly\-Clark, we’re constantly exploring new ideas on how, when, and where we can best achieve results. When you join our team, you’ll experience Flex That Works: flexible (hybrid) work arrangements that empower you to have purposeful time in the office and partner with your leader to make flexibility work for both you and the business.
In one of our professional roles, you’ll focus on winning with consumers and the market, while putting safety, mutual respect, and human dignity at the center. To succeed in this role, you will need the following qualifications:
**Required:**
* Bachelor’s degree in Business, Communications, Marketing, or Technology/IT; MBA preferred.
* 7\+ years of experience in program or project management within large, complex organizations.
* Proven success in leading cross\-functional initiatives and driving change.
* Strong communication, facilitation, and stakeholder management skills.
* Experience with agile methodologies and program governance frameworks.
* High comfort level with Microsoft Office tools (Word, Excel, PowerPoint).
**Preferred:**
* Experience in customer experience, marketing, service, or related fields.
* Familiarity with CX measurement, journey management, and marketing analytics.
* Exposure to program portfolio management and enterprise\-level reporting tools.
**Total Benefits**
Here are just a few of the benefits you’d enjoy working in this role for Kimberly\-Clark. For a complete overview, see www.mykcbenefits.com.
 **Great support for good health** with medical, dental, and vision coverage options with no waiting periods or pre\-existing condition restrictions. Access to an on\-site fitness center, occupational health nurse, and allowances for high\-quality safety equipment.
**Flexible Savings and spending accounts** to maximize health care options and stretch dollars when caring for yourself or dependents.
**Diverse income protection insurance options** to protect yourself and your family in case of illness, injury, or other unexpected events.
**Additional programs and support** to continue your education, adopt a child, relocate, or even find temporary childcare.
**To Be Considered**  
Click the Apply button and complete the online application process. A member of our recruiting team will review your application and follow up if you seem like a great fit for this role.
In the meantime, please check out the careers website.
**And finally, the fine print….**
*For Kimberly\-Clark to grow and prosper, we must be an inclusive organization that applies the diverse* *experiences and passions of its team members to brands that make life better for people all around the world, which is why we seek to build a workforce that encompasses the experiences of our consumers. When you bring your original thinking to Kimberly\-Clark,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pre\-screening tests, which may include drug screening, background check, and DMV check.*
*Veterans and members of the Reserve and Guard are highly encouraged to apply.*
*Kimberly\-Clark will support in\-country relocation for the chosen candidate for the role. The benefits provided will be per the terms of Kimberly\-Clark’s applicable mobility policies. The benefits/policy provided will be decided at Kimberly\-Clark’s sole discretion.*
*\#LI\-Hybrid*
Grade 9/P3 \- grade level and / or compensation may vary based on location/country
Salary Range: 105,740 – 130,620 USD. At Kimberly\-Clark, pay is just one aspect of our total rewards package, which also includes a variety of benefits and opportunities to achieve, thrive and grow. Along with base pay, this position offers eligibility for a target bonus and a comprehensive benefits suite, including our 401(k) and Profit Sharing plan. The anticipated base pay range for this role is provided above for a fully qualified hire. Actual pay will depend on several factors, such as location, role, skills, performance, and experience. Please note that the stated pay range applies to US locations only.</t>
        </is>
      </c>
    </row>
    <row r="179">
      <c r="A179" t="inlineStr">
        <is>
          <t>in-082435b10c2a34a6</t>
        </is>
      </c>
      <c r="B179" t="inlineStr">
        <is>
          <t>Product Manager – CRM &amp; Service Enablement (Post-Purchase &amp; Service)</t>
        </is>
      </c>
      <c r="C179" t="inlineStr">
        <is>
          <t>Kimberly-Clark</t>
        </is>
      </c>
      <c r="D179" t="inlineStr">
        <is>
          <t>indeed</t>
        </is>
      </c>
      <c r="E179">
        <f>HYPERLINK("https://www.indeed.com/viewjob?jk=082435b10c2a34a6", "https://www.indeed.com/viewjob?jk=082435b10c2a34a6")</f>
        <v/>
      </c>
      <c r="F179">
        <f>HYPERLINK("https://jsv3.recruitics.com/redirect?rx_cid=3409&amp;rx_jobId=882418_1002_rxr-1&amp;rx_url=https%3A%2F%2Fkimberlyclark.wd1.myworkdayjobs.com%2FGLOBAL%2Fjob%2FUSA-GA-Atlanta%2FProduct-Manager---CRM---Service-Enablement--Post-Purchase---Service-_882418%3Frx_campaign%3Dindeed0%26rx_ch%3Djobp4p%26rx_group%3D120205%26rx_id%3D66aa7cfb-e9ca-11f0-ba66-a19626897954%26rx_job%3D882418_1002_rxr-1%26rx_medium%3Dcpc%26rx_r%3Dnone%26rx_source%3DIndeed%26rx_ts%3D20260105T040002Z%26rx_vp%3Dcpc%26source%3DIndeed%26utm_campaign%3Dchicago%26utm_medium%3Dcpc%26utm_source%3DIndeed_organic", "https://jsv3.recruitics.com/redirect?rx_cid=3409&amp;rx_jobId=882418_1002_rxr-1&amp;rx_url=https%3A%2F%2Fkimberlyclark.wd1.myworkdayjobs.com%2FGLOBAL%2Fjob%2FUSA-GA-Atlanta%2FProduct-Manager---CRM---Service-Enablement--Post-Purchase---Service-_882418%3Frx_campaign%3Dindeed0%26rx_ch%3Djobp4p%26rx_group%3D120205%26rx_id%3D66aa7cfb-e9ca-11f0-ba66-a19626897954%26rx_job%3D882418_1002_rxr-1%26rx_medium%3Dcpc%26rx_r%3Dnone%26rx_source%3DIndeed%26rx_ts%3D20260105T040002Z%26rx_vp%3Dcpc%26source%3DIndeed%26utm_campaign%3Dchicago%26utm_medium%3Dcpc%26utm_source%3DIndeed_organic")</f>
        <v/>
      </c>
      <c r="G179" t="inlineStr">
        <is>
          <t>Irving, TX, US</t>
        </is>
      </c>
      <c r="H179" s="3" t="n">
        <v>46025</v>
      </c>
      <c r="I179" t="inlineStr">
        <is>
          <t>You’re not the person who will settle for just any role. Neither are we. Because we’re out to create Better Care for a Better World, and that takes a certain kind of person and teams who care about making a difference. Here, you’ll bring your professional expertise, talent, and drive to building and managing our portfolio of iconic, ground\-breaking brands. In this role, you’ll help us deliver better care for billions of people around the world. It starts with YOU.
The Kimberly\-Clark Professional (KCP) CX \&amp; Marketing organization aims to be an innovative, “customer\-first” thought leader and invaluable business partner to all industry end users and distributors by providing insights\-driven solutions that meet unique needs. The team strives to exceed Channel and End User expectations with unparalleled thought leadership and innovative category technology, resulting in relevant solution bundles that maximize KCP's competitive advantage, share leadership, volume growth, and best\-in\-class partner status. Their Purpose is to unlock quantifiable growth through brand leadership for long\-term market dominance. The Vision is to be a united team focused on customer needs, innovative marketing, and data\-driven execution. They prioritize transparency, a customer\-centric approach, data\-driven decisions, and empathetic collaboration. Upholding values of integrity, curiosity, tenacity, agility, and inclusivity, the team is committed to continuous improvement and adapting to changes while celebrating diversity as a strength.
The Product Manager for CRM \&amp; Service Enablement owns the strategy, roadmap, and delivery of CRM capabilities that support post\-purchase experiences—including service delivery, case management, issue resolution, and customer support. This role is accountable for enabling seamless, efficient, and personalized service experiences across channels and touchpoints.
Working closely with Journey Managers, Experience Design Architects, and Product Designers, this role ensures that CRM capabilities—primarily within Salesforce Service Cloud—are aligned to journey goals, experience blueprints, and internal workflows. The Product Manager translates service needs into scalable platform solutions that empower internal teams and elevate the customer experience.
In this role, you will:
**Product Vision \&amp; Strategy**
* Define and evolve the CRM product vision for service enablement, aligned to post\-purchase journey goals and business outcomes.
* Partner with Journey Managers to ensure CRM capabilities support the execution and continuous improvement of service and support journeys.
* Stay attuned to service trends, customer expectations, and competitive benchmarks to inform product direction.
* Establish a persona\-based CRM platform that supports differentiated service experiences and drives internal adoption across service roles.
**Cross\-Functional Collaboration**
* Collaborate with Experience Design Architects to ensure CRM capabilities align with service blueprints and experience architecture.
* Work with Product Designers to translate experience strategy into tangible workflows, UI/UX, and technical product designs for service agents and support teams.
* Partner with customer care, operations, and digital teams to capture requirements and prioritize enhancements that improve resolution speed, satisfaction, and efficiency.
* Strong collaboration with customer\-facing self\-service portal Product Manager to ensure seamless omnichannel service experience.
**Product Delivery \&amp; Execution**
* Lead product development from discovery through delivery, including backlog management, sprint planning, and release communication.
* Translate roadmap into executable features and user stories in partnership with Product Owners and technical teams.
* Ensure CRM integrations with knowledge bases, case management, field service, logistics and escalation tools are seamless and scalable.
* Track adoption and impact using KPIs such as case resolution time, first contact resolution, CSAT, and agent productivity.
**Data \&amp; Intelligence Enablement**
* Define and maintain a CRM data strategy that supports a 360° customer view and enables AI/ML\-driven insights for service personalization and automation.
* Ensure data quality, governance, and analytics capabilities support proactive service, escalation management, and customer retention.
* Leverage Salesforce Service Cloud as a system of intelligence to simplify processes and drive automation, triage, and decision\-making.
**Change Management \&amp; Adoption**
* Partner with enablement and change teams to drive adoption of CRM capabilities across service and support teams.
* Communicate product vision, roadmap, and results to stakeholders and leadership.
* Foster a culture of continuous improvement through feedback loops, usability testing, and iteration.
**About Us**
Huggies®. Kleenex®. Cottonelle®. Scott®. Kotex®. Poise®. Depend®. Kimberly\-Clark Professional®. You already know our legendary brands—and so does the rest of the world. In fact, millions of people use Kimberly\-Clark products every day. We know these amazing Kimberly\-Clark products wouldn’t exist without talented professionals, like you.
At Kimberly\-Clark, you’ll be part of the best team committed to driving innovation, growth and impact. We’re founded on more than 150 years of market leadership, and we’re always looking for new and better ways to perform – so there’s your open door of opportunity. It’s all here for you at Kimberly\-Clark.
**Led by Purpose. Driven by You.**
**About You**
You perform at the highest level possible, and you appreciate a performance culture fueled by authentic caring. You want to be part of a company actively dedicated to sustainability, inclusion, wellbeing, and career development.
You love what you do, especially when the work you do makes a difference. At Kimberly\-Clark, we’re constantly exploring new ideas on how, when, and where we can best achieve results. When you join our team, you’ll experience Flex That Works: flexible (hybrid) work arrangements that empower you to have purposeful time in the office and partner with your leader to make flexibility work for both you and the business.
In one of our professional roles, you’ll focus on winning with consumers and the market, while putting safety, mutual respect, and human dignity at the center. To succeed in this role, you will need the following qualifications:
* 6\+ years of product management experience, including 3\+ years working in the Salesforce ecosystem.
* Bachelor's degree
* Proven track record of delivering CRM capabilities that drive service excellence and operational efficiency.
* Deep expertise in Salesforce Service Cloud, including case management, knowledge, and automation features.
* Strong understanding of post\-purchase service processes, escalation workflows, and customer support operations.
* Proficiency in agile methodologies, backlog management, and cross\-functional collaboration.
* Ability to translate service needs into technical requirements and user\-centric solutions.
**Preferred:**
* Experience working with Journey Managers, Experience Designers, and cross\-functional product teams.
* Familiarity with service blueprinting, experience mapping, and workflow design.
* Strong communication and storytelling skills to influence stakeholders and drive alignment.
* Experience with AI/ML, data strategy, and CRM analytics for service optimization.
* Vendor management and experience with service ecosystem tools (e.g., field service, chatbots, escalation platforms, FourKites).
**Total Benefits**
Here are just a few of the benefits you’d enjoy working in this role for Kimberly\-Clark. For a complete overview, see www.mykcbenefits.com.
 **Great support for good health** with medical, dental, and vision coverage options with no waiting periods or pre\-existing condition restrictions. Access to an on\-site fitness center, occupational health nurse, and allowances for high\-quality safety equipment.
**Flexible Savings and spending accounts** to maximize health care options and stretch dollars when caring for yourself or dependents.
**Diverse income protection insurance options** to protect yourself and your family in case of illness, injury, or other unexpected events.
**Additional programs and support** to continue your education, adopt a child, relocate, or even find temporary childcare.
**To Be Considered**  
Click the Apply button and complete the online application process. A member of our recruiting team will review your application and follow up if you seem like a great fit for this role.
In the meantime, please check out the careers website.
**And finally, the fine print….**
*For Kimberly\-Clark to grow and prosper, we must be an inclusive organization that applies the diverse* *experiences and passions of its team members to brands that make life better for people all around the world, which is why we seek to build a workforce that encompasses the experiences of our consumers. When you bring your original thinking to Kimberly\-Clark,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pre\-screening tests, which may include drug screening, background check, and DMV check.*
*Veterans and members of the Reserve and Guard are highly encouraged to apply.*
*Kimberly\-Clark will support in\-country relocation for the chosen candidate for the role. The benefits provided will be per the terms of Kimberly\-Clark’s applicable mobility policies. The benefits/policy provided will be decided at Kimberly\-Clark’s sole discretion.*
*\#LI\-Hybrid*
Grade 8/P4 \- grade level and / or compensation may vary based on location/country
Salary Range: 127,600 – 157,600 USD. At Kimberly\-Clark, pay is just one aspect of our total rewards package, which also includes a variety of benefits and opportunities to achieve, thrive and grow. Along with base pay, this position offers eligibility for a target bonus and a comprehensive benefits suite, including our 401(k) and Profit Sharing plan. The anticipated base pay range for this role is provided above for a fully qualified hire. Actual pay will depend on several factors, such as location, role, skills, performance, and experience. Please note that the stated pay range applies to US locations only.</t>
        </is>
      </c>
    </row>
    <row r="180">
      <c r="A180" t="inlineStr">
        <is>
          <t>in-5ac3bd82bed9c112</t>
        </is>
      </c>
      <c r="B180" t="inlineStr">
        <is>
          <t>Product Manager – CRM &amp; Sales/Marketing Enablement (Pre-Purchase/Purchase)</t>
        </is>
      </c>
      <c r="C180" t="inlineStr">
        <is>
          <t>Kimberly-Clark</t>
        </is>
      </c>
      <c r="D180" t="inlineStr">
        <is>
          <t>indeed</t>
        </is>
      </c>
      <c r="E180">
        <f>HYPERLINK("https://www.indeed.com/viewjob?jk=5ac3bd82bed9c112", "https://www.indeed.com/viewjob?jk=5ac3bd82bed9c112")</f>
        <v/>
      </c>
      <c r="F180">
        <f>HYPERLINK("https://jsv3.recruitics.com/redirect?rx_cid=3409&amp;rx_jobId=882417-1_rxr-1&amp;rx_url=https%3A%2F%2Fkimberlyclark.wd1.myworkdayjobs.com%2FGLOBAL%2Fjob%2FUSA-GA-Atlanta%2FProduct-Manager---CRM---Sales-Marketing-Enablement--Pre-Purchase-Purchase-_882417-1%3Frx_campaign%3Dindeed0%26rx_ch%3Djobp4p%26rx_group%3D120205%26rx_id%3D6615b6db-e9ca-11f0-ba66-0323c5ef2e43%26rx_job%3D882417-1_rxr-1%26rx_medium%3Dcpc%26rx_r%3Dnone%26rx_source%3DIndeed%26rx_ts%3D20260105T040002Z%26rx_vp%3Dcpc%26source%3DIndeed%26utm_campaign%3Dchicago%26utm_medium%3Dcpc%26utm_source%3DIndeed_organic", "https://jsv3.recruitics.com/redirect?rx_cid=3409&amp;rx_jobId=882417-1_rxr-1&amp;rx_url=https%3A%2F%2Fkimberlyclark.wd1.myworkdayjobs.com%2FGLOBAL%2Fjob%2FUSA-GA-Atlanta%2FProduct-Manager---CRM---Sales-Marketing-Enablement--Pre-Purchase-Purchase-_882417-1%3Frx_campaign%3Dindeed0%26rx_ch%3Djobp4p%26rx_group%3D120205%26rx_id%3D6615b6db-e9ca-11f0-ba66-0323c5ef2e43%26rx_job%3D882417-1_rxr-1%26rx_medium%3Dcpc%26rx_r%3Dnone%26rx_source%3DIndeed%26rx_ts%3D20260105T040002Z%26rx_vp%3Dcpc%26source%3DIndeed%26utm_campaign%3Dchicago%26utm_medium%3Dcpc%26utm_source%3DIndeed_organic")</f>
        <v/>
      </c>
      <c r="G180" t="inlineStr">
        <is>
          <t>Roswell, GA, US</t>
        </is>
      </c>
      <c r="H180" s="3" t="n">
        <v>46025</v>
      </c>
      <c r="I180" t="inlineStr">
        <is>
          <t>You’re not the person who will settle for just any role. Neither are we. Because we’re out to create Better Care for a Better World, and that takes a certain kind of person and teams who care about making a difference. Here, you’ll bring your professional expertise, talent, and drive to building and managing our portfolio of iconic, ground\-breaking brands. In this role, you’ll help us deliver better care for billions of people around the world. It starts with YOU.
The Kimberly\-Clark Professional (KCP) CX \&amp; Marketing organization aims to be an innovative, “customer\-first” thought leader and invaluable business partner to all industry end users and distributors by providing insights\-driven solutions that meet unique needs. The team strives to exceed Channel and End User expectations with unparalleled thought leadership and innovative category technology, resulting in relevant solution bundles that maximize KCP's competitive advantage, share leadership, volume growth, and best\-in\-class partner status. Their Purpose is to unlock quantifiable growth through brand leadership for long\-term market dominance. The Vision is to be a united team focused on customer needs, innovative marketing, and data\-driven execution. They prioritize transparency, a customer\-centric approach, data\-driven decisions, and empathetic collaboration. Upholding values of integrity, curiosity, tenacity, agility, and inclusivity, the team is committed to continuous improvement and adapting to changes while celebrating diversity as a strength.
The Product Manager for CRM \&amp; Sales/Marketing Enablement owns the strategy, roadmap, and delivery of CRM capabilities that support demand generation, lead management, opportunity tracking, and purchase conversion. This role is accountable for enabling seamless, data\-driven pre\-purchase and purchase experiences across channels.
Working closely with Journey Managers, Experience Design Architects, and Product Designers, this role ensures that CRM capabilities are aligned to journey goals, experience blueprints, and internal workflows. The Product Manager translates business needs into scalable platform solutions—primarily within Salesforce and integrated tools—to drive customer acquisition, sales productivity, and marketing effectiveness.
In this role, you will:
**Product Vision \&amp; Strategy**
* Define and evolve the CRM product vision for sales and marketing enablement, aligned to customer journey goals and business outcomes.
* Partner with Journey Managers to ensure CRM and supporting capabilities support the execution and continuous improvement of pre\-purchase and purchase journeys.
* Stay attuned to industry trends, customer needs, and competitive benchmarks to inform product direction.
* Establish a persona\-based CRM platform and technical solutions that supports differentiated experiences and drives internal adoption with a focus on marketing and sales roles.
**Cross\-Functional Collaboration**
* Collaborate with Experience Design Architects to ensure CRM capabilities align with service blueprints and experience architecture.
* Work with Product Designers to translate experience strategy into tangible workflows, UI/UX, and technical product designs.
* Partner with sales, marketing, and digital teams to capture requirements and prioritize enhancements that improve conversion and productivity.
* Strong collaboration with customer\-facing web Product Manager to ensure seamless omnichannel pre\-purchase and purchase experience.
**Product Delivery \&amp; Execution**
* Lead product development from discovery through delivery, including backlog management, sprint planning, and release communication.
* Translate roadmap into executable features and user stories in partnership with Product Owners and technical teams.
* Ensure CRM integrations with marketing automation, CPQ, pricing, and commerce platforms are seamless and scalable.
* Track adoption and impact using KPIs such as lead conversion rate, opportunity velocity and closed/won rate, and campaign ROI.
**Data \&amp; Intelligence Enablement**
* Define and maintain a CRM data strategy that supports a 360° customer view and enables AI/ML\-driven insights.
* Ensure data quality, governance, and analytics capabilities support forecasting, segmentation, and personalization.
* Leverage Salesforce as a system of intelligence to simplify processes and drive automation and decision\-making.
**Change Management \&amp; Adoption**
* Partner with enablement and change teams to drive adoption of CRM capabilities across sales and marketing teams.
* Communicate product vision, roadmap, and results to stakeholders and leadership.
* Foster a culture of continuous improvement through feedback loops, testing, and iteration.
**About Us**
Huggies®. Kleenex®. Cottonelle®. Scott®. Kotex®. Poise®. Depend®. Kimberly\-Clark Professional®. You already know our legendary brands—and so does the rest of the world. In fact, millions of people use Kimberly\-Clark products every day. We know these amazing Kimberly\-Clark products wouldn’t exist without talented professionals, like you.
At Kimberly\-Clark, you’ll be part of the best team committed to driving innovation, growth and impact. We’re founded on more than 150 years of market leadership, and we’re always looking for new and better ways to perform – so there’s your open door of opportunity. It’s all here for you at Kimberly\-Clark.
**Led by Purpose. Driven by You.**
**About You**
You perform at the highest level possible, and you appreciate a performance culture fueled by authentic caring. You want to be part of a company actively dedicated to sustainability, inclusion, wellbeing, and career development.
You love what you do, especially when the work you do makes a difference. At Kimberly\-Clark, we’re constantly exploring new ideas on how, when, and where we can best achieve results. When you join our team, you’ll experience Flex That Works: flexible (hybrid) work arrangements that empower you to have purposeful time in the office and partner with your leader to make flexibility work for both you and the business.
In one of our professional roles, you’ll focus on winning with consumers and the market, while putting safety, mutual respect, and human dignity at the center. To succeed in this role, you will need the following qualifications:
**Required:**
* 6\+ years of product management experience, including 3\+ years working in the Salesforce ecosystem.
* Bachelor's degree
* Proven track record of delivering CRM capabilities that drive business results in B2B or B2B2B environments.
* Experience with marketing automation platforms and sales enablement tools.
* Strong understanding of sales and marketing processes, lead lifecycle, and opportunity management.
* Proficiency in agile methodologies, backlog management, and cross\-functional collaboration.
* Ability to translate business needs into technical requirements and user\-centric solutions.
**Preferred:**
* Experience working with Journey Managers, Experience Designers, and cross\-functional product teams.
* Familiarity with service blueprinting, experience mapping, and workflow design.
* Strong communication and storytelling skills to influence stakeholders and drive alignment.
* Experience with AI/ML, data strategy, and CRM analytics.
* Vendor management and experience with CRM ecosystem tools (e.g., CPQ, pricing, commerce, Microsoft Copilot).
**Total Benefits**
Here are just a few of the benefits you’d enjoy working in this role for Kimberly\-Clark. For a complete overview, see www.mykcbenefits.com.
 **Great support for good health** with medical, dental, and vision coverage options with no waiting periods or pre\-existing condition restrictions. Access to an on\-site fitness center, occupational health nurse, and allowances for high\-quality safety equipment.
**Flexible Savings and spending accounts** to maximize health care options and stretch dollars when caring for yourself or dependents.
**Diverse income protection insurance options** to protect yourself and your family in case of illness, injury, or other unexpected events.
**Additional programs and support** to continue your education, adopt a child, relocate, or even find temporary childcare.
**To Be Considered**  
Click the Apply button and complete the online application process. A member of our recruiting team will review your application and follow up if you seem like a great fit for this role.
In the meantime, please check out the careers website.
**And finally, the fine print….**
*For Kimberly\-Clark to grow and prosper, we must be an inclusive organization that applies the diverse* *experiences and passions of its team members to brands that make life better for people all around the world, which is why we seek to build a workforce that encompasses the experiences of our consumers. When you bring your original thinking to Kimberly\-Clark,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pre\-screening tests, which may include drug screening, background check, and DMV check.*
*Veterans and members of the Reserve and Guard are highly encouraged to apply.*
*Kimberly\-Clark will support in\-country relocation for the chosen candidate for the role. The benefits provided will be per the terms of Kimberly\-Clark’s applicable mobility policies. The benefits/policy provided will be decided at Kimberly\-Clark’s sole discretion.*
*\#LI\-Hybrid*
Grade 8/M4 \- grade level and / or compensation may vary based on location/country
Salary Range: 127,600 – 157,600 USD. At Kimberly\-Clark, pay is just one aspect of our total rewards package, which also includes a variety of benefits and opportunities to achieve, thrive and grow. Along with base pay, this position offers eligibility for a target bonus and a comprehensive benefits suite, including our 401(k) and Profit Sharing plan. The anticipated base pay range for this role is provided above for a fully qualified hire. Actual pay will depend on several factors, such as location, role, skills, performance, and experience. Please note that the stated pay range applies to US locations only.</t>
        </is>
      </c>
    </row>
    <row r="181">
      <c r="A181" t="inlineStr">
        <is>
          <t>in-661a7e506dc97a7e</t>
        </is>
      </c>
      <c r="B181" t="inlineStr">
        <is>
          <t>Product Manager – CRM &amp; Service Enablement (Post-Purchase &amp; Service)</t>
        </is>
      </c>
      <c r="C181" t="inlineStr">
        <is>
          <t>Kimberly-Clark</t>
        </is>
      </c>
      <c r="D181" t="inlineStr">
        <is>
          <t>indeed</t>
        </is>
      </c>
      <c r="E181">
        <f>HYPERLINK("https://www.indeed.com/viewjob?jk=661a7e506dc97a7e", "https://www.indeed.com/viewjob?jk=661a7e506dc97a7e")</f>
        <v/>
      </c>
      <c r="F181">
        <f>HYPERLINK("https://jsv3.recruitics.com/redirect?rx_cid=3409&amp;rx_jobId=882418_1003_rxr-1&amp;rx_url=https%3A%2F%2Fkimberlyclark.wd1.myworkdayjobs.com%2FGLOBAL%2Fjob%2FUSA-GA-Atlanta%2FProduct-Manager---CRM---Service-Enablement--Post-Purchase---Service-_882418%3Frx_campaign%3Dindeed0%26rx_ch%3Djobp4p%26rx_group%3D120205%26rx_id%3D66ba0dbd-e9ca-11f0-ba66-432fbf7ff462%26rx_job%3D882418_1003_rxr-1%26rx_medium%3Dcpc%26rx_r%3Dnone%26rx_source%3DIndeed%26rx_ts%3D20260105T040002Z%26rx_vp%3Dcpc%26source%3DIndeed%26utm_campaign%3Dchicago%26utm_medium%3Dcpc%26utm_source%3DIndeed_organic", "https://jsv3.recruitics.com/redirect?rx_cid=3409&amp;rx_jobId=882418_1003_rxr-1&amp;rx_url=https%3A%2F%2Fkimberlyclark.wd1.myworkdayjobs.com%2FGLOBAL%2Fjob%2FUSA-GA-Atlanta%2FProduct-Manager---CRM---Service-Enablement--Post-Purchase---Service-_882418%3Frx_campaign%3Dindeed0%26rx_ch%3Djobp4p%26rx_group%3D120205%26rx_id%3D66ba0dbd-e9ca-11f0-ba66-432fbf7ff462%26rx_job%3D882418_1003_rxr-1%26rx_medium%3Dcpc%26rx_r%3Dnone%26rx_source%3DIndeed%26rx_ts%3D20260105T040002Z%26rx_vp%3Dcpc%26source%3DIndeed%26utm_campaign%3Dchicago%26utm_medium%3Dcpc%26utm_source%3DIndeed_organic")</f>
        <v/>
      </c>
      <c r="G181" t="inlineStr">
        <is>
          <t>Neenah, WI, US</t>
        </is>
      </c>
      <c r="H181" s="3" t="n">
        <v>46025</v>
      </c>
      <c r="I181" t="inlineStr">
        <is>
          <t>You’re not the person who will settle for just any role. Neither are we. Because we’re out to create Better Care for a Better World, and that takes a certain kind of person and teams who care about making a difference. Here, you’ll bring your professional expertise, talent, and drive to building and managing our portfolio of iconic, ground\-breaking brands. In this role, you’ll help us deliver better care for billions of people around the world. It starts with YOU.
The Kimberly\-Clark Professional (KCP) CX \&amp; Marketing organization aims to be an innovative, “customer\-first” thought leader and invaluable business partner to all industry end users and distributors by providing insights\-driven solutions that meet unique needs. The team strives to exceed Channel and End User expectations with unparalleled thought leadership and innovative category technology, resulting in relevant solution bundles that maximize KCP's competitive advantage, share leadership, volume growth, and best\-in\-class partner status. Their Purpose is to unlock quantifiable growth through brand leadership for long\-term market dominance. The Vision is to be a united team focused on customer needs, innovative marketing, and data\-driven execution. They prioritize transparency, a customer\-centric approach, data\-driven decisions, and empathetic collaboration. Upholding values of integrity, curiosity, tenacity, agility, and inclusivity, the team is committed to continuous improvement and adapting to changes while celebrating diversity as a strength.
The Product Manager for CRM \&amp; Service Enablement owns the strategy, roadmap, and delivery of CRM capabilities that support post\-purchase experiences—including service delivery, case management, issue resolution, and customer support. This role is accountable for enabling seamless, efficient, and personalized service experiences across channels and touchpoints.
Working closely with Journey Managers, Experience Design Architects, and Product Designers, this role ensures that CRM capabilities—primarily within Salesforce Service Cloud—are aligned to journey goals, experience blueprints, and internal workflows. The Product Manager translates service needs into scalable platform solutions that empower internal teams and elevate the customer experience.
In this role, you will:
**Product Vision \&amp; Strategy**
* Define and evolve the CRM product vision for service enablement, aligned to post\-purchase journey goals and business outcomes.
* Partner with Journey Managers to ensure CRM capabilities support the execution and continuous improvement of service and support journeys.
* Stay attuned to service trends, customer expectations, and competitive benchmarks to inform product direction.
* Establish a persona\-based CRM platform that supports differentiated service experiences and drives internal adoption across service roles.
**Cross\-Functional Collaboration**
* Collaborate with Experience Design Architects to ensure CRM capabilities align with service blueprints and experience architecture.
* Work with Product Designers to translate experience strategy into tangible workflows, UI/UX, and technical product designs for service agents and support teams.
* Partner with customer care, operations, and digital teams to capture requirements and prioritize enhancements that improve resolution speed, satisfaction, and efficiency.
* Strong collaboration with customer\-facing self\-service portal Product Manager to ensure seamless omnichannel service experience.
**Product Delivery \&amp; Execution**
* Lead product development from discovery through delivery, including backlog management, sprint planning, and release communication.
* Translate roadmap into executable features and user stories in partnership with Product Owners and technical teams.
* Ensure CRM integrations with knowledge bases, case management, field service, logistics and escalation tools are seamless and scalable.
* Track adoption and impact using KPIs such as case resolution time, first contact resolution, CSAT, and agent productivity.
**Data \&amp; Intelligence Enablement**
* Define and maintain a CRM data strategy that supports a 360° customer view and enables AI/ML\-driven insights for service personalization and automation.
* Ensure data quality, governance, and analytics capabilities support proactive service, escalation management, and customer retention.
* Leverage Salesforce Service Cloud as a system of intelligence to simplify processes and drive automation, triage, and decision\-making.
**Change Management \&amp; Adoption**
* Partner with enablement and change teams to drive adoption of CRM capabilities across service and support teams.
* Communicate product vision, roadmap, and results to stakeholders and leadership.
* Foster a culture of continuous improvement through feedback loops, usability testing, and iteration.
**About Us**
Huggies®. Kleenex®. Cottonelle®. Scott®. Kotex®. Poise®. Depend®. Kimberly\-Clark Professional®. You already know our legendary brands—and so does the rest of the world. In fact, millions of people use Kimberly\-Clark products every day. We know these amazing Kimberly\-Clark products wouldn’t exist without talented professionals, like you.
At Kimberly\-Clark, you’ll be part of the best team committed to driving innovation, growth and impact. We’re founded on more than 150 years of market leadership, and we’re always looking for new and better ways to perform – so there’s your open door of opportunity. It’s all here for you at Kimberly\-Clark.
**Led by Purpose. Driven by You.**
**About You**
You perform at the highest level possible, and you appreciate a performance culture fueled by authentic caring. You want to be part of a company actively dedicated to sustainability, inclusion, wellbeing, and career development.
You love what you do, especially when the work you do makes a difference. At Kimberly\-Clark, we’re constantly exploring new ideas on how, when, and where we can best achieve results. When you join our team, you’ll experience Flex That Works: flexible (hybrid) work arrangements that empower you to have purposeful time in the office and partner with your leader to make flexibility work for both you and the business.
In one of our professional roles, you’ll focus on winning with consumers and the market, while putting safety, mutual respect, and human dignity at the center. To succeed in this role, you will need the following qualifications:
* 6\+ years of product management experience, including 3\+ years working in the Salesforce ecosystem.
* Bachelor's degree
* Proven track record of delivering CRM capabilities that drive service excellence and operational efficiency.
* Deep expertise in Salesforce Service Cloud, including case management, knowledge, and automation features.
* Strong understanding of post\-purchase service processes, escalation workflows, and customer support operations.
* Proficiency in agile methodologies, backlog management, and cross\-functional collaboration.
* Ability to translate service needs into technical requirements and user\-centric solutions.
**Preferred:**
* Experience working with Journey Managers, Experience Designers, and cross\-functional product teams.
* Familiarity with service blueprinting, experience mapping, and workflow design.
* Strong communication and storytelling skills to influence stakeholders and drive alignment.
* Experience with AI/ML, data strategy, and CRM analytics for service optimization.
* Vendor management and experience with service ecosystem tools (e.g., field service, chatbots, escalation platforms, FourKites).
**Total Benefits**
Here are just a few of the benefits you’d enjoy working in this role for Kimberly\-Clark. For a complete overview, see www.mykcbenefits.com.
 **Great support for good health** with medical, dental, and vision coverage options with no waiting periods or pre\-existing condition restrictions. Access to an on\-site fitness center, occupational health nurse, and allowances for high\-quality safety equipment.
**Flexible Savings and spending accounts** to maximize health care options and stretch dollars when caring for yourself or dependents.
**Diverse income protection insurance options** to protect yourself and your family in case of illness, injury, or other unexpected events.
**Additional programs and support** to continue your education, adopt a child, relocate, or even find temporary childcare.
**To Be Considered**  
Click the Apply button and complete the online application process. A member of our recruiting team will review your application and follow up if you seem like a great fit for this role.
In the meantime, please check out the careers website.
**And finally, the fine print….**
*For Kimberly\-Clark to grow and prosper, we must be an inclusive organization that applies the diverse* *experiences and passions of its team members to brands that make life better for people all around the world, which is why we seek to build a workforce that encompasses the experiences of our consumers. When you bring your original thinking to Kimberly\-Clark,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pre\-screening tests, which may include drug screening, background check, and DMV check.*
*Veterans and members of the Reserve and Guard are highly encouraged to apply.*
*Kimberly\-Clark will support in\-country relocation for the chosen candidate for the role. The benefits provided will be per the terms of Kimberly\-Clark’s applicable mobility policies. The benefits/policy provided will be decided at Kimberly\-Clark’s sole discretion.*
*\#LI\-Hybrid*
Grade 8/P4 \- grade level and / or compensation may vary based on location/country
Salary Range: 127,600 – 157,600 USD. At Kimberly\-Clark, pay is just one aspect of our total rewards package, which also includes a variety of benefits and opportunities to achieve, thrive and grow. Along with base pay, this position offers eligibility for a target bonus and a comprehensive benefits suite, including our 401(k) and Profit Sharing plan. The anticipated base pay range for this role is provided above for a fully qualified hire. Actual pay will depend on several factors, such as location, role, skills, performance, and experience. Please note that the stated pay range applies to US locations only.</t>
        </is>
      </c>
    </row>
    <row r="182">
      <c r="A182" t="inlineStr">
        <is>
          <t>in-de29cf95495be81e</t>
        </is>
      </c>
      <c r="B182" t="inlineStr">
        <is>
          <t>Product Manager – CRM &amp; Sales/Marketing Enablement (Pre-Purchase/Purchase)</t>
        </is>
      </c>
      <c r="C182" t="inlineStr">
        <is>
          <t>Kimberly-Clark</t>
        </is>
      </c>
      <c r="D182" t="inlineStr">
        <is>
          <t>indeed</t>
        </is>
      </c>
      <c r="E182">
        <f>HYPERLINK("https://www.indeed.com/viewjob?jk=de29cf95495be81e", "https://www.indeed.com/viewjob?jk=de29cf95495be81e")</f>
        <v/>
      </c>
      <c r="F182">
        <f>HYPERLINK("https://jsv3.recruitics.com/redirect?rx_cid=3409&amp;rx_jobId=882417-1_1003_rxr-1&amp;rx_url=https%3A%2F%2Fkimberlyclark.wd1.myworkdayjobs.com%2FGLOBAL%2Fjob%2FUSA-GA-Atlanta%2FProduct-Manager---CRM---Sales-Marketing-Enablement--Pre-Purchase-Purchase-_882417-1%3Frx_campaign%3Dindeed0%26rx_ch%3Djobp4p%26rx_group%3D120205%26rx_id%3D66376f6b-e9ca-11f0-ba66-fffc4cf1dd2b%26rx_job%3D882417-1_1003_rxr-1%26rx_medium%3Dcpc%26rx_r%3Dnone%26rx_source%3DIndeed%26rx_ts%3D20260105T040002Z%26rx_vp%3Dcpc%26source%3DIndeed%26utm_campaign%3Dchicago%26utm_medium%3Dcpc%26utm_source%3DIndeed_organic", "https://jsv3.recruitics.com/redirect?rx_cid=3409&amp;rx_jobId=882417-1_1003_rxr-1&amp;rx_url=https%3A%2F%2Fkimberlyclark.wd1.myworkdayjobs.com%2FGLOBAL%2Fjob%2FUSA-GA-Atlanta%2FProduct-Manager---CRM---Sales-Marketing-Enablement--Pre-Purchase-Purchase-_882417-1%3Frx_campaign%3Dindeed0%26rx_ch%3Djobp4p%26rx_group%3D120205%26rx_id%3D66376f6b-e9ca-11f0-ba66-fffc4cf1dd2b%26rx_job%3D882417-1_1003_rxr-1%26rx_medium%3Dcpc%26rx_r%3Dnone%26rx_source%3DIndeed%26rx_ts%3D20260105T040002Z%26rx_vp%3Dcpc%26source%3DIndeed%26utm_campaign%3Dchicago%26utm_medium%3Dcpc%26utm_source%3DIndeed_organic")</f>
        <v/>
      </c>
      <c r="G182" t="inlineStr">
        <is>
          <t>Neenah, WI, US</t>
        </is>
      </c>
      <c r="H182" s="3" t="n">
        <v>46025</v>
      </c>
      <c r="I182" t="inlineStr">
        <is>
          <t>You’re not the person who will settle for just any role. Neither are we. Because we’re out to create Better Care for a Better World, and that takes a certain kind of person and teams who care about making a difference. Here, you’ll bring your professional expertise, talent, and drive to building and managing our portfolio of iconic, ground\-breaking brands. In this role, you’ll help us deliver better care for billions of people around the world. It starts with YOU.
The Kimberly\-Clark Professional (KCP) CX \&amp; Marketing organization aims to be an innovative, “customer\-first” thought leader and invaluable business partner to all industry end users and distributors by providing insights\-driven solutions that meet unique needs. The team strives to exceed Channel and End User expectations with unparalleled thought leadership and innovative category technology, resulting in relevant solution bundles that maximize KCP's competitive advantage, share leadership, volume growth, and best\-in\-class partner status. Their Purpose is to unlock quantifiable growth through brand leadership for long\-term market dominance. The Vision is to be a united team focused on customer needs, innovative marketing, and data\-driven execution. They prioritize transparency, a customer\-centric approach, data\-driven decisions, and empathetic collaboration. Upholding values of integrity, curiosity, tenacity, agility, and inclusivity, the team is committed to continuous improvement and adapting to changes while celebrating diversity as a strength.
The Product Manager for CRM \&amp; Sales/Marketing Enablement owns the strategy, roadmap, and delivery of CRM capabilities that support demand generation, lead management, opportunity tracking, and purchase conversion. This role is accountable for enabling seamless, data\-driven pre\-purchase and purchase experiences across channels.
Working closely with Journey Managers, Experience Design Architects, and Product Designers, this role ensures that CRM capabilities are aligned to journey goals, experience blueprints, and internal workflows. The Product Manager translates business needs into scalable platform solutions—primarily within Salesforce and integrated tools—to drive customer acquisition, sales productivity, and marketing effectiveness.
In this role, you will:
**Product Vision \&amp; Strategy**
* Define and evolve the CRM product vision for sales and marketing enablement, aligned to customer journey goals and business outcomes.
* Partner with Journey Managers to ensure CRM and supporting capabilities support the execution and continuous improvement of pre\-purchase and purchase journeys.
* Stay attuned to industry trends, customer needs, and competitive benchmarks to inform product direction.
* Establish a persona\-based CRM platform and technical solutions that supports differentiated experiences and drives internal adoption with a focus on marketing and sales roles.
**Cross\-Functional Collaboration**
* Collaborate with Experience Design Architects to ensure CRM capabilities align with service blueprints and experience architecture.
* Work with Product Designers to translate experience strategy into tangible workflows, UI/UX, and technical product designs.
* Partner with sales, marketing, and digital teams to capture requirements and prioritize enhancements that improve conversion and productivity.
* Strong collaboration with customer\-facing web Product Manager to ensure seamless omnichannel pre\-purchase and purchase experience.
**Product Delivery \&amp; Execution**
* Lead product development from discovery through delivery, including backlog management, sprint planning, and release communication.
* Translate roadmap into executable features and user stories in partnership with Product Owners and technical teams.
* Ensure CRM integrations with marketing automation, CPQ, pricing, and commerce platforms are seamless and scalable.
* Track adoption and impact using KPIs such as lead conversion rate, opportunity velocity and closed/won rate, and campaign ROI.
**Data \&amp; Intelligence Enablement**
* Define and maintain a CRM data strategy that supports a 360° customer view and enables AI/ML\-driven insights.
* Ensure data quality, governance, and analytics capabilities support forecasting, segmentation, and personalization.
* Leverage Salesforce as a system of intelligence to simplify processes and drive automation and decision\-making.
**Change Management \&amp; Adoption**
* Partner with enablement and change teams to drive adoption of CRM capabilities across sales and marketing teams.
* Communicate product vision, roadmap, and results to stakeholders and leadership.
* Foster a culture of continuous improvement through feedback loops, testing, and iteration.
**About Us**
Huggies®. Kleenex®. Cottonelle®. Scott®. Kotex®. Poise®. Depend®. Kimberly\-Clark Professional®. You already know our legendary brands—and so does the rest of the world. In fact, millions of people use Kimberly\-Clark products every day. We know these amazing Kimberly\-Clark products wouldn’t exist without talented professionals, like you.
At Kimberly\-Clark, you’ll be part of the best team committed to driving innovation, growth and impact. We’re founded on more than 150 years of market leadership, and we’re always looking for new and better ways to perform – so there’s your open door of opportunity. It’s all here for you at Kimberly\-Clark.
**Led by Purpose. Driven by You.**
**About You**
You perform at the highest level possible, and you appreciate a performance culture fueled by authentic caring. You want to be part of a company actively dedicated to sustainability, inclusion, wellbeing, and career development.
You love what you do, especially when the work you do makes a difference. At Kimberly\-Clark, we’re constantly exploring new ideas on how, when, and where we can best achieve results. When you join our team, you’ll experience Flex That Works: flexible (hybrid) work arrangements that empower you to have purposeful time in the office and partner with your leader to make flexibility work for both you and the business.
In one of our professional roles, you’ll focus on winning with consumers and the market, while putting safety, mutual respect, and human dignity at the center. To succeed in this role, you will need the following qualifications:
**Required:**
* 6\+ years of product management experience, including 3\+ years working in the Salesforce ecosystem.
* Bachelor's degree
* Proven track record of delivering CRM capabilities that drive business results in B2B or B2B2B environments.
* Experience with marketing automation platforms and sales enablement tools.
* Strong understanding of sales and marketing processes, lead lifecycle, and opportunity management.
* Proficiency in agile methodologies, backlog management, and cross\-functional collaboration.
* Ability to translate business needs into technical requirements and user\-centric solutions.
**Preferred:**
* Experience working with Journey Managers, Experience Designers, and cross\-functional product teams.
* Familiarity with service blueprinting, experience mapping, and workflow design.
* Strong communication and storytelling skills to influence stakeholders and drive alignment.
* Experience with AI/ML, data strategy, and CRM analytics.
* Vendor management and experience with CRM ecosystem tools (e.g., CPQ, pricing, commerce, Microsoft Copilot).
**Total Benefits**
Here are just a few of the benefits you’d enjoy working in this role for Kimberly\-Clark. For a complete overview, see www.mykcbenefits.com.
 **Great support for good health** with medical, dental, and vision coverage options with no waiting periods or pre\-existing condition restrictions. Access to an on\-site fitness center, occupational health nurse, and allowances for high\-quality safety equipment.
**Flexible Savings and spending accounts** to maximize health care options and stretch dollars when caring for yourself or dependents.
**Diverse income protection insurance options** to protect yourself and your family in case of illness, injury, or other unexpected events.
**Additional programs and support** to continue your education, adopt a child, relocate, or even find temporary childcare.
**To Be Considered**  
Click the Apply button and complete the online application process. A member of our recruiting team will review your application and follow up if you seem like a great fit for this role.
In the meantime, please check out the careers website.
**And finally, the fine print….**
*For Kimberly\-Clark to grow and prosper, we must be an inclusive organization that applies the diverse* *experiences and passions of its team members to brands that make life better for people all around the world, which is why we seek to build a workforce that encompasses the experiences of our consumers. When you bring your original thinking to Kimberly\-Clark,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pre\-screening tests, which may include drug screening, background check, and DMV check.*
*Veterans and members of the Reserve and Guard are highly encouraged to apply.*
*Kimberly\-Clark will support in\-country relocation for the chosen candidate for the role. The benefits provided will be per the terms of Kimberly\-Clark’s applicable mobility policies. The benefits/policy provided will be decided at Kimberly\-Clark’s sole discretion.*
*\#LI\-Hybrid*
Grade 8/M4 \- grade level and / or compensation may vary based on location/country
Salary Range: 127,600 – 157,600 USD. At Kimberly\-Clark, pay is just one aspect of our total rewards package, which also includes a variety of benefits and opportunities to achieve, thrive and grow. Along with base pay, this position offers eligibility for a target bonus and a comprehensive benefits suite, including our 401(k) and Profit Sharing plan. The anticipated base pay range for this role is provided above for a fully qualified hire. Actual pay will depend on several factors, such as location, role, skills, performance, and experience. Please note that the stated pay range applies to US locations only.</t>
        </is>
      </c>
    </row>
    <row r="183">
      <c r="A183" t="inlineStr">
        <is>
          <t>in-7bbab19ccc31090b</t>
        </is>
      </c>
      <c r="B183" t="inlineStr">
        <is>
          <t>Acquisition Program Manager</t>
        </is>
      </c>
      <c r="C183" t="inlineStr">
        <is>
          <t>Odyssey Consulting</t>
        </is>
      </c>
      <c r="D183" t="inlineStr">
        <is>
          <t>indeed</t>
        </is>
      </c>
      <c r="E183">
        <f>HYPERLINK("https://www.indeed.com/viewjob?jk=7bbab19ccc31090b", "https://www.indeed.com/viewjob?jk=7bbab19ccc31090b")</f>
        <v/>
      </c>
      <c r="F183">
        <f>HYPERLINK("https://careers-odysseyconsult.icims.com/jobs/6750/acquisition-program-manager/job", "https://careers-odysseyconsult.icims.com/jobs/6750/acquisition-program-manager/job")</f>
        <v/>
      </c>
      <c r="G183" t="inlineStr">
        <is>
          <t>Warner Robins, GA, US</t>
        </is>
      </c>
      <c r="H183" s="3" t="n">
        <v>46025</v>
      </c>
      <c r="I183" t="inlineStr">
        <is>
          <t>**Position Summary**
--------------------
Odyssey has an exciting new opportunity for a **Acquisition Program Manager** supporting EBUI. The Weapons Superiority Division, AFLCMC/EBUI, has responsibility for all development, acquisition, and sustainment activities for a portfolio of weapon systems. This role will play a vital part in the acquisition and sustainment of a vast array of Air Force (AF) conventional munitions, missiles and other related systems and subsystems. **\*\*\*Contingent upon contract award\*\*\***
**Responsibilities**
--------------------
Duties include, but not limited to:* Plan, evaluate and implement program acquisition strategies to meet DoD 5000\.2 guidance.
* Plan, research, analyze and assess system acquisition in terms of development, production and deployment of weapons systems and associated equipment; formulate plans; and recommend effective strategies in meeting cost, schedule, and performance objectives.
* Support and develop acquisition reports, including statutory and regulatory reports (e.g. DAES and MAR).
* Support program management reviews, senior level meeting/reviews and IMP/IMS reviews; develop various briefings/schedules of program status and acquisition tasks to senior management.
* Advise and assist the Government in performing source selection tasks, to include but not limited to, recommending evaluation areas, factors, sub\-factors, elements and criteria; developing and administering source selection documentation; developing and analyzing acquisition strategies; developing, reviewing and finalizing reports, summaries, memorandums and briefings necessary to the source selection process; conducting proposal evaluation in a non\-decision making role as an advisor (not an evaluator); analyzing and reviewing proposals; and preparing responses to the proposals.
* Develop, maintain, and update program risk management plans IAW the Risk Management Guide for DoD Acquisition, AFPAM 63\-128, and the Air Force Risk
Identification Integration and Ilities (RI3\) Guidebook; facilitate program risk identification, risk analysis, risk handling and risk monitoring; executing program risk management boards, risk management working groups (or equivalent), and
document results. This task includes analyzing weapon system prime contractor and subcontractor risk management processes.
* Support implementation and execution of Agile development and management processes in concert with Government and weapon system prime contractors
* Develop Business Case Analyses (IAW AFI 65\-509 and AFMAN 65\-510, or tailored), trade studies, any/all DoDI 5000\.02 acquisition milestone documents and
briefings (including 2366a/b certification), program assessments, Analyses of Alternatives (AoA) study guidance, study plans and reports, programmatic Integrated Master Schedules (IMS), market research reports, Early Strategy and Issues Sessions (ESIS), and Acquisition Strategy Panel (ASP) briefings.
* Develop program management documentation to support all phases of the acquisition life cycle.
* Assist with planning and management of a product’s life cycle data requirements, which includes development and management of CDRLs and Data Item Descriptions (DIDs) and the use of databases to store and manage the data.
* Develop briefings to support acquisition decision milestones.
**\*\*\*Contingent upon contract award\*\*\***
**Qualifications**
------------------
**Citizenship: Must be a US citizen** ***Minimum Required Qualifications*****Clearance****:** Secret**Education and Years of Experience:*** Associates Degree in a relevant discipline and at least 15 years of relevant experience; **OR**
* Bachelor's Degree in a relevant discipline and at least 10 years of relevant experience; **OR**
* Master's Degree in a relevant discipline and at least seven (7\) years of relevant experience
**Interpersonal Skills:*** Strong communication skills and ability to deliver information across all levels of the organization
* Works effectively with cross\-functional teams, including engineers, logisticians, and program managers
* Builds strong working relationships with DoD agencies, contractors, and joint service partners
* Applies critical thinking to assess program performance and recommend actionable solutions
* Evaluates data trends to support decision\-making and risk mitigation
* Responds effectively to changing program requirements, timelines, and priorities
* Maintains flexibility in a dynamic acquisition and sustainment environment
 ***Additional Information*****Location:** Robins AFB, Georgia**Travel:** 10%**Remote, Onsite, or Hybrid:** Onsite  
\#LI\-JK1 **\*\*\*Contingent upon contract award\*\*\***
**Company Overview**
--------------------
**Odyssey Systems** is a world\-class technical, engineering, and integration company serving the warfighting ecosystem with airborne integration, ISR, C2, and warfighter readiness capabilities. Odyssey meets the military’s operational needs by integrating layered defense systems from equipment, technology, and services to data, information, and business operations. We streamline defense acquisition and sustainment, engineering the technical battlefield with domain\-specific proficiency to ensure lethality. Odyssey is dedicated to excellent contract execution, peak organizational performance, and fostering a workplace built on employee care.  
Odyssey is proud to live out our core values of commitment, ambition, and respect in our work and communities through OdysseyCares, a philanthropic group focused on giving back through direct donations, an employer match program, and volunteering events. **Please note**: Final compensation for this position will be determined by various factors such as the Federal Government contract labor categories and contract wage rates, relevant work experience, specific skills and competencies, geographic location, education, and certifications. ***Equal Opportunity Employer/Protected Veterans/Individuals with Disabilities***</t>
        </is>
      </c>
    </row>
    <row r="184">
      <c r="A184" t="inlineStr">
        <is>
          <t>in-37a17f97bb2acb7a</t>
        </is>
      </c>
      <c r="B184" t="inlineStr">
        <is>
          <t>Product Program Manager</t>
        </is>
      </c>
      <c r="C184" t="inlineStr">
        <is>
          <t>Rain</t>
        </is>
      </c>
      <c r="D184" t="inlineStr">
        <is>
          <t>indeed</t>
        </is>
      </c>
      <c r="E184">
        <f>HYPERLINK("https://www.indeed.com/viewjob?jk=37a17f97bb2acb7a", "https://www.indeed.com/viewjob?jk=37a17f97bb2acb7a")</f>
        <v/>
      </c>
      <c r="F184">
        <f>HYPERLINK("https://jobs.ashbyhq.com/rain/5d826660-a77b-42c4-9fe1-a5c9adcbcc57?utm_source=nVobome9L1", "https://jobs.ashbyhq.com/rain/5d826660-a77b-42c4-9fe1-a5c9adcbcc57?utm_source=nVobome9L1")</f>
        <v/>
      </c>
      <c r="G184" t="inlineStr">
        <is>
          <t>New York, NY, US</t>
        </is>
      </c>
      <c r="H184" s="3" t="n">
        <v>46025</v>
      </c>
      <c r="I184" t="inlineStr">
        <is>
          <t>**About Rain**  
At Rain, we’re rebuilding the global financial pipes money flows through. Our infrastructure makes stablecoins usable in the real world by powering credit card transactions, cross\-border payments, B2B purchases, remittances, and more. We partner with fintechs, neobanks, and institutions to help them launch solutions that are global, inclusive, and efficient. If you’re curious, bold, and excited to help shape a borderless financial system, we’d love to talk.
 **Our Ethos:**
We believe in an open and flat structure. You will be able to grow into the role that most aligns with your goals. Our team members at all levels have the freedom to explore ideas and impact the roadmap and vision of our company.
**About the role:**
Uptop (a Rain company) is looking for a versatile **Product Program Manager** to help lead the next phase of growth for our sports rewards business. This role sits at the intersection of product, partnerships, and execution, working directly with the Uptop leadership team to scale and optimize rewards programs with professional sports organizations.
The ideal candidate is equally comfortable in **client\-facing commercial conversations** and **internal product execution**, translating partner needs into high\-quality product experiences. You will act as the connective tissue between sports partners, customer support, marketing execution, and engineering—ensuring our rewards platform delivers measurable value in real time.
**What You’ll Do**
------------------
### **Partner \&amp; Client Leadership**
* Serve as the primary point of contact for Uptop’s professional sports partners
* Lead customer support efforts across all sports rewards programs, ensuring high partner satisfaction
* Work closely with sports teams to understand business goals, fan engagement strategies, and success metrics
* Guide partners through launches, optimizations, and ongoing program execution
### **Product Management**
* Gather, synthesize, and prioritize product feedback from sports partners
* Translate partner needs and insights into clear product requirements and feature improvements
* Partner with engineering and design to guide product development and iteration
* Ensure the rewards product continues to evolve toward scalability, reliability, and performance
### **Program \&amp; Execution Management**
* Own end\-to\-end execution of sports rewards programs, from planning through launch and optimization
* Coordinate cross\-functional efforts across product, engineering, support, and marketing
* Track milestones, manage risks, and ensure on\-time delivery of initiatives
* Audit and monitor marketing campaigns in real time, identifying issues and opportunities for optimization
### **Marketing \&amp; Growth Enablement**
* Collaborate with sports teams to architect rewards\-driven marketing strategies  
Support real\-time campaign execution and performance monitoring
* Provide insights and recommendations to improve fan engagement and program effectiveness
**What We’re Looking For**
--------------------------
* Experience in **product management, program management, or project management**, ideally in a tech\-enabled or marketplace environment
* Strong client\-facing skills with experience working directly with external partners
* Ability to translate business and customer needs into product and execution plans
* Comfort working cross\-functionally with engineering, design, marketing, and leadership
* Highly organized, proactive, and comfortable operating in a fast\-paced growth environment
* Passion for sports, consumer products, or fan engagement is a plus
 **Benefits:**
* Unlimited time off Unlimited vacation can be daunting, so at Rain we require our teammates to take 10 days minimum for themselves.
* Flexible working We support a flexible workplace, if you feel comfortable at home please work from home. If you’d like to work with others in an office feel free to come in. We want everyone to be able to work in the environment in which they are their most confident and productive selves.
* Flexible Benefits Easy\-to\-access benefits, for all employees based in the US, Rain pays a percentage of your benefits for the employee and for your dependents. We offer comprehensive health, dental and vision plans as well as a 100% company\-subsidized life insurance plan.
* Equity plan On top of a competitive salary, we offer every Rain employee an equity option plan so we can all can benefit from our success.
* Rain Cards We want our teammates to be knowledgeable about our core products and services and to support this mission we issue a card for our team to utilize the card for testing.
* Health and Wellness High performance begins from within. Our members are welcome to use their company card for eligible health and wellness spending like gym memberships, fitness classes and other wellness items.
* Team summits Summits play an important role at Rain! Time spent together helps us get to know each other, strengthen our relationships, and build a common destiny. Stay tuned for upcoming destinations!
Compensation Range: $147\.4K \- $161\.2K</t>
        </is>
      </c>
    </row>
    <row r="185">
      <c r="A185" t="inlineStr">
        <is>
          <t>in-ff305154887c13fd</t>
        </is>
      </c>
      <c r="B185" t="inlineStr">
        <is>
          <t>12th Grade Program Manager</t>
        </is>
      </c>
      <c r="C185" t="inlineStr">
        <is>
          <t>SEO Scholars</t>
        </is>
      </c>
      <c r="D185" t="inlineStr">
        <is>
          <t>indeed</t>
        </is>
      </c>
      <c r="E185">
        <f>HYPERLINK("https://www.indeed.com/viewjob?jk=ff305154887c13fd", "https://www.indeed.com/viewjob?jk=ff305154887c13fd")</f>
        <v/>
      </c>
      <c r="F185">
        <f>HYPERLINK("http://www.seo-usa.org/jobs/?gh_jid=8357928002", "http://www.seo-usa.org/jobs/?gh_jid=8357928002")</f>
        <v/>
      </c>
      <c r="G185" t="inlineStr">
        <is>
          <t>San Francisco, CA, US</t>
        </is>
      </c>
      <c r="H185" s="3" t="n">
        <v>46025</v>
      </c>
      <c r="I185" t="inlineStr">
        <is>
          <t>**Title:** 12th Grade Program Manager
**Department:** SEO High School Scholars, San Francisco
**Report to:** Director, Programs
**Compensation:** $68,640 \- $73,000
**FLSA:** Exempt
**Location/Hours:**  
This is a full\-time, exempt position with a hybrid schedule requiring in\-person work three days a week (including required Saturdays) and virtual work two days a week. The typical weekly schedule is as follows:
**Fall Term:** Tuesday through Saturday (3x a month); Monday through Friday (1x month).
**Spring Term:** Tuesday through Saturday (3x a month); Monday through Friday (1x month).
**Summer Term:** Monday through Friday.
In\-person attendance is required for all Saturday programming dates.
Two weeks of in\-person attendance will be required during our College Application Bootcamp programming from mid to late July.
Upon hire, all candidates must be within commutable distance of SEO’s offices at Three Embarcadero Center Promenade Level, Suite P\-1 San Francisco, CA 94111\.
Work requires local travel beyond the office for Saturday programming at the following locations (subject to change):
UC Law San Francisco, 200 McAllister St, San Francisco, CA 94102\.
Berkeley City College, 2050 Center St, Berkeley, CA 94704\.
ABOUT SEO
Founded in 1963 during the Civil Rights Movement, SEO closes educational and career opportunity gaps for 7,000 ambitious young people annually.
SEO Scholars is a free, eight\-year, academic program that transforms public high school students in New York City, San Francisco, North Carolina, and Miami into college graduates. SEO Scholars successfully educates and mentors students to and through college. 100% of Scholars are accepted into four\-year colleges, 85% of Scholars graduate with a Bachelor’s degree, and 80% are first\-generation college graduates. All are welcome to apply.
POSITION OVERVIEW
The 12th Grade Program Manager is a perfect role for someone eager to provide individualized advising directly to academically\-prepared students throughout the year they apply to college. We are seeking highly motivated, professional, self\-directed, and enthusiastic candidates who are passionate about propelling the potential of young people who are farthest away from academic opportunity. The ideal candidate will have experience as a college counselor in a high school or college setting with financial aid and scholarship advising experience, and possess a strong belief that, through commitment and hard work, students can achieve their dreams of college acceptance, attendance, and completion.
College Advising
Create and foster an environment for all 12th grade Scholars that encourages intellectual curiosity, an inclusive, close\-knit and supportive community, and a college\-going culture.
Provide data\-driven advising to all Scholars in the cohort via one\-on\-one, small group, and family meetings.
Guide all 12th grade Scholars through the development of their college applications, all associated essays, and the financial aid process following SEO’s college advising approach.
Manage all college applications and matriculation decisions from start to completion, providing individualized support as needed and ensuring 100% of applications are submitted on time.
Instruction \&amp; Coaching
Design and deliver weekly college advisory, admissions, and transition seminars to 12th grade Scholars to prepare them for the college process.
Deliver curriculum to 11th and 12th Grade Scholars including 12th grade Advisory classes during the Fall, Spring, and Summer, and 11th Grade Advisory classes during the Spring.
Partner with writing instructors to support all associated college essays as well as and all scholarship, enrichment program, and opportunity program applications.
Project an energetic, engaging, and approachable persona to promote students’ connection to the content, investment in the learning, and positive relationship to all members of the community.
Scholar \&amp; Family Engagement
Plan several key College Admissions related events throughout the school year including but not limited to Graduation, Mock admissions day, FAFSA day, and College Decision Day.
Plan and manage operations for the annual Spring Break College Trip to Southern California for 11th grade Scholars and staff.
Collect, enter, and analyze all key data points for 12th grade.
Create, update, and manage all student\-facing trackers.
Create and send monthly Family Newsletters.
Deliver and support all 12th grade Family Workshops and assist in workshop content creation.
QUALIFICATIONS
Bachelor’s degree.
2\+ years of experience teaching, coaching, or advising high school students, with a focus on college\-bound pathways and English; experience as a college counselor or advisor.
Experience working with students in communities aligned with SEO’s mission and passion for preparing them to lead by example in their families, communities, and careers.
COMPETENCIES \&amp; SKILLS
Knowledge of the California public college system and top ranked private colleges preferred.
Strong work ethic and positive attitude.
Demonstrated ability to execute on short\-term, deadline\-driven tasks, as well as important long\-term projects requiring collaboration with internal and external constituencies.
Adept at building authentic relationships with students quickly.
Ability to conduct difficult conversations with Scholars and families to give honest, productive feedback.
Excellent interpersonal skills and a high level of professionalism.
Exceptional communication skills, both written and oral.
Highly organized with exceptional attention to detail.
Proficiency in Microsoft Suite and Google Suite.
Must be data driven. Knowledge of Excel and experience working with Salesforce (database) and Brightspace (LMS) are a plus.
Bilingual Spanish/English preferred.
Ability to work a Tuesday through Saturday schedule from September to June and some evenings.
COMPENSATION \&amp; BENEFITS
SEO offers a competitive compensation package and comprehensive benefits plan including low\-cost health, vision, and dental options, a generous holiday schedule and PTO policies, disability coverage, fully paid time off for new parents, and employer contributions to health reimbursement and retirement accounts. We are constantly working to improve our benefits each year based on the needs of our employees. We value wellness and strive to put people first and foremost.
The compensation listed in this posting reflects what SEO believes it will pay for this position at the time of this posting. Consistent with applicable law, compensation will be determined based on the skills, qualifications, and experience of the applicant along with the requirements of the position, and SEO reserves the right to modify this pay range at any time.
EEOC Policy
At SEO we are committed to cultivating a team that embodies the backgrounds and experiences of the constituencies we serve and the communities we live in, and a workplace that reflects the impact we make in the world. Candidates from all communities – including people of color, women, members of the LGBTQIA\+ Community, veterans, and people with disabilities – are strongly encouraged to apply.
Equal Employment Opportunity is not just the law, it is our commitment.
Sponsors for Educational Opportunity is an Equal Opportunity/Affirmative Action Employer – M/F/D/V. We will consider all qualified applicants for employment regardless of race, color, ethnicity, religion, sex, gender, gender identity and expression, sexual orientation, national origin, disability, age, marital status, veteran status, pregnancy, parental status, genetic information or characteristics, or any other legally protected status.
If you need accommodation while applying for a role with SEO, due to a disability, please email SEO Talent.
THE ORGANIZATION
Established in 1963 by Michael Osheowitz, SEO (Sponsors for Educational Opportunity) is an educational non\-profit founded on the belief that talent is everywhere; but opportunity is not. Our programs are designed to educate, train, mentor, and amplify the voices of our participants to give them a seat at the table – every table. We propel human potential.
SEO is an innovator in education, mentorship, and creating educational career opportunities that maximize the full potential of our participants. Each year SEO serves 7,000\+ participants nationally, and the organization is widely recognized for developing best\-in\-class programs with exceptional results.
Not every SEO participant is on the same journey, but all are hungry for opportunity and SEO creates an ecosystem of excellence. Learn more about SEO's programs here: https://www.seo\-usa.org/our\-programs/.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li-4254369810</t>
        </is>
      </c>
      <c r="B2" t="inlineStr">
        <is>
          <t>Product Manager</t>
        </is>
      </c>
      <c r="C2" t="inlineStr">
        <is>
          <t>Meta</t>
        </is>
      </c>
      <c r="D2" t="inlineStr">
        <is>
          <t>linkedin</t>
        </is>
      </c>
      <c r="E2" t="inlineStr"/>
      <c r="F2" t="inlineStr"/>
      <c r="G2" t="inlineStr">
        <is>
          <t>Burlingame, CA</t>
        </is>
      </c>
      <c r="H2" t="inlineStr"/>
      <c r="I2" t="inlineStr">
        <is>
          <t>Meta Product Managers work with cross\-functional teams of engineers, designers, data scientists and researchers to build products. We are looking for extremely effective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mission, strategies and roadmaps in the context of broader organizational strategies and goals
* Generate buy\-in and drive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engineers and designers, while maintaining team health
* Understand Meta’s strategic and competitive position and deliver products that are aligned with our mission and recognized best in the industry
* Work closely with cross\-functional teams to drive product mission,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 and post\-launch execution
* Critical thinking and analytical leadership experience
* Experience presenting to executive audiences
* BA/BS in Computer Science or related field
 Preferred Qualifications:
* Experience building 0\-1 products, platform/ecosystem products, or marketplaces
* Experience in a consumer focused technology company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
      <c r="A3" t="inlineStr">
        <is>
          <t>li-4330073184</t>
        </is>
      </c>
      <c r="B3" t="inlineStr">
        <is>
          <t>Product Manager, Insurance</t>
        </is>
      </c>
      <c r="C3" t="inlineStr">
        <is>
          <t>InvoiceCloud, Inc.</t>
        </is>
      </c>
      <c r="D3" t="inlineStr">
        <is>
          <t>linkedin</t>
        </is>
      </c>
      <c r="E3" t="inlineStr"/>
      <c r="F3" t="inlineStr"/>
      <c r="G3" t="inlineStr"/>
      <c r="H3" t="inlineStr"/>
      <c r="I3" t="inlineStr">
        <is>
          <t>**About InvoiceCloud** 
 InvoiceCloud is transforming how people pay bills and interact with the essential services that power their lives. As a leading provider of secure, cloud\-based electronic bill presentment and payment (EBPP) solutions, we help organizations deliver exceptional customer experiences while driving engagement, reducing churn, and improving operational efficiency.
 With more than
 **50 million payments processed annually** 
 , InvoiceCloud empowers thousands of clients in government, utilities, and other service sectors to modernize how they engage with citizens and customers. Learn more at www.InvoiceCloud.com.
**Role Overview** 
 We’re seeking a customer\-focused Product Manager to support and grow InvoiceCloud’s Insurance vertical. This role is responsible for deeply understanding customer needs, defining clear business requirements, and ensuring our solutions reflect the evolving needs of Insurance billers and payers. You will develop deep expertise in Insurance agent workflows and use that understanding to shape a clear product vision, inform feature and design prioritization, and evaluate market opportunities.
 As a key product representative across teams, you will help shape roadmap priorities, support customer\-facing initiatives, and drive alignment around product direction and business outcomes. You will collaborate closely with Engineering, Implementations, Integrations, Customer Success, Sales, and Product Marketing to support customer launches, improve vertical workflows, and strengthen end\-to\-end digital payment experiences.
**Key Responsibilities** 
**Customer Centric** 
* Serve as the Voice of the Customer, gathering insights through interviews, workflow reviews, research, and data analysis.
* Evaluate customer workflows, competitive dynamics, and partner needs to identify high\-impact product opportunities and create actionable product requirements.
* Partner with UX/UI to translate customer insights and workflow needs into thoughtful interface and experience decisions.
* Support customer meetings, product demonstrations, and on\-site visits that deepen understanding of user needs.
**Takes Ownership** 
* Own and prioritize the Insurance product backlog, ensuring alignment with vertical strategy and customer needs.
* Maintain and communicate the Insurance roadmap, providing rationale for prioritization and expected outcomes.
* Write clear, actionable user stories, epics, and acceptance criteria that guide Engineering and UX delivery. Facilitate collaboration between Engineering, UX, and business teams by providing context, rationale, and clear expectations
* Strengthen operational readiness by ensuring internal teams have the inputs, assets, and clarity needed to execute efficiently.
* Ensure product requirements and documentation reduce rework and cycle time.
* Define and track success metrics to evaluate impact and inform future prioritization.
**Innovative** 
* Use A/B tests, analytics, surveys, and usability studies to evaluate opportunities and iterate quickly.
* Identify Insurance\-specific workflow challenges and propose innovative solutions.
* Leverage GenAI to accelerate creation of user stories, analyze customer feedback at scale, and surface insights.
* Explore emerging trends in the Insurance and payments space to inform design and long\-term direction
**Qualifications** 
* 4\+ years of SaaS product management experience
* 2\+ years of experience in the Insurance industry.
* BA/BS in Computer Science, Engineering, Business, or related fields; advanced degree preferred.
* Experience using analytics, instrumentation, and user research to guide product decisions.
* Strong quantitative, analytical, and competitive research skills.
* Exceptional communication skills with the ability to articulate both strategic vision and tactical detail.
* Demonstrated ownership mentality with attention to detail and a passion for product excellence.
**Benefits:** 
 We offer a competitive benefits program including:
* Medical, dental, vision, life \&amp; disability insurance
* 401(k) plan with company match
* Flexible Time Off (FTO), wellbeing days, paid holidays, and summer Fridays
* Mental health resources
* Paid parental leave \&amp; Backup Care
* Tuition reimbursement
* Employee Resource Groups (ERGs)</t>
        </is>
      </c>
    </row>
    <row r="4">
      <c r="A4" t="inlineStr">
        <is>
          <t>li-4319923685</t>
        </is>
      </c>
      <c r="B4" t="inlineStr">
        <is>
          <t>Associate Product Manager</t>
        </is>
      </c>
      <c r="C4" t="inlineStr">
        <is>
          <t>QuinStreet</t>
        </is>
      </c>
      <c r="D4" t="inlineStr">
        <is>
          <t>linkedin</t>
        </is>
      </c>
      <c r="E4" t="inlineStr"/>
      <c r="F4" t="inlineStr"/>
      <c r="G4" t="inlineStr"/>
      <c r="H4" t="inlineStr"/>
      <c r="I4" t="inlineStr">
        <is>
          <t>**Corporate Overview** 
**Powering Performance Marketplaces in Digital Media** 
 QuinStreet is a pioneer in powering decentralized online 
 **marketplaces that match searchers and “research and compare” consumers with brands** 
 . We run these virtual\- and private\-label marketplaces in one of the nation’s largest media networks.
 Our industry leading segmentation and AI\-driven 
 **matching technologies help consumers find better solutions and brands faster.** 
  They allow brands to target and reach in\-market customer prospects with pinpoint segment\-by\-segment accuracy, and to pay only for performance results.
 Our campaign\-results\-driven matching decision engines and optimization algorithms are built from over 20 years and billions of dollars of online media experience.
 We believe in:
* The direct measurability of digital media.
* Performance marketing. (We pioneered it.)
* The advantages of technology.
 We bring all this together to deliver truly great results for consumers and brands in the world’s biggest channel.
**Job Category** 
 We’re looking for a detail\-oriented and proactive team member who’s excited to learn the ins and outs of product management while helping keep our technical delivery process running smoothly across multiple time zones.
 In this hybrid role, you’ll support product planning, manage the tech queue, and coordinate day\-to\-day sprint activities — including collaboration with our offshore development team. This is a great opportunity for someone early in their product career who enjoys both organization and teamwork, and who wants to grow into a full product management or delivery lead position.
**Responsibilities** 
**Product \&amp; Planning Support** 
* Assist in defining and documenting product requirements, user stories, and acceptance criteria.
* Help prioritize the product backlog and make sure engineering work aligns with business goals.
* Collaborate with product leads and stakeholders to gather input and translate it into actionable tasks.
* Track and communicate progress across initiatives to keep everyone informed.
**Tech Queue \&amp; Sprint Coordination** 
* Own day\-to\-day backlog management and ticket organization in Jira
* Coordinate sprint ceremonies, planning, standups, demos, and retrospectives, across both onshore and offshore teams (India).
* Track sprint goals, progress, and blockers, escalating issues when needed.
* Maintain clear visibility into project timelines and team commitments.
* Partner with tech leads to balance roadmap work, tech debt, and quick wins.
**Process \&amp; Continuous Improvement** 
* Document key learnings, decisions, and improvements from each sprint.
* Help identify opportunities to streamline delivery processes or improve team communication.
* Support data\-driven decisions by tracking metrics like sprint velocity and completion rates.
**Requirements** 
* 1\+ years of experience in product coordination, project management, QA, or technical operations.
* Familiarity with Agile/Scrum workflows and tools like Jira, Trello, or Asana.
* Strong organizational skills and attention to detail.
* Excellent written and verbal communication skills across distributed teams.
* Ability to manage overlapping priorities and coordinate across time zones.
* Interest in learning product management, agile delivery, and cross\-functional collaboration.
**Nice to Have** 
* Exposure to software development or technology\-driven projects.
* Experience running or supporting sprint ceremonies.
* Basic understanding of how product decisions translate into technical work.
 The expected salary range for this position is $90,000 USD to $115,000 USD annually. This salary range is an estimate, and the actual salary may vary based on the Company’s compensation practices. The salary may be adjusted based on applicant's geographic location. The position is also eligible to receive performance bonus or commission and equity in the form of restricted stock units. This position is eligible to participate in the Company’s standard employee benefits programs, which currently include health care benefits; (2\) retirement benefits; (3\) the amount of paid days off (paid sick leave, parental leave, paid time off, or vacation benefits); (4\) any other tax\-reportable benefits.
 QuinStreet is an equal opportunity employer. We do not discriminate on the basis of race, color, religion, national origin, pregnancy status, sex, age, marital status, disability, sexual orientation, gender identity or any other characteristics protected by law.
 Please see QuinStreet’s Employee Privacy Notice here.</t>
        </is>
      </c>
    </row>
    <row r="5">
      <c r="A5" t="inlineStr">
        <is>
          <t>li-4354353110</t>
        </is>
      </c>
      <c r="B5" t="inlineStr">
        <is>
          <t>Product Manager</t>
        </is>
      </c>
      <c r="C5" t="inlineStr">
        <is>
          <t>Swooped</t>
        </is>
      </c>
      <c r="D5" t="inlineStr">
        <is>
          <t>linkedin</t>
        </is>
      </c>
      <c r="E5" t="inlineStr"/>
      <c r="F5" t="inlineStr"/>
      <c r="G5" t="inlineStr"/>
      <c r="H5" t="inlineStr"/>
      <c r="I5" t="inlineStr">
        <is>
          <t>**About Our Client** 
 Our client is modernizing the future of veterinary software and the pet parent healthcare experience. The suite of platforms features a market\-leading procurement marketplace, an ultra\-modern home delivery ecommerce experience, and a next\-generation practice management system. More than 25,000 hospitals across all 50 states rely on the platforms daily, supporting tens of thousands of veterinarians who care for tens of millions of pets each year.
 Our client is modernizing the 50 billion dollar plus animal health industry by giving veterinary organizations the tools to focus more on patient care. Backed by top venture investors, this is a fast\-growing, mission\-driven company. The organization is searching for talented and passionate people who want to help shape the future of veterinary care.
**About The Role** 
 This
 **Product Manager** 
 role focuses on improving a technology platform that supports veterinary clinics and pet parents. The position drives user experience enhancements, gathers and analyzes product feedback, oversees quality assurance, and removes obstacles to customer growth and adoption.
 Working cross\-functionally with engineering, onboarding, account management, and support teams—as well as directly with veterinary clinics and pet parents—the Product Manager helps identify product strengths, opportunities, and risks. The role plays a key part in shaping a widely trusted platform that powers daily clinic operations, with the broader mission of enabling clinics to deliver better, more efficient care through technology.
**What You’ll Do** 
* **Drive Product Enhancements:** 
 Monitor long\-term projects for optimization opportunities and work with cross\-functional teams to implement improvements.
* **Turn Feedback into Action:** 
 Collect and evaluate user feedback through surveys and direct interactions with veterinary clinics and pet parents.
* **Support Key Initiatives:** 
 Collaborate with onboarding and support teams to remove roadblocks and create seamless customer experiences.
* **Shape Product Documentation:** 
 Build out feature documentation to align business and engineering teams on new and existing functionality.
* **Lead Small Feature Developments:** 
 Manage 1\-2 low to mid\-level feature builds, defining requirements, ensuring smooth engineering handoffs, and conducting QA testing.
* **Train Internal Teams:** 
 Educate departments on new product features to ensure consistency in customer interactions and maximize feature adoption.
**What They’re Looking For** 
* **Experience:** 
 A four\-year college degree with a track record of managing multiple projects and priorities.
* **Skills:** 
 3\+ years of experience in a product role.
* **Attention to Detail:** 
 A knack for catching the smallest inconsistencies and ensuring high\-quality output across projects.
* **Strong Communicator:** 
 Ability to distill complex ideas into simple, actionable insights and build consensus across teams.
* **Critical Thinker:** 
 Aptitude for diving into data, interpreting trends, and proposing data\-driven solutions. Some experience with Excel and data analytics platforms is preferred.
* **Organization Pro:** 
 Thrives in a fast\-paced environment, balancing competing priorities without missing a beat.
* **Tech\-Savvy:** 
 Experience with Excel and data analytics platforms is a plus.
**Benefits (Full Time Roles)** 
* 100% remote within the USA.
* Medical, Dental, and Vision Insurance.
* Automatic 401k contribution.
* Employee referral program.
* At home office setup.
* Bi\-annual company retreats.
* Open vacation policy.
* Equity.
* Monthly team events.
**Salary Range** 
 The typical base pay range for this role across the U.S. is:
 **$65,000/year \- $160,000/** 
 year \+ bonus \+ equity \+ benefits. Actual compensation may vary based on skills, qualifications, and experience.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6">
      <c r="A6" t="inlineStr">
        <is>
          <t>li-4349339715</t>
        </is>
      </c>
      <c r="B6" t="inlineStr">
        <is>
          <t>Senior Product Manager</t>
        </is>
      </c>
      <c r="C6" t="inlineStr">
        <is>
          <t>SalesAi</t>
        </is>
      </c>
      <c r="D6" t="inlineStr">
        <is>
          <t>linkedin</t>
        </is>
      </c>
      <c r="E6" t="inlineStr"/>
      <c r="F6" t="inlineStr"/>
      <c r="G6" t="inlineStr">
        <is>
          <t>Indianapolis, IN</t>
        </is>
      </c>
      <c r="H6" t="inlineStr"/>
      <c r="I6" t="inlineStr">
        <is>
          <t>**About SalesAi**
 At
 ****SalesAi****
 , we’re revolutionizing the way companies sell and serve with cutting\-edge, AI\-driven technology. Our rapidly growing SaaS platform helps businesses seamlessly integrate AI into sales and support workflows—making operations smarter, faster, and more effective.
 We’ve grown to over
 ****$6M in ARR in under nine months****
 , thanks to a world\-class team that thrives on innovation, collaboration, and a drive to shape the future of AI. We believe AI should be simple, powerful, and accessible, and we’re building the tools to make that a reality.
 Join us to shape the future of AI solutions that are human\-centered, scalable, and transformative.
**About The Role**
 We’re looking for a strategic and execution\-focused Senior Product Manager to join our team. You’ll play a key role in defining the roadmap, collaborating across teams, and shipping products that drive real impact for our customers. You will be hands on and dig in deep with the trio of product, engineering, and user experience to drive your strategic vision to the market. You will be relentless in solving product market fit and validating your hunches through early and often experimentation. You have experience and technical savvy with solving software product solutions and can drive growth through delivering validated product slices with fast moving teams. If you're passionate about AI, SaaS, and solving real customer pain points, you’ll thrive at SalesAi.
**What You'll Do**
* Coach and mentor to enable high performing teams and drive product success.
* Establish growth opportunities to broaden your TOM. Identify new TAM and align the overarching product vision and strategy across multiple verticals. Going deep to solve customer pain points while delivering measurable and demonstrable business outcomes.
* Drive cross\-functional alignment by seeking out customer pains and gains from internal stakeholders.
* Identify specific gaps in retention and product market fit across multiple areas across multiple product ownership verticals. Create experiments and methods to rapidly solve for these gaps.
* Establish product KPIs and ensure accountability to performance while driving results from product research into the backlog for multiple development teams while managing the outcome launch strategies to ensure broader product evolution based on customer and business metrics.
* Drive multiple development teams by breaking down valuable work, coordinating delivery slices, and ensuring sprints deliver customer and business outcomes.
* Own the end\-to\-end product lifecycle for key product segments in the SalesAi platform coordinating smooth operations from go\-to\-market to product sunsetting and support.
* Engage with customers to gather insights, validate assumptions, and ensure product\-market fit.
* Analyze product performance and user behavior using data tools.
* Be the product champion of the trio of (Valuable, Usable, Feasible) with engineering and UX to drive clarity for customer pains and gains that turn into product outcomes to enable business goals.
* Be a player coach and contribute individually with work breakdown facilitation as well as strategic vision casting using tools such as Figma, Jira, Productboard, and others.
* Demonstrate a customer\-centric mindset across the organization by bringing clarifying value as the voice of the customer across multiple departments and stakeholders.
* Define the product direction and strategy for product areas within SalesAi leading your area of product roadmap by managing goals and financial and resource investments to scale in our market.
* Engage with customers to understand their strategies, end\-to\-end business processes, pain points, and priorities to inform product strategy and provide transparency into roadmaps/managing expectations.
* Partner closely with Engineering, UX, and other internal SalesAi teams to drive product and delivery success. Analyze landscape and industry trends to advance our products and drive innovation.
**What You Bring**
* 10\+ years of experience in product management, preferably in a SaaS or B2B environment.
* A demonstrable track record of new product development and scaled launch while experiencing “hockey stick” growth for validated product market fit.
* Strong understanding of agile product development and lifecycle management.
* Ability to translate technical capabilities into user\-friendly experiences.
* Experience working with cross\-functional teams (engineering, design, marketing, sales).
* Data\-driven mindset with a passion for experimentation and continuous improvement.
* Excellent communication, organizational, and stakeholder management skills.
* Bonus: Experience with AI/ML technologies or tools.
****Why you'll love working here****
**Benefits**
 At SalesAi, we believe your work should support your life—not the other way around. We offer a competitive, people\-first benefits package designed to help you thrive both on and off the clock:
* Flexible (Unlimited) PTO
* Hybrid Work Environment
* 10 Paid Holidays – Plus regular company\-sponsored events.
* Affordable Medical, Dental \&amp; Vision Insurance
* Employer\-Paid Life Insurance
* 401(k) with 4% Match
* Award\-Winning Culture – Voted a Top Culture Company in Indianapolis across multiple categories.</t>
        </is>
      </c>
    </row>
    <row r="7">
      <c r="A7" t="inlineStr">
        <is>
          <t>li-4302849594</t>
        </is>
      </c>
      <c r="B7" t="inlineStr">
        <is>
          <t>Product Manager</t>
        </is>
      </c>
      <c r="C7" t="inlineStr">
        <is>
          <t>Granicus</t>
        </is>
      </c>
      <c r="D7" t="inlineStr">
        <is>
          <t>linkedin</t>
        </is>
      </c>
      <c r="E7" t="inlineStr"/>
      <c r="F7" t="inlineStr"/>
      <c r="G7" t="inlineStr"/>
      <c r="H7" t="inlineStr"/>
      <c r="I7" t="inlineStr">
        <is>
          <t>**The Company**
**Serving the People Who Serve the People**
 Granicus is driven by the excitement of building, implementing, and maintaining technology that is transforming the Govtech industry by bringing governments and its constituents together. We are on a mission to support our customers with meeting the needs of their communities and implementing our technology in ways that are equitable and inclusive. Granicus has consistently appeared on the GovTech 100 list over the past 5 years and has been recognized as the best companies to work on BuiltIn.
 Over the last 25 years, we have served 5,500 federal, state, and local government agencies and more than 300 million citizen subscribers power an unmatched Subscriber Network that use our digital solutions to make the world a better place. With comprehensive cloud\-based solutions for communications, government website design, meeting and agenda management software, records management, and digital services, Granicus empowers stronger relationships between government and residents across the U.S., U.K., Australia, New Zealand, and Canada. By simplifying interactions with residents, while disseminating critical information, Granicus brings governments closer to the people they serve—driving meaningful change for communities around the globe.
 Want to know more? See more of what we do here .
**Job Summary**
 Granicus is seeking a skilled Product Manager with a background in software and a passion for improving resident experiences, driving citizen engagement, and advancing government transparency. As a Product Manager, you’ll drive execution across agile teams by translating vision into actionable plans and managing a well\-prioritized Jira backlog across multiple value streams. You’ll ensure delivery of high\-impact features by balancing competing priorities, aligning cross\-functional teams, and applying data\-driven decision\-making. You’ll also oversee the development of complex, large\-scale technical products, ensuring they meet market needs and business goals—especially in the realm of digital tools and automation technologies.
**What Your Impact Will Look Like**
* Demonstrate Product Mastery: Develop and maintain a deep understanding of the product’s features, user journeys, technical architecture, and business value. Be the go\-to expert for how the product works and why.
* Apply AI/ML Fluency to Drive Innovation: Demonstrate familiarity with Agentic AI concepts and a strong innovation mindset. Leverage analytics, customer feedback, and business insights to inform backlog prioritization and product decisions.
* Lead PI Planning \&amp; Value Stream Alignment: Drive effective program increment planning by aligning team objectives with strategic goals across value streams—such as security, customer experience, technical debt, and innovation. Coordinate dependencies, track progress, and adapt plans as priorities evolve.
* Own Backlog \&amp; Sprint Readiness: Maintain a well\-groomed Jira backlog that reflects product priorities and technical feasibility. Ensure stories are clearly defined, prioritized, and sprint\-ready by refining requirements and removing blockers.
* Lead Agile Team Integration \&amp; Story Development: Actively participate in agile ceremonies and serve as the product voice within the team. Write clear, actionable user stories and acceptance criteria that reflect both user needs and technical feasibility.
* Facilitate Cross\-Functional Alignment \&amp; Communication: Collaborate with engineering, design, QA, and business stakeholders to clarify requirements, resolve ambiguities, and ensure smooth execution. Maintain clear documentation and communicate progress, risks, and timelines.
* Product Mastery: Develop and maintain a deep understanding of the product’s features, user journeys, technical architecture, and business value. Be the go\-to expert for how the product works and why. Apply AI/ML Fluency to Drive Innovation: Demonstrate familiarity with Agentic AI concepts and a strong innovation mindset. Leverage analytics, customer feedback, and business insights to inform backlog prioritization and product decisions. Lead PI Planning \&amp; Value Stream Alignment: Drive effective program increment planning by aligning team objectives with strategic goals across value streams—such as security, customer experience, technical debt, and innovation. Coordinate dependencies, track progress, and adapt plans as priorities evolve.
* Own Backlog \&amp; Sprint Readiness: Maintain a well\-groomed Jira backlog that reflects product priorities and technical feasibility. Ensure stories are clearly defined, prioritized, and sprint\-ready by refining requirements and removing blockers.
* Lead Agile Team Integration \&amp; Story Development: Actively participate in agile ceremonies and serve as the product voice within the team. Write clear, actionable user stories and acceptance criteria that reflect both user needs and technical feasibility.
* Facilitate Cross\-Functional Alignment \&amp; Communication: Collaborate with engineering, design, QA, and business stakeholders to clarify requirements, resolve ambiguities, and ensure smooth execution. Maintain clear documentation and communicate progress, risks, and timelines.
**You Will Love This Job If You Have**
* 3–5 years of product management or related experience in a fast\-paced, agile environment.
* Experience in marketing automation and/or digital engagement platforms.
* Fluency in Jira and/or Aha!
* Experience working with technical teams and understanding APIs, data models, or system architecture.
* Exposure to scaled agile frameworks (e.g., SAFe, LeSS) and program increment planning.
* Demonstrated use of AI/ML tools to enhance productivity, decision\-making, or product discovery.
* Strong understanding of customer discovery techniques and user research methodologies.
* Experience contributing to platform or multi\-product ecosystems.
* Familiarity with compliance, security, or regulatory requirements in product development.
* Familiarity with product analytics tools (e.g., Amplitude, Mixpanel, Looker) and A/B testing frameworks.
**Pay Range**
 USD $100,000\.00 \- USD $114,000\.00 /Yr.
**About Us**
 Don’t have all the skills/experience mentioned above? At Granicus, we are trying to build diverse, inclusive teams. We do not have degree requirements for most of our roles. If you don’t meet every requirement above but are excited to learn more, we encourage you to apply. We might just be able to find another role that could be a perfect fit!
**Security And Privacy Requirements**
* Responsible for Granicus information security by appropriately preserving the Confidentiality, Integrity, and Availability (CIA) of Granicus information assets in accordance with the company's information security program.
* Responsible for ensuring the data privacy of our employees and customers, their data, as well as taking all required privacy training in a timely manner, in accordance with company policies.
**The Team**
* We are a remote\-first company with a globally distributed workforce across the United States, Canada, United Kingdom, India, Armenia, Australia, and New Zealand.
**The Culture**
* At Granicus, we are building a transparent, inclusive, and safe space for everyone who wants to be a part of our journey.
* A few culture highlights include – Employee Resource Groups to encourage diverse voices
* Coffee with Mark sessions – Our employees get to interact with our CEO on very important and sometimes difficult issues ranging from mental health to work\-life balance and current affairs.
* Microsoft Teams communities focused on wellness, art, furbabies, family, parenting, and more.
* We bring in special guests from time to time to discuss issues that impact our employee population
**The Impact**
* We are proud to serve dynamic organizations around the globe that use our digital solutions to make the world a better place — quite literally. We have so many powerful success stories that illustrate how our solutions are impacting the world. See more of our impact here .
**The Benefits**
 At Granicus, we offer a
 **comprehensive and flexible benefits package** 
 designed to support your well\-being, growth, and work\-life balance—starting from day one.
 Here’s what you can expect as a U.S.\-based team member:
**Flexibility \&amp; Balance**
* Flexible Time Off – Take the time you need to rest, recharge, and live your life.
* Company\-Wide Wellbeing Days – Paid days off to unplug and focus on your mental health.
* Work From Home Reimbursement – Support a productive home office environment.
**Health \&amp; Wellness**
* Multiple Health Plan Options – Including a 100% employer\-paid plan.
* Employer HSA Contributions – When enrolled in a High\-Deductible Health Plan.
* Fitness Reimbursement Program – Stay active, your way.
* On\-Demand Mental Health Support – Access to Headspace and other wellness tools.
**Family \&amp; Future**
* Paid Parental Leave – For both birthing and non\-birthing parents.
* Traditional \&amp; Roth 401(k) – With a generous company match.
* Life \&amp; AD\&amp;D Insurance – 100% employer\-paid coverage for peace of mind.
**Growth \&amp; Recognition**
* Online Learning Platforms – Fuel your professional development.
* Competitive Salary \&amp; Bonuses – Your contributions are valued and rewarded.
**Equal Opportunity Employer**
 Granicus is committed to providing equal employment opportunities. All qualified applicants and employees will be considered for employment and advancement without regard to race, color, religion, creed, national origin, ancestry, sex, gender, gender identity, gender expression, physical or mental disability, age, genetic information, sexual or affectional orientation, marital status, status with regard to public assistance, familial status, military or veteran status or any other status protected by applicable law.</t>
        </is>
      </c>
    </row>
    <row r="8">
      <c r="A8" t="inlineStr">
        <is>
          <t>li-4319045805</t>
        </is>
      </c>
      <c r="B8" t="inlineStr">
        <is>
          <t>Product Manager</t>
        </is>
      </c>
      <c r="C8" t="inlineStr">
        <is>
          <t>Zoom</t>
        </is>
      </c>
      <c r="D8" t="inlineStr">
        <is>
          <t>linkedin</t>
        </is>
      </c>
      <c r="E8" t="inlineStr"/>
      <c r="F8" t="inlineStr"/>
      <c r="G8" t="inlineStr"/>
      <c r="H8" t="inlineStr"/>
      <c r="I8" t="inlineStr">
        <is>
          <t>Immigration sponsorship is not available for this position
**What You Can Expect**
 Zoom is seeking a highly experienced and empathetic Senior Product Manager to join our team. In this role, you will play a crucial part in identifying customer and end\-user pain points. You will be developing innovative solutions and driving the adoption and success of our products within the telecom domain.
**About The Team**
 The Carrier Platform team at Zoom is responsible for building services that interconnect industry\-leading Zoom Phone, Zoom Contact Center, and Zoom Meetings with the global telecom voice and messaging providers.
**Responsibilities**
* Having a deep understanding of customer and end\-user needs, identifying real pain points and opportunities that go beyond explicit requests.
* Developing and validating the intended quantifiable impact of product initiatives through a wide range of internal and external sources.
* Applying deep knowledge of the telecom domain and modern software stack, with meticulous attention to detail, to create effective and robust solutions.
* Driving product adoption and usage, leveraging data\-driven analytics to inform strategies and measure success.
* Exhibiting a keen sense for developing extensible frameworks, APIs, and solutions, balancing near\-term needs with long\-term growth objectives.
* Acting as a customer/end\-user champion, maintaining a high bar for user experience and simplicity in all product designs.
* Demonstrating a clear bias to execution, with the ability to lead and motivate a global cross\-functional team, including designers, developers, operational teams, and Go\-to\-Market teams.
* Being proficient in using modern AI tools and applying AI as an integral skill across ideation, validation, execution, and adoption phases of product development.
**What We’re Looking For**
* 10\+ years of experience working in the Telecom domain, with an exceptional understanding of modern wireline and wireless telco stacks. As well as experience with international compliance and regulatory practices around voice and messaging.
* 5\+ years in a product management role.
* Direct experience in building messaging services (SMS, MMS, RCS, SMPP/SMC, WhatsApp \&amp; Social messaging services).
* Direct experience in evolving registration requirements for alphanumeric sender IDs,Shortcodes, and 10 DLC.
* Direct experience driving non\-functional requirements such as a high availability, scale, cost, security, and quality of service for voice/messaging services.
**Minimum**
**Salary Range or On Target Earnings:**
 $124,000\.00
**Maximum**
 $271,200\.00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At Zoom, we offer a window of at least 5 days for you to apply because we believe in giving you every opportunity. Below is the potential closing date, just in case you want to mark it on your calendar. We look forward to receiving your application!
**Anticipated Position Close Date**
 01/05/26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Find room to grow with opportunities to stretch your skills and advance your career in a collaborative, growth\-focused environment.
**Our Commitment**
 At Zoom, we believe great work happens when people feel supported and empowered. We’re committed to fair hiring practices that ensure every candidate is evaluated based on skills, experience, and potential. If you require an accommodation during the hiring process, let us know—we’re here to support you at every step.
 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t>
        </is>
      </c>
    </row>
    <row r="9">
      <c r="A9" t="inlineStr">
        <is>
          <t>li-4324040699</t>
        </is>
      </c>
      <c r="B9" t="inlineStr">
        <is>
          <t>Senior Product Manager</t>
        </is>
      </c>
      <c r="C9" t="inlineStr">
        <is>
          <t>Kikoff</t>
        </is>
      </c>
      <c r="D9" t="inlineStr">
        <is>
          <t>linkedin</t>
        </is>
      </c>
      <c r="E9" t="inlineStr"/>
      <c r="F9" t="inlineStr"/>
      <c r="G9" t="inlineStr">
        <is>
          <t>San Francisco, CA</t>
        </is>
      </c>
      <c r="H9" t="inlineStr"/>
      <c r="I9" t="inlineStr">
        <is>
          <t>An ideal member of the product team likes to roll their sleeves up and dive in. You might conduct user interviews, dig in the database, wireframe in Miro, and dogfood the latest mobile app release, all before lunch. Because you're passionate about solving deeply personal financial problems for consumers, you will do whatever it takes to find the right solutions. You'll also work collaboratively within your dedicated product team that includes design and engineering, as well as cross\-functionally with marketing, legal, operations, leadership and whoever else you need to get it done. You won't stop until the data tells you it's right.
**What You Can Expect In This Role**
* Take direction from leadership regarding the key objectives your team needs to drive, but outline a roadmap with your product team to achieve successful outcomes, together.
* Drive the discovery process to form a deep understanding of our users and to uncover the products and features that will best empower those consumers.
* Reach beyond instinct alone to capture and analyze the right data to allow you to make the most informed decisions as you continue to evolve your approach.
* Champion your products within your team, across the company, and with consumers.
**What Will Help Make You Successful**
* You have empathy for consumers and a passion for solving consumer problems in new and innovative ways.
* You feel comfortable in the driver's seat and have a natural way of knowing how to get to the destination, but also know when it's time for others to drive.
* You've worked on successful digital consumer products for at least 2 years, preferably in a fast\-paced startup environment.
* You can wear as many hats as necessary including researcher, interface designer, analyst, and friend.
* An interest in and/or history working on modern consumer financial tools and products, with your own perspective on how best to innovate in this space
**About Kikoff**
 Kikoff is a personal finance platform designed to help millions of underserved Americans achieve financial wellness. Our mission is to provide refreshingly fair, effective, and simple pathways for everyday people to meet their financial goals. We design financial products that simplify credit building so our users can reach their financial goals. Kikoff is a Series B company and has raised over $42 million in total funding. Investors include Portage Ventures, Lightspeed Venture Partners, GGV, Coatue, Core Innovation Capital, and basketball star Stephen Curry. Kikoff was founded in 2019 and is headquartered in San Francisco with an office in Reno.
**Why Kikoff**
 This is a consumer fintech startup, and you will be working with serial entrepreneurs who have built strong consumer brands and innovative products. We are backed by some of Silicon Valley’s top VCs. We value extreme ownership, clear communication, a strong sense of craftsmanship, and the desire to create lasting work and work relationships. Yes, you can build an exciting business AND have real\-life real\-customer impact.
 🏥 Medical, dental, and vision coverage \- Kikoff covers the full cost of health insurance for the employee!
 📈 Stock Options
 🏝 Generous flexible vacation policy to help you recharge
 💰US salary range for this full\-time position consists of base \+ equity \+ benefits
 Regular team building events to help you get to know the Kikoff team and soo much more!
**Visa sponsorship available: Kikoff is willing to provide sponsorship for H1\-B visas and U.S. green cards for exceptional talent.**
 Equal Employment Opportunity Statement
 Kikoff Inc. is an equal opportunity employer. We are committed to complying with all federal, state, and local laws providing equal employment opportunities and considers qualified applicants without regard to race, color, religion, creed, gender, national origin, age, disability, veteran status, marital status, pregnancy, sex, gender expression or identity, sexual orientation, citizenship, or any other legally protected class.
**Please Reference The Following Information For More Information**
 https://www.eeoc.gov/sites/default/files/migrated\_files/employers/poster\_screen\_reader\_optimized.pdf
 https://www.dol.gov/ofccp/regs/compliance/posters/pdf/OFCCP\_EEO\_Supplement\_Final\_JRF\_QA\_508c.pdf
 If you need reasonable accommodation for a job opening please connect with us at talent@kikoff.com and describe the specific accommodation requested for a disability\-related limitation. Reasonable accommodations are modifications or adjustments to the application or hiring process that would enable you to fully participate in that process.
 San Francisco Fair Chance Ordinance
 Pursuant to the San Francisco Fair Chance Ordinance, Kikoff will consider for employment qualified applicants with arrest and conviction records.</t>
        </is>
      </c>
    </row>
    <row r="10">
      <c r="A10" t="inlineStr">
        <is>
          <t>li-4302597455</t>
        </is>
      </c>
      <c r="B10" t="inlineStr">
        <is>
          <t>AI Product Manager</t>
        </is>
      </c>
      <c r="C10" t="inlineStr">
        <is>
          <t>Scale AI</t>
        </is>
      </c>
      <c r="D10" t="inlineStr">
        <is>
          <t>linkedin</t>
        </is>
      </c>
      <c r="E10" t="inlineStr"/>
      <c r="F10" t="inlineStr"/>
      <c r="G10" t="inlineStr"/>
      <c r="H10" t="inlineStr"/>
      <c r="I10" t="inlineStr">
        <is>
          <t>Scale has been the leading AI data foundry, helping fuel the most exciting advancements in AI, including frontier model training, enterprise adoption, defense applications, and autonomous vehicles. Our mission is to develop reliable AI systems for the world’s most important decisions
 We’re looking for an
 **AI Product Manager** 
 to own one of the
 **Agent \&amp; Reinforcement Learning Environments** 
 data verticals, with a focus on
 **Computer Using Agent (CUA) data** 
 . In this role, you’ll oversee the product roadmap for your data vertical, owning “data as a product”, pipelines for data generation and quality, and researcher\-facing tools that help labs train and evaluate intelligent agents in complex environments. You’ll work directly with Scale’s most important customers and their leading researchers, representing Scale as the technical expert for your products and influencing both internal and external roadmaps.
 The ideal candidate brings together a strong entrepreneurial \&amp; go\-to\-market mindset, technical depth, and a sense for AI research, enabling them to get in front of technical stakeholders to drive mission\-critical outcomes.
**You will:**
* Own the roadmap for the Agent \&amp; RL Environment Data vertical, setting product direction and driving execution across engineering, operations, and go\-to\-market teams.
* Build technical partnerships with research teams at leading AI labs, identifying insights that shape new product lines and competitive strategies for your vertical.
* Design, experiment with, and deliver high\-quality data pipelines, tooling, and evaluation frameworks that advance RL and agentic model capabilities.
* Scope out and scale the creation of RL environments that simulate real\-world use cases.
* Collaborate cross\-functionally, influencing business priorities and diving in the weeds of research, operations, and customer interactions.
 Ideally, You’d Have
* Entrepreneurial mindset: A builder excited by ambiguity and motivated to create new products from the ground up.
* 6\+ years of experience in product management or a customer\-facing role.
* Technical fluency: Software engineering background (a degree in computer science or equivalent experience).
* Understanding of reinforcement learnings, simulation environments, or data pipelines for model training and evaluation
* Strong customer intuition and the ability to translate technical requirements into impactful product decisions.
* Bias for action and comfort wearing multiple hats and operating in fast\-moving environments.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$206,000—$258,500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11">
      <c r="A11" t="inlineStr">
        <is>
          <t>li-4254803714</t>
        </is>
      </c>
      <c r="B11" t="inlineStr">
        <is>
          <t>Product Manager</t>
        </is>
      </c>
      <c r="C11" t="inlineStr">
        <is>
          <t>Adaptive Security</t>
        </is>
      </c>
      <c r="D11" t="inlineStr">
        <is>
          <t>linkedin</t>
        </is>
      </c>
      <c r="E11" t="inlineStr"/>
      <c r="F11" t="inlineStr"/>
      <c r="G11" t="inlineStr">
        <is>
          <t>New York, NY</t>
        </is>
      </c>
      <c r="H11" t="inlineStr"/>
      <c r="I11" t="inlineStr">
        <is>
          <t>**About Adaptive**
 NVIDIA and OpenAI’s only AI cybersecurity investment.
 Adaptive is a cybersecurity startup on a mission to stop AI\-powered cyberattacks. In December 2025, the company announced an $81M Series B led by NVIDIA and Bain Capital Ventures, with participation from Capital One Ventures, Citi Ventures, and continued support from Andreessen Horowitz (a16z), the OpenAI Startup Fund, and Abstract Ventures. The round marked NVIDIA’s first AI cybersecurity investment.
 Adaptive was founded by Brian Long and Andrew Jones, repeat entrepreneurs who have built and scaled category\-defining companies. Brian and Andrew previously co\-founded Attentive, which grew to more than $500M in annual revenue and a $10B\+ valuation, and TapCommerce, which was acquired by Twitter. Together, they bring deep experience building high\-growth, product\-led businesses at massive scale as Adaptive builds the security layer for the AI era.
 Trusted by leading banks, technology companies, and healthcare organizations, Adaptive protects teams from emerging threats like deepfakes, smishing, and AI\-powered voice scams. With rapid enterprise adoption and a $200B\+ market ahead, the company is just getting started.
**Role**
 We are seeking a passionate and results\-driven Product Manager to join our New York City team. You will be responsible for driving the strategy, roadmap, and execution for one or more of our core products. You will work closely with engineering, design, sales, marketing, and customer success to ensure we are delivering innovative, high\-impact solutions that help our customers stay ahead of evolving cyber threats.
**Responsibilities**
* Define and drive the product roadmap in collaboration with leadership, GTM, engineering, and design teams.
* Gather and synthesize feedback from customers, sales, and customer success to identify product opportunities and improvements.
* Translate product strategy into detailed requirements and user stories in collaboration with design and engineering.
* Collaborate with marketing and sales to support go\-to\-market strategies and product positioning.
* Monitor key product metrics and use data to drive decisions.
* Stay ahead of cybersecurity and generative AI trends to ensure our products are leading the market.
**Qualifications**
* 4\+ years of product management experience, ideally in a high growth B2B SaaS startup.
* Strong sense of initiative, thoughtful synthesis of feedback, and swift adaptability when faced with ambiguity.
* Strong problem\-solving skills and the humility to learn from mistakes and collaborate with a team.
* Excellent written and verbal communication skills.
* Demonstrated ability to lead cross\-functional teams and deliver exceptional products.
* Strong technical acumen with an ability to engage in deep discussions with engineers and understand trade\-offs.
**What We Offer**
* An opportunity to work on a challenging product that will impact millions of people
* A culture that promotes continuous learning and growth, with access to resources and mentorship to advance your skills and career.
* A supportive, inclusive environment where every team member's contribution is valued.
**Compensation \&amp; Benefits**
* Competitive compensation and a fantastic office atmosphere.
* Premium healthcare and wellness benefits.
**Environment**
 This role is located in New York City, and requires the candidate to work from our office in New York City five days a week.
 If you are eager to apply your skills in a dynamic, collaborative environment, and are passionate about building systems that are both powerful and accessible, we would love to hear from you.</t>
        </is>
      </c>
    </row>
    <row r="12">
      <c r="A12" t="inlineStr">
        <is>
          <t>li-4330182697</t>
        </is>
      </c>
      <c r="B12" t="inlineStr">
        <is>
          <t>Product Manager</t>
        </is>
      </c>
      <c r="C12" t="inlineStr">
        <is>
          <t>Haystack</t>
        </is>
      </c>
      <c r="D12" t="inlineStr">
        <is>
          <t>linkedin</t>
        </is>
      </c>
      <c r="E12" t="inlineStr"/>
      <c r="F12" t="inlineStr"/>
      <c r="G12" t="inlineStr"/>
      <c r="H12" t="inlineStr"/>
      <c r="I12" t="inlineStr">
        <is>
          <t>**Product Manager, Analytics \| Remote** 
 We're working with Cable One on this exciting opportunity.
 As a Product Manager, Pricing \&amp; Packaging, you'll be the analytical engine behind Cable One's broadband product pricing. This is a critical role where you'll translate business objectives into actionable pricing models and promotional test plans, directly impacting customer growth and revenue. Join a company that values its employees and offers a comprehensive benefits package.
**Key Responsibilities:** 
 • Build and maintain pricing models to evaluate rate adjustments and packaging strategies.
 • Quantify customer and revenue impacts of price changes, including take\-rate shifts and retention risk.
 • Partner with Sr. Director of Promotions \&amp; Offer Strategy to model the financial impact of promotional offers.
 • Serve as the subject matter expert for broadband pricing and offer analytics.
**What You'll Need:** 
 • 4–6 years of experience in pricing strategy, product analytics, or financial modeling.
 • Strong command of Excel and/or SQL; familiarity with BI tools (Power BI, Tableau, or similar).
 • Bachelor’s degree in Economics, Finance, Business, or a quantitative field.
 • Experience partnering with Finance and Marketing to evaluate revenue trade\-offs and promotional ROI.
**Apply via Haystack today!**</t>
        </is>
      </c>
    </row>
    <row r="13">
      <c r="A13" t="inlineStr">
        <is>
          <t>li-4303080843</t>
        </is>
      </c>
      <c r="B13" t="inlineStr">
        <is>
          <t>Product Manager, Card Costs and Settlement</t>
        </is>
      </c>
      <c r="C13" t="inlineStr">
        <is>
          <t>Stripe</t>
        </is>
      </c>
      <c r="D13" t="inlineStr">
        <is>
          <t>linkedin</t>
        </is>
      </c>
      <c r="E13" t="inlineStr"/>
      <c r="F13" t="inlineStr"/>
      <c r="G13" t="inlineStr">
        <is>
          <t>San Francisco, CA</t>
        </is>
      </c>
      <c r="H13" t="inlineStr"/>
      <c r="I13"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Cards team at Stripe is responsible for the infrastructure, user facing features, and business of accepting credit, debit, and pre\-paid card payments. Delivering the best offering for processing credit, debit, and prepaid cards is critical to Stripe’s mission, given the central role card payments play in internet commerce.
 What you’ll do
 As a Product Manager for Card Costs and Settlement at Stripe, you will devise strategy, develop product requirements and deliver some of the highest impact initiatives that serve both our customers \- helping them understand, reduce and manage their payment costs \- and internal stakeholders \- helping Stripe manage its own.
 At Stripe, Product Managers help build innovative payments products for our customers. Product development is an extremely collaborative effort between engineering, design, analytics, operations and customer\-facing teams. You’d be joining a team of experienced Product Managers who have a track record of successfully building large\-scale business and consumer products that are collectively impacting millions of users around the world.
 This strategically critical role offers significant exposure to Stripe's leadership as you will drive initiatives to optimize card processing costs, streamline operations, and shape the future of our card products. On a day to day basis, you will spend your time between meeting customers (both internal and external), and working with your engineering, operations, analytics, network partnership and GTM counterparts. You will use the voice of the customers, go deep into data, and leverage ML/GenAI as you design products and drive cross\-team decisions that will have millions of dollars of impact to Stripe’s business.
**Responsibilities**
* Lead product development by engaging directly with Stripe’s users and GTM teams, uncovering critical needs in understanding and minimizing card processing costs, and translating these insights into an ambitious product roadmap.
* Set the pace for prioritization and execution for the product team, ensuring alignment with company\-wide goals.
* Collaborate with various stakeholders across the organization, including Engineering, Design, Data Science, GTM teams and Operations to drive flawless execution on product initiatives.
* Measure success quantitatively by tracking metrics and qualitatively by collecting feedback from users. Partner with Operations and Network Partnership teams to relentlessly drive continuous improvements in our cost management strategies amidst the ever\-evolving, dynamic payment landscape.Drive efficiency and accuracy through continuous improvements in accounting, reporting and P\&amp;L generation processes by collaborating closely with Finance and Accounting teams.
* Identify opportunities to platformize the capabilities built for managing card processing costs and build platform\-client relationships with other product teams across Stripe.
* Ultimately, emerge as the expert and primary point of contact across all of Stripe for everything related to card processing costs.
 Who you are
 We’re looking for someone who meets the minimum requirements to be considered for the role. If you meet these requirements, you are encouraged to apply. The preferred qualifications are a bonus, not a requirement.
**Minimum Requirements**
* Brings 5\+ years of experience in a product role
* Brings deep user empathy and a high bar for user experience
* Has been successful in delivering continuous product improvement as well as 0 \-\&gt;1 launches
* Brings ownership mindset and persistence to work on whatever it takes to ensure that your product is successful
* Ability to effectively collaborate with engineering, product, data science, and cross\-functional teams on product initiatives. Experience working with go\-to\-market teams in a B2B sales environment.
* Ability to deeply analyze data, derive insights, and make data\-driven decisions. Proven track record of instrumenting and measuring product initiatives, including those with less obvious metrics.
* Has strong written and verbal communication skills with a talent for simplifying complex concepts
* Has the ability to thrive with a high level of autonomy and responsibility
**Preferred Qualifications**
* Experience in Payments, working with Card Networks or Banking partners.
* Experience working with ML, data science and data analyst teams. SQL proficiency will help.
* Experience managing and growing platform products
* Experience overseeing operational processes or managing operational teams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4">
      <c r="A14" t="inlineStr">
        <is>
          <t>li-4338530110</t>
        </is>
      </c>
      <c r="B14" t="inlineStr">
        <is>
          <t>Product Manager, Terminal Device Expansion</t>
        </is>
      </c>
      <c r="C14" t="inlineStr">
        <is>
          <t>Stripe</t>
        </is>
      </c>
      <c r="D14" t="inlineStr">
        <is>
          <t>linkedin</t>
        </is>
      </c>
      <c r="E14" t="inlineStr"/>
      <c r="F14" t="inlineStr"/>
      <c r="G14" t="inlineStr">
        <is>
          <t>San Francisco, CA</t>
        </is>
      </c>
      <c r="H14" t="inlineStr"/>
      <c r="I14" t="inlineStr">
        <is>
          <t>**About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Stripe Terminal helps our users extend their online presence to the physical world. The Terminal team’s mission is to make it as easy for businesses to accept in\-person payments as the Stripe API has done for online payments. With Terminal, businesses can unlock in\-person payments use cases that are right for their business model—whether it’s creating a superb retail experience, extending their website to a pop\-up store, or enabling a mobile point\-of\-sale at their next event.
 We’re looking for an experienced product manager to lead and shape the future of the software platform that powers Stripe Terminal’s devices portfolio. Working closely with your engineering partners you will design, build and launch device software capabilities that delight users and differentiate Stripe’s solutions in the market. Working closely with our hardware experts you will build the multi\-year strategy for how Stripe will continue to enhance the scalability, reliability, usability, and market differentiation of the software capabilities of our in\-person commerce devices.
 In this role, you will work with a spectrum of users, from our largest platforms to small start ups as well as external technology partners to deeply understand user needs and market trends. You will obsess over stability, scalability, and expanding our product while delivering the best in person experiences in the world.
**What You'll Do**
 Set a motivating multi\-year vision for device software in partnership with the Hardware team and then break it down into measurable, meaningful milestones for the Terminal OS Platform Team and the Firmware team. This includes creating buy\-in, crafting roadmaps and OKRs, and navigating trade\-offs.
* Partner with software and hardware engineers to deeply understand the technology that our devices rely on and how to build on that technology to support exponential growth and a world\-class user experience. These experiences will include (but are not limited to) device boot up, device software updates (including AOSP, firmware and applications), device security, software and device performance, connectivity and devices accessories.
* Partner with cross\-functional partners to research, document, and deeply understand what Terminal customers need to enable an excellent in person payments experience.
* Build empathy with our end users and the differentiation they aim to deliver for their merchants.
* Deeply research and understand the competitive landscape and translate that understanding into differentiating features for your product suite.
* Collaborate with the Partnerships team to develop a compelling roadmap for how we can extend Terminal growth via third\-party hardware partnerships and clearly communicate the business value of these partnerships in the context of our wider Terminal Hardware roadmap to gain alignment across Terminal and Stripe leadership.
* Use metrics to inform your point of view and leverage analytics to measure success.
* Define product requirements, provide clear guidance on prioritization, and support decisions related to development sequencing. You will also participate in sprint planning rituals to deliver against those requirements and the overall roadmap.
* Leverage your technical knowledge and experience to help your team make technical trade off decisions.
**We’re Looking For Someone Who Has**
* 8\+ years of product management experience or equivalent
* Demonstrated success and strong execution track record in building and sustaining scalable technology products.
* Great interpersonal skills and strong verbal and written communication. You can collaborate and thrive in productive, healthy debate done with mutual respect and shared goals. You can make complex concepts accessible with clear communication
* Proven track record of successful stakeholder management including executive communications, handling escalations, and advocating for ongoing investment in your product.
* Experience working on products with developer interfaces (App deployment, APIs, SDKs); hardware or hardware\-related product experience a plus.
* Technically adept systems thinker, ideally with a Computer Science or equivalent degree or experience working as a software engineer
* Open to travel to Asia, including traveling at times to our Hong Kong or Taiwan locations.
 Experience in 1 \- 2 of the following areas are nice to have:
* Mobile device management
* Android operating system internals
* Hardware build and lifecycle management
* Payments and/or eCommerce
* Experience successfully building and launching 0\-1 products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$214,300 \- $321,500\.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5">
      <c r="A15" t="inlineStr">
        <is>
          <t>li-4338389862</t>
        </is>
      </c>
      <c r="B15" t="inlineStr">
        <is>
          <t>Senior Product Manager – Cosmos Reason</t>
        </is>
      </c>
      <c r="C15" t="inlineStr">
        <is>
          <t>NVIDIA</t>
        </is>
      </c>
      <c r="D15" t="inlineStr">
        <is>
          <t>linkedin</t>
        </is>
      </c>
      <c r="E15" t="inlineStr"/>
      <c r="F15" t="inlineStr"/>
      <c r="G15" t="inlineStr">
        <is>
          <t>Santa Clara, CA</t>
        </is>
      </c>
      <c r="H15" t="inlineStr"/>
      <c r="I15" t="inlineStr">
        <is>
          <t>NVIDIA’s Simulation division creates industry leading technology for AI and high\-end virtual experiences. You will help lead NVIDIA’s simulation products with a focus on AI models. You will drive standard methodologies for defining and delivery products, project planning and development methodologies. You will have a strong passion for planning, development and a broad knowledge of AI and robotics technology, and good sensibility for building products. We are now looking for a Senior Product Manager – Cosmos Reason.
**What You'll Be Doing**
* Define and Prove: Collect insights and build market analysis that provides the data to enter or change new markets through a clear value proposition for physical AI reasoning capabilities
* Market intelligence: Understand robotic, autonomous vehicle, and industrial automation developers, partners, and the physical AI ecosystem
* Build and Deliver: Collaborate with research and engineering to promote the customer's needs through setting feature priorities across roadmaps
* Sense and Respond: Work closely with customers, build surveys, present at conferences, understand product quality and supervise critical features, improvements, and bugs.
* Marketing content creation: Work with marketing to define positioning that enables the creation of technical content, including blog posts, webinars, developer tutorials, and more to communicate the product value proposition
* Product launches: Define the go\-to\-market strategy and provide guidance to the cross\-functional implementation of the plan across marketing, public relations, and sales.
**What We Need To See**
* BS or MS in Computer Science, Engineering, or other technical field (or equivalent experience).
* 12\+ years of product management, or similar, experience at a technology company
* Passionate about working at the intersection of ground breaking research and practical product development, driving teams to translate breakthrough innovations into shippable software, services, libraries, and SDKs.
* Proven track record of collaboration across teams, customers, and partners
* Extensive experience working in highly matrixed environments, able to lead through influence and corral and align many teams on a common vision
* Outstanding interpersonal and public communication skills with a shown ability to articulate a value proposition to technical and non\-technical audiences.
**Ways To Stand Out From The Crowd**
* Experience working with multimodal Large Language Models, specifically with curating data, training or fine\-tuning, and using reinforcement learning
* Thorough understanding of physics, robotics and/or autonomous vehicles
* Extensive knowledge of 3D graphics, computer vision, spatial computing pipelines, and related tools/ecosystems (e.g., game engines, VFX tools, simulation platforms)
* Background in motion capture, virtual production, or real\-time rendering workflows
 With highly competitive salaries and a comprehensive benefits package, NVIDIA is widely considered to be one of the technology world's most desirable employers. We have some of the most hard\-working and dedicated people in the world working for us and, due to outstanding growth, our Product Management teams are growing fast. If you're a creative and have a genuine passion for technology, we want to hear from you.
 Your base salary will be determined based on your location, experience, and the pay of employees in similar positions. The base salary range is 208,000 USD \- 327,750 USD for Level 5, and 240,000 USD \- 379,500 USD for Level 6\.
 You will also be eligible for equity and benefits .
 Applications for this job will be accepted at least until December 5,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JR2007795</t>
        </is>
      </c>
    </row>
    <row r="16">
      <c r="A16" t="inlineStr">
        <is>
          <t>li-4333350123</t>
        </is>
      </c>
      <c r="B16" t="inlineStr">
        <is>
          <t>Hardware Product Manager</t>
        </is>
      </c>
      <c r="C16" t="inlineStr">
        <is>
          <t>Square</t>
        </is>
      </c>
      <c r="D16" t="inlineStr">
        <is>
          <t>linkedin</t>
        </is>
      </c>
      <c r="E16" t="inlineStr"/>
      <c r="F16" t="inlineStr"/>
      <c r="G16" t="inlineStr"/>
      <c r="H16" t="inlineStr"/>
      <c r="I16" t="inlineStr">
        <is>
          <t>Since we opened our doors in 2009, the world of commerce has evolved immensely, and so has Square. After enabling anyone to take payments and never miss a sale, we saw sellers stymied by disparate, outmoded products and tools that wouldn’t work together.
 So we expanded into software and started building integrated, omnichannel solutions – to help sellers sell online, manage inventory, offer buy now, pay later functionality, book appointments, engage loyal buyers, and hire and pay staff. Across it all, we’ve embedded financial services tools at the point of sale, so merchants can access a business loan and manage their cash flow in one place. Afterpay furthers our goal to provide omnichannel tools that unlock meaningful value and growth, enabling sellers to capture the next generation shopper, increase order sizes, and compete at a larger scale.
 Today, we are a partner to sellers of all sizes – large, enterprise\-scale businesses with complex operations, sellers just starting, as well as merchants who began selling with Square and have grown larger over time. As our sellers grow, so do our solutions. There is a massive opportunity in front of us. We’re building a significant, meaningful, and lasting business, and we are helping sellers worldwide do the same.
**The Role**
 As a Hardware Product Manager at Square, you are responsible for the product health of our hardware product lines (i.e., Readers, Stand, Kiosk, Terminal, Handheld, Register), the business impact, and the customer success. You’ll monitor the performance of our devices in the field and apply a wide suite of telemetry tools to ensure that our customers have the best device experience possible. You will also identify new product opportunities, translate those opportunities into product requirements and work with a best\-in\-class design, engineering, and manufacturing team to turn those ideas into new features. You will be responsible for continuously identifying and executing on ways to improve your product through a deep understanding of our customers, competitors, and the changing landscape we operate in.
**You Will**
* Develop a clear understanding and be able to articulate who is deciding to use your product(s), why they selected it, what gaps it has, and what aspects are most important to your users through regular conversations with our sellers and thorough data\-driven investigations into our product telemetry.
* Understand the impact of your product on the main customer segments and the business impact of your product to Square.
* Be responsible for clear communication of your 12\-month roadmap, including translating the roadmap features into quarterly plans and participating in the prioritization sessions for the executing teams to provide clarity on your asks and context on priority and impact.
* Have a high\-level understanding of technical and operational aspects of the product that need to be considered as context or inputs into product decisions.
* Be the first line of triage for new field product issues. Investigate new field issues to provide the relevant technical teams with a place to start and a sense of importance / urgency.
* Be the cross\-functional aggregator / decision driver when a cross\-functional decision’s primary impact is to the business performance or customer experience of a product.
**You Have**
* 4\+ years of product management experience or equivalent product strategy and customer insights experience.
* Experience leading the delivery of products / features / projects which have a high degree of cross\-functional complexity and integration.
* A track record of shipping and iterating on successful consumer or small business products.
* Experience making data\-driven decisions working with data science teams and tools.
* Great interpersonal, communication, organizational, analytical skills. A proven ability to influence.
* A passion for Square’s mission of economic empowerment and well designed hardware products.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$163,600—$245,400 USD
**Zone B**
 $155,400—$233,200 USD
**Zone C**
 $147,300—$220,900 USD
**Zone D**
 $139,000—$208,600 USD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17">
      <c r="A17" t="inlineStr">
        <is>
          <t>li-4338490265</t>
        </is>
      </c>
      <c r="B17" t="inlineStr">
        <is>
          <t>Product Manager, Terminal Device Expansion</t>
        </is>
      </c>
      <c r="C17" t="inlineStr">
        <is>
          <t>Stripe</t>
        </is>
      </c>
      <c r="D17" t="inlineStr">
        <is>
          <t>linkedin</t>
        </is>
      </c>
      <c r="E17" t="inlineStr"/>
      <c r="F17" t="inlineStr"/>
      <c r="G17" t="inlineStr">
        <is>
          <t>Seattle, WA</t>
        </is>
      </c>
      <c r="H17" t="inlineStr"/>
      <c r="I17" t="inlineStr">
        <is>
          <t>**About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Stripe Terminal helps our users extend their online presence to the physical world. The Terminal team’s mission is to make it as easy for businesses to accept in\-person payments as the Stripe API has done for online payments. With Terminal, businesses can unlock in\-person payments use cases that are right for their business model—whether it’s creating a superb retail experience, extending their website to a pop\-up store, or enabling a mobile point\-of\-sale at their next event.
 We’re looking for an experienced product manager to lead and shape the future of the software platform that powers Stripe Terminal’s devices portfolio. Working closely with your engineering partners you will design, build and launch device software capabilities that delight users and differentiate Stripe’s solutions in the market. Working closely with our hardware experts you will build the multi\-year strategy for how Stripe will continue to enhance the scalability, reliability, usability, and market differentiation of the software capabilities of our in\-person commerce devices.
 In this role, you will work with a spectrum of users, from our largest platforms to small start ups as well as external technology partners to deeply understand user needs and market trends. You will obsess over stability, scalability, and expanding our product while delivering the best in person experiences in the world.
**What You'll Do**
 Set a motivating multi\-year vision for device software in partnership with the Hardware team and then break it down into measurable, meaningful milestones for the Terminal OS Platform Team and the Firmware team. This includes creating buy\-in, crafting roadmaps and OKRs, and navigating trade\-offs.
* Partner with software and hardware engineers to deeply understand the technology that our devices rely on and how to build on that technology to support exponential growth and a world\-class user experience. These experiences will include (but are not limited to) device boot up, device software updates (including AOSP, firmware and applications), device security, software and device performance, connectivity and devices accessories.
* Partner with cross\-functional partners to research, document, and deeply understand what Terminal customers need to enable an excellent in person payments experience.
* Build empathy with our end users and the differentiation they aim to deliver for their merchants.
* Deeply research and understand the competitive landscape and translate that understanding into differentiating features for your product suite.
* Collaborate with the Partnerships team to develop a compelling roadmap for how we can extend Terminal growth via third\-party hardware partnerships and clearly communicate the business value of these partnerships in the context of our wider Terminal Hardware roadmap to gain alignment across Terminal and Stripe leadership.
* Use metrics to inform your point of view and leverage analytics to measure success.
* Define product requirements, provide clear guidance on prioritization, and support decisions related to development sequencing. You will also participate in sprint planning rituals to deliver against those requirements and the overall roadmap.
* Leverage your technical knowledge and experience to help your team make technical trade off decisions.
**We’re Looking For Someone Who Has**
* 8\+ years of product management experience or equivalent
* Demonstrated success and strong execution track record in building and sustaining scalable technology products.
* Great interpersonal skills and strong verbal and written communication. You can collaborate and thrive in productive, healthy debate done with mutual respect and shared goals. You can make complex concepts accessible with clear communication
* Proven track record of successful stakeholder management including executive communications, handling escalations, and advocating for ongoing investment in your product.
* Experience working on products with developer interfaces (App deployment, APIs, SDKs); hardware or hardware\-related product experience a plus.
* Technically adept systems thinker, ideally with a Computer Science or equivalent degree or experience working as a software engineer
* Open to travel to Asia, including traveling at times to our Hong Kong or Taiwan locations.
 Experience in 1 \- 2 of the following areas are nice to have:
* Mobile device management
* Android operating system internals
* Hardware build and lifecycle management
* Payments and/or eCommerce
* Experience successfully building and launching 0\-1 products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$214,300 \- $321,500\.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8">
      <c r="A18" t="inlineStr">
        <is>
          <t>li-4312913971</t>
        </is>
      </c>
      <c r="B18" t="inlineStr">
        <is>
          <t>Product Manager II - Base App</t>
        </is>
      </c>
      <c r="C18" t="inlineStr">
        <is>
          <t>Coinbase</t>
        </is>
      </c>
      <c r="D18" t="inlineStr">
        <is>
          <t>linkedin</t>
        </is>
      </c>
      <c r="E18" t="inlineStr"/>
      <c r="F18" t="inlineStr"/>
      <c r="G18" t="inlineStr">
        <is>
          <t>San Francisco, CA</t>
        </is>
      </c>
      <c r="H18" t="inlineStr"/>
      <c r="I18" t="inlineStr">
        <is>
          <t>Base is planning to bring a million developers and a billion users onchain. We need your help to make that happen.
 We believe that the onchain platform is the most important builder platform since the internet ("online"). We believe that the onchain platform should be open source, free to use, and globally available. And we believe that to make it truly work, we need to make the onchain experience as intuitive, rewarding, and social as the apps people use every day.
 At Base, we live by our Stay Based values: we do the right thing, work hard, stay optimistic, prioritize the team, and push creative boundaries—all while building the future of onchain. We value a Zone 3\+ work ethic, where our team rises to the challenge, embraces hard weeks, and makes small to significant personal tradeoffs when necessary to drive impact and innovation.
 We're looking for a strong Product Manager to lead the strategy and execution of the Base App's creator tools. In this role, you'll shape how people create, earn, and discover onchain, helping creators build markets around their work and users explore the best content, apps, trades, and experiences.
**What you'll be doing (ie. job duties):**
* Work with Engineering, Design, Data Science, and Marketing to discover, build, and launch experiences that bring millions of users onchain and make the Base App part of everyday life.
* Own the quarterly desired outcome, product backlog, and week\-to\-week execution on a focused set of prioritized opportunities
* Comfortable defining metrics, running experiments, and driving measurable engagement and retention outcomes
* Operates with high accountability \- bias toward action, ownership mentality, and strong follow\-through
* Report on progress, surface strategic blockers, and refine strategy with Base Leadership
* Work with creators and ecosystem builders to uncover unmet needs and the most impactful product opportunities for growing shared wins
**What we look for in you (ie. job requirements):**
* 5\+ years of Product Management, shipping consumer\-facing products end\-to\-end with proven cross\-functional experience (e.g., BD, Marketing, Finance, Legal)
* Deep experience in onchain products (wallets, social protocols, creator tools, or trading surfaces) or proven mastery in social consumer apps (feeds, growth loops, ranking, or creator ecosystems)
* An owner mindset with the ability to succeed in a fast\-paced environment
* Understands wallets, transactions, gas, and onchain identity models (or can learn fast)
* Comfortable driving alignment across key stakeholders while keeping velocity high
* Inner drive to go beyond scope, think ahead of the curve, and raise the bar for what an onchain consumer product can be
* You excel in working in fast\-moving environments where culture, product, and markets converge
* Excellent written and verbal communication skills
**Nice to haves:**
* You're deeply curious about the evolving landscape of consumer social, creator tools, and cultural platforms you've kept up with how people create, share, and earn online
* You've contributed to or collaborated with an onchain project, community, or app
* You have experience building or scaling social graphs, feeds, or creator monetization systems
* Experience in both offchain social growth mechanics and crypto product design principles
**Pay Transparency Notice** 
 :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$180,370—$212,200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19">
      <c r="A19" t="inlineStr">
        <is>
          <t>li-4330039012</t>
        </is>
      </c>
      <c r="B19" t="inlineStr">
        <is>
          <t>Product Manager - Learning Marketplace</t>
        </is>
      </c>
      <c r="C19" t="inlineStr">
        <is>
          <t>RemoteHunter</t>
        </is>
      </c>
      <c r="D19" t="inlineStr">
        <is>
          <t>linkedin</t>
        </is>
      </c>
      <c r="E19" t="inlineStr"/>
      <c r="F19" t="inlineStr"/>
      <c r="G19" t="inlineStr"/>
      <c r="H19" t="inlineStr"/>
      <c r="I19" t="inlineStr">
        <is>
          <t>About the Opportunity:
 This organization simplifies workforce compliance management across healthcare, connecting millions of professionals, employers, and regulators through innovative technology and strategic partnerships. The role is for a Product Manager to lead the strategic evolution of a two\-sided education marketplace, transforming it into a dynamic, revenue\-generating EdTech platform focused on balancing Education Providers with Learner engagement and retention.
 Responsibilities:
 • Define and communicate product vision and own the roadmap for the education marketplace.
 • Improve learner experience through content discovery, recommendation algorithms, search relevance, gamification, certificates, and Q\&amp;A features.
 • Develop tools and analytics to help instructors create quality content, manage students, and maximize earnings.
 • Lead the implementation of AI\-driven features such as personalized learning assistants, auto\-generated quizzes, and AI localization.
 • Lead and influence a cross\-functional team of engineers and designers, coordinating with Sales, Support, Marketing, and Finance.
 • Produce high\-quality product documentation and mentor junior Product Managers.
 Requirements:
 • 5\-8 years of Product Management experience with a track record of shipping complex software products.
 • Experience in EdTech or two\-sided marketplaces is highly preferred.
 • Familiarity with Learning Management Systems, recommendation engines, or video streaming technologies.
 • Ability to present strategy and results to senior leadership and manage complex stakeholder environments.
 • Strong problem\-solving skills with a data\-driven decision\-making approach.
 • Expertise in Agile methodologies and proficiency with Jira and Confluence.
 Preferred Qualifications:
 • Experience in eCommerce or Healthcare.
 • Background in Computer Science, Business Administration, or related field.
 Benefits \&amp; Perks:
 • Recognized as a top workplace with industry awards.
 • Professional development allowance.
 • Flexible work arrangements and ample paid time off, including volunteer time, birthday, and parental leave.
 For US Employees:
 • 401K with company matching and financial planning resources.
 • Medical, dental, and vision insurance options including HSA and FSA for employees and dependents.
 • Annual Lifestyle Spending Account for wellness\-related expenses.
 For LATAM Employees:
 • 100% covered health insurance premiums with national and international coverage.
 • Flexible benefits platform with monthly redeemable points and exclusive discounts.
 • Company\-paid life insurance with discounted beneficiary additions.
 Additional Information:
 Full\-time roles require 40 hours per week Monday through Friday unless otherwise needed. Part\-time roles are capped at 30 hours per week and do not include equipment, benefits, or perks. This position is open to candidates authorized to work in the US and residing within US borders. The organization is an equal opportunity employer encouraging candidates from all backgrounds to apply.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0">
      <c r="A20" t="inlineStr">
        <is>
          <t>li-4313404755</t>
        </is>
      </c>
      <c r="B20" t="inlineStr">
        <is>
          <t>Senior Product Manager, Developer Platform</t>
        </is>
      </c>
      <c r="C20" t="inlineStr">
        <is>
          <t>Square</t>
        </is>
      </c>
      <c r="D20" t="inlineStr">
        <is>
          <t>linkedin</t>
        </is>
      </c>
      <c r="E20" t="inlineStr"/>
      <c r="F20" t="inlineStr"/>
      <c r="G20" t="inlineStr"/>
      <c r="H20" t="inlineStr"/>
      <c r="I20" t="inlineStr">
        <is>
          <t>Since we opened our doors in 2009, the world of commerce has evolved immensely, and so has Square. After enabling anyone to take payments and never miss a sale, we saw sellers stymied by disparate, outmoded products and tools that wouldn’t work together.
 So we expanded into software and started building integrated, omnichannel solutions – to help sellers sell online, manage inventory, offer buy now, pay later functionality, book appointments, engage loyal buyers, and hire and pay staff. Across it all, we’ve embedded financial services tools at the point of sale, so merchants can access a business loan and manage their cash flow in one place. Afterpay furthers our goal to provide omnichannel tools that unlock meaningful value and growth, enabling sellers to capture the next generation shopper, increase order sizes, and compete at a larger scale.
 Today, we are a partner to sellers of all sizes – large, enterprise\-scale businesses with complex operations, sellers just starting, as well as merchants who began selling with Square and have grown larger over time. As our sellers grow, so do our solutions. There is a massive opportunity in front of us. We’re building a significant, meaningful, and lasting business, and we are helping sellers worldwide do the same.
**The Role**
 The Developer Platform team at Square helps sellers better run and grow their business through remarkable 3rd\-party developer and partner solutions. We’re looking for a Senior Product Manager to lead the strategy and direction for our suite of payment APIs and SDKs, which help sellers integrate Square with 3rd\-party point of sale systems and mobile applications. You’ll work closely with Engineering, Design, Partnerships, Sales and Account Management to help attract and retain some of Square’s largest sellers, by delivering intuitive and scalable developer solutions.
**You Will**
* Own the vision, strategy and execution for our suite of in\-person and mobile payment APIs and SDKs (Terminal API, Mobile Payments SDK, In\-App Payments SDK, Point of Sale API)
* Use data and customer insights to make informed product decisions and measure success
* Work closely with sellers, partners and 3rd\-party developers to deeply understand their payment processes, pain points and needs
* Work with engineering and design teams to deliver new features and capabilities, and to launch existing products in new markets
* Collaborate with teams across Square (Hardware, Payments, Product Marketing, Partnerships, Sales, Account Management, Solutions Engineering, Technical Writers, Developer Relations, Developer Success) to drive alignment, influence product direction, deliver products to market, and meet payment processing revenue goals
**You Have**
* 8\+ years of product management experience, with demonstrated success building complex developer, enterprise or B2B products
* Experience shipping APIs or SDKs for an external developer audience, or prior work experience as a software developer; mobile or payments experience is a plus
* Ability to articulate a compelling long\-term vision and strategy for your product area, while breaking it down into actionable milestones
* Strong analytical skills; experience using metrics to drive product decisions and measure success
* A track record of working collaboratively with product delivery and go\-to\-market teams, as well as working directly with external customers and partners
* Excellent communication skills; can drive clarity and alignment with large cross\-functional teams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also consider qualified applicants with criminal histories for employment on our team, and always assess candidates on an individualized basis.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Block will consider qualified applicants with arrest or conviction records for employment in accordance with state and local laws and “fair chance” ordinances.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$198,000—$297,000 USD
**Zone B**
 $188,100—$282,100 USD
**Zone C**
 $178,200—$267,400 USD
**Zone D**
 $168,300—$252,500 USD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21">
      <c r="A21" t="inlineStr">
        <is>
          <t>li-4333098074</t>
        </is>
      </c>
      <c r="B21" t="inlineStr">
        <is>
          <t>Go-to-Market Product Manager - Customer Ecosystem and ODM Enablement</t>
        </is>
      </c>
      <c r="C21" t="inlineStr">
        <is>
          <t>NVIDIA</t>
        </is>
      </c>
      <c r="D21" t="inlineStr">
        <is>
          <t>linkedin</t>
        </is>
      </c>
      <c r="E21" t="inlineStr"/>
      <c r="F21" t="inlineStr"/>
      <c r="G21" t="inlineStr">
        <is>
          <t>Santa Clara, CA</t>
        </is>
      </c>
      <c r="H21" t="inlineStr"/>
      <c r="I21" t="inlineStr">
        <is>
          <t>NVIDIA’s invention of the GPU in 1999 fueled the growth of the PC gaming market, redefined modern computer graphics, and revolutionized parallel computing. More recently, GPU deep learning ignited modern AI — the next era of computing — with the GPU acting as the brain of computers, robots, and self\-driving cars that can perceive and understand the world. This is our life’s work — to amplify human creativity and intelligence. Are you ready to help us change the world?
 Our team takes pride in building a wide range of products — GPU PCIe cards, SHIELD consumer devices, Jetson embedded platforms, DRIVE autonomous vehicle technologies, modular data center architectures, and more. In this role, you will have the opportunity to help bring ground\-breaking technologies to life!
**What You'll Be Doing**
* Lead go\-to\-market efforts for a given product(s), aligning the team’s efforts throughout the product lifecycle, including ideation, prototyping, validation, manufacturing, launch, and sustaining
* Drive priorities to ensure product(s) achieve schedule/scope/budget targets, proactively elevate risks and obstacles
* Work with matrixed team of partners from hardware, software, marketing, operations, and other teams to close gaps and resolve issues
* Communicate product status to internal (including executive) teams in NVIDIA and JDM/ODM partners from initial requirement definition through production delivery.
* Provide clear leadership and instruction to JDM and ODM partners to align with NVIDIA expectation and monitor the progress to release the product to the market
* Continuously improve product quality by maintaining pulse on customer issues and feedback after launch, as well as by managing internal beta testing execution and integration of user feedback into product roadmap
**What We Need To See**
* BS degree or greater in an engineering field (or equivalent experience)
* 5\+ yrs of working experience
* Hands on experience with hardware product development
* Strong project/program/product management fundamentals
* Culture of continuous learning, ongoing process improvement, and a first\-principles approach to problem\-solving
* Experience in influencing decisions and leading teams in a matrix environment, comfortable with ambiguity
* Excellent communication and presentation abilities
**Ways To Stand Out From The Crowd**
* Successfully delivering products from concept through launch
* Deep understanding of server product development processes, including fundamentals of hardware design, firmware development, system validation and project management skills
* Proven understanding of NPI processes, including working with operations on manufacturing, quality, RMA, and EOL
* Master’s degree in engineering or business is a bonus
* PM Certification/training a plus, not required
 With highly competitive salaries and a comprehensive benefits package, NVIDIA is widely considered to be one of the technology industry's most desirable employers. We have some of the most forward\-thinking and hardworking people in the world working with us and our product lines are growing fast in some of the hottest state of the art fields such as Artificial Intelligence, Deep Learning, Autonomous Vehicles, and Robotics. We have a real passion for perfection and for building products that excite the imagination. If you share these values and have the experience and skills to participate, we would love to have you join our team.
 Your base salary will be determined based on your location, experience, and the pay of employees in similar positions. The base salary range is 132,000 USD \- 207,000 USD for Level 3, and 160,000 USD \- 253,000 USD for Level 4\.
 You will also be eligible for equity and benefits .
 Applications for this job will be accepted at least until November 25,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JR2002082</t>
        </is>
      </c>
    </row>
    <row r="22">
      <c r="A22" t="inlineStr">
        <is>
          <t>li-4302084268</t>
        </is>
      </c>
      <c r="B22" t="inlineStr">
        <is>
          <t>Sr Product Manager, VR Labs</t>
        </is>
      </c>
      <c r="C22" t="inlineStr">
        <is>
          <t>Axon</t>
        </is>
      </c>
      <c r="D22" t="inlineStr">
        <is>
          <t>linkedin</t>
        </is>
      </c>
      <c r="E22" t="inlineStr"/>
      <c r="F22" t="inlineStr"/>
      <c r="G22" t="inlineStr">
        <is>
          <t>Scottsdale, AZ</t>
        </is>
      </c>
      <c r="H22" t="inlineStr"/>
      <c r="I22" t="inlineStr">
        <is>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As Senior Product Manager for VR Labs, you will lead Axon’s innovation function for immersive training. VR Labs is where new technologies and ideas are explored, tested, and validated to inform how Axon can continue raising the bar in virtual reality training. You will design and oversee structured experiments, evaluate technical feasibility and training value, and deliver clear recommendations on which concepts are worth advancing. Your work will ensure that Axon continues to explore the most promising opportunities while keeping innovation grounded in real\-world impact for public safety professionals.
 This role is focused on early\-stage exploration, with most initiatives remaining experimental in nature. However, some programs may eventually graduate into full in\-production products, and you will play a key role in guiding those transitions when they occur. By balancing curiosity with pragmatism, you will help shape how Axon identifies and incubates the technologies that could influence the next generation of immersive training.
 In addition to leading Labs initiatives, you will also own TASER Arena, Axon’s VR gaming initiative. TASER Arena has become a widely adopted, gamified way to reinforce TASER fundamentals and introduce agencies to the possibilities of VR training. You will be responsible for its ongoing performance, customer adoption, and ensuring it continues to deliver meaningful value to customers as part of Axon’s VR portfolio.
**Reports To:** 
 Sr Director, Extended Reality
**Direct Reports:** 
 None, individual contributor role
**Work Location:** 
 This role is based out of our Seattle, WA or Scottsdale, AZ office and follows a hybrid schedule. We rely on in\-person collaboration and ask that team members work onsite Tuesdays through Fridays, with the flexibility to work remotely on Mondays, unless there is an approved workplace accommodation. We believe that connection fuels innovation, and our in\-office culture is designed to foster meaningful teamwork, mentorship, and shared success.
**What You’ll Do**
* Lead VR Labs by identifying, prototyping, and evaluating new technologies and approaches in immersive training
* Establish and apply structured methods for assessing technology readiness and customer value
* Partner with user research to gather insights from customers and trainees, shaping clear recommendations for future investments
* Work with internal and external development teams to define, build, and iterate on prototypes and proofs\-of\-concept
* Collaborate with user research to conduct qualitative testing and produce reports that inform business decisions on whether to scale, pause, or pivot initiatives
* Build and maintain solid relationships with hardware and software partners to expand Axon’s innovation pipeline
* Own TASER Arena, Axon’s VR gaming initiative, ensuring it remains an accessible, gamified training experience that drives customer adoption of VR
**What You Bring**
* 6\+ years of Product Management experience, ideally including early\-stage innovation or incubation
* Experience spearheading early\-stage innovation, building business cases, and leading prototype efforts in dynamic environments
* Comfort with ambiguity: ability to generate hypotheses, design experiments, and pivot based on results
* Experience working with immersive technologies (VR, AR, MR) or adjacent fields (AI, haptics, multiplayer systems)
* Ability to frame tradeoffs and influence at both strategic and tactical levels
* Flexibility to travel domestically and internationally when necessary (Up to 5%)
**Benefits That Benefit You**
* Competitive salary and 401K with employer match
* Discretionary paid time off
* Robust parental leave policy
* An award\-winning office/working environment
* Ride along with real police officers in real life situations, see them use technology, get inspired
* And more at axon.com/careers/benefits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23">
      <c r="A23" t="inlineStr">
        <is>
          <t>li-4302068850</t>
        </is>
      </c>
      <c r="B23" t="inlineStr">
        <is>
          <t>Sr Product Manager, VR Labs</t>
        </is>
      </c>
      <c r="C23" t="inlineStr">
        <is>
          <t>Axon</t>
        </is>
      </c>
      <c r="D23" t="inlineStr">
        <is>
          <t>linkedin</t>
        </is>
      </c>
      <c r="E23" t="inlineStr"/>
      <c r="F23" t="inlineStr"/>
      <c r="G23" t="inlineStr">
        <is>
          <t>Seattle, WA</t>
        </is>
      </c>
      <c r="H23" t="inlineStr"/>
      <c r="I23" t="inlineStr">
        <is>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As Senior Product Manager for VR Labs, you will lead Axon’s innovation function for immersive training. VR Labs is where new technologies and ideas are explored, tested, and validated to inform how Axon can continue raising the bar in virtual reality training. You will design and oversee structured experiments, evaluate technical feasibility and training value, and deliver clear recommendations on which concepts are worth advancing. Your work will ensure that Axon continues to explore the most promising opportunities while keeping innovation grounded in real\-world impact for public safety professionals.
 This role is focused on early\-stage exploration, with most initiatives remaining experimental in nature. However, some programs may eventually graduate into full in\-production products, and you will play a key role in guiding those transitions when they occur. By balancing curiosity with pragmatism, you will help shape how Axon identifies and incubates the technologies that could influence the next generation of immersive training.
 In addition to leading Labs initiatives, you will also own TASER Arena, Axon’s VR gaming initiative. TASER Arena has become a widely adopted, gamified way to reinforce TASER fundamentals and introduce agencies to the possibilities of VR training. You will be responsible for its ongoing performance, customer adoption, and ensuring it continues to deliver meaningful value to customers as part of Axon’s VR portfolio.
**Reports To:** 
 Sr Director, Extended Reality
**Direct Reports:** 
 None, individual contributor role
**Work Location:** 
 This role is based out of our Seattle, WA or Scottsdale, AZ office and follows a hybrid schedule. We rely on in\-person collaboration and ask that team members work onsite Tuesdays through Fridays, with the flexibility to work remotely on Mondays, unless there is an approved workplace accommodation. We believe that connection fuels innovation, and our in\-office culture is designed to foster meaningful teamwork, mentorship, and shared success.
**What You’ll Do**
* Lead VR Labs by identifying, prototyping, and evaluating new technologies and approaches in immersive training
* Establish and apply structured methods for assessing technology readiness and customer value
* Partner with user research to gather insights from customers and trainees, shaping clear recommendations for future investments
* Work with internal and external development teams to define, build, and iterate on prototypes and proofs\-of\-concept
* Collaborate with user research to conduct qualitative testing and produce reports that inform business decisions on whether to scale, pause, or pivot initiatives
* Build and maintain solid relationships with hardware and software partners to expand Axon’s innovation pipeline
* Own TASER Arena, Axon’s VR gaming initiative, ensuring it remains an accessible, gamified training experience that drives customer adoption of VR
**What You Bring**
* 6\+ years of Product Management experience, ideally including early\-stage innovation or incubation
* Experience spearheading early\-stage innovation, building business cases, and leading prototype efforts in dynamic environments
* Comfort with ambiguity: ability to generate hypotheses, design experiments, and pivot based on results
* Experience working with immersive technologies (VR, AR, MR) or adjacent fields (AI, haptics, multiplayer systems)
* Ability to frame tradeoffs and influence at both strategic and tactical levels
* Flexibility to travel domestically and internationally when necessary (Up to 5%)
**Benefits That Benefit You**
* Competitive salary and 401K with employer match
* Discretionary paid time off
* Robust parental leave policy
* An award\-winning office/working environment
* Ride along with real police officers in real life situations, see them use technology, get inspired
* And more at axon.com/careers/benefits
**The Pay:** 
 Axon is a total compensation company, meaning compensation is made up of base pay, bonus, and stock awards. The starting base pay for this role is between USD 131,250 in the lowest geographic market and USD 210,000 in the highest geographic market. The actual base pay is dependent upon many factors, such as: level, function, training, transferable skills, work experience, business needs, geographic market, and often a combination of all these factors. Our benefits offer an array of options to help support you physically, financially and emotionally through the big milestones and in your everyday life. To see more details on our benefits offerings please visit www.axon.com/careers/benefits.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24">
      <c r="A24" t="inlineStr">
        <is>
          <t>li-4338460711</t>
        </is>
      </c>
      <c r="B24" t="inlineStr">
        <is>
          <t>Principal Product Manager, AI Frameworks</t>
        </is>
      </c>
      <c r="C24" t="inlineStr">
        <is>
          <t>NVIDIA</t>
        </is>
      </c>
      <c r="D24" t="inlineStr">
        <is>
          <t>linkedin</t>
        </is>
      </c>
      <c r="E24" t="inlineStr"/>
      <c r="F24" t="inlineStr"/>
      <c r="G24" t="inlineStr">
        <is>
          <t>Santa Clara, CA</t>
        </is>
      </c>
      <c r="H24" t="inlineStr"/>
      <c r="I24" t="inlineStr">
        <is>
          <t>At Nvidia we meet customers where they are on their AI journey on our GPUs \- this means we build best in class frameworks in OSS and support a robust eco system of other OSS frameworks. and As a Product Manager for AI Platform training you will be responsible for building the tools, SDKs, and libraries which enable model builders to get the best large scale performance, resilience and experience on NVIDIA GPUs.
 As NVIDIA Product Managers, our goal is to enable researchers and operators to be successful on the NVIDIA Platform, and push the boundaries of what is possible in their research and research\-to\-production! As Product Managers, we are the champions inside NVIDIA for frontier model builders looking to push the bounds of scale and resilience for current and emerging modeling paradigms on GPUs. We work directly with customers inside and outside of the company to identify key improvements, create roadmaps, and stay alert on the training/post training landscape. We also work with NVIDIA leaders to define clear product strategy, and marketing team teams to build go\-to\-market plans. The Product Management organization at NVIDIA is a small, strong, and impactful group. We focus on enabling deep learning across all GPU use cases and providing great products for our users. We are seeking a rare blend of product skills, technical depth, and passion to make NVIDIA great. Does that sounds familiar? If so, we would love to hear from you!
**What You'll Be Doing**
* Create products to help researchers and production model builders
* Develop product strategy, roadmaps, and go\-to\-market plans
* Collaborate with internal and external customers to build product\-based roadmaps for training/post training software
* Work with leadership to align with and drive company strategy
**What We Need To See**
* Experience with training/post training and optimization software (ex. PyTorch distributed, torchtitan, VeRL, Nemo Framework, etc.)
* Demonstrable knowledge of GenAI or machine learning concepts, particularly around model training, performance optimization, and software development and delivery
* Experience with large scale distributed systems
* BS or MS degree in Computer Science, Computer Engineering, or similar experience (or equivalent experience)
* 15\+ years of technical product management, or similar, experience at a technology company
* Strong communication and interpersonal skills
**Ways To Stand Out From The Crowd**
* Experience leading GenAI/RecSys research to production at scale
* Working on Open Source \&amp; Github\-first developer products with deep customer interactions
* Knowledge of GPU architecture, HW/SW co\-design, and performance profiling
 Your base salary will be determined based on your location, experience, and the pay of employees in similar positions. The base salary range is 240,000 USD \- 379,500 USD.
 You will also be eligible for equity and benefits .
 Applications for this job will be accepted at least until November 25,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JR2008001</t>
        </is>
      </c>
    </row>
    <row r="25">
      <c r="A25" t="inlineStr">
        <is>
          <t>li-4312780190</t>
        </is>
      </c>
      <c r="B25" t="inlineStr">
        <is>
          <t>Staff Product Manager, Terminal - Global Payment Acceptance</t>
        </is>
      </c>
      <c r="C25" t="inlineStr">
        <is>
          <t>Stripe</t>
        </is>
      </c>
      <c r="D25" t="inlineStr">
        <is>
          <t>linkedin</t>
        </is>
      </c>
      <c r="E25" t="inlineStr"/>
      <c r="F25" t="inlineStr"/>
      <c r="G25" t="inlineStr"/>
      <c r="H25" t="inlineStr"/>
      <c r="I25"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Own the platform responsible for powering in\-person payments for Stripe. Stripe Terminal helps our users extend their online presence to the physical world. The Terminal team’s mission is to make it as easy for businesses to accept in\-person payments as the Stripe API has done for online payments. With Terminal, businesses can unlock in\-person payments use cases that are right for their business model—whether it’s creating a superb retail experience, extending their website to a pop\-up store, or enabling a mobile point\-of\-sale at their next event.
 Terminal is one of the fastest growing products at Stripe and we are expanding both globally and into new segments and verticals. As the Core Payments PM, you will be responsible for delivering payment capabilities to all of Stripe’s in\-person users, their developers and their merchants.
 What you’ll do
* Operate at both a massive and nuanced scale, toggling between exposing Stripe’s payment infrastructure to in\-person via APIs and experiences and thinking through areas like reducing fraud, driving the best in class authorization rates for our merchants, and expanding payment capabilities.
* Partner directly with an experienced team of Engineers, Legal, Partnerships, Finance, Product Sales, Product Marketing, Data Science and Technical Operations Specialists
* Set a motivating multi\-year vision and then break it down into measurable, meaningful milestones for the Terminal Core Payments team. This includes creating buy\-in, crafting roadmaps and OKRs, and navigating trade\-offs
* Represent Terminal and Stripe in external forums like front of users: directly engaging in product discovery and roadmapping conversations
 Who you are
 We’re looking for someone who meets the minimum requirements to be considered for the role. If you meet these requirements, you are encouraged to apply. The preferred qualifications are a bonus, not a requirement.
**Preferred Qualifications**
* 10\+ years of product management experience or equivalent
* Technically adept systems thinker, ideally with a Computer Science degree or equivalent experience strongly preferred.
* Experience working on developer products (APIs, SDKs) and building interfaces that support both internal or external users.
* Demonstrated success and strong execution track record in building payment products
* Great interpersonal skills and strong verbal and written communication. You can make complex concepts accessible with clear communication.
**Nice To Haves**
* Experience working in the in\-person payments space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$214,300 \- $321,500\.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26">
      <c r="A26" t="inlineStr">
        <is>
          <t>li-4311658969</t>
        </is>
      </c>
      <c r="B26" t="inlineStr">
        <is>
          <t>Product Owner - Global Banks Risk Consulting</t>
        </is>
      </c>
      <c r="C26" t="inlineStr">
        <is>
          <t>RSM US LLP</t>
        </is>
      </c>
      <c r="D26" t="inlineStr">
        <is>
          <t>linkedin</t>
        </is>
      </c>
      <c r="E26" t="inlineStr"/>
      <c r="F26" t="inlineStr"/>
      <c r="G26" t="inlineStr">
        <is>
          <t>New York, NY</t>
        </is>
      </c>
      <c r="H26" t="inlineStr"/>
      <c r="I26" t="inlineStr">
        <is>
          <t>We are the leading provider of professional services to the middle market globally, our purpose is to instill confidence in a world of change, empowering our clients and people to realize their full potential. Our exceptional people are the key to our unrivaled, culture and talent experience and our ability to be compelling to our clients. You’ll find an environment that inspires and empowers you to thrive both personally and professionally. There’s no one like you and that’s why there’s nowhere like RSM.
 This role involves managing cross\-functional teams, defining project scopes, budgets, and timelines, and ensuring the successful delivery of technology projects that align with the company's strategic goals.
 The Global Banking Consulting Practice focuses on shaping and delivering technology solutions for our client base, which focuses on large global financial services companies. We operate across the three lines of defense, with a focus on the first line / operational function. You'll collaborate closely with cross\-functional teams, including developers, designers, and business stakeholders, to drive product development and ensure successful project outcomes.
 Contributions to Firm Culture
* Model the core RSM values of respect, integrity, teamwork, excellence and stewardship in all interactions with clients and team members
* Collaborate with colleagues across a variety of levels and disciplines to develop and deliver innovative solutions that provide value to clients
* Maintain agility to adapt quickly to shifting needs, demands, technology solutions, or process changes and assist others in adapting to change· Support RSM’s goals around diversity and inclusion by nurturing an environment that understands individuality, promotes authenticity, and values varied perspective in arriving at solutions
**Responsibilities**
* Product Vision and Strategy:
* Define and communicate the product vision, goals, and roadmap.
* Understand market trends, client needs, and business objectives to align product development efforts.
* User Stories and Backlog Management:
* Create and maintain a prioritized backlog of user stories, epics, and features.
* Collaborate with stakeholders to gather requirements and translate them into clear, actionable user stories.
* Work with UI Design team to facilitate the creation of wireframes and mockups.
* Ensure user stories follow INVEST principals
* Story Grooming and Prioritization:
* Facilitate backlog grooming sessions with the development team.
* Prioritize user stories based on business value, technical feasibility, and dependencies.
* Adjust priorities as needed to maximize value delivery.
* Sprint Planning and Execution:
* Participate in sprint planning meetings to select user stories for development.
* Work closely with the Scrum Master and development team during sprint execution.
* Provide clarifications and make timely decisions to keep development on track.
* Stakeholder Communication:
* Act as the primary point of contact for product\-related questions and updates.
* Conduct regular demos to showcase completed features and gather feedback.
* Collaborate with business stakeholders, end\-users, and other teams to ensure alignment.
* Quality Assurance and Acceptance Criteria:
* Define acceptance criteria for user stories to ensure successful delivery.
* Review and accept completed work during sprint reviews.
* Advocate for high\-quality deliverables and continuous improvement.
* Release Management:
* Coordinate release planning and deployment activities.
* Ensure timely delivery of features and bug fixes.
* Monitor post\-release performance and gather insights for future iterations.
**Preferred Qualifications**
* Bachelor’s or Master’s Degree in information systems, computer science. business, accounting, finance or related discipline
* Minimum 5 years of relevant experience within product ownership and/or software development within the financial services industry
* Experience leading technology project based work with milestones and workflow driven by objectives and defined timelines
* Experience in an agile software development environment working with IT partners to deliver solutions on demand;
* Demonstrated ability to effectively work and communicate with business analysts, user researchers, architects, and development teams on requirements, implementation approaches and solutions
* Proven track record of assessing the impact of new requirements, shifting priorities and resourcing on project delivery and timelines
* Strong understanding of financial services processes and regulations
* Proficiency in professional writing, spreadsheet, and presentation creation tools
* Certified Scrum Product Owner (CSPO) or equivalent certification preferred
* Strong analytical skills, attention to detail, and problem\-solving abilities.
* Ability to balance business needs, technical constraints, and user expectations.
* Problem\-solving and decision\-making abilities.
* Proficiency in project management software and tools including Jira, MS Project, Azure Devops (etc)
* Ability to adapt to a dynamic and fast\-paced environment.
* Ability to travel to meet client needs and work collaboratively with others in\-person and remotely
* Openness to workday flexibility, agility, remote work environment, leveraging new tools
 At RSM, we offer a competitive benefits and compensation package for all our people. We offer flexibility in your schedule, empowering you to balance life’s demands, while also maintaining your ability to serve clients. Learn more about our total rewards at https://rsmus.com/careers/working\-at\-rsm/benefits.
 All applicants will receive consideration for employment as RSM does not tolerate discrimination and/or harassment based on race; color; creed; sincerely held religious beliefs, practices or observances; sex (including pregnancy or disabilities related to nursing); gender; sexual orientation; HIV Status; national origin; ancestry; familial or marital status; age; physical or mental disability; citizenship; political affiliation; medical condition (including family and medical leave); domestic violence victim status; past, current or prospective service in the US uniformed service; US Military/Veteran status; pre\-disposing genetic characteristics or any other characteristic protected under applicable federal, state or local law.
 Accommodation for applicants with disabilities is available upon request in connection with the recruitment process and/or employment/partnership. RSM is committed to providing equal opportunity and reasonable accommodation for people with disabilities. If you require a reasonable accommodation to complete an application, interview, or otherwise participate in the recruiting process, please call us at 800\-274\-3978 or send us an email at careers@rsmus.com.
 RSM does not intend to hire entry level candidates who will require sponsorship now OR in the future (i.e. F\-1 visa holders). If you are a recent U.S. college / university graduate possessing 1\-2 years of progressive and relevant work experience in a same or similar role to the one for which you are applying, excluding internships, you may be eligible for hire as an experienced associate.
 RSM will consider for employment qualified applicants with arrest or conviction records. For those living in California or applying to a position in California, please click here for additional information.
 At RSM, an employee’s pay at any point in their career is intended to reflect their experiences, performance, and skills for their current role. The salary range (or starting rate for interns and associates) for this role represents numerous factors considered in the hiring decisions including, but not limited to, education, skills, work experience, certifications, location, etc. As such, pay for the successful candidate(s) could fall anywhere within the stated range.
 Compensation Range: $126,500 \- $254,700
 Individuals selected for this role will be eligible for a discretionary bonus based on firm and individual performance.</t>
        </is>
      </c>
    </row>
    <row r="27">
      <c r="A27" t="inlineStr">
        <is>
          <t>li-4332998904</t>
        </is>
      </c>
      <c r="B27" t="inlineStr">
        <is>
          <t>Product Manager - Sedimentation (Drinking Water)</t>
        </is>
      </c>
      <c r="C27" t="inlineStr">
        <is>
          <t>Ovivo</t>
        </is>
      </c>
      <c r="D27" t="inlineStr">
        <is>
          <t>linkedin</t>
        </is>
      </c>
      <c r="E27" t="inlineStr"/>
      <c r="F27" t="inlineStr"/>
      <c r="G27" t="inlineStr">
        <is>
          <t>Salt Lake City, UT</t>
        </is>
      </c>
      <c r="H27" t="inlineStr"/>
      <c r="I27" t="inlineStr">
        <is>
          <t>**What is the Opportunity?** 
 At Ovivo, we offer the opportunity to expand your skills and professional experience while collaborating with global experts in water treatment. As a Product Manager on the Sedimentation team, you will provide leadership, sales support, and training for all Drinking Water Sedimentation products, including but not limited to:
* Clarifiers
* Thickeners
* Solids Contact Clarifiers
* Gravity Filters
* Mixers/Flocculators
**This role is based in our Salt Lake City office and follows a hybrid working model. Domestic travel is expected at approximately 10\-20%.** 
**What is the Role?** 
 As Product Manager, you will serve as the primary point of contact for your product line, working within a cross‑functional team environment that includes Engineering, Project Management, and Marketing. Your responsibilities will include the following:
* Support sales efforts through specification and plan reviews, customer presentations, product application and sizing, process start‑up, technical training, and troubleshooting.
* Define product improvements, standardizations, and recommend new product development.
* Review customer purchase orders to ensure alignment with proposals and OVIVO acceptable terms.
* Collaborate with the Contracts team during Terms and Conditions review/negotiations.
* Provide detailed equipment information to operations group and reviewing submittals to confirm scope accuracy.
* Partner with Engineering and Project Management to resolve warranty or production issues.
* Establish systems and controls to improve margins and prevent margin erosion.
* Preserve and document the technical capabilities and know‑how of the group
 **.**
**Does this Sound Like You?** 
* **Minimum of 5 years of relevant experience in applications engineering or technical sales.**
* Bachelor's degree in an engineering discipline (required).
* Overall experience in the water/wastewater industry; Experience with sedimentation is a plus but not required
* Strong ability to apply advanced mathematical and hydraulic equations to complex situations.
* Strong problem\-solving or innovative mindset and ability to work independently
* Ability to translate complex technical concepts into clear, customer\-friendly language
* Strong interpersonal skills to build long\-term relationships with clients, local sales reps and team members.
**WHAT WE OFFER AS AN EMPLOYER** 
 At Ovivo, teamwork is at the heart of everything we do. We value work\-life balance and strive to provide an engaging work environment along with excellent benefits and career progression opportunities. We offer:
**Hybrid work environment \- while most of your time will be spent in the office, you'll be equipped to work between the office and remotely.** 
 Benefits \- all full\-time employees are eligible for Ovivo's generous benefits package that includes:
* Medical, Dental and Vision benefits
* 401k Match of 4%
* Parental Leave
* Company paid life insurance along with company paid short and long\-term disability
* 11 paid holidays
* Three weeks of PTO per year (prorated based on start date)
* Roll over of 64 PTO hours to the following year
* Sixteen personal hours hire date determines number of personal hours for the first year
* Days off between Christmas Eve and New Year's Day \- paid by the company with no impact to PTO balance.
* Profit sharing
 At Ovivo we are committed to providing working environments where everyone is included and treated fairly and with respect.
**Dive in \- Apply Today! Let's change the future of water together.** 
**About Ovivo** 
 Ovivo is a global provider of equipment, technology, and systems producing among the purest water and treating some of the most challenging wastewater in the industry. Ovivo is a powerful global brand with renowned trademarks, possessing more than 150 years of expertise and references in water treatment, supported by its proprietary products, advanced technologies, and extensive system integration knowhow. Ovivo delivers conventional to highly technological water treatment solutions for the industrial and municipal markets and leverages its large installed base of equipment around the world to offer parts and services to its customers. Ovivo is dedicated to innovation in an industry that is in constant evolution and offers water treatment solutions that are cost\-effective, energy\-efficient, and environmentally sustainable.
 Visit our website to learn more about Ovivo : https://careers.ovivowater.com/</t>
        </is>
      </c>
    </row>
    <row r="28">
      <c r="A28" t="inlineStr">
        <is>
          <t>li-4323862019</t>
        </is>
      </c>
      <c r="B28" t="inlineStr">
        <is>
          <t>Principal Product Manager, Media Collaboration</t>
        </is>
      </c>
      <c r="C28" t="inlineStr">
        <is>
          <t>Dropbox</t>
        </is>
      </c>
      <c r="D28" t="inlineStr">
        <is>
          <t>linkedin</t>
        </is>
      </c>
      <c r="E28" t="inlineStr"/>
      <c r="F28" t="inlineStr"/>
      <c r="G28" t="inlineStr"/>
      <c r="H28" t="inlineStr"/>
      <c r="I28" t="inlineStr">
        <is>
          <t>**Company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relationships. With our start\-up mindset and enterprise\-level opportunities, you can be who you are and grow into who you’re meant to be. Here, you can own your impact to make work more intuitive, joyful, and human—for you as a Dropboxer and for hundreds of millions of people worldwide. If you're ready to push boundaries—and yourself— Dropbox is ready for you.
**Team Description**
 The Dropbox Product Management Team envisions and builds the future of work while growing our business, one product at a time. We're strategic thinkers and advocates for our users, crafting solutions that make work more intuitive and joyful. Using data, research, and strategy—and a healthy dose of empathy—we guide cross\-functional teams toward the shared goal of creating transformative products that people love to use. If you're passionate about building solutions that reshape how the world works while delighting users in the process, join our Product Management team. Areas of work include Product Management, Product Strategy, User Research, Data Analytics, Product Operations, Growth Strategy, and Go\-to\-Market Planning.
**Role Description**
 As a Principal Product Manager focused on media workflows and collaboration, you will play a crucial role in shaping the product roadmap, driving cross\-functional initiatives, and delivering measurable business impact. You will lead planning, forecasting, and evaluation efforts, working closely with engineering, design, business strategy, and leadership teams. This role offers substantial senior leadership exposure and the opportunity to influence key product decisions at scale.
**Responsibilities**
* Own and drive the end\-to\-end product roadmap for media collaboration workflows including Dropbox Replay.
* Define, track, and analyze key product metrics to measure success and inform strategic decisions.
* Collaborate cross\-functionally with engineering, design, marketing, and business teams to align on goals and deliverables.
* Lead planning and forecasting efforts to ensure product initiatives meet business objectives.
* Drive consensus and alignment at all levels, including C\-suite stakeholders.
* Evaluate product performance and iterate on features based on data\-driven insights.
* Mentor and influence other product managers and cross\-functional partners.
**Requirements**
* 10\+ years of product management experience, including ownership of major product initiatives end\-to\-end.
* Strong analytical skills with the ability to define and measure key metrics that drive product success.
* Demonstrated ability to work effectively across multiple teams and influence without direct authority.
* Experience in planning, forecasting, and driving product strategy.
* Excellent communication skills, including the ability to present complex ideas clearly to diverse audiences.
* Track record of driving consensus and alignment at senior leadership levels.
* Deep understanding of media workflows and collaboration technologies is highly desirable.
**Preferred Qualifications**
* Advanced degree in a relevant field or equivalent experience.
* Experience working in a high\-growth technology company.
* Familiarity with technical aspects of media platforms and engineering processes.
* Prior experience mentoring or leading other product managers.
* Strong business acumen and strategic thinking skills.
**Compensation**
 US Zone 1
 $272,000—$368,000 USD
 US Zone 2
 $244,800—$331,200 USD
 US Zone 3
 $217,600—$294,400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California (outside SF metro), Colorado, Connecticut (outside NYC metro), Delaware, Illinois (Chicago metro), Indiana (Chicago metro), Maryland, Massachusetts, Michigan (Chicago metro), New Hampshire, New Jersey (outside NYC metro), New York (outside NYC metro), Oregon, Pennsylvania (D.C. metro), Pennsylvania (outside NYC or DC metro), Texas (Austin metro) Virginia (DC metro), Washington (outside Seattle metro), Washington DC metro, West Virginia (DC metro), Wisconsin (Chicago metro)
* US Zone 3: All other US locations
 Dropbox is a Virtual First company and is open to hiring candidates in all authorized locations.
**Benefits**
 Dropbox is committed to investing in the holistic health and wellbeing of all Dropboxers and their families. Our benefits and perks programs include, but are not limited to:
* Competitive medical, dental, and vision coverage
* 401(k) plan with a generous company match and immediate vesting
* Flexible PTO/Paid Time Off, paid holidays, Volunteer Time Off, and more, allowing you time to unplug, unwind, and refresh
* Income Protection Plans: Life and disability insurance
* Business Travel Protection: Travel medical and accident insurance
* Perks Allowance to be used on what matters most to you, whether that’s wellness, learning and development, food and groceries, and much more
* Parental benefits including: Parental Leave, Child and Adult Care, Day Care FSA, Fertility Benefits, Adoption and Surrogacy Support, and Lactation Support
* Access to over 10,000 global co\-working spaces through Gable.tomaking it easy to book flexible workspaces for collaboration or individual work
* Quarterly Cell phone and internet allowance
* Mental health and wellness benefits
* Disability and neurodivergence support benefits
 Additional benefit details are available upon request.
 Dropbox supports responsible use of AI for preparation, but misrepresentation of skills or experience is not permitted. See our AI philosophy.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enABLE, TODOS (Latinx), Pridebox (LGBTQ), Vets at Dropbox, and Women at Dropbox.</t>
        </is>
      </c>
    </row>
    <row r="29">
      <c r="A29" t="inlineStr">
        <is>
          <t>li-4338356614</t>
        </is>
      </c>
      <c r="B29" t="inlineStr">
        <is>
          <t>Product Owner or Product Owner Senior</t>
        </is>
      </c>
      <c r="C29" t="inlineStr">
        <is>
          <t>Federal Reserve Bank of Cleveland</t>
        </is>
      </c>
      <c r="D29" t="inlineStr">
        <is>
          <t>linkedin</t>
        </is>
      </c>
      <c r="E29" t="inlineStr"/>
      <c r="F29" t="inlineStr"/>
      <c r="G29" t="inlineStr">
        <is>
          <t>Cleveland, OH</t>
        </is>
      </c>
      <c r="H29" t="inlineStr"/>
      <c r="I29" t="inlineStr">
        <is>
          <t>**Company**
 Federal Reserve Bank of Cleveland
 The Federal Reserve Bank of Cleveland’s mission is to foster the stability, integrity, and efficiency of the nation’s monetary, financial, and payment systems while representing the Fourth District perspectives.
 As part of the nation’s central bank, we are a team of mission\-driven professionals who are committed to serving with excellence. Our core values are: Build Trust Every Day, Own Our Actions, Collaborate with Intention, and Be Open to Change.
 For twenty\-six years in a row, we’ve been named “One of Northeast Ohio’s Best Places to Work” by North Coast 99\. This prestigious award honors organizations with outstanding employment practices, including compensation, benefits, training, recruitment, retention, community services, and employee communications.
 Follow us on LinkedIn, Twitter, Instagram, and our YouTube channel – Cleveland Fed
**To be considered for this role, candidates must be a U.S. citizen.**
**Summary**
 Responsible for leading, defining and driving the product roadmap, managing priorities within cross\-functional teams and making smart, data driven decisions to have the biggest business impact. Supports the organization by developing and implementing product offerings and processes to scale the business. Develops product strategy, drives operational plan and supports product enablement (marketing).
**Essential Responsibilities**
* Works independently, under minimal guidance, to make sound decisions. No instructions are needed for routine work with only general instructions given for new activities or special assignments. May refer to established precedents and procedures but does not rely on them for decision making. Plans, schedules, and arranges own activities to accomplish objectives. Work is generally only reviewed for completeness.
* Provides product leadership role for multiple small or medium\-scale business lines or teams.
* Drives the implementation of new product offerings through clear communication, cross functional collaboration, agile delivery and project management.
* Leads the delivery of features and products that align with business strategy and vision and maximizes customer value.
* Represents the voice of the customer in various contexts.
* Gathers requirements, creates and refines epics, features and/or user stories and maintains, communicates and prioritizes the product backlog.
* Prioritizes delivery impediments, product quality issues, and addresses risks.
* Develop and maintain the product roadmap.
* Displays a deep understanding of product line and functionality within business where used.
* Develops a deep working knowledge of software and technologies that support the products.
* Follow standards for Agile processes and seek opportunities to improve existing processes and partner across teams to establish new processes.
* Evaluate priorities and resources to identify where gaps exist and elevate those for resolution.
* Proactively build relationships with stakeholders to better understand needs and identify new opportunities to provide value.
* Actively participate in PI Planning/Release activities.
* Represents product lines at internal Bank and external forums, including System and non\-FRB stakeholders, with assistance from team members.
* Performs other duties as assigned or requested.
**Education And Experience**
**Product Owner**
* Associates degree and 5 years of related work experience OR
* Bachelor’s degree and 3 years of related work experience OR
* Master’s degree and 0\-1 year of related work experience
**Product Owner Senior**
* Associates degree and 7 years of related work experience OR
* Bachelor’s degree and 5 years of related work experience OR
* Master’s degree and 3 years of related work experience
 Knowledge Areas
* 
* Certified Scrum Product Owner (Desired)
* Proficient knowledge of Agile Product practices
* Knowledge of Scrum and Agile Software Development Methodology
* Skills Areas
* Detail oriented
* Entrepreneurial approach to product line
* Critical thinking
* Presentation
* Effective Communication
* Excellent analytical abilities
* Ability to manage competing priorities
**Skills Areas**
* Detail oriented
* Entrepreneurial approach to product line
* Critical thinking
* Presentation
* Effective Communication
* Excellent analytical abilities
* Ability to manage competing priorities
**Location: Cleveland, OH, Columbus, OH, Cincinnati, OH, or Pittsburgh, PA**
**The expected starting salary range for the Product Owner is between $90,500 and $124,400 annually and for the Product Owner Senior it is between $100,300 and $139,400** 
 .
 **Final salary and offer will be determined by the applicant’s background, experience, skills, internal equity, and market data.**
 The Cleveland Fed offers benefits to support overall health and financial security. Learn more about our benefits here:
 **https://www.clevelandfed.org/careers**
**Physical Demands and General Working Conditions**
 This is not necessarily an exhaustive list of all responsibilities, duties, standards or requirements, efforts, skills or working conditions associated with the job. While this is intended to be an accurate reflection of the current job, the Federal Reserve Bank of Cleveland reserves the right to revise this or any job description at any time.
**Reasonable Accommodation Statement** 
***\-***
 The Federal Reserve Bank of Cleveland is committed to ensuring that individuals with disabilities are provided with reasonable accommodation to participate in the job application or interview process, perform essential job functions, and receive other benefits and privileges of employment. To request a reasonable accommodation for any part of the employment process, please send an email to clev.4d.benefits.specialist@clev.frb.org.
**Bank’s Ethics Rules and Drug Testing** 
 :
 As a condition of employment, Federal Reserve Bank of Cleveland employees must comply with the Bank’s ethics rules which generally prohibit employees, their spouses/domestic partners, and minor children from owning or controlling, directly or indirectly, any debt or equity interest in a depository institution or an affiliate of a depository institution. A "depository institution" means a bank, a trust company, or any institution that accepts deposits, including a bank chartered under the laws of a foreign country. In addition, employees (and their spouses/domestic partners, and minor children) may not own shares of mutual funds, unit investment trusts or ETFs that have a policy, as stated in the prospectus, of concentrating in the financial services industry and that have underlying investments in banks or other depository institutions. If you or your spouse/domestic partner or minor child own such securities and would not be willing or able to divest them if you accepted an offer of Bank employment, you should raise this issue with the recruiter for this posting.
 In addition, as a condition of employment, candidates must undergo a background check and will be tested for all controlled substances prohibited by federal law, to include marijuana, prior to hire and for certain safety sensitive positions during employment.
*Always verify and apply to jobs on* 
*Federal Reserve System Careers* 
*or through verified Federal Reserve Bank social media channels*
**Full Time / Part Time**
 Full time
**Regular / Temporary**
 Regular
**Job Exempt (Yes / No)**
 Yes
**Job Category**
 Project/Product Management Family Group
**Work Shift**
 First (United States of America)
*The Federal Reserve Banks are committed to equal employment opportunity for employees and job applicants in compliance with applicable law and to an environment where employees are valued for their differences.*
 Always verify and apply to jobs on Federal Reserve System Careers (https://rb.wd5\.myworkdayjobs.com/FRS) or through verified Federal Reserve Bank social media channels.
 Privacy Notice</t>
        </is>
      </c>
    </row>
    <row r="30">
      <c r="A30" t="inlineStr">
        <is>
          <t>li-4347181048</t>
        </is>
      </c>
      <c r="B30" t="inlineStr">
        <is>
          <t>Technical Product Manager - GenAI Data Discovery &amp; Governance Platform - CTO Office</t>
        </is>
      </c>
      <c r="C30" t="inlineStr">
        <is>
          <t>Bloomberg</t>
        </is>
      </c>
      <c r="D30" t="inlineStr">
        <is>
          <t>linkedin</t>
        </is>
      </c>
      <c r="E30" t="inlineStr"/>
      <c r="F30" t="inlineStr"/>
      <c r="G30" t="inlineStr">
        <is>
          <t>New York, NY</t>
        </is>
      </c>
      <c r="H30" t="inlineStr"/>
      <c r="I30" t="inlineStr">
        <is>
          <t>Location
 New York
 Business Area
 Engineering and CTO
 Ref \#
 10047879
**Description \&amp; Requirements**
 Bloomberg’s CTO Office is the future\-looking technical and product arm of Bloomberg L.P. We envision, design, and prototype the next generation of infrastructure, hardware, and applications that power the Bloomberg Terminal and beyond. Our work spans AI and ML platforms, cloud infrastructure, open\-source stewardship, and generative AI innovation.
 For over a decade, Bloomberg has been at the forefront of applying AI, ML, and NLP to financial intelligence, powering products in sentiment analysis, classification, document understanding, recommendation, and generative AI. Behind these innovations lies a vast ecosystem of data and compute platforms. We are now building new cloud\-native capabilities to accelerate AI development across the company and enable the next generation of intelligent products.
 What’s In It For You
 We are looking for a Technical Product Manager to define and execute the strategy for Bloomberg’s AI Data Discovery \&amp; Governance Platform, a cloud\-native foundation for AI data management and lifecycle visibility.
 You will design and deliver modern data capabilities purpose\-built for AI, focused on making data discoverable, accessible, and trackable from curation and training through evaluation and inference.
 Your mission is to connect Bloomberg’s rich data ecosystem to our AI compute environment in the cloud. This includes linking dataset registries, feature platforms, and evaluation datasets to training pipelines, notebooks, and inference systems. The platform you help build will power data discovery, governance, and transparency across Bloomberg’s AI community, enabling faster innovation and greater trust in AI data.
 Why This Matters
 This platform will serve as the backbone of Bloomberg’s AI data strategy, ensuring that teams can efficiently develop and operate AI systems with clarity, traceability, and compliance. You will work closely with engineering, infrastructure, and data platform teams across the company to build capabilities that extend Bloomberg’s existing strengths while introducing new systems optimized for AI in the cloud.
 Your impact will span the entire AI lifecycle, helping data scientists and engineers discover, understand, and manage AI data with the same rigor and reliability that define Bloomberg’s broader data ecosystem.
 We’ll trust you to
* Define and own the vision for Bloomberg’s AI Data Discovery \&amp; Governance Platform, built for AI data workflows in the cloud.
* Design for the AI lifecycle by building APIs and interfaces that make datasets easy to find, version, and use across training, evaluation, and inference.
* Develop governance capabilities that ensure responsible use of AI data, with lineage, compliance, and auditing built in from the start.
* Partner with engineering to deliver scalable systems for metadata management, access control, and lifecycle tracking.
* Collaborate across Bloomberg’s AI ecosystem to integrate data and compute capabilities that support experimentation and production deployment.
* Shape the developer experience by defining metadata models, access patterns, and discovery tools that make AI data workflows intuitive.
* Drive the roadmap for how Bloomberg builds, governs, and scales AI data in the cloud, aligning technology direction with business priorities.
 You’ll Need to Have
* 5\+ years of experience in technical product management, ideally within AI/ML platforms, data infrastructure, or developer platforms.
* Hands\-on experience building or scaling AI data systems, feature stores, data catalogs, or MLOps infrastructure.
* Familiarity with cloud\-native architectures, distributed systems, Kubernetes, and modern data platform technologies.
* A strong understanding of AI development workflows, from experimentation to model training, evaluation, and deployment.
* Proven ability to work cross\-functionally with engineering, research, and platform teams to deliver technical products at scale.
* Excellent communication and storytelling skills, with the ability to articulate a technical vision and influence across diverse teams.
 We’d Love to See
* A degree in Computer Science, Engineering, Data Science, or equivalent experience.
* Experience with LLMs, generative AI, or evaluation dataset frameworks.
* Experience designing cloud\-based data architectures or managing hybrid workloads.
* Familiarity with data governance, catalogs, or metadata management systems.
* Contributions to or experience with open\-source data and AI infrastructure projects.
 Why Join Us
 You will play a pivotal role in shaping Bloomberg’s AI data future by building the platform that enables discoverability, governance, and lifecycle insight across all AI initiatives. This is an opportunity to help define how Bloomberg’s vast data resources are harnessed for AI responsibly, efficiently, and at global scale.
 You will work alongside world\-class engineers, researchers, and product leaders, driving an ambitious agenda to make AI at Bloomberg faster, safer, and more impactful.
 Salary Range \= 140000 \- 295000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31">
      <c r="A31" t="inlineStr">
        <is>
          <t>li-4319964324</t>
        </is>
      </c>
      <c r="B31" t="inlineStr">
        <is>
          <t>Consumer Banking Product Manager</t>
        </is>
      </c>
      <c r="C31" t="inlineStr">
        <is>
          <t>Seacoast Bank</t>
        </is>
      </c>
      <c r="D31" t="inlineStr">
        <is>
          <t>linkedin</t>
        </is>
      </c>
      <c r="E31" t="inlineStr"/>
      <c r="F31" t="inlineStr"/>
      <c r="G31" t="inlineStr">
        <is>
          <t>Port St Lucie, FL</t>
        </is>
      </c>
      <c r="H31" t="inlineStr"/>
      <c r="I31" t="inlineStr">
        <is>
          <t>***Location: This position can be located at any Seacoast Bank office within the state of Florida.***
**Position Summary:**
 The Consumer Product Manager is responsible for the strategic development, management, and performance of consumer banking products, including checking, savings, CDs, lending, money movement, and related services. This role drives product innovation, customer experience enhancements, and profitability through data\-driven insights, market analysis, and cross\-functional collaboration.
**Key Responsibilities:**
* Product Strategy \&amp; Development
+ Define and execute product strategies aligned with customer needs and business goals.
+ Lead the development and launch of new consumer banking products and features.
+ Monitor industry trends and competitor offerings to identify opportunities and risks.
* Portfolio Management
+ Manage the lifecycle of consumer deposit products, ensuring competitiveness and compliance.
+ Optimize pricing, features, and positioning to drive growth and retention.
+ Analyze product performance metrics and recommend improvements.
* Customer Experience \&amp; Innovation
+ Partner with UX, digital, and operations teams to enhance customer journeys.
+ Champion customer feedback and insights to inform product decisions.
+ Drive digital transformation initiatives within the consumer product suite.
* Product Quality Assurance
+ Establish and maintain quality standards across all consumer banking products.
+ Collaborate with operations and technology teams to ensure defect\-free products
+ Implement continuous improvement processes based on testing outcomes
+ Monitor post\-launch performance to proactively identify and resolve quality issues.
* Cross\-Functional Leadership
+ Collaborate with marketing, compliance, legal, finance, and technology teams.
+ Develop go\-to\-market plans and support product campaigns.
+ Ensure regulatory compliance and risk management across all product initiatives.
* Financial Performance
+ Own product P\&amp;L, including revenue, cost, and profitability targets.
+ Develop business cases for new initiatives and track ROI.
**Qualifications:**
* Bachelor’s degree in Business, Finance, Marketing, or related field required, (MBA preferred).
* 3\+ years of experience in product management, preferably in consumer banking or financial services required.
* Strong understanding of retail banking products, customer behavior, and market dynamics.
* Proven ability to lead cross\-functional teams and manage complex projects.
* Excellent analytical, communication, and strategic thinking skills.
* Experience with digital banking platforms and fintech partnerships is a plus.
**Preferred Skills:**
* Familiarity with product development methodologies.
* Proficiency in data analysis tools (Tableau, SAS, etc.).
* Proficiency in Microsoft Office tool set (PowerPoint, Word, Excel).
* Knowledge of regulatory requirements impacting consumer banking.
*The Statements above are intended to describe the general nature and level of work being performed by people assigned to this position. They are not intended to be an exhaustive list of responsibilities, duties, and skills. Because these statements are general, the job description is used for a variety of purposes including job evaluations; performance reviews; recruitment; etc. All Associates are required to adhere to the highest legal and ethical standards applicable to our industry. It is the policy of Seacoast Bank that all Associates will be familiar and compliant with all regulatory, legal, ethical and Bank risk mitigation requirements pertaining to both our industry and their individual roles. This includes the on time, successful completion of annual required training post\-hire and effective execution of role responsibilities.*</t>
        </is>
      </c>
    </row>
    <row r="32">
      <c r="A32" t="inlineStr">
        <is>
          <t>li-4319994121</t>
        </is>
      </c>
      <c r="B32" t="inlineStr">
        <is>
          <t>Consumer Banking Product Manager</t>
        </is>
      </c>
      <c r="C32" t="inlineStr">
        <is>
          <t>Seacoast Bank</t>
        </is>
      </c>
      <c r="D32" t="inlineStr">
        <is>
          <t>linkedin</t>
        </is>
      </c>
      <c r="E32" t="inlineStr"/>
      <c r="F32" t="inlineStr"/>
      <c r="G32" t="inlineStr">
        <is>
          <t>Ocala, FL</t>
        </is>
      </c>
      <c r="H32" t="inlineStr"/>
      <c r="I32" t="inlineStr">
        <is>
          <t>***Location: This position can be located at any Seacoast Bank office within the state of Florida.***
**Position Summary:**
 The Consumer Product Manager is responsible for the strategic development, management, and performance of consumer banking products, including checking, savings, CDs, lending, money movement, and related services. This role drives product innovation, customer experience enhancements, and profitability through data\-driven insights, market analysis, and cross\-functional collaboration.
**Key Responsibilities:**
* Product Strategy \&amp; Development
+ Define and execute product strategies aligned with customer needs and business goals.
+ Lead the development and launch of new consumer banking products and features.
+ Monitor industry trends and competitor offerings to identify opportunities and risks.
* Portfolio Management
+ Manage the lifecycle of consumer deposit products, ensuring competitiveness and compliance.
+ Optimize pricing, features, and positioning to drive growth and retention.
+ Analyze product performance metrics and recommend improvements.
* Customer Experience \&amp; Innovation
+ Partner with UX, digital, and operations teams to enhance customer journeys.
+ Champion customer feedback and insights to inform product decisions.
+ Drive digital transformation initiatives within the consumer product suite.
* Product Quality Assurance
+ Establish and maintain quality standards across all consumer banking products.
+ Collaborate with operations and technology teams to ensure defect\-free products
+ Implement continuous improvement processes based on testing outcomes
+ Monitor post\-launch performance to proactively identify and resolve quality issues.
* Cross\-Functional Leadership
+ Collaborate with marketing, compliance, legal, finance, and technology teams.
+ Develop go\-to\-market plans and support product campaigns.
+ Ensure regulatory compliance and risk management across all product initiatives.
* Financial Performance
+ Own product P\&amp;L, including revenue, cost, and profitability targets.
+ Develop business cases for new initiatives and track ROI.
**Qualifications:**
* Bachelor’s degree in Business, Finance, Marketing, or related field required, (MBA preferred).
* 3\+ years of experience in product management, preferably in consumer banking or financial services required.
* Strong understanding of retail banking products, customer behavior, and market dynamics.
* Proven ability to lead cross\-functional teams and manage complex projects.
* Excellent analytical, communication, and strategic thinking skills.
* Experience with digital banking platforms and fintech partnerships is a plus.
**Preferred Skills:**
* Familiarity with product development methodologies.
* Proficiency in data analysis tools (Tableau, SAS, etc.).
* Proficiency in Microsoft Office tool set (PowerPoint, Word, Excel).
* Knowledge of regulatory requirements impacting consumer banking.
*The Statements above are intended to describe the general nature and level of work being performed by people assigned to this position. They are not intended to be an exhaustive list of responsibilities, duties, and skills. Because these statements are general, the job description is used for a variety of purposes including job evaluations; performance reviews; recruitment; etc. All Associates are required to adhere to the highest legal and ethical standards applicable to our industry. It is the policy of Seacoast Bank that all Associates will be familiar and compliant with all regulatory, legal, ethical and Bank risk mitigation requirements pertaining to both our industry and their individual roles. This includes the on time, successful completion of annual required training post\-hire and effective execution of role responsibilities.*</t>
        </is>
      </c>
    </row>
    <row r="33">
      <c r="A33" t="inlineStr">
        <is>
          <t>li-4319954303</t>
        </is>
      </c>
      <c r="B33" t="inlineStr">
        <is>
          <t>Consumer Banking Product Manager</t>
        </is>
      </c>
      <c r="C33" t="inlineStr">
        <is>
          <t>Seacoast Bank</t>
        </is>
      </c>
      <c r="D33" t="inlineStr">
        <is>
          <t>linkedin</t>
        </is>
      </c>
      <c r="E33" t="inlineStr"/>
      <c r="F33" t="inlineStr"/>
      <c r="G33" t="inlineStr">
        <is>
          <t>Gainesville, FL</t>
        </is>
      </c>
      <c r="H33" t="inlineStr"/>
      <c r="I33" t="inlineStr">
        <is>
          <t>***Location: This position can be located at any Seacoast Bank office within the state of Florida.***
**Position Summary:**
 The Consumer Product Manager is responsible for the strategic development, management, and performance of consumer banking products, including checking, savings, CDs, lending, money movement, and related services. This role drives product innovation, customer experience enhancements, and profitability through data\-driven insights, market analysis, and cross\-functional collaboration.
**Key Responsibilities:**
* Product Strategy \&amp; Development
+ Define and execute product strategies aligned with customer needs and business goals.
+ Lead the development and launch of new consumer banking products and features.
+ Monitor industry trends and competitor offerings to identify opportunities and risks.
* Portfolio Management
+ Manage the lifecycle of consumer deposit products, ensuring competitiveness and compliance.
+ Optimize pricing, features, and positioning to drive growth and retention.
+ Analyze product performance metrics and recommend improvements.
* Customer Experience \&amp; Innovation
+ Partner with UX, digital, and operations teams to enhance customer journeys.
+ Champion customer feedback and insights to inform product decisions.
+ Drive digital transformation initiatives within the consumer product suite.
* Product Quality Assurance
+ Establish and maintain quality standards across all consumer banking products.
+ Collaborate with operations and technology teams to ensure defect\-free products
+ Implement continuous improvement processes based on testing outcomes
+ Monitor post\-launch performance to proactively identify and resolve quality issues.
* Cross\-Functional Leadership
+ Collaborate with marketing, compliance, legal, finance, and technology teams.
+ Develop go\-to\-market plans and support product campaigns.
+ Ensure regulatory compliance and risk management across all product initiatives.
* Financial Performance
+ Own product P\&amp;L, including revenue, cost, and profitability targets.
+ Develop business cases for new initiatives and track ROI.
**Qualifications:**
* Bachelor’s degree in Business, Finance, Marketing, or related field required, (MBA preferred).
* 3\+ years of experience in product management, preferably in consumer banking or financial services required.
* Strong understanding of retail banking products, customer behavior, and market dynamics.
* Proven ability to lead cross\-functional teams and manage complex projects.
* Excellent analytical, communication, and strategic thinking skills.
* Experience with digital banking platforms and fintech partnerships is a plus.
**Preferred Skills:**
* Familiarity with product development methodologies.
* Proficiency in data analysis tools (Tableau, SAS, etc.).
* Proficiency in Microsoft Office tool set (PowerPoint, Word, Excel).
* Knowledge of regulatory requirements impacting consumer banking.
*The Statements above are intended to describe the general nature and level of work being performed by people assigned to this position. They are not intended to be an exhaustive list of responsibilities, duties, and skills. Because these statements are general, the job description is used for a variety of purposes including job evaluations; performance reviews; recruitment; etc. All Associates are required to adhere to the highest legal and ethical standards applicable to our industry. It is the policy of Seacoast Bank that all Associates will be familiar and compliant with all regulatory, legal, ethical and Bank risk mitigation requirements pertaining to both our industry and their individual roles. This includes the on time, successful completion of annual required training post\-hire and effective execution of role responsibilities.*</t>
        </is>
      </c>
    </row>
    <row r="34">
      <c r="A34" t="inlineStr">
        <is>
          <t>li-4302125626</t>
        </is>
      </c>
      <c r="B34" t="inlineStr">
        <is>
          <t>Voice Product Manager</t>
        </is>
      </c>
      <c r="C34" t="inlineStr">
        <is>
          <t>Infobip</t>
        </is>
      </c>
      <c r="D34" t="inlineStr">
        <is>
          <t>linkedin</t>
        </is>
      </c>
      <c r="E34" t="inlineStr"/>
      <c r="F34" t="inlineStr"/>
      <c r="G34" t="inlineStr">
        <is>
          <t>Chicago, IL</t>
        </is>
      </c>
      <c r="H34" t="inlineStr"/>
      <c r="I34" t="inlineStr">
        <is>
          <t>Working at Infobip means being part of something truly global. With 75\+ offices across six continents, we’re not just building technology—we’re shaping how more than 80% of the world connects and communicates.
 As employees, we take pride in contributing to the world’s largest and only full\-stack cloud communication platform. But it’s not just what we do, it’s how we do it: with curiosity, passion, and a whole lot of collaboration.
 If you're looking for meaningful work and challenges that grow you in a culture where people show up with purpose, this is your opportunity.
 Let’s build what’s next, together.
**Why is this role important at Infobip?**
 Every great company’s success starts with having a great product. To write our next success story, it is essential to continue to innovate and develop our global in\-house products. As a
 ***Voice Product Manager***
 , you will directly impact our company’s portfolio by leading the discovery, defining, building, launching and scaling of a product with a focus on Real Time Communications (e.g., Voice and Video) as part of our Communication Platform as a Service (CPaaS) solution.
**More About What You'll Do**
* Manage and develop Infobip’s voice products with a primary emphasis on products serving the U.S. market, leveraging Infobip’s best\-in\-class carrier network.
* Discover customer needs and market opportunities while keeping in mind the overall business objectives.
* Define a clear product vision, strategy, and roadmap.
* Share the vision of the product with all stakeholders: customers, management, engineering, marketing, sales and other teams.
* Serve as the product's subject matter expert and point of contact for stakeholders.
* Build the product together with engineering, design, and other expert teams.
* Achieve company readiness to launch new products and features by enabling the organization and removing any roadblocks.
* Scale the products by continuously monitoring product metrics and identifying improvement and growth opportunities.
**More About You And Your Qualifications**
* Experience with SIP trunking product management.
* Previous experience working at a U.S. carrier.
* Experience in shaping product strategy in CPaaS.
* Good knowledge and understanding of SIP trunking.
* Worked on end\-to\-end software product life cycle from discovery to delivery.
* Experience with market research and product testing.
* Experience with implementing Go\-to\-Market (GTM) strategies.
* Experience in working with both external and internal stakeholders.
* Experience working with agile methodologies, Scrum, LESS, Kanban or others.
* Ability to influence decision\-making at all levels within an organization.
**Why our employees choose us (and stay)?**
* Learn as you grow – starting from an onboarding program to internal education, training resources, e\-learning, to external education \-\- we invest heavily in employee learning and development.
* Awesome clients – We serve and partner with most leading mobile operators, OTTs, brands, banks, social networks, aggregators and more. You can look forward to working with the likes of Vodafone, WhatsApp, Uber, and many more.
* Great environment – Team spirit, passion, creativity, persistence, and collaboration are the drivers of our company.
* Connect globally – Work with Bippers, teams, and partners from all over the world. We put the “global” in globalization.
* Opportunity Knocks. Often. – Being a part of a growing company in a growing industry, we challenge you to grow! Whether it’s horizontal, vertical, or angular, we want to support the path that you want to carve.
* Never a dull moment – We work with powerful companies with great impact which pushes us to work on the highest possible level. Work on uncharted challenges and push boundaries daily.
**Additional Information**
**Salary Range** 
 : $150,000\-$185,000 USD annual base salary (the salary of the finalist selected for this role will be based on a variety of factors, including but not limited to internal equity, job\-related knowledge, experience, education, and skillset). This role is also eligible to receive an annual bonus, based on both individual and company performance.
**Benefits \&amp; Perks** 
 : Medical, Dental, and Vision insurance; Basic life insurance; 401(k) plan participation with company match; Short\-term and long\-term disability insurance; Wellness plan of up to $500/year pro\-rated based on hire date; PTO: Accrual of up to twenty\-three (23\) vacation days per year, accrual of up to nine (9\) sick days per year, plus carryover of up to nine (9\) sick days annually; Additional leave time for marriage, relocation, bereavement, and other major life events; Twelve (12\) weeks of paid parental leave; Participation in employee share ownership plan (ESOP); Fourteen (14\) paid holidays annually.
**Diversity drives connection**
**Infobip is built on diverse backgrounds, perspectives, and talents.** 
 We’re proud to be an equal\-opportunity employer and are committed to fostering an inclusive workplace.
 No matter your race, gender, age, background, or identity—if you have the passion and skills to thrive, there’s a place for you here.
**All qualified applicants will receive consideration for employment without regard to race, color, ancestry, religion, age, sex, sexual orientation, gender, gender identity, national origin, citizenship, disability, veteran status or any other part of one's identity.**</t>
        </is>
      </c>
    </row>
    <row r="35">
      <c r="A35" t="inlineStr">
        <is>
          <t>li-4351330533</t>
        </is>
      </c>
      <c r="B35" t="inlineStr">
        <is>
          <t>Strategic Product Manager</t>
        </is>
      </c>
      <c r="C35" t="inlineStr">
        <is>
          <t>Jobs via eFinancialCareers</t>
        </is>
      </c>
      <c r="D35" t="inlineStr">
        <is>
          <t>linkedin</t>
        </is>
      </c>
      <c r="E35" t="inlineStr"/>
      <c r="F35" t="inlineStr"/>
      <c r="G35" t="inlineStr">
        <is>
          <t>Chicago, IL</t>
        </is>
      </c>
      <c r="H35" t="inlineStr"/>
      <c r="I35" t="inlineStr">
        <is>
          <t>**About Northern Trust:**
 Northern Trust, a Fortune 500 company, is a globally recognized, award\-winning financial institution that has been in continuous operation since 1889\.
 Northern Trust is proud to provide innovative financial services and guidance to the world's most successful individuals, families, and institutions by remaining true to our enduring principles of service, expertise, and integrity. With more than 130 years of financial experience and over 22,000 partners, we serve the world's most sophisticated clients using leading technology and exceptional service.
**Job Title** 
 : Strategic Product Manager
**Job Description Summary:**
 Responsible for executing the strategy of the product umbrella as outlined by the Lead Product Manager, Head of Product Management and Product Executive for the umbrella. Responsible for Product Management Lifecycle activities in partnership with the Business Sponsor such as defining the target client segment market, evaluating industry trends, and uncovering opportunities, perform launches and post launch assessments/ recommendations. The strategic product manager will also be responsible for performing regular maintenance of product materials, maintaining product inventory and key metrics Support new product introduction by creating the risk analysis. Develop and submit quarterly Objectives and Key Results (OKRs) to the Head of Product Management to ensure alignment of product initiatives with overarching company strategy and drive team accountability. OKRs should clearly articulate measurable goals and outline how they contribute to organizational priorities, with submissions due by the end of each quarter.
**Major Duties:**
* Support discovery and innovation by creating client personas and evaluating competitors
* Assist in new product planning activities by deriving forecasts, composing product requirements and establishing future metrics
* Display a balanced, cross\- functional perspective, liaising with the business to improve efficiency, effectiveness and productivity
* Support new product introduction by creating the risk analysis
* Track customer satisfaction, evaluate metrics and KPIs, gauge channel performance, conduct post product launch audits
* Provide sales support through RFP response and review
* Monitor capital and expenses and rate card alignment across regions
* As subject area expert, provides comprehensive, in\-depth consulting and leadership to team and partners at a high technical level
* Role is balanced between high level operational execution and development, and execution of strategic direction of business function activities
**Knowledge:**
* Strong oral and written communication skills are required. Experienced in constructing/overseeing logical and conclusive presentations.
* Solid understanding or knowledge of 2\-4\+ NT products or business areas within an umbrella, mastery of 1\-2\+ and an understanding of client needs and how this impacts the product development agenda/roadmap
* Good in building key relationships, influencing and negotiating with clients, partners and leaders across multiple disciplines
* Organizational skills are required to support the Business Unit's goals, resources needed, and to assess and develop the skills of staff.
* Program or project management experience is advantageous; planning, analysis, design and governance
* Knowledge of business strategy development is necessary to provide long term planning and to manage the profitability/performance of a major business segment.
**Knowledge:**
* Strong analytical and business management skills with an ability to translate broad strategic goals into specific and measurable action plans
* Strong oral and written communication skills, prior experience with product marketing collateral development is a plus
 Salary Range:
 $99,600 \- 169,200 USD
 Salary range is a good faith estimate of base pay. Northern Trust provides a comprehensive benefits package including retirement benefits (401k and pension), health and welfare benefits (medical, dental, vision, spending accounts and disability), paid time off, parental and caregiver leave, life \&amp; accident insurance, and other voluntary and well\-being benefits. Northern Trust also provides a discretionary bonus program that may include an equity component.
**Working with Us:**
 As a Northern Trust partner, greater achievements await. You will be part of a flexible and collaborative work culture in an organization where financial strength and stability is an asset that emboldens us to explore new ideas.
 Movement within the organization is encouraged, senior leaders are accessible, and you can take pride in working for a company committed to assisting the communities we serve! Join a workplace with a greater purpose.
 We'd love to learn more about how your interests and experience could be a fit with one of the world's most admired and sustainable companies! Build your career with us and apply today. \#MadeForGreater
**Reasonable accommodation**
 Northern Trust is committed to working with and providing reasonable accommodations to individuals with disabilities. If you need a reasonable accommodation for any part of the employment process, please email our HR Service Center at MyHRHelp@ntrs.com .
 We hope you're excited about the role and the opportunity to work with us. We value an inclusive workplace and understand flexibility means different things to different people.
 Apply today and talk to us about your flexible working requirements and together we can achieve greater.</t>
        </is>
      </c>
    </row>
    <row r="36">
      <c r="A36" t="inlineStr">
        <is>
          <t>li-4280353700</t>
        </is>
      </c>
      <c r="B36" t="inlineStr">
        <is>
          <t>AI Product Owner/Developer, Service Desk AI &amp; Automation-Associate Director</t>
        </is>
      </c>
      <c r="C36" t="inlineStr">
        <is>
          <t>Fitch Group, Inc.</t>
        </is>
      </c>
      <c r="D36" t="inlineStr">
        <is>
          <t>linkedin</t>
        </is>
      </c>
      <c r="E36" t="inlineStr"/>
      <c r="F36" t="inlineStr"/>
      <c r="G36" t="inlineStr">
        <is>
          <t>New York, NY</t>
        </is>
      </c>
      <c r="H36" t="inlineStr"/>
      <c r="I36" t="inlineStr">
        <is>
          <t>**Fitch Group is currently seeking a AI Product Owner \&amp; Developer based out of our New York office.**
 As a leading, global financial information services provider, Fitch Group delivers vital credit and risk insights, robust data, and dynamic tools to champion more efficient, transparent financial markets. With over 100 years of experience and colleagues in over 30 countries, Fitch Group’s culture of credibility, independence, and transparency is embedded throughout its structure, which includes Fitch Ratings, one of the world’s top three credit ratings agencies, and Fitch Solutions, a leading provider of insights, data and analytics. With dual headquarters in London and New York, Fitch Group is owned by Hearst.
 Fitch's Technology \&amp; Data Team is a dynamic department where innovation meets impact. Our team includes the Chief Data Office, Chief Software Office, Chief Technology Office, Emerging Technology, Shared Technology Services, Technology, Risk and the Executive Program Management Office (EPMO). Driven by our investment in cutting\-edge technologies like AI and cloud solutions, we’re home to a diverse range of roles and backgrounds united by a shared passion for leveraging modern technology to drive projects that matter to our organization and clients. We are also proud to be recognized by Built In as a “Best Place to Work in Technology” 3 years in a row. Whether you're an experienced professional or just starting your career, we offer an exciting and supportive environment where you can grow, innovate, and make a difference.
 Want to learn more about a career in technology and data at Fitch?
 Visit: https://careers.fitch.group/content/Technology\-and\-Data/
**About The Role**
 The Service Desk AI Product Owner will manage, develop and improve the Service Desk AI Assistant. The Service Desk AI Assistant is available to all users globally and is the users first point of contact for IT issues. Success in this role will lead to opportunities to build additional AI Agents across all of the Technology \&amp; Data team
**How You’ll Make An Impact**
* Hands\-on Technical Development: Take direct ownership of the technical development, configuration and ongoing enhancement of the Service Desk AI assistant. Build, implement and update AI models, automations and integrations – writing code or configuring platforms as needed to deliver key features and improvements
* Drive User\-Centric Enhancements: Actively engage with end users and the Service Desk team to gather feedback and pain points, ensuring the Assistant evolves to meet real\-world needs and delivers measurable improvements in user satisfaction and first\-contact resolution rates
* Optimize Service Desk Efficiency: Leverage automation capabilities to reduce manual workloads for the service desk, leading to faster ticket resolution times and enabling the team to focus on more complex issues.
* Data\-Driven Decision Making: Analyze usage metrics and conversational analytics to identify knowledge gaps and training opportunities, continuously refining the Assistant’s responses to improve accuracy and effectiveness
* Lead Continuous Improvement: Establish a regular cadence for reviewing product performance, prioritizing enhancements, and implementing new features that keep the Service Desk AI Assistant aligned with evolving business objectives and technology advancements.
* Foster Cross\-Functional Collaboration: Work closely with IT, business stakeholders, and external partners to ensure seamless integration of the AI Assistant with existing systems, driving adoption and maximizing organizational value.
* AI Technologies: Keep up to date with AI technologies at both a technical and user level drive forward the Service Desk AI assistant to leverage the latest technologies
* External \&amp; Internal Stakeholder Management: Partner with external and internal stakeholders to resolve AI related issue as well as define guidelines for application of AI
**You May Be a Good Fit If**
* Strong background with AI technology on both a technical and user level
* Experience with Moveworks Agentic AI platform
* You are driven to improve the user experience
* Experience with building, deploying or managing AI/Chatbot assistants.
* Understanding of NLP (Natural Language Processing) concepts, AI model capabilities and knowledge management for ChatBots
* Familiarity with IT Service Management (ITSM) tools, mainly Jira Service Desk and have an understanding on how Service Desks operate
* Have an ability to analyze usage data, identify trends and make data\-driven product improvements.
* Experience in collaborating with end users, business analysts, IT and external vendors. Translating business needs into technical requirements.
* Ability to identify workflow bottlenecks and automating repetitive tasks
**What Would Make You Stand Out**
* Experience with building, deploying or managing AI/Chatbot assistants specifically Microsoft CoPilot and Azure Bot Services
* Experience in Microsoft Power Platform, specifically in Power Automate, Power Apps, Power BI and CoPilot Studio
* Previous experience with deploying Service Desk AI chat bots/agents
* Experience with working in a global business and partnering with key business stakeholders.
* Experience in roadmap creation, feature prioritization and backlog management
* Experience working in Agile teams (Scrum/Kanbam)
**Why Choose Fitch**
* Hybrid Work Environment: 2 to 3 days a week in office required based on your line of business and location
* A Culture of Learning \&amp; Mobility: Dedicated trainings, leadership development and mentorship programs designed to ensure that your time at Fitch will be a continuous learning opportunity
* Investing in Your Future: Retirement planning and tuition reimbursement programs that empower you to achieve your short and long\-term goals
* Promoting Health \&amp; Wellbeing: Comprehensive healthcare offerings that enable physical, mental, financial, social, and occupational wellbeing
* Supportive Parenting Policies: Family\-friendly policies, including a generous global parental leave plan, designed to help you balance career and family life effectively
* Inclusive Work Environment : A collaborative workplace where all voices are valued, with Employee Resource Groups that unite and empower our colleagues around the globe
* Dedication to Giving Back: Paid volunteer days, matched funding for donations and ample opportunities to volunteer in your community
 Fitch is committed to providing global securities markets with objective, timely, independent and forward\-looking credit opinions. To protect Fitch’s credibility and reputation, our employees must take every precaution to avoid conflicts of interest or any appearance of a conflict of interest. Should you be successful in the recruitment process at Fitch Ratings you will be asked to declare any securities holdings and other potential conflicts prior to commencing employment. If you, or your immediate family, have any holdings that may conflict with your work responsibilities, you may be asked to divest yourself of them before beginning work.
 Fitch is proud to be an Equal Opportunity and Affirmative Action Employer. We evaluate qualified applicants without regard to race, color, national origin, religion, sex, sexual orientation, gender identity, disability, protected veteran status, and other statuses protected by law.
**FOR NEW YORK ROLES ONLY:** 
 Expected base pay rates for the role will be between $120,000 \&amp; $140,000 per year. Actual salaries will be determined on an individualized basis and may vary based on factors including but not limited to education, training, experience, past performance, and other job\-related factors. Base pay is one part of Fitch’s total compensation package, which, depending on the position, may also include commission earnings, discretionary bonuses, long\-term incentives, and other benefits sponsored by Fitch.</t>
        </is>
      </c>
    </row>
    <row r="37">
      <c r="A37" t="inlineStr">
        <is>
          <t>li-4333008633</t>
        </is>
      </c>
      <c r="B37" t="inlineStr">
        <is>
          <t>Senior Technical Program Manager - Autonomous Vehicles</t>
        </is>
      </c>
      <c r="C37" t="inlineStr">
        <is>
          <t>NVIDIA</t>
        </is>
      </c>
      <c r="D37" t="inlineStr">
        <is>
          <t>linkedin</t>
        </is>
      </c>
      <c r="E37" t="inlineStr"/>
      <c r="F37" t="inlineStr"/>
      <c r="G37" t="inlineStr">
        <is>
          <t>Santa Clara, CA</t>
        </is>
      </c>
      <c r="H37" t="inlineStr"/>
      <c r="I37" t="inlineStr">
        <is>
          <t>If you're passionate about autonomous vehicles, we would love to hear from you! The Autonomous Vehicles Program Management team is searching for a creative and experienced Technical Program Manager to lead the end\-to\-end development of new autonomous driving features for NVIDIA's autonomous vehicle platform. We are the leading artificial intelligence computing company and are paving the way with innovations in gaming, visualization, supercomputing and self\-driving cars. As a key member of our Automotive Vehicles Program Team, you will be a key leader responsible for the software development execution of our autonomous driving software stack. NVIDIA gives automakers, Tier 1 suppliers, automotive research institutions, and start\-ups the power and flexibility to develop and deploy breakthrough artificial intelligence systems for self\-driving vehicles. Today, we are working with over 270 partners that are using our platform in the development of autonomous cars, trucks, shuttles and taxis.
**What You'll Be Doing**
* Leading automotive software development across multiple engineering teams related toADAS/Autonomy features.
* Working with the engineering leads to define product and roadmaps, develop schedules, and drive the execution and tracking of these across the organization.
* Coordinating release content and efforts with multiple program managers and engineering managers who own individual components.
* Identifying and handling risks, and resolving issues that affect release scope, schedule and quality.
* Establishing metrics to assess and improve product quality and execution.
* Regularly communicating the program status and key issues to management and multi\-functional teams within the organization.
**What We Need To See**
* BS/MS Computer Science, Electrical Engineering or related field (or equivalent experience)
* 8\+ years of recent Program/Product Management experience, including driving the planning and execution of complex software engineering projects, and releasing commercial products.
* Proven experience in Automotive, Perception, Path Planning and/or AI.
* Strong leadership and interpersonal skills. Demonstrated ability to collaborate on global projects across teams and time zones.
* Experience with Jira and/or JAMA, to the point that you can comfortably guide an engineering team how to use these tools.
**Ways To Stand Out From The Crowd**
* Proven experience leading end\-to\-end development ofADAS or self\-drivingfeatures
* Experience as software engineer, software QA or systems engineer.
* Background in a fast\-paced Automotive OEM or supplier.
 Your base salary will be determined based on your location, experience, and the pay of employees in similar positions. The base salary range is 160,000 USD \- 253,000 USD for Level 4, and 192,000 USD \- 304,750 USD for Level 5\.
 You will also be eligible for equity and benefits .
 Applications for this job will be accepted at least until October 21,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JR2006010</t>
        </is>
      </c>
    </row>
    <row r="38">
      <c r="A38" t="inlineStr">
        <is>
          <t>li-4302139257</t>
        </is>
      </c>
      <c r="B38" t="inlineStr">
        <is>
          <t>Voice Product Manager</t>
        </is>
      </c>
      <c r="C38" t="inlineStr">
        <is>
          <t>Infobip</t>
        </is>
      </c>
      <c r="D38" t="inlineStr">
        <is>
          <t>linkedin</t>
        </is>
      </c>
      <c r="E38" t="inlineStr"/>
      <c r="F38" t="inlineStr"/>
      <c r="G38" t="inlineStr">
        <is>
          <t>Jersey City, NJ</t>
        </is>
      </c>
      <c r="H38" t="inlineStr"/>
      <c r="I38" t="inlineStr">
        <is>
          <t>Working at Infobip means being part of something truly global. With 75\+ offices across six continents, we’re not just building technology—we’re shaping how more than 80% of the world connects and communicates.
 As employees, we take pride in contributing to the world’s largest and only full\-stack cloud communication platform. But it’s not just what we do, it’s how we do it: with curiosity, passion, and a whole lot of collaboration.
 If you're looking for meaningful work and challenges that grow you in a culture where people show up with purpose, this is your opportunity.
 Let’s build what’s next, together.
**Why is this role important at Infobip?**
 Every great company’s success starts with having a great product. To write our next success story, it is essential to continue to innovate and develop our global in\-house products. As a
 ***Voice Product Manager***
 , you will directly impact our company’s portfolio by leading the discovery, defining, building, launching and scaling of a product with a focus on Real Time Communications (e.g., Voice and Video) as part of our Communication Platform as a Service (CPaaS) solution.
**More About What You'll Do**
* Manage and develop Infobip’s voice products with a primary emphasis on products serving the U.S. market, leveraging Infobip’s best\-in\-class carrier network.
* Discover customer needs and market opportunities while keeping in mind the overall business objectives.
* Define a clear product vision, strategy, and roadmap.
* Share the vision of the product with all stakeholders: customers, management, engineering, marketing, sales and other teams.
* Serve as the product's subject matter expert and point of contact for stakeholders.
* Build the product together with engineering, design, and other expert teams.
* Achieve company readiness to launch new products and features by enabling the organization and removing any roadblocks.
* Scale the products by continuously monitoring product metrics and identifying improvement and growth opportunities.
**More About You And Your Qualifications**
* Experience with SIP trunking product management.
* Previous experience working at a U.S. carrier.
* Experience in shaping product strategy in CPaaS.
* Good knowledge and understanding of SIP trunking.
* Worked on end\-to\-end software product life cycle from discovery to delivery.
* Experience with market research and product testing.
* Experience with implementing Go\-to\-Market (GTM) strategies.
* Experience in working with both external and internal stakeholders.
* Experience working with agile methodologies, Scrum, LESS, Kanban or others.
* Ability to influence decision\-making at all levels within an organization.
**Why our employees choose us (and stay)?**
* Learn as you grow – starting from an onboarding program to internal education, training resources, e\-learning, to external education \-\- we invest heavily in employee learning and development.
* Awesome clients – We serve and partner with most leading mobile operators, OTTs, brands, banks, social networks, aggregators and more. You can look forward to working with the likes of Vodafone, WhatsApp, Uber, and many more.
* Great environment – Team spirit, passion, creativity, persistence, and collaboration are the drivers of our company.
* Connect globally – Work with Bippers, teams, and partners from all over the world. We put the “global” in globalization.
* Opportunity Knocks. Often. – Being a part of a growing company in a growing industry, we challenge you to grow! Whether it’s horizontal, vertical, or angular, we want to support the path that you want to carve.
* Never a dull moment – We work with powerful companies with great impact which pushes us to work on the highest possible level. Work on uncharted challenges and push boundaries daily.
**Additional Information**
**Salary Range** 
 : $150,000\-$185,000 USD annual base salary (the salary of the finalist selected for this role will be based on a variety of factors, including but not limited to internal equity, job\-related knowledge, experience, education, and skillset). This role is also eligible to receive an annual bonus, based on both individual and company performance.
**Benefits \&amp; Perks** 
 : Medical, Dental, and Vision insurance; Basic life insurance; 401(k) plan participation with company match; Short\-term and long\-term disability insurance; Wellness plan of up to $500/year pro\-rated based on hire date; PTO: Accrual of up to twenty\-three (23\) vacation days per year, accrual of up to nine (9\) sick days per year, plus carryover of up to nine (9\) sick days annually; Additional leave time for marriage, relocation, bereavement, and other major life events; Twelve (12\) weeks of paid parental leave; Participation in employee share ownership plan (ESOP); Fourteen (14\) paid holidays annually.
**Diversity drives connection**
**Infobip is built on diverse backgrounds, perspectives, and talents.** 
 We’re proud to be an equal\-opportunity employer and are committed to fostering an inclusive workplace.
 No matter your race, gender, age, background, or identity—if you have the passion and skills to thrive, there’s a place for you here.
**All qualified applicants will receive consideration for employment without regard to race, color, ancestry, religion, age, sex, sexual orientation, gender, gender identity, national origin, citizenship, disability, veteran status or any other part of one's identity.**</t>
        </is>
      </c>
    </row>
    <row r="39">
      <c r="A39" t="inlineStr">
        <is>
          <t>li-4333009002</t>
        </is>
      </c>
      <c r="B39" t="inlineStr">
        <is>
          <t>VP, Program Manager</t>
        </is>
      </c>
      <c r="C39" t="inlineStr">
        <is>
          <t>PURE Insurance</t>
        </is>
      </c>
      <c r="D39" t="inlineStr">
        <is>
          <t>linkedin</t>
        </is>
      </c>
      <c r="E39" t="inlineStr"/>
      <c r="F39" t="inlineStr"/>
      <c r="G39" t="inlineStr">
        <is>
          <t>Roswell, GA</t>
        </is>
      </c>
      <c r="H39" t="inlineStr"/>
      <c r="I39" t="inlineStr">
        <is>
          <t>**About The Role.**
 The
 **Vice President, Program Manager** 
 will oversee PURE Programs E\&amp;S High Value Builder’s Risk program, serving as the senior leader responsible for carrier relationships, portfolio performance, and long\-term product strategy. This role carries full accountability for underwriting execution, profitability, and growth across the Builder’s Risk product line.
 Reporting directly to senior underwriting leadership, this individual will lead a cross\-functional effort to strengthen PURE’s market position in the high\-value residential construction segment. The VP will collaborate closely with underwriting, claims, distribution, and carrier partners to ensure consistent underwriting discipline, product innovation, and service excellence.
 This role demands a strategic thinker with deep expertise in high\-value residential construction risk and a strong understanding of the E\&amp;S and admitted markets. The ideal candidate has over 15 years of progressive experience in construction underwriting, program management, or related disciplines.
**What You’ll Do.**
**Program Strategy \&amp; Oversight**
* Lead the strategic direction and management of PURE’s High Value Builder’s Risk program.
* Define underwriting appetite, pricing strategy, and performance standards aligned with profitability and growth goals.
* Oversee portfolio performance, providing analysis, reporting, and actionable insights to executive leadership.
* Drive continuous improvement in underwriting practices, governance, and partner engagement.
* Lead renewal and expansion negotiations with carrier partners to ensure alignment of interests and long\-term stability.
**Carrier \&amp; Market Partnerships**
* Serve as the primary relationship manager for carrier partners, ensuring transparency, trust, and aligned objectives.
* Represent PURE externally as a subject matter expert in high\-value residential construction risk.
* Oversee carrier reporting, reinsurance coordination, and compliance with program terms and service standards.
* Identify opportunities for market expansion, new coverage solutions, or distribution enhancements.
**Leadership \&amp; Collaboration**
* Provide direction and mentorship to the Course of Construction (COC) Underwriting Manager and related underwriting teams.
* Foster an environment of collaboration, accountability, and professional development.
* Partner with internal stakeholders—including Product, Claims, Finance, and Legal—to deliver consistent program execution and governance.
* Champion PURE’s values through balanced decision\-making support both member experience and business performance.
**Underwriting Excellence \&amp; Execution**
* Maintain oversight of underwriting discipline and authority delegation across the Builder’s Risk portfolio.
* Support underwriters and managers in evaluating complex or unique construction risks.
* Ensure adherence to PURE’s underwriting framework, documentation standards, and audit requirements.
* Oversee rate, form, and coverage evolution to maintain competitiveness and risk alignment.
**What We’re Looking For.**
* Minimum 15 years of experience in high\-value residential construction underwriting, program management, or related fields.
* Deep technical expertise in construction risk, including ground\-up residential projects and renovation exposures.
* Proven success in managing carrier relationships, negotiating reinsurance or delegated authority arrangements.
* Strategic leader with the ability to balance long\-term vision and near\-term execution.
* Exceptional analytical, communication, and relationship management skills.
* Demonstrated ability to lead teams and drive cross\-functional collaboration.
* Bachelor’s degree required; advanced degree or professional designation (CPCU, ARM, CRIS) preferred.
 The base salary for this role can range from $145,000 to $175,000 based on a full\-time work schedule. An individual’s ultimate compensation will vary depending on job\-related skills and experience, geographic location, alignment with market data, and equity among other team members with comparable experience
**Want to Learn More?**
* \[Our Values]
* \[Our Benefits]
* \[Our Community Impact]
* \[Our Leadership]</t>
        </is>
      </c>
    </row>
    <row r="40">
      <c r="A40" t="inlineStr">
        <is>
          <t>li-4319997324</t>
        </is>
      </c>
      <c r="B40" t="inlineStr">
        <is>
          <t>Integration Product Manager – Manager</t>
        </is>
      </c>
      <c r="C40" t="inlineStr">
        <is>
          <t>PwC</t>
        </is>
      </c>
      <c r="D40" t="inlineStr">
        <is>
          <t>linkedin</t>
        </is>
      </c>
      <c r="E40" t="inlineStr"/>
      <c r="F40" t="inlineStr"/>
      <c r="G40" t="inlineStr">
        <is>
          <t>San Diego, CA</t>
        </is>
      </c>
      <c r="H40" t="inlineStr"/>
      <c r="I40"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Software and Product Innovation team you manage the development and utilization of technology to drive product management initiatives. As a Manager you lead teams and manage client accounts, focusing on strategic planning and mentoring junior staff. You are accountable for project success and maintaining elevated standards, while embracing technology and innovation to enhance delivery and encourage others to do the same.
**Responsibilities**
* Lead and oversee product management initiatives within the team
* Utilize technology to drive innovation and enhance product delivery
* Mentor and guide junior staff to foster professional growth
* Secure successful project execution and uphold quality standards
* Develop strategic plans to manage client accounts effectively
* Encourage the adoption of new technologies and innovative practices
* Cultivate a collaborative and productive team environment
* Maintain accountability for project outcomes and client satisfaction
 What You Must Have
* Bachelor's Degree
* 5 years of experience
* Bachelor's degree or in lieu of a degree, demonstrating, in addition to the minimum years of experience required for the role, three years of specialized training and/or progressively responsible work experience in technology for each missing year of college
 What Sets You Apart
* Master's Degree in Analytics, Artificial Intelligence and Robotics, Business Analytics, Computer and Information Science, Computer Engineering, Management Information Systems, or Mathematics preferred
* Demonstrating proven leadership in managing technology projects
* Possessing proficiency in IT implementation and maintenance
* Developing vendor relationships
* Presenting at meetings and conferences
* Creating and managing product roadmaps
* Managing multidisciplinary product teams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1">
      <c r="A41" t="inlineStr">
        <is>
          <t>li-4347191181</t>
        </is>
      </c>
      <c r="B41" t="inlineStr">
        <is>
          <t>Senior Technical Program Manager</t>
        </is>
      </c>
      <c r="C41" t="inlineStr">
        <is>
          <t>Mastercard</t>
        </is>
      </c>
      <c r="D41" t="inlineStr">
        <is>
          <t>linkedin</t>
        </is>
      </c>
      <c r="E41" t="inlineStr"/>
      <c r="F41" t="inlineStr"/>
      <c r="G41" t="inlineStr">
        <is>
          <t>O'Fallon, MO</t>
        </is>
      </c>
      <c r="H41" t="inlineStr"/>
      <c r="I41"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Senior Technical Program Manager
 Who is Mastercard?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 one that makes better decisions, drives innovation, and delivers better business results.
 Technology at Mastercard
 What we create today will define tomorrow. Revolutionary technologies that reshape the digital economy to be more connected and inclusive than ever before. Safer, faster, more sustainable.
 And we need the best people to do it. Technologists who are energized by the challenges of a truly global network. With the talent and vision to create the critical systems and products that power global commerce and connect people everywhere to the vital goods and services they need every day.
 Working at Mastercard means being part of a unique culture. Inclusive and diverse, a rich collaboration of ideas and perspectives. A place that celebrates your strengths, values your experiences, and offers you the flexibility to shape a career across disciplines and continents. And the opportunity to work alongside experts and leaders at every level of the business, improving what exists, and inventing what’s next.
 The Payment Enablment program provides a suite of value\-added switching services to each qualified transaction processed by Mastercard, increasing the security, accessibility, and simplicity of data for participating customers.
**About The Role**
 Technical Program Managers at Mastercard interact with product managers, software development managers, developers, and senior leaders across partner teams in the Product and Engineering organization to deliver complex projects and programs. You will define roadmap deliverables, develop program execution plans, align dependencies, track progress, anticipate risks, provide escalation management, make sound trade\-off decisions, and balance business needs versus technical constraints. The ideal candidate is passionate about the customer experience journey, highly motivated, intellectually curious, analytical, and possesses an entrepreneurial mindset. You are expected to be detail\-oriented, with a solid technical background and excellent problem\-solving skills.
 All Staff At Mastercard Are Expected To Demonstrate 'Mastercard Way' Cultural Values Every Day \- Own It, Simplify It, Sense Of Urgency, Thoughtful Risk\-taking, Unlock Potential, And Be Inclusive – With a Relentless Focus On Our Customers. As a Senior Technical Program Manager At Mastercard, You Are Expected To Perform The Following General Responsibilities:
* Plan, execute, and deliver projects from inception to completion related to a known technology, product, or program. Describe and maintain the integrated plan that accounts for internal/external dependencies, differing delivery approaches, numerous constraints, and contingencies for unplanned delays.
* Secure resources, scope efforts, outline priorities and establish delivery milestones. Nurture good working relationships with engineers, managers, and peers.
* Proactively manage the end\-to\-end delivery of engineering work through the organization and all dependent organizations, reporting out progress, ensuring dependencies are covered, overseeing the gaps between teams, processes, and systems, while removing all blocking issues leading to a successful delivery. Accelerate progress by driving crisp, timely decisions.
* Be the first point of contact for projects. Communicate with confidence 3\+ levels up. Be the source of truth for status. Transform raw thoughts into clear and concise communications. Provide right information and associated data about the state of the project to the right audience at the right time. Run effective meetings.
* Have experience in and understand industry technologies and understand the program, product, or O\&amp;T domain. Have sufficient depth/credibility to be effective with teams you work with. Can competently represent team’s services to stakeholders and other teams.
* Delivers independently but occasionally seek direction from peers/managers. Guide, mentor and coach the team.
* Optimize previously defined approaches for a team or limited area. Demonstrate improvements using data. Utilize department mechanisms (i.e. retrospectives, staff meetings, status meetings) to describe and drive continuous improvements.
**All About You**
 The ideal candidate for this position should have:
* Intermediate technical program delivery or project management experience including time developing and testing software. Experience leading development and testing efforts or time spent in software development and testing.
* Demonstrated experience breaking down problems, organizing work, planning sprints, and delivering technical programs in agile delivery models using the Software Development Life Cycle
* Demonstrated ability to operate with independence and autonomy
* Proven track record of data\-driven decision\-making and applying continuous improvement methodologies across teams
* Demonstrated experience building relationships, partnering with and influencing dependent teams while commanding the respect of the individuals you work with across the organization
* Ability to debate the delivery strategy with business teams, architects, engineers, and designers
* Ability to communicate to executives, peers, and staff with impact, eloquence, and authenticity
* Experience working on programs to define and build cloud\-native software products as a platform at scale
* Desire to dive deep to understand the platforms' capabilities and underlying technologies
* Bachelor degree in software engineering, computer science, information technology or related discipline preferred, or equivalent work experience
**Preferred But Not Required**
* Completed Certifications (Agile, PMI, ITIL, DevOps, cloud computing, Java, etc.) preferred, or equivalent work experience
* Expertise in Payments, IaaS, PaaS, serverless technology, CI/CD, NoSQL databases, microservices APIs, and distributed systems operations in a DevOps model
* Knowledge of work management tools a plus (Jira, Rally)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
**Pay Ranges**
 O'Fallon, Missouri: $96,000 \- $163,000 USD</t>
        </is>
      </c>
    </row>
    <row r="42">
      <c r="A42" t="inlineStr">
        <is>
          <t>li-4333128039</t>
        </is>
      </c>
      <c r="B42" t="inlineStr">
        <is>
          <t>Senior NPI Program Manager - Datacenter Server Products</t>
        </is>
      </c>
      <c r="C42" t="inlineStr">
        <is>
          <t>NVIDIA</t>
        </is>
      </c>
      <c r="D42" t="inlineStr">
        <is>
          <t>linkedin</t>
        </is>
      </c>
      <c r="E42" t="inlineStr"/>
      <c r="F42" t="inlineStr"/>
      <c r="G42" t="inlineStr">
        <is>
          <t>Santa Clara, CA</t>
        </is>
      </c>
      <c r="H42" t="inlineStr"/>
      <c r="I42" t="inlineStr">
        <is>
          <t>Do you want to join a team of highly motivated and experienced program managers who drive the successful introduction of NVIDIA's next generation GPU/CPU based products? We work closely with internal leaders in Software, Hardware, Firmware, Marketing and Operations to ensure the SW team delivers outstanding products while operating across multiple functional units and all levels of management to achieve Time\-To\-Market. As part of the team, your knowledge of driver, firmware, diagnostics and the SW stack development processes and priorities will enable you to swiftly make the course adjustments needed to keep these complex projects on track!
 Our team drives the correction of any issues that impede program success via on the spot corrections, mid\-program or post\-mortem analysis. We closely collaborate to wring the maximum efficiency from our processes while seeking out process changes that improve both NPI and SW productivity. Do you wish you were a catalyst in a company that is defining new, globally impactful markets, while working with sharp, upbeat peers? If so, we have an opportunity for you!
**What You'll Be Doing**
* Driving system software releases to enable production of new systems.
* Provide up to date software readiness to cross functional team members.
* Learn the stakeholders in the program and what their needs. Plan ahead the HW, FW and SW needs for a successful outcome of the product.
* Understand the needs for the new product development. Plan ahead for HW, FW, and SW teams to ensure successful product outcomes.
* Prioritize resolution of issues for firmware and platform bring up.
**What We Need To See**
* Hands on experience with the software development lifecycle, specifically for device drivers and applications
* You have experience in product bring up
* Effective in a matrix\-managed organization and work with datacenter, lab and engineering development teams
* Detail oriented and comfortable multitasking in a dynamic environment with shifting priorities and changing requirements. Excellent communication and technical presentation skills
* You love thinking creatively to resolve novel technical issues and resource constraints
* Ability to think strategically and tactically and to build consensus to make programs successful. Thorough knowledge of software engineering and life cycle principles
* Data analysis with Excel or Tableau or Smartsheets. Presenting information in more understandable and actionable formats to enhance the decision making
* 7\+ years in a similar or related role with BS CE, EE or CS (or equivalent experience)
**Way To Stand Out From The Crowd**
* Knowledge of data center systems, standards and deployment a plus
* You have shown the ability to independently deliver complex products
* Knowledge of GPUs and NICs is a plus. Having experience with Agile tools in support of this role
 NVIDIA is widely considered to be one of the technology world’s most desirable employers. We have some of the most forward\-thinking and hardworking people on the planet working for us. If you're creative, passionate and self\-motivated, we want to hear from you!
 Your base salary will be determined based on your location, experience, and the pay of employees in similar positions. The base salary range is 160,000 USD \- 253,000 USD for Level 4, and 192,000 USD \- 304,750 USD for Level 5\.
 You will also be eligible for equity and benefits .
 Applications for this job will be accepted at least until December 11,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JR1998353</t>
        </is>
      </c>
    </row>
    <row r="43">
      <c r="A43" t="inlineStr">
        <is>
          <t>li-4319905321</t>
        </is>
      </c>
      <c r="B43" t="inlineStr">
        <is>
          <t>Integration Product Manager – Manager</t>
        </is>
      </c>
      <c r="C43" t="inlineStr">
        <is>
          <t>PwC</t>
        </is>
      </c>
      <c r="D43" t="inlineStr">
        <is>
          <t>linkedin</t>
        </is>
      </c>
      <c r="E43" t="inlineStr"/>
      <c r="F43" t="inlineStr"/>
      <c r="G43" t="inlineStr">
        <is>
          <t>Nashville, TN</t>
        </is>
      </c>
      <c r="H43" t="inlineStr"/>
      <c r="I43"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Software and Product Innovation team you manage the development and utilization of technology to drive product management initiatives. As a Manager you lead teams and manage client accounts, focusing on strategic planning and mentoring junior staff. You are accountable for project success and maintaining elevated standards, while embracing technology and innovation to enhance delivery and encourage others to do the same.
**Responsibilities**
* Lead and oversee product management initiatives within the team
* Utilize technology to drive innovation and enhance product delivery
* Mentor and guide junior staff to foster professional growth
* Secure successful project execution and uphold quality standards
* Develop strategic plans to manage client accounts effectively
* Encourage the adoption of new technologies and innovative practices
* Cultivate a collaborative and productive team environment
* Maintain accountability for project outcomes and client satisfaction
 What You Must Have
* Bachelor's Degree
* 5 years of experience
* Bachelor's degree or in lieu of a degree, demonstrating, in addition to the minimum years of experience required for the role, three years of specialized training and/or progressively responsible work experience in technology for each missing year of college
 What Sets You Apart
* Master's Degree in Analytics, Artificial Intelligence and Robotics, Business Analytics, Computer and Information Science, Computer Engineering, Management Information Systems, or Mathematics preferred
* Demonstrating proven leadership in managing technology projects
* Possessing proficiency in IT implementation and maintenance
* Developing vendor relationships
* Presenting at meetings and conferences
* Creating and managing product roadmaps
* Managing multidisciplinary product teams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4">
      <c r="A44" t="inlineStr">
        <is>
          <t>li-4320015249</t>
        </is>
      </c>
      <c r="B44" t="inlineStr">
        <is>
          <t>Integration Product Manager – Manager</t>
        </is>
      </c>
      <c r="C44" t="inlineStr">
        <is>
          <t>PwC</t>
        </is>
      </c>
      <c r="D44" t="inlineStr">
        <is>
          <t>linkedin</t>
        </is>
      </c>
      <c r="E44" t="inlineStr"/>
      <c r="F44" t="inlineStr"/>
      <c r="G44" t="inlineStr">
        <is>
          <t>Kansas City, MO</t>
        </is>
      </c>
      <c r="H44" t="inlineStr"/>
      <c r="I44"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Software and Product Innovation team you manage the development and utilization of technology to drive product management initiatives. As a Manager you lead teams and manage client accounts, focusing on strategic planning and mentoring junior staff. You are accountable for project success and maintaining elevated standards, while embracing technology and innovation to enhance delivery and encourage others to do the same.
**Responsibilities**
* Lead and oversee product management initiatives within the team
* Utilize technology to drive innovation and enhance product delivery
* Mentor and guide junior staff to foster professional growth
* Secure successful project execution and uphold quality standards
* Develop strategic plans to manage client accounts effectively
* Encourage the adoption of new technologies and innovative practices
* Cultivate a collaborative and productive team environment
* Maintain accountability for project outcomes and client satisfaction
 What You Must Have
* Bachelor's Degree
* 5 years of experience
* Bachelor's degree or in lieu of a degree, demonstrating, in addition to the minimum years of experience required for the role, three years of specialized training and/or progressively responsible work experience in technology for each missing year of college
 What Sets You Apart
* Master's Degree in Analytics, Artificial Intelligence and Robotics, Business Analytics, Computer and Information Science, Computer Engineering, Management Information Systems, or Mathematics preferred
* Demonstrating proven leadership in managing technology projects
* Possessing proficiency in IT implementation and maintenance
* Developing vendor relationships
* Presenting at meetings and conferences
* Creating and managing product roadmaps
* Managing multidisciplinary product teams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5">
      <c r="A45" t="inlineStr">
        <is>
          <t>li-4319985296</t>
        </is>
      </c>
      <c r="B45" t="inlineStr">
        <is>
          <t>Integration Product Manager – Manager</t>
        </is>
      </c>
      <c r="C45" t="inlineStr">
        <is>
          <t>PwC</t>
        </is>
      </c>
      <c r="D45" t="inlineStr">
        <is>
          <t>linkedin</t>
        </is>
      </c>
      <c r="E45" t="inlineStr"/>
      <c r="F45" t="inlineStr"/>
      <c r="G45" t="inlineStr">
        <is>
          <t>Buffalo, NY</t>
        </is>
      </c>
      <c r="H45" t="inlineStr"/>
      <c r="I45"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Software and Product Innovation team you manage the development and utilization of technology to drive product management initiatives. As a Manager you lead teams and manage client accounts, focusing on strategic planning and mentoring junior staff. You are accountable for project success and maintaining elevated standards, while embracing technology and innovation to enhance delivery and encourage others to do the same.
**Responsibilities**
* Lead and oversee product management initiatives within the team
* Utilize technology to drive innovation and enhance product delivery
* Mentor and guide junior staff to foster professional growth
* Secure successful project execution and uphold quality standards
* Develop strategic plans to manage client accounts effectively
* Encourage the adoption of new technologies and innovative practices
* Cultivate a collaborative and productive team environment
* Maintain accountability for project outcomes and client satisfaction
 What You Must Have
* Bachelor's Degree
* 5 years of experience
* Bachelor's degree or in lieu of a degree, demonstrating, in addition to the minimum years of experience required for the role, three years of specialized training and/or progressively responsible work experience in technology for each missing year of college
 What Sets You Apart
* Master's Degree in Analytics, Artificial Intelligence and Robotics, Business Analytics, Computer and Information Science, Computer Engineering, Management Information Systems, or Mathematics preferred
* Demonstrating proven leadership in managing technology projects
* Possessing proficiency in IT implementation and maintenance
* Developing vendor relationships
* Presenting at meetings and conferences
* Creating and managing product roadmaps
* Managing multidisciplinary product teams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6">
      <c r="A46" t="inlineStr">
        <is>
          <t>li-4343498707</t>
        </is>
      </c>
      <c r="B46" t="inlineStr">
        <is>
          <t>Senior Technical Program Manager</t>
        </is>
      </c>
      <c r="C46" t="inlineStr">
        <is>
          <t>Microsoft</t>
        </is>
      </c>
      <c r="D46" t="inlineStr">
        <is>
          <t>linkedin</t>
        </is>
      </c>
      <c r="E46" t="inlineStr"/>
      <c r="F46" t="inlineStr"/>
      <c r="G46" t="inlineStr">
        <is>
          <t>Atlanta, GA</t>
        </is>
      </c>
      <c r="H46" t="inlineStr"/>
      <c r="I46" t="inlineStr">
        <is>
          <t>**Overview**
 With more than 45,000 employees and partners worldwide, the Customer Experience and Success (CE\&amp;S) organization is on a mission to empower customers to accelerate business value through differentiated customer experiences that leverage Microsoft’s products and services, ignited by our people and culture. We drive cross\-company alignment and execution, ensuring that we consistently exceed customers’ expectations in every interaction, whether in\-product, digital, or human\-centered. CE\&amp;S is responsible for all up services across the company, including consulting, customer success, and support across Microsoft’s portfolio of solutions and products. Join CE\&amp;S and help us accelerate AI transformation for our customers and the world.
 The Global Customer Success (GCS) organization, an organization within CE\&amp;S, is leading the effort to enable customer success on the Microsoft Cloud by harnessing leading, AI\-powered capabilities and human expertise to deliver innovation solutions that accelerate business value, drive operational excellence and nurture long term loyalty.
 As part of this mission, our Technical Success team drives rapid solution deployment and workload expansion for high\-value customer scenarios.
 **As a Senior Technical Program Manager** 
 , you will oversee programmatic engagements for our Analytics and AI Technical Success teams, ensuring delivery excellence and strategic alignment across complex customer projects. You will be accountable for program goals, KPIs, and the successful adoption of Microsoft’s cloud and AI platforms. This role partners closely with Factory, field, and engineering teams to unblock customer projects, accelerate value realization, and expand workload adoption.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**Program Leadership:**
* Oversee strategic engagements, ensuring alignment with business objectives and customer success outcomes.
* Drive programmatic execution, including migration, modernization, and rapid solution deployment for high\-value scenarios.
* Own accountability for revenue, delivery excellence, and KPIs for assigned programs.
* Lead scalable process design for operational efficiency and effective stakeholder communication.
* Serve as the single source of truth for tracking, analysis, and reporting during engagement lifecycle.
* Stakeholder Engagement:
* Partner with Factory, field, and engineering teams to deliver customer solutions.
* Facilitate project kickoffs, stakeholder reviews, and regular standups to ensure alignment, blocker resolution, and adherence to project timelines.
* Drive impactful Winwire practices to highlight success stories.
**FDE Partnership**
* Collaborate with delivery team members (Factory Architects, Developers, Technical Success Architects) to deliver customer solutions.
* Support FDE engagement lifecycle: nomination, onboarding, discovery, build, activate, and post\-engagement handoff.
* Ensure clear expectation setting, scope definition, and governance for projects.
* Engage in customer calls throughout development, ensuring smooth transitions and successful outcomes.
* Continuous Improvement \&amp; Thought Leadership:
* Gather insights from engagements to shape program parameters and improve our product.
* Foster a culture of learning, innovation, and inclusivity.
* Model impactful community engagement and coach inclusivity.
* Provide delivery excellence SME and thought leadership across CE\&amp;S and GCS.
**Core Competencies**
* Program Management: Applies proven program management methodologies to plan, execute, and deliver complex technical projects. Manages risks, dependencies, and resources to ensure successful outcomes and continuous improvement.
* Operational Excellence: Designs, implements, and optimizes business processes to drive efficiency, scalability, and consistency. Identifies and resolves operational bottlenecks, proactively recommending improvements.
* Cross\-Team Collaboration: Partners with managers, directs, and cross\-functional teams to ensure seamless business operations. Acts as a liaison between global and regional teams, driving alignment and effective communication.
* Stakeholder Management: Builds and maintains effective relationships with internal and external stakeholders. Navigates complex organizational structures to drive alignment and collaboration.
* Drive for Results: Tenaciously pursues positive outcomes, solves problems, delivers on commitments, and seeks increasingly challenging work. Demonstrates ownership and accountability for program goals and customer success.
* Technical Acumen (Cloud, AI, Data Architecture): Demonstrates deep understanding of cloud platforms (Azure, etc.), AI solutions, and modern data architectures. Applies technical expertise to guide solution development and deployment.
* Change Management: Supports and leads change initiatives, ensuring successful adoption of new processes, tools, and technologies. Champions continuous improvement and innovation.
* Data Analysis \&amp; Reporting: Interprets and communicates complex data to inform decisions. Develops and maintains dashboards and reporting tools to provide visibility into progress, risks, and opportunities.
* Business Acumen: Understands business strategy, operations, and financial drivers. Surfaces actionable insights and recommendations to leadership, enabling data\-driven decision\-making.
**Other Responsibilties**
* Embody our culture and values
**Qualifications**
**Required/Minimum Qualifications**
* Bachelor's Degree AND 4\+ years experience in engineering, product/technical program management, data analysis, or product development
+ OR equivalent experience.
* 2\+ years of experience managing cross\-functional and/or cross\-team projects.
**Additional Or Preferred Qualifications**
* Bachelor's Degree AND 8\+ years experience engineering, product/technical program management, data analysis, or product development OR equivalent experience.
* 6\+ years of experience managing cross\-functional and/or cross\-team projects.
* 1\+ year(s) of experience reading and/or writing code (e.g., sample documentation, product demos).
* Experience in program management and technical delivery roles driving cloud solutions for enterprise customers
* Cloud Technologies: Deep understanding of Azure services or other cloud technologies, especially for data modernization and migration.
* Strategic Execution: Skilled in translating business goals into execution strategies, managing risks, and driving outcomes
* Depth of experience in stakeholder communications and executive\-level materials
 Technical Program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7">
      <c r="A47" t="inlineStr">
        <is>
          <t>li-4333167855</t>
        </is>
      </c>
      <c r="B47" t="inlineStr">
        <is>
          <t>Senior Software Program Manager - Datacenter Compute Server</t>
        </is>
      </c>
      <c r="C47" t="inlineStr">
        <is>
          <t>NVIDIA</t>
        </is>
      </c>
      <c r="D47" t="inlineStr">
        <is>
          <t>linkedin</t>
        </is>
      </c>
      <c r="E47" t="inlineStr"/>
      <c r="F47" t="inlineStr"/>
      <c r="G47" t="inlineStr">
        <is>
          <t>Santa Clara, CA</t>
        </is>
      </c>
      <c r="H47" t="inlineStr"/>
      <c r="I47" t="inlineStr">
        <is>
          <t>We are looking for a Senior Software Program Manager to join NVIDIA’s Compute Software platform team. Our work has made major impact in various fields, and are used across leading academic institutions, start\-ups, and industry; including the world’s largest Internet companies. We need passionate, hard\-working, and creative people to help us reach our Engineering goals.
**What You Will Be Doing**
* Work closely with software and firmware development managers, engineers, and other logistical personnel to understand, define and implement processes to support as well as NVIDIA GPUs HPC and AI platforms to cloud service provider customers and OEMs. This will also include responsibilities related to general compute and firmware releases.
* Lead software and firmware execution for Datacenter class of Servers, Rack Solution and PCIe products, drive release schedules and plans, executive status updates. Schedule and lead status meetings, be the focal point for building and maintaining the release schedules as well as the release plan of record.
* Collaborate with teams across the company to plan and drive Software/Firmware objectives for the team. In this role, you will collect requirements, help define priorities, drive scheduling, and planning for all phases of the process implementation. You will develop and maintain schedules, for the many moving parts that need to work in parallel. Lead and improve existing product development and software release processes; and collaborate with engineering management to refine the development workflow for maximum engineering efficiency. You will have the opportunity to partner with diverse technical groups, spanning all organizational levels.
* Internally, you will translate customer requirements into achievable goals and actions and ensure that customers are kept up to date on issue status.
* Partner with various internal teams and third party located in different time zones as needed to help resolve customer issues.
* Manage customer releases.
* Drive process documentation.
* Work with customer PMs on software issues including technical feedback from OEM/ODMs and CSPs.
* Improve and maintain all processes related to enterprise support.
* Should be able to understand big picture of complete NVIDIA SW stack that runs on NVIDIA GPUs.
**What We Need To See**
* Solid ability to get complex Datacenter products to customers. Experience with datacenter servers and associated SW technologies highly desired.
* Hands on experience with software development and processes, specifically for system software / firmware development.
* Strength working independently and actively with minimal direction from others. Proven experience to creatively resolve technical issues and resource conflicts
* Ability to think strategically and tactically and to build consensus to make programs successful.
* Detailed knowledge of software engineering principles.
* Experience with industry standard configuration management tools. Experience with productivity tools and process automation.
* You should be detail oriented with shown ability to multitask, in a dynamic environment with shifting priorities and changing requirements.
* Program Managers with excellent verbal and written communication and technical presentation skills. BS in Electrical Engineering or Computer Science (or equivalent experience), with 12\+ years proven experience in a similar or related role
**Ways To Stand Out From The Crowd**
* Operating systems principles, Linux OS and Programming experience in modern programming languages advantageous. Datacenter functional knowledge and experience with PCIe boards is a plus.
* Previous experience coordinating activities between HW, Firmware and SW organizations, is a plus.
* Knowledge of GPUs and NICs is a plus. Having experience with Agile tools in support of this role
 NVIDIA is widely considered to be one of the technology world’s most desirable employers. We have some of the most forward\-thinking and hardworking people on the planet working for us. If you're creative and autonomous, we want to hear from you!
 Your base salary will be determined based on your location, experience, and the pay of employees in similar positions. The base salary range is 192,000 USD \- 304,750 USD for Level 5, and 232,000 USD \- 368,000 USD for Level 6\.
 You will also be eligible for equity and benefits .
 Applications for this job will be accepted at least until January 5, 2026\.NVIDIA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JR1996363</t>
        </is>
      </c>
    </row>
    <row r="48">
      <c r="A48" t="inlineStr">
        <is>
          <t>li-4301099627</t>
        </is>
      </c>
      <c r="B48" t="inlineStr">
        <is>
          <t>Program Manager III, Insurance Services (HYBRID)</t>
        </is>
      </c>
      <c r="C48" t="inlineStr">
        <is>
          <t>First Tech Federal Credit Union</t>
        </is>
      </c>
      <c r="D48" t="inlineStr">
        <is>
          <t>linkedin</t>
        </is>
      </c>
      <c r="E48" t="inlineStr"/>
      <c r="F48" t="inlineStr"/>
      <c r="G48" t="inlineStr">
        <is>
          <t>Hillsboro, OR</t>
        </is>
      </c>
      <c r="H48" t="inlineStr"/>
      <c r="I48" t="inlineStr">
        <is>
          <t>**Description**
 The Insurance Services Program Manager works to optimize efficiencies throughout the Agency’s sales, service, and/or operational teams. The Program Manager will lead a variety of initiatives and advise in the design and implementation of process improvements, core system relationship management, onboarding, and quality assurance efforts to drive member experience and business growth. In this role, the Program Manager will act as an Insurance Agency advocate for Credit Union employees.
 Primary Tasks and Accountabilities:
* Create and implement an Insurance Agency employee engagement program in collaboration with internal and external partners through webinars and insurance awareness presentations
* Evaluate the quality and accuracy of insurance transactions (e.g., service requests, endorsements, policy changes, household reviews) and communicate findings to leadership and team members
* Assist leadership in the development and delivery of new employee and carrier onboarding focused on products, systems, processes, and operations
* Provide cross\-functional and agency support to ensure operational readiness in conducting process mapping to uncover inefficiencies, writing and updating procedures, and facilitating upgrades while ensuring carrier product information and regulatory compliance
* Analyze the effectiveness of core systems, operational programs and lead activities related to recommended process improvements, addresses inefficiencies, and work collaboratively with leaders to optimize processes
* Support ongoing initiatives and provide cross\-functional support to achieve objectives for retention, quality growth, productivity gains, and member/employee engagement
 Qualification and Experience Requirement:
* Minimum Education: Bachelor’s degree is preferred
* Services: Minimum 5 years of experience in an independent Property and Casualty insurance agency with an emphasis on member focused sales and service functions
* Strong knowledge of insurance products, services, and regulations
* Ability to foster internal and external business relationships to ensure alignment with business imperatives
* Ability to create and deliver engaging presentations tailored to diverse audiences
* Effective time management and organizational skills, with the ability to independently prioritize workload and meet deadlines
* Strong attention to detail and with a focus on accuracy
* Strong business communication skills; able to write/speak clearly and professionally for a variety of audiences
* Strategic thinker with outstanding research, analytical and problem\-solving skills
* Working knowledge of Microsoft Office Suite or insurance management software such as EZ Lynx
* Certification/License: Property and Casualty License required \| Life and Health License preferred
**Location:** 
 Hillsboro Corporate Office \- Hillsboro, OR 97124 (HYBRID)
**Target Compensation for Hillsboro, OR:** 
 $76,000 \- $84,000 plus monthly incentive
**Benefits options include:**
* Traditional medical, dental, and vision coverage
* 401K matching up to 5% per pay period
* Paid Time Off: You’ll accrue up to 15 vacation days in your first year. In addition, you’ll receive 40 hours of sick time and 3 personal days, which refresh annually
* 11 paid federal holidays
* Special employee pricing on lending products such as mortgage, auto, and personal loans (eligibility for special employee pricing is subject to standard account requirements and underwriting criteria)
**What makes First Tech different? Click** 
**here** 
**to learn more!**
***First Tech is not currently offering Visa transfer or sponsorship for this position***
**\#FTF123**</t>
        </is>
      </c>
    </row>
    <row r="49">
      <c r="A49" t="inlineStr">
        <is>
          <t>li-4347091878</t>
        </is>
      </c>
      <c r="B49" t="inlineStr">
        <is>
          <t>Global Wellbeing and Recognition Program Manager</t>
        </is>
      </c>
      <c r="C49" t="inlineStr">
        <is>
          <t>Marvell Technology</t>
        </is>
      </c>
      <c r="D49" t="inlineStr">
        <is>
          <t>linkedin</t>
        </is>
      </c>
      <c r="E49" t="inlineStr"/>
      <c r="F49" t="inlineStr"/>
      <c r="G49" t="inlineStr">
        <is>
          <t>Santa Clara, CA</t>
        </is>
      </c>
      <c r="H49" t="inlineStr"/>
      <c r="I49" t="inlineStr">
        <is>
          <t>**About Marvell**
 Marvell’s semiconductor solutions are the essential building blocks of the data infrastructure that connects our world. Across enterprise, cloud and AI, and carrier architectures, our innovative technology is enabling new possibilities.
 At Marvell, you can affect the arc of individual lives, lift the trajectory of entire industries, and fuel the transformative potential of tomorrow. For those looking to make their mark on purposeful and enduring innovation, above and beyond fleeting trends, Marvell is a place to thrive, learn, and lead.
**Your Team, Your Impact**
 We’re seeking a Global Wellbeing Program Manager to join our Total Rewards Team in Santa Clara, CA. Reporting into the Director of Global Benefits, this role will lead the strategy, execution, and continuous improvement of global wellbeing and recognition programs, ensuing they are integrated into the broader employee experience and value proposition.
 You will manage wellbeing and recognition programs for the U.S., Canada, and Argentina, while driving global initiatives in partnership with the Global Wellbeing Committee. This includes overseeing vendor relationships, leading large\-scale campaigns and events, implementing new programs, and delivering data\-driven insights to evolve our strategy.
 The ideal candidate is passionate about employee wellbeing, excels at cross\-functional collaboration, and brings strong communication and project management skills to deliver best\-in\-class experiences for employees and their families.
**What You Can Expect**
* Manage wellbeing programs in the Americas, including vendor oversight, data analysis, and implementation of new initiatives
* Execute and evolve the global wellbeing and recognition strategy, proposing innovative programs that meet changing business needs
* Partner closely with the Global Wellbeing Committee to ensure alignment and successful execution of global initiatives
* Oversee global wellbeing and recognition vendors, ensuring compliance with SLAs and performance standards
* Lead RFP processes, contract negotiations, and vendor implementations as needed
* Develop and lead global wellbeing communication strategies, including management of the Benefits website
* Analyze program metrics and analyze data from internal sources and vendors to identify opportunities for program enhancements and new programs that support health, engagement, and cost optimization
* Provide regular reporting on wellbeing and recognition metrics and program performance to leadership
* Manage the Americas employee events budget and partner with internal teams on event strategy
* Collaborate with cross\-functional partners on special projects and initiatives
**What We're Looking For**
* 7\+ years of experience managing wellbeing and benefit programs, preferably in a high\-tech environment
* 3\+ years of global benefits or wellbeing experience
* Strong project management skills with the ability to manage multiple priorities.
* Excellent communication and presentation skills; ability to influence across regions and time zones.
* Proven experience in vendor management and contract negotiations.
* Passion for wellbeing and delivering exceptional employee experiences.
* Data\-driven mindset with experience in program analysis and reporting.
* Passion for wellbeing and creating a Best\-in\-Class experience for Marvell employees and their families
* Data\-driven mindset with experience in program analysis and reporting
**Expected Base Pay Range (USD)**
 110,630 \- 165,700, $ per annum
 The successful candidate’s starting base pay will be determined based on job\-related skills, experience, qualifications, work location and market conditions. The expected base pay range for this role may be modified based on market conditions.
**Additional Compensation And Benefit Elements**
 At Marvell, we offer a total compensation package with a base, bonus and equity.Health and financial wellbeing are part of the package. That means flexible time off, 401k, plus a year\-end shutdown, floating holidays, paid time off to volunteer. Have a question about our benefits packages \- health or financial? Ask your recruiter during the interview process.
 All qualified applicants will receive consideration for employment without regard to race, color, religion, sex, national origin, sexual orientation, gender identity, disability or protected veteran status.
 Any applicant who requires a reasonable accommodation during the selection process should contact Marvell HR Helpdesk at TAOps@marvell.com.
***Interview Integrity***
***As part of our commitment to fair and authentic hiring practices, we ask that candidates do not use AI tools (e.g., transcription apps, real\-time answer generators like ChatGPT, CoPilot, or note\-taking bots) during interviews.***
***Our interviews are designed to assess your personal experience, thought process, and communication skills in real\-time. If a candidate uses such tools during an interview, they will be disqualified from the hiring process.***
**This position may require access to technology and/or software subject to U.S. export control laws and regulations, including the Export Administration Regulations (EAR). As such, applicants must be eligible to access export\-controlled information as defined under applicable law. Marvell may be required to obtain export licensing approval from the U.S. Department of Commerce and/or the U.S. Department of State. Except for U.S. citizens, lawful permanent residents, or protected individuals as defined by 8 U.S.C. 1324b(a)(3\), all applicants may be subject to an export license review process prior to employment.**</t>
        </is>
      </c>
    </row>
    <row r="50">
      <c r="A50" t="inlineStr">
        <is>
          <t>li-4354343461</t>
        </is>
      </c>
      <c r="B50" t="inlineStr">
        <is>
          <t>Program Manager</t>
        </is>
      </c>
      <c r="C50" t="inlineStr">
        <is>
          <t>Collaborative Support Programs of NJ</t>
        </is>
      </c>
      <c r="D50" t="inlineStr">
        <is>
          <t>linkedin</t>
        </is>
      </c>
      <c r="E50" t="inlineStr"/>
      <c r="F50" t="inlineStr"/>
      <c r="G50" t="inlineStr">
        <is>
          <t>New Brunswick, NJ</t>
        </is>
      </c>
      <c r="H50" t="inlineStr"/>
      <c r="I50" t="inlineStr">
        <is>
          <t>Description:
 The Program Manager is accountable to provide daily structure and supervision for the Wellness Respite staff and directs the team's and the program’s daily activities to insure adequate coverage of all scheduled events, appointments and commitments. Program Manager will supervise the service team to ensure guest are receiving services that are geared toward learning crisis coping skills and linking to resources in their community. Work as part of a team, to provide services to the guest that are consistent with agency’s mission, vision, values, Psychiatric Rehabilitation principles and the concept of wellness and recovery. 
 The program provides an alternative to hospitalization for individuals with psychiatric disabilities who are in crisis. During their stay in the Wellness Respite program guest will be provided with a Wellness Recovery Action Plan (WRAP) and linked to services within the community. Guest stay a max of 10 days in the program.  
 Monday \- Friday
 40 hours p/w
 Benefits Eligible Including PTO
 PM22
 Requirements:
**Requirements** 
* Master’s degree in Mental Health Related field and 2 years of relevant work experience.
* 1\+ years of supervisory experience
* Ability to work effectively under pressure and manage crises.
* Ability to analyze processes and information, identify problems and trends, and develop effective solutions and strategies.
* Excellent communication, interpersonal, leadership, coaching, conflict resolution skills and foster teamwork.
* Ability to work with individuals with mental illness in a caring and professional manner.
* Proficient in MS Office products.
* Bilingual skills are preferred/ a plus.
* Valid driver’s license and acceptable driving record.
* Knowledge of psychiatric rehabilitation model preferred.
* Lived Experience: CSPNJ prioritizes hiring people who use their own life experience dealing with mental health/substance use issues to inspire and support others.</t>
        </is>
      </c>
    </row>
    <row r="51">
      <c r="A51" t="inlineStr">
        <is>
          <t>li-4280895970</t>
        </is>
      </c>
      <c r="B51" t="inlineStr">
        <is>
          <t>Program Manager Representative</t>
        </is>
      </c>
      <c r="C51" t="inlineStr">
        <is>
          <t>AMERICAN SYSTEMS</t>
        </is>
      </c>
      <c r="D51" t="inlineStr">
        <is>
          <t>linkedin</t>
        </is>
      </c>
      <c r="E51" t="inlineStr"/>
      <c r="F51" t="inlineStr"/>
      <c r="G51" t="inlineStr">
        <is>
          <t>Norfolk, VA</t>
        </is>
      </c>
      <c r="H51" t="inlineStr"/>
      <c r="I51" t="inlineStr">
        <is>
          <t>**Overview**
 AMERICAN SYSTEMS is seeking a highly organized and proactive Program Manager’s Representative (PMR) to support the sustainment and modernization of Amphibious, Auxiliary, and Small Combatant Ships (PMS 321\) in Norfolk, VA.
**Responsibilities**
* Perform as Program Manager's Representative (PMR) for Sustainment and Modernization of Amphibious, Auxiliary, and Small Combatant Ships (PMS 321\).
* Support resolution of emergent issues related to Ship Modernization during the CNO Availability Advance Planning and Execution Phases. Support PMS 321 in analysis of CNO Availability cost data, establishing appropriate metrics of Ship Change effectiveness, and provide recommendations for improvement.
* Support PMS 321 Ship Managers by providing feedback on Ship Changes during Execution. Provide input on Man\-Day and Material requirements to accomplish Ship Changes. Assist in the development of presentation material, point papers, issue papers, and other correspondence relating to the FMP process and execution of Ship Changes.
* Participate in SEA21 and Fleet\-sponsored efforts to identify and develop future Modernization initiatives designed to mitigate Readiness issues related to system obsolescence and maintenance related downtime.
* Coordinate with ISEAS/PARMS to identify and document issues of possible concern to the Program Office as they relate to Ship Change development or installation.
* Provide weekly reports to document current status of all programmed modernization efforts for assigned hulls, including assessment of progress and identification of issues or concerns.
* Participate in the management of Integrated Class Maintenance Plans (ICMP). Provide feedback to RMC Maintenance Teams and SEA04 on the impact of deferring ICMP tasks.
* Utilize Navy data base systems, to include Navy Data Environment (NDE) and Navy Maintenance Database (NMD) in support of PMS 321 modernization initiatives.
* Manage the collection and dissemination of Lessons Learned, in conjunction with other waterfront activities, to improve cost efficiency of Ship Modernization and Maintenance. Provide feedback to cognizant activities so as to cause corrections to design and work specifications. Represent PMS 321 at post\-Availability Lessons Learned/Hot Wash meetings.
* Provide support to the Regional Maintenance Centers in the validation of Ship Change maturity for modernization efforts sponsored by NAVSEA, and executed by Alteration Installation Teams during Ship Maintenance Availabilities.
* Ensures all activities are carried out in accordance with project commitments or specific objectives.
* Responsible for day\-to\-day coordination and administration of tasks by ensuring quality and productivity standards are maintained while meeting client schedules.
* Coordinates with other contract and subcontract personnel to ensure work moves smoothly from one functional area to another.
* Ensures all administrative tools are effectively used to control and accomplish tasks and provide operations security protection for all sensitive/critical information.
* Responsible for status and task management reports for area of responsibility.
**Qualifications**
* An active SECRET clearance.
* High School Diploma
* Minimum 10 years of shipboard maintenance experience aboard Navy Amphibious/Auxiliary/Small Combatant Ships, or equivalent commercial/civil service experience in ship repair and project management.
**EEO Statement**
 EEO Race/Sex/Disability Status/Veteran Status</t>
        </is>
      </c>
    </row>
    <row r="52">
      <c r="A52" t="inlineStr">
        <is>
          <t>li-4312781578</t>
        </is>
      </c>
      <c r="B52" t="inlineStr">
        <is>
          <t>Development Program Manager (Data Center Construction)</t>
        </is>
      </c>
      <c r="C52" t="inlineStr">
        <is>
          <t>QTS Data Centers</t>
        </is>
      </c>
      <c r="D52" t="inlineStr">
        <is>
          <t>linkedin</t>
        </is>
      </c>
      <c r="E52" t="inlineStr"/>
      <c r="F52" t="inlineStr"/>
      <c r="G52" t="inlineStr">
        <is>
          <t>York, SC</t>
        </is>
      </c>
      <c r="H52" t="inlineStr"/>
      <c r="I52" t="inlineStr">
        <is>
          <t>**Who we are:**
 It's pretty exciting to find yourself standing in a pivotal moment in time. It’s even more exciting to be out front leading it. At QTS, our world\-class data centers are supporting our customers’ most strategic growth initiatives, positioning us at the forefront of today’s dynamic digital transformation.
 As AI and cloud drive the demand for increased speed, capacity and capability, QTS has emerged as the global digital infrastructure leader, committed to connecting the world for good. Driven by purpose and fueled by a spirit of innovation, QTS designs, builds and operates some of the world’s most advanced, forward\-thinking data centers. QTS is a portfolio company of Blackstone.
 QTS is Powered by People. People who play a vital role in our company’s culture, innovation and growth. People who are committed to contributing to the communities where we operate and work. People who are knowledgeable, resourceful and mission driven. Together, we do great things.
**Who You Are and the** 
**Impact You Will Have** 
**:**
 The Development Program Manager (Data Center Construction) is primarily responsible for leading and managing the design, pre\-construction and construction activities on a given project. The Program Manager will interact on a daily basis with Facilities, Contractors, Designers, Engineers, Commissioning Agents, Vendors, and Data Center Operations staff and should have both written and oral communication skills commensurate with this level of regular communication.
**What You Will Do:**
* Manage multiple projects on a campus(es) and maintain updated budgets, schedules, and status reports for each
* Create and communicate updates on development program \&amp; project status on a monthly basis suitable for executive level reviews. Effectively present information in a manner to support efficient decision making
* Work with QTS stakeholders, design, and construction teams to create a master development program for site(s), including a complete campus design solution and capital budget.
* Manage entitlement and permitting needs for each assigned site project(s)
* Implement and manage multi\-phased site development plans to achieve time, budget, and quality standards in a predictable fashion. Continuously update a campus master plan to provide predictable statistics in a dynamic environment
* Write scopes of work for design, construction, commissioning services \&amp; participate in procurement and project cost estimates
* Evaluate and level pricing proposals for design, construction, and commissioning services
* Work closely with strategic procurement team on equipment procurement and delivery process
* Ensure appropriate submittals are coordinated with site stakeholders
* Monitor \&amp; create project budget/cost\-to\-date against overall project budget.
* Establish project schedules and manage teams to on\-time completion
* Review and approve monthly pay applications from the contractors
* Review change order requests from contractors and negotiate pricing
* Establish site construction security procedures in conjunction with site security team
* Develop plans for product deployment and review/communicate plans with QTS staff involved
* Collaborate with Sales Engineers and Product teams to aid in custom deal solutioning for prospective clients within the applicable schedule and budget for an assigned location.
* Establish and maintain relationships serving as liaison with key QTS stakeholders
* Represent QTS interests as leader in OAC meetings
* Create \&amp; build relationships that enhance QTS's ability to be a leader in creating the World's Most Valuable Data Center Real Estate
* Aid in due diligence efforts for potential new sites on an as\-needed basis
* Work with the internal development team to enhance project management processes and protocols
**What You Will Need to be Successful (basic qualifications):**
* Bachelor's degree in Science or Engineering or equivalent professional experience
* Eight or more years of professional experience in commercial construction practices and procedures, including management of Lump Sum, Construction Management at Risk, and Design Build project delivery methods from conceptual development through procurement to close out
* Experience with Microsoft Office suite, specifically PowerPoint for use in communicating program updates to executive level, and Excel to create and maintain site program \&amp; individual project budgets
* Be able to travel up to 50% of the time
**Other Key Skills:**
* MBA, Masters in Engineering, Management, or related field desirable
* Experience with delivery of mission critical data center facilities
* Extensive experience with management of MEP trades
**The Perks (and these are just a few!):**
* Q\-Rest Sabbatical
* Employee Stock Purchase Plan
* QTS scholarship for dependents
* Eagle Club Award Trip Eligibility
* Paid Volunteer and Floating days
* Tuition Assistance, Parental Leave and Military Leave Assistance
 We conform to all the laws, statutes, and regulations concerning equal employment opportunities and affirmative action. We strongly encourage women, minorities, individuals with disabilities and veterans to apply to all of our job openings. We are an equal opportunity employer and all qualified applicants will receive consideration for employment without regard to race, color, religion, gender, sexual orientation, gender identity, or national origin, age, disability status, Genetic Information \&amp; Testing, Family \&amp; Medical Leave, protected veteran status, or any other characteristic protected by law. We prohibit retaliation against individuals who bring forth any complaint, orally or in writing, to the employer or the government, or against any individuals who assist or participate in the investigation of any complaint or discrimination claim.
 The "Know Your Rights" Poster is included here:
 Know Your Rights (English)
 Know Your Rights (Spanish)
 The pay transparency policy is available here:
 Pay Transparency Nondiscrimination Poster\-Formatted
 QTS is committed to working with and providing reasonable accommodations to individuals with disabilities. If you need a reasonable accommodation because of a disability for any part of the employment process, please send an e\-mail to talentacquisition@qtsdatacenters.com and let us know the nature of your request and your contact information.</t>
        </is>
      </c>
    </row>
    <row r="53">
      <c r="A53" t="inlineStr">
        <is>
          <t>li-4323782068</t>
        </is>
      </c>
      <c r="B53" t="inlineStr">
        <is>
          <t>Staff Technical Program Manager, Engineering Productivity</t>
        </is>
      </c>
      <c r="C53" t="inlineStr">
        <is>
          <t>Dropbox</t>
        </is>
      </c>
      <c r="D53" t="inlineStr">
        <is>
          <t>linkedin</t>
        </is>
      </c>
      <c r="E53" t="inlineStr"/>
      <c r="F53" t="inlineStr"/>
      <c r="G53" t="inlineStr"/>
      <c r="H53" t="inlineStr"/>
      <c r="I53" t="inlineStr">
        <is>
          <t>**PLEASE READ: Zones are based on your zip code. If you’re within 100 miles of a listed metro area (straight\-line radius), you’re included in that Zone. For this role, we are hiring in Zones 2 and 3\. Check your Zone here before applying.**
**Company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relationships. With our start\-up mindset and enterprise\-level opportunities, you can be who you are and grow into who you’re meant to be. Here, you can own your impact to make work more intuitive, joyful, and human—for you as a Dropboxer and for hundreds of millions of people worldwide. If you're ready to push boundaries—and yourself— Dropbox is ready for you.
**Team Description**
 The Dropbox Engineering Team builds the technology that creates more enlightened ways of working for hundreds of millions of people. Every day, our platforms—including Dropbox Dash, Dropbox Sign, and our core sync engine—handle over a billion files for users worldwide, creating engineering challenges as great as the opportunity for impact. Our software engineering team uses a range of technologies to solve interesting problems, including Python, React, Node.js, JavaScript, MongoDB, PostgreSQL, and Android development. We think like a startup but build for an enterprise, exploring new possibilities that transform how people work. If you're excited about turning complex technical challenges into intuitive solutions at scale, join our Engineering team. Areas of work include Machine Learning Engineers, Infrastructure Engineer, Product SWE Frontend and Backend, Mobile Software Engineers (iOS and Android), Engineering Manager, Data Engineer, Software Development Engineer in Test, Security Engineering, Site Reliability Engineer, Technical Program Managers, Network Engineer, Datacenter Engineer, Technical Supply Chain Manager and more.
**Role Description**
 Dropbox is seeking an exceptional Technical Program Manager (TPM) to join our team. As part of the CTO team, you will lead enterprise wide programs driven out of the CTO org or some of the highest priority initiatives at the company. You will collaborate cross\-functionally with teams to align on strategy and requirements, define and execute on clear roadmaps, drive alignment with product and company priorities, and own the end\-to\-end execution of your programs. The ideal candidate has strong technical experience, organized and detail oriented, able to use their influence to drive results for their team with a sense of urgency and ownership and is a adaptable team player who is able to drive ambiguous challenging programs forward.
 Our Engineering Career Framework is viewable by anyone outside the company and describes what’s expected for our engineers at each of our career levels. Check out our blog post on this topic and more here.
**Responsibilities**
* Program Leadership: You will drive the development, alignment, and execution of strategic engineering initiatives, defining clear roadmaps and ensuring successful delivery across cross\-functional teams. You must be able to manage ambitious timelines, proactively identify and mitigate risks and issues, and lead the successful execution of complex, cross\-functional engineering programs.
* Stakeholder Management: You will build trusted partnerships with cross\-functional stakeholders at all levels of the organization to align priorities, remove roadblocks, and drive collective success.
* Executive Communication: You will communicate program goals, progress, and outcomes clearly and confidently across teams and to executive leadership, providing transparency and fostering alignment.
* Leadership Through Influence: You will collaborate effectively with leaders to guide decisions, resolve conflicts, and ensure progress toward shared goals through influence and operational excellence.
* Operational Excellence: You will identify and implement scalable processes, tools, and best practices that improve execution efficiency, predictability, and cross\-team collaboration across the engineering organization.
* Data\-Driven Execution: You will use metrics and KPIs to assess program health, measure impact, and drive data\-informed decisions that ensure successful outcomes.
* Culture \&amp; Mentorship: You will foster a culture of accountability, collaboration, and continuous improvement, while mentoring peers and emerging TPMs to elevate program management excellence across the organization.
**Requirements**
* 12\+ years of Technical Program Management experience driving complex, cross\-functional, and highly technical programs in a related industry.
* Bachelor’s degree in Computer Science, Engineering, or equivalent technical discipline; advanced degree preferred or equivalent practical experience.
* Deep technical aptitude with the ability to understand and influence technical architectures, discuss system design, reliability, and scalability tradeoffs, and connect technical decisions to business impact.
* Exceptional communication and executive presence, with demonstrated ability to influence and align senior leaders and technical teams. Skilled at presenting to large audiences and managing high\-stakes communication under pressure.
* Proven success delivering large\-scale, enterprise level, cross\-functional programs with significant technical complexity, using expert program management practices, structured problem solving, and process improvement to drive predictable outcomes.
* Demonstrated ownership of end\-to\-end execution, from strategy and roadmap definition through delivery and post\-launch measurement, ensuring technical and business goals are met.
* Track record of scaling impact beyond direct scope, mentoring TPMs and engineering peers, and contributing to the evolution of program management frameworks and best practices across the organization.
**Preferred Qualifications**
* Experience with AI Productivity tools
* Expertise being a champion for program management tools and their utilization across a company (e.g., Jira, Airtable, Asana, etc.)
* Experience working with platform or infrastructure groups in large companies
**Compensation**
 US Zone 1
 This role is not available in Zone 1
 US Zone 2
 $195,100—$263,900 USD
 US Zone 3
 $173,400—$234,600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California (outside SF metro), Colorado, Connecticut (outside NYC metro), Delaware, Illinois (Chicago metro), Indiana (Chicago metro), Maryland, Massachusetts, Michigan (Chicago metro), New Hampshire, New Jersey (outside NYC metro), New York (outside NYC metro), Oregon, Pennsylvania (D.C. metro), Pennsylvania (outside NYC or DC metro), Texas (Austin metro) Virginia (DC metro), Washington (outside Seattle metro), Washington DC metro, West Virginia (DC metro), Wisconsin (Chicago metro)
* US Zone 3: All other US locations
**Benefits**
 Dropbox is committed to investing in the holistic health and wellbeing of all Dropboxers and their families. Our benefits and perks programs include, but are not limited to:
* Competitive medical, dental, and vision coverage
* 401(k) plan with a generous company match and immediate vesting
* Flexible PTO/Paid Time Off, paid holidays, Volunteer Time Off, and more, allowing you time to unplug, unwind, and refresh
* Income Protection Plans: Life and disability insurance
* Business Travel Protection: Travel medical and accident insurance
* Perks Allowance to be used on what matters most to you, whether that’s wellness, learning and development, food and groceries, and much more
* Parental benefits including: Parental Leave, Child and Adult Care, Day Care FSA, Fertility Benefits, Adoption and Surrogacy Support, and Lactation Support
* Access to over 10,000 global co\-working spaces through Gable.tomaking it easy to book flexible workspaces for collaboration or individual work
* Quarterly Cell phone and internet allowance
* Mental health and wellness benefits
* Disability and neurodivergence support benefits
 Additional benefit details are available upon request.
 Dropbox supports responsible use of AI for preparation, but misrepresentation of skills or experience is not permitted. See our AI philosophy.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enABLE, TODOS (Latinx), Pridebox (LGBTQ), Vets at Dropbox, and Women at Dropbox.</t>
        </is>
      </c>
    </row>
    <row r="54">
      <c r="A54" t="inlineStr">
        <is>
          <t>li-4354363680</t>
        </is>
      </c>
      <c r="B54" t="inlineStr">
        <is>
          <t>Principal Product Manager</t>
        </is>
      </c>
      <c r="C54" t="inlineStr">
        <is>
          <t>Ender</t>
        </is>
      </c>
      <c r="D54" t="inlineStr">
        <is>
          <t>linkedin</t>
        </is>
      </c>
      <c r="E54" t="inlineStr"/>
      <c r="F54" t="inlineStr"/>
      <c r="G54" t="inlineStr"/>
      <c r="H54" t="inlineStr"/>
      <c r="I54" t="inlineStr">
        <is>
          <t>We are hiring a 
 **Principal Product Manager** 
 at 
 **Ender** 
  to unify our core modules into a single, AI\-powered suite for institutional real\-estate operators. The role presents an opportunity to grow into a Director of Product role. 
**Areas of Responsibility** 
**Platform vision \&amp; roadmap:** 
 Design and drive the horizontal services roles/permissions, audit log, reporting, integration SDKs, AI model layer that every module consumes.
**Persona journeys:** 
 Map end\-to\-end workflows for property managers, accountants, and field technicians; close friction gaps that span multiple modules.
**Cross\-module governance:** 
 Chair the weekly portfolio review, align five module PMs on shared OKRs, and kill duplicate work before it hits engineering.
**AI feature enablement:** 
 Partner with our Data/ML pod to ship reusable models (e.g., predictive maintenance, cash\-flow forecasting) and a common evaluation harness.
**Release quality \&amp; launch:** 
 Own the Definition of Done, beta programs, rollout flags, and post\-launch instrumentation for all horizontal capabilities.
**Customer feedback loop:** 
 Convert CS/Support telemetry into prioritized backlog items; champion “voice of customer” in roadmap trade\-offs.
**Team building \&amp; product ops:** 
 Mentor module PMs, hire a Product Ops analyst, and institutionalize rituals (OKRs, KPI dashboards, launch checklists).
**Candidate** 
 P
 **rofile** 
**Must\-have** 
* 8 \- 12 years
 **B2B SaaS** 
 product leadership, including platform or suite\-unification mandates.
* Juggled 3\+ product lines or modules with enterprise scope
* Hands\-on experience productizing AI/ML features (data pipelines, model lifecycle, guardrails).
* A high passion for utilizing AI in their day\-to\-day life.
**Should\-have** 
* Domain fluency in prop\-tech, vertical ERP/FinOps, or construction\-tech.
* High agency, open\-minded, positive\-sum problem\-solver.
* Strong API \&amp; data\-model intuition; credible partner to Principal, Staff, and Senior Engineers.
**Nice\-to\-have** 
* Prior public speaking / thought\-leadership on platform or AI topics.
* Scale\-up experience at a Series\-A/B startup (20 → 200 people).
* Comfort with SQL/BI for quick data validation and storytelling.
* Managed 3 \- 5 PMs while personally shipping features.</t>
        </is>
      </c>
    </row>
    <row r="55">
      <c r="A55" t="inlineStr">
        <is>
          <t>li-4330046592</t>
        </is>
      </c>
      <c r="B55" t="inlineStr">
        <is>
          <t>Product Manager</t>
        </is>
      </c>
      <c r="C55" t="inlineStr">
        <is>
          <t>Haystack</t>
        </is>
      </c>
      <c r="D55" t="inlineStr">
        <is>
          <t>linkedin</t>
        </is>
      </c>
      <c r="E55" t="inlineStr"/>
      <c r="F55" t="inlineStr"/>
      <c r="G55" t="inlineStr"/>
      <c r="H55" t="inlineStr"/>
      <c r="I55" t="inlineStr">
        <is>
          <t>**Vice President, Digital Assets Product Manager \| UNITED STATES, NY \| Hybrid \| $83,000 \- $160,000** 
 We're working with BNY on this exciting opportunity.
 Join BNY as a Product Manager in their Digital Assets team, where you will be pivotal in bringing new products and services to market. This role offers the chance to lead product design, project planning, and execution, influencing the future of digital finance with cutting\-edge technology and a deep understanding of financial markets and blockchain.
**Key Responsibilities:** 
 • Help define the near and long\-term product strategy through deep industry engagement, market analysis, and understanding emerging trends
 • Translate client needs into commercial product solutions and craft a product roadmap for incremental and prompt product delivery
 • Understand the regulatory environment and product feasibility, defining target client segments and go\-to\-market strategies
 • Engage with cross\-functional subject matter experts and communicate effectively to stakeholders at all levels
**What You'll Need:** 
 • 6\+ years of relevant industry experience in digital assets, trading, or financial services product management
 • Deep understanding of financial market structure, the lifecycle of a trade, and blockchain\-based technology
 • Proficiency in data analysis and performance metrics to drive decision\-making
 • Excellent communication and documentation skills, with the ability to translate technical concepts for non\-technical stakeholders
**Apply via Haystack today!**</t>
        </is>
      </c>
    </row>
    <row r="56">
      <c r="A56" t="inlineStr">
        <is>
          <t>li-4330123562</t>
        </is>
      </c>
      <c r="B56" t="inlineStr">
        <is>
          <t>Product Manager, Vice President</t>
        </is>
      </c>
      <c r="C56" t="inlineStr">
        <is>
          <t>hackajob</t>
        </is>
      </c>
      <c r="D56" t="inlineStr">
        <is>
          <t>linkedin</t>
        </is>
      </c>
      <c r="E56" t="inlineStr"/>
      <c r="F56" t="inlineStr"/>
      <c r="G56" t="inlineStr">
        <is>
          <t>New York, NY</t>
        </is>
      </c>
      <c r="H56" t="inlineStr"/>
      <c r="I56" t="inlineStr">
        <is>
          <t>***hackajob** 
 is collaborating with
 **J.P. Morgan** 
 to connect them with exceptional tech professionals for this role.*
**Job Description**
 Role Overview
 We are looking for a dynamic VP Product Manager to lead the development and execution of our Generative AI platform capabilities within CCB. This role will support the product vision and roadmap for innovative GenAI solutions that accelerate AI/ML use cases and deliver measurable business value.
 As a key member on the AI/ML Solutions Platform team, you will bridge customer needs with technical execution, collaborating closely with engineering, data science, and business partners. You will focus on delivering scalable, resilient, and user\-centric generative AI products that align with market trends and enterprise priorities.
 Key Responsibilities
* Inform and support the product strategy and roadmap for GenAI platform capabilities, balancing customer needs, technical feasibility, and business impact.
* Lead end\-to\-end product lifecycle activities including discovery, requirements gathering, prioritization, and delivery of GenAI features.
* Collaborate with cross\-functional teams to ensure product scalability, reliability, and alignment with compliance and governance standards.
* Drive user research, market analysis, and competitive benchmarking to inform product decisions and identify new opportunities.
* Manage the product backlog and work closely with engineering to deliver high\-quality, timely releases.
* Define and track key success metrics to measure product performance and customer satisfaction.
* Communicate product vision, progress, and challenges to stakeholders, fostering alignment and support.
* Support vendor evaluation and integration efforts related to GenAI technologies and tools.
**Required Qualifications And Skills**
* 5\+ years of product management experience, with demonstrated leadership in AI/ML or data\-driven product environments.
* Strong understanding of generative AI technologies, machine learning workflows, and cloud platforms (AWS preferred).
* Proven ability to manage product lifecycle activities from discovery through delivery in complex, matrixed organizations.
* Experience collaborating with engineering, data science, and business teams to deliver scalable AI/ML solutions.
* Excellent communication and stakeholder management skills, with the ability to influence across multiple levels.
* Customer\-focused mindset with strong analytical and problem\-solving abilities.
* Familiarity with compliance and governance considerations in AI/ML product development.
**Preferred Qualifications**
* Prior experience in financial services or regulated industries.
* Knowledge of emerging trends and competitive landscape in generative AI.
* Background in vendor management and technology integration.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57">
      <c r="A57" t="inlineStr">
        <is>
          <t>li-4351192624</t>
        </is>
      </c>
      <c r="B57" t="inlineStr">
        <is>
          <t>Senior Product Manager</t>
        </is>
      </c>
      <c r="C57" t="inlineStr">
        <is>
          <t>Raynmaker</t>
        </is>
      </c>
      <c r="D57" t="inlineStr">
        <is>
          <t>linkedin</t>
        </is>
      </c>
      <c r="E57" t="inlineStr"/>
      <c r="F57" t="inlineStr"/>
      <c r="G57" t="inlineStr">
        <is>
          <t>Austin, TX</t>
        </is>
      </c>
      <c r="H57" t="inlineStr"/>
      <c r="I57" t="inlineStr">
        <is>
          <t>**Job Overview**
**About Raynmaker:**
 Raynmaker is redefining sales for small and medium\-sized businesses with an enterprise\-grade, end\-to\-end autonomous platform. Powered by our proprietary RaynBrain™ sales insight engine, Raynmaker converts leads into customers by handling every step of the sales journey, from first contact to closed deal, with an AI agent that books appointments, takes payments, and answers questions 24/7, all in a lifelike, brand\-aware, context\-sensitive human voice. For SMBs, it’s like hiring a world\-class sales team on demand.
**About The Role**
 You want to build at the frontier of AI, where agents don’t just augment humans, they replace entire workflows for Small and Medium businesses.
 You want to work directly with our founders, our engineers, and real customers to push the boundaries of what autonomous voice agents can actually do.
 You want to be part of a company where your fingerprints are on the product, the strategy, and the industry we’re redefining.
 You want to build real AI in the real world, where your work ships quickly, learns continuously, and creates measurable revenue every day.
**Why You?**
 You’re a product thinker with a technical backbone—comfortable bridging the gap between engineering complexity and real\-world user needs. You’ve shipped features in agile environments, written clear specs, worked directly with engineers and QA, and know how to prioritize for speed without sacrificing impact.
 You thrive in a dynamic environment and move quickly from idea to execution. Whether it’s refining a multi\-step AI workflow or identifying a fast path to unblock users, you break down complexity into action. You care about outcomes, not just output—and you drive measurable improvements through experimentation, iteration, and smart defaults.You have a foundational understanding of how software is built and are excited by the challenge of translating emerging AI technologies into simple, effective product experiences. You want to build tools that matter, collaborate tightly with high\-agency teams, and own the full lifecycle from prototype to production.
**What You’ll Do**
**AI Agent \&amp; Workflow Design**
* Build voice\-AI powered workflows that automate full\-funnel sales and service operations (inbound call flows, qualification, pricing logic, sentiment\-based branching, scheduling, payments).
* Collaborate with engineering to design agent architectures blending:
+ LLM reasoning
+ RAG pipelines
+ Structured or rule\-based logic
+ Guardrails and evaluator loops
* Own prompt flows end\-to\-end: conversation design, edge\-case handling, fallback logic, experiment configurations, and continuous tuning.
**Product Specs That Drive Real Builds**
* Write crisp, implementable PRDs with tight MVPs and explicit logic (no ambiguity, no fluff).
* Define success metrics aligned to operational performance:
+ Conversion rate
+ Handle time
+ Zip code accuracy
+ Payment completion
+ Deflection to scheduling
+ Agent containment
* Translate field learnings into spec revisions with rapid iteration cycles.
**AI Systems Thinking**
* Turn complex concepts (embeddings, vector DBs, retrieval strategies, agentic chaining) into clear product decisions.
* Work hands\-on with:
+ Call recordings
+ Transcripts
+ Supervisor\-agent outputs
+ RAG logs to diagnose failures, identify gaps, and guide engineering solutions.
**Fast, Iterative Build Cycle**
* Identify and triage edge cases quickly based on business and user impact.
* Run tight feedback loops using real customer calls, tuning cycles, and human\-in\-the\-loop labeling.
* Move prototypes into production with clean documentation and clear engineering handoffs.
**Cross\-Functional Leadership (Without Bureaucracy)**
* Partner directly with engineering, implementation, sales, and leadership to bring clarity and direction.
* Drive alignment around product rationale across technical and non\-technical stakeholders.
* Bring decisiveness where there is ambiguity and momentum where there is drift.
**Lifecycle Ownership**
* Support internal tools, configuration dashboards, QA harnesses, and other operational systems.
* Own external\-facing surfaces such as reporting dashboards and performance insights.
* Take features from whiteboard → prototype → production rollout → post\-launch optimization.
**Stay Ahead of the AI Curve**
* Track emerging LLM techniques, architectures, and agentic patterns.
* Proactively incorporate new capabilities into product strategy.
* Advocate for smart, practical adoption of innovations that materially improve performance.
**Requirements**
* 4\+ years in Product Management, with meaningful hands\-on experience building AI/ML or automation\-heavy products.
* Demonstrated experience designing or shipping LLM\-powered workflows or agentic systems.
* Strong technical fluency:
+ Embeddings
+ Vector search / vector DBs
+ RAG pipelines
+ Prompt engineering
+ Evaluation \&amp; tuning methods
* Ability to write zero\-ambiguity PRDs and logic flows.
* Able to operate in early\-stage velocity with evolving specs and constant iteration.
* High ownership, clarity, and follow\-through.
**Nice to Have**
* Experience with voice platforms or conversational AI.
* Familiarity with compliance\-heavy flows (payments, PCI, PII).
* Startup/hypergrowth track record shipping complex systems under time pressure.
*We are committed to fostering a diverse, inclusive, and equitable workplace where all individuals are valued, respected, and empowered, regardless of their background, identity, or beliefs. All qualified applicants will receive consideration for employment without regard to race, color, religion, sex, sexual orientation, gender identity, national origin, disability, status as a protected veteran, or any other legally protected characteristic.*</t>
        </is>
      </c>
    </row>
    <row r="58">
      <c r="A58" t="inlineStr">
        <is>
          <t>li-4330172985</t>
        </is>
      </c>
      <c r="B58" t="inlineStr">
        <is>
          <t>Product Manager – Digital Experience</t>
        </is>
      </c>
      <c r="C58" t="inlineStr">
        <is>
          <t>RemoteHunter</t>
        </is>
      </c>
      <c r="D58" t="inlineStr">
        <is>
          <t>linkedin</t>
        </is>
      </c>
      <c r="E58" t="inlineStr"/>
      <c r="F58" t="inlineStr"/>
      <c r="G58" t="inlineStr"/>
      <c r="H58" t="inlineStr"/>
      <c r="I58" t="inlineStr">
        <is>
          <t>Position Title: Product Manager Digital Experience
 Location: Remote
 About the Opportunity:
 The organization is a leading networking and security as a service provider for multinational enterprises, connecting people and machines to data and applications worldwide. It offers a global technology platform to connect, orchestrate, virtualize, and automate enterprise networks, supporting solutions across SASE, SD\-WAN, security, internet, voice, and other connectivity services. The Product Manager Digital Experience will join the Envision Digital Experience team to lead the transformation of the customer\-facing portal, focusing on simplifying, automating, and enhancing the digital experience with a human\-centric, customer\-first approach.
 Responsibilities:
 • Define and evolve the vision and roadmap for the digital experience portal components including quoting, ordering, assurance, and service delivery
 • Serve as a subject matter expert across multiple business domains to guide product decisions and drive innovation
 • Challenge legacy processes to foster digital transformation via simplification and automation
 • Collaborate with UX/UI designers and developers in an agile environment to deliver intuitive, customer\-focused solutions
 • Ground design and development in human\-centric design principles addressing real customer problems
 • Utilize tools such as MURAL for process mapping and JIRA for writing clear, actionable requirements and user stories
 • Participate in sprint planning, backlog grooming, and testing to ensure quality and business alignment
 • Build relationships across Customer Success, CX, Sales, Marketing, Training, and Operations for feedback and priority alignment
 • Facilitate workshops and discovery sessions to gather insights and validate solutions
 • Conduct direct customer interviews to identify pain points and validate concepts
 • Promote the digital experience across the organization to drive adoption and continuous improvement
 • Collect and analyze feedback, bugs, and issues from internal teams and customers
 • Prioritize enhancements and fixes based on impact, urgency, and strategic fit
 • Maintain a transparent and prioritized backlog with clear delivery timelines
 Requirements:
 • Experience in Product Management for digital platforms or software tools, preferably in telecom or enterprise services
 • Familiarity with quoting, ordering, service delivery, and assurance processes
 • Understanding or willingness to learn Agile methodologies
 • Proven experience working effectively in cross\-functional teams
 • Strong communication and relationship\-building skills to influence and collaborate across the organization
 • Self\-motivated and able to thrive in a fast\-paced environment with shifting priorities
 Desirable Qualifications:
 • Product Management certifications such as Pragmatic
 • Experience with JIRA, Confluence, MURAL, Figma, or similar tools
 • Technical background or relevant certifications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9">
      <c r="A59" t="inlineStr">
        <is>
          <t>li-4330029674</t>
        </is>
      </c>
      <c r="B59" t="inlineStr">
        <is>
          <t>Senior Director of Product, Product Owner, API Marketplace</t>
        </is>
      </c>
      <c r="C59" t="inlineStr">
        <is>
          <t>hackajob</t>
        </is>
      </c>
      <c r="D59" t="inlineStr">
        <is>
          <t>linkedin</t>
        </is>
      </c>
      <c r="E59" t="inlineStr"/>
      <c r="F59" t="inlineStr"/>
      <c r="G59" t="inlineStr">
        <is>
          <t>Seattle, WA</t>
        </is>
      </c>
      <c r="H59" t="inlineStr"/>
      <c r="I59" t="inlineStr">
        <is>
          <t>***hackajob** 
 is collaborating with
 **J.P. Morgan** 
 to connect them with exceptional tech professionals for this role.*
**Job Description**
 Ignite your passion for product innovation by leading customer\-centric development, inspiring solutions, and shaping the future with your strategic vision and influence. We're looking for bold and passionate people to be a part of our mission to create the world’s best API platform.
 As a Product Director in API Marketplace team, you lead innovation through the development of products and features that delight customers. As a leader on the team, you leverage your advanced capabilities to challenge traditional approaches, remove barriers to success, and foster a culture of continuous innovation that helps inspire cross\-functional teams create groundbreaking solutions that address customer needs. As Senior Director, Product Management you will lead the API Marketplace product, responsible for capabilities such as the external developer portal, the API product catalog, billing, quota management, and others that support both 3rd party and first party developers. You will set and lead a vision across API Marketplace for the next generation of the third\-party and first\-party API developer platform.
 The API Marketplace team is responsible for making the API Developer ecosystem more valuable for both first party and third\-party developers by delivering the framework, platform capabilities and experiences that tie together and enhance the Chase experience. We are at the center of enabling the Chase business to deliver across multiple business lines and channels. We play a critical role in customer and regulatory trust and security, as the API Management Platform is the entry point to Chase products. We allow third party partners to self\-serve onboarding and client credentials through https://developer.chase.com. Finally, we have an important role to play in ensuring the Platform SLAs are met for the API Management Product with sub second responses.
**Job Responsibilities**
* Oversees the product roadmap, vision, development, execution, risk management, and business growth targets
* Leads the entire product life cycle through planning, execution, and future development by continuously adapting, developing new products and methodologies, managing risks, and achieving business targets like cost, features, reusability, and reliability to support growth
* Coaches and mentors, the product team on best practices, such as solution generation, market research, storyboarding, mind\-mapping, prototyping methods, product adoption strategies, and product delivery, enabling them to effectively deliver on objectives
* Owns product performance and is accountable for investing in enhancements to achieve business objectives
* Monitors market trends, conducts competitive analysis, and identifies opportunities for product differentiation
* Create, develop, and drive the roadmap for the products within the organization.
* Lead a team of Product Managers, partner with Engineering, UX and Data/Analytics peers, and coordinate across product areas to align on a coherent strategy to onboard and support the lifecycle of API products in the API Marketplace for both first party and third\-party developers
* Engage with partner facing teams, third\-party and first\-party developers to understand their needs and establish strategies based on their needs to enhance their interactions with Chase APIs.
* Making product decisions using data analytics and understanding product usage patterns
* Leading product management with a passion for people leadership rooted in helping your team do their best work, hiring, and performance mentoring
* Applying frameworks to balance technical debt reduction with introducing innovations
**Required Qualifications, Capabilities, And Skills**
* 8\+ years of experience or equivalent expertise delivering products, projects, or technology applications
* Extensive knowledge of the product development life cycle, technical design, and data analytics
* Proven ability to influence the adoption of key product life cycle activities including discovery, ideation, strategic development, requirements definition, and value management
* Experience driving change within organizations and managing stakeholders across multiple functions
* Bachelor’s degree in computer science or equivalent practical experience
* 8\+ years of professional experience in product leadership or 8\+ years with an advanced degree
* Experience building, scaling, and managing product management teams and working with cross\-functional teams.
**Preferred Qualifications, Capabilities, And Skills**
* Recognized thought leader within a related field
* 8\+ years of professional experience with product management in software/web technologies.
* Experience with products related to APIs, SDKs, Developer Platforms or Authentication.
* Experience engaging stakeholders across an organization to set strategy and align on priorities.
* Technical understanding to work with code, postman, and understand trade\-offs across different APIs, and chart the best path forward.
* Passion for building high\-quality user experiences and a commitment to product excellence.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60">
      <c r="A60" t="inlineStr">
        <is>
          <t>li-4330103609</t>
        </is>
      </c>
      <c r="B60" t="inlineStr">
        <is>
          <t>Product Manager Model Dev</t>
        </is>
      </c>
      <c r="C60" t="inlineStr">
        <is>
          <t>hackajob</t>
        </is>
      </c>
      <c r="D60" t="inlineStr">
        <is>
          <t>linkedin</t>
        </is>
      </c>
      <c r="E60" t="inlineStr"/>
      <c r="F60" t="inlineStr"/>
      <c r="G60" t="inlineStr">
        <is>
          <t>New York, NY</t>
        </is>
      </c>
      <c r="H60" t="inlineStr"/>
      <c r="I60" t="inlineStr">
        <is>
          <t>***hackajob** 
 is collaborating with
 **J.P. Morgan** 
 to connect them with exceptional tech professionals for this role.*
**Job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the Chief Data and Analytics Office (CDAO),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Work with stakeholders across various businesses (Invest Bank, Consumer Bank, etc.) and functional groups (Technology, Controls, Legal) to collect business requirements, transform into product requirements, and ship high quality products that solve business needs.
* Lead seamlessly integration of firmwide Data Mesh with AI/ML services.
* Drive the development of platform capabilities for streamlining data connectivity and consumption to AI/ML services at enterprise scale.
* Drive the continuous innovation of big data analytics tooling for model development, with the objective of improving usability and productivity of data analysis and featuring engineering.
**Required qualifications, capabilities, and skills**
* 5\+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 Strong leadership and collaboration skills, with the ability to influence and deliver product goals across internal and external teams.
* In\-depth technical knowledge with a focus on big data technologies: Spark, SQL, Data Lakes, Cloud (AWS/Azure,GCP).
* Expertise in data processing and modeling throughout model development and deployment.
* Expertise in Cloud computing architectures.
* Familiar with data exploration needs as inputs to model training
* Familiar with data warehousing, entitlement management at a complex enterprise environment.
* Strong agile mindset, able to iterate fast and give early feedback.
* Able to balance short\-term goals and long\-term vision in highly complex environments
**Preferred qualifications, capabilities, and skills**
* Demonstrated prior experience working in a highly matrixed, complex organization with a focus of building machine learning platform.
* Experience in data science or data analytics.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61">
      <c r="A61" t="inlineStr">
        <is>
          <t>li-4330202960</t>
        </is>
      </c>
      <c r="B61" t="inlineStr">
        <is>
          <t>Senior Product Manager, Ads Manager - Seattle</t>
        </is>
      </c>
      <c r="C61" t="inlineStr">
        <is>
          <t>TikTok</t>
        </is>
      </c>
      <c r="D61" t="inlineStr">
        <is>
          <t>linkedin</t>
        </is>
      </c>
      <c r="E61" t="inlineStr"/>
      <c r="F61" t="inlineStr"/>
      <c r="G61" t="inlineStr">
        <is>
          <t>Seattle, WA</t>
        </is>
      </c>
      <c r="H61" t="inlineStr"/>
      <c r="I61" t="inlineStr">
        <is>
          <t>**Responsibilities**
 Team Introduction:
 TikTok is seeking an experienced Product Manager to develop ads platform products that streamline the ad creation process and improve the overall user journey. This team focuses on enhancing the workflow within TikTok Ads Manager, specifically supporting both Content \&amp; Service verticals, including performance ads product such as App ads and Lead ads. You will work on optimizing the ads trafficking experience to meet the needs of advertisers within these verticals, driving efficiency, performance and growth on the platform.
 Responsibilities:
 \- Lead the development and optimization of features within TikTok Ads Manager, focusing on improving the ads creation and reporting for performance ads verticals.
 \- Collaborate with cross\-functional teams to identify challenges, define product strategies, and set objectives that align with the needs of Content \&amp; Service advertisers.
 \- Leverage customer feedback, user research, competitor research and data analytics to identify opportunities for growth and continuous improvement in the ad creation process.
 \- Stay up\-to\-date with ad tech trends and emerging technologies, applying this knowledge to keep TikTok at the forefront of advertising solutions.
 \- Track and analyze key product metrics to inform product decisions and drive iterative improvements to the ads platform.
**Qualifications**
 Minimum Qualifications:
 \- BA/BS degree.
 \- Medium written and oral proficiency in Mandarin required. Both English and Mandarin skill sets are required to support clients in APAC and to communicate with stakeholders
 \- 3\+ years of experience as a Product Manager, managing full product cycles, integrating customer feedback, and driving prioritization.
 \- Strong knowledge of the online advertising ecosystem, including ad creation, optimization, and bidding.
 \- Strong problem\-solving and analytical skills, with the ability to use data to guide product decisions and improve performance.
 \- Proven ability to collaborate cross\-functionally with engineering, design, data science, and other teams.
 \- Excellent communication skills, capable of articulating complex product concepts to both technical and non\-technical stakeholders.
 Preferred Qualifications:
 \- 5\+ years of experience as a PM, building and launching ad interface or platform products.
 \- An understanding of performance ads, particularly within Content and Service verticals such as app ads, lead generation, gaming, and entertainment.
 \- Experience in fast\-paced environments, particularly within startups or rapidly evolving industries.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$199500 \- $393300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62">
      <c r="A62" t="inlineStr">
        <is>
          <t>li-4330222677</t>
        </is>
      </c>
      <c r="B62" t="inlineStr">
        <is>
          <t>Sr. Product Manager, Onboarding</t>
        </is>
      </c>
      <c r="C62" t="inlineStr">
        <is>
          <t>Kraken</t>
        </is>
      </c>
      <c r="D62" t="inlineStr">
        <is>
          <t>linkedin</t>
        </is>
      </c>
      <c r="E62" t="inlineStr"/>
      <c r="F62" t="inlineStr"/>
      <c r="G62" t="inlineStr"/>
      <c r="H62" t="inlineStr"/>
      <c r="I62" t="inlineStr">
        <is>
          <t>**Building the Future of Crypto**
 Our Krakenites are a world\-class team with crypto conviction, united by our desire to discover and unlock the potential of crypto and blockchain technology.
**What makes us different?**
 Kraken is a mission\-focused company rooted in crypto values. As a Krakenite, you’ll join us on our mission to accelerate the global adoption of crypto, so that everyone can achieve financial freedom and inclusion. For over a decade, Kraken’s focus on our mission and crypto ethos has attracted many of the most talented crypto experts in the world.
 Before you apply, please read the Kraken Culture page to learn more about our internal culture, values, and mission. We also expect candidates to familiarize themselves with the Kraken app. Learn how to create a Kraken account here.
 As a fully remote company, we have Krakenites in 70\+ countries who speak over 50 languages. Krakenites are industry pioneers who develop premium crypto products for experienced traders, institutions, and newcomers to the space. Kraken is committed to industry\-leading security, crypto education, and world\-class client support through our products like Kraken Pro, Desktop, Wallet, and Kraken Futures.
**Become a Krakenite and build the future of crypto!**
**Proof of work**
**The team**
 The Growth team is responsible for building seamless, engaging client journeys that drive activation and adoption. Within this team, you will lead strategy and execution for onboarding and verification experiences across consumer, business, and institutional clients.
 We’re looking for a Senior Product Manager who can think strategically, influence cross\-functional stakeholders, and deliver regulatory\-compliant, high\-performing solutions at scale. You’ll own a critical part of our growth funnel and set the direction for onboarding globally.
**The opportunity**
* Define and own the onboarding product strategy for Kraken’s Consumer, Business, and Institutional segments
* Champion client\-centric design, using feedback and research to refine experiences and deliver continuous improvement
* Scale identity verification solutions that meet diverse regulatory and geographical requirements, balancing compliance with exceptional user experience
* Reimagine KYC and verification as rewarding progress moments that celebrate clients unlocking new products like Futures, Margin, or Kraken Pro.
* Partner with Legal, Compliance, Fraud, and Regional Ops teams to anticipate regulatory changes and embed them into scalable processes
* Lead vendor strategy: assess, integrate, and optimize ID verification vendors to drive efficiency and innovation
* Leverage data at scale: define success metrics, analyze bottlenecks, and drive measurable improvements in activation and conversion rates
* Influence senior stakeholders with product strategy narratives, business cases, and roadmap priorities
* Foster cross\-team alignment, ensuring onboarding solutions enable growth across marketing, compliance, and operations
* Stay ahead of the curve by anticipating regulatory shifts and emerging technologies in crypto onboarding and KYC
**Skills You Should HODL**
* 5\+ years of product management experience, including 2\+ years focused on onboarding, identity verification, compliance, or regulated workflows
* Proven track record of owning strategy and delivering high\-impact products in complex, regulated environments
* Deep knowledge of KYC/AML and crypto regulations, with ability to translate requirements into scalable product solutions
* Experience leading vendor evaluations, integrations, and performance management
* Advanced data fluency: defining success metrics, prioritizing roadmap investments, and correlating improvements with business impact
* Excellent stakeholder management and communication skills, including writing PRDs, strategy docs, and product vision narratives
* Demonstrated ability to influence across functions and geographies to drive alignment and execution
* Passion for Bitcoin and crypto, with a strong belief in Kraken’s mission of accelerating global adoption
*This job is accepting ongoing applications and there is no application deadline.*
*Please note, applicants are permitted to redact or remove information on their resume that identifies age, date of birth, or dates of attendance at or graduation from an educational institution.*
*We consider qualified applicants with criminal histories for employment on our team, assessing candidates in a manner consistent with the requirements of the San Francisco Fair Chance Ordinance.*
 Kraken is powered by people from around the world and we celebrate all Krakenites for their diverse talents, backgrounds, contributions and unique perspectives. We hire strictly based on merit, meaning we seek out the candidates with the right abilities, knowledge, and skills considered the most suitable for the job. We encourage you to apply for roles where you don't fully meet the listed requirements, especially if you're passionate or knowledgable about crypto!
 As an equal opportunity employer, we don’t tolerate discrimination or harassment of any kind. Whether that’s based on race, ethnicity, age, gender identity, citizenship, religion, sexual orientation, disability, pregnancy, veteran status or any other protected characteristic as outlined by federal, state or local laws.
**Stay in the know**
 Follow us on Twitter
 Learn on the Kraken Blog
 Connect on LinkedIn
 Candidate Privacy Notice
 Compensation Range: $127K \- $203K</t>
        </is>
      </c>
    </row>
    <row r="63">
      <c r="A63" t="inlineStr">
        <is>
          <t>li-4330192916</t>
        </is>
      </c>
      <c r="B63" t="inlineStr">
        <is>
          <t>Treasury Management Product Manager</t>
        </is>
      </c>
      <c r="C63" t="inlineStr">
        <is>
          <t>Navitas Credit Corp.</t>
        </is>
      </c>
      <c r="D63" t="inlineStr">
        <is>
          <t>linkedin</t>
        </is>
      </c>
      <c r="E63" t="inlineStr"/>
      <c r="F63" t="inlineStr"/>
      <c r="G63" t="inlineStr">
        <is>
          <t>Atlanta, GA</t>
        </is>
      </c>
      <c r="H63" t="inlineStr"/>
      <c r="I63" t="inlineStr">
        <is>
          <t>**Hiring In Atlanta, GA; Brentwood, TN; Nashville, TN; Greenville, SC**
 We are seeking a strategic and experienced
 **Treasury Management Product Manager** 
 to lead the development, enhancement, and delivery of treasury services across our organization. This role is responsible for managing product lifecycle activities, driving innovation, and supporting complex client implementations. The ideal candidate will lead cross\-functional teams, collaborate with internal and external partners, and ensure our treasury offerings remain competitive and compliant. This position plays a key role in supporting commercial banking relationships, optimizing pricing strategies, and representing the bank in business development and community engagement efforts.
* Lead and Develop the Product Management, Sales Enablement, and Treasury Billing teams.
* Drive product strategy and deliver new features aligned with customer needs and strategic goals.
* Serve as a subject matter expert for treasury solutions across departments and vendors.
* Support sales teams with complex client solutions and direct client engagement.
* Oversee onboarding and implementation for commercial clients, resolving escalated issues.
* Conduct competitive pricing reviews and ensure accurate service charge application.
* Maintain documentation for product features and functionality.
* Ensure product initiatives align with risk and compliance standards.
* Represent the bank at industry events and in community outreach efforts.
* Lead or contribute to special projects related to treasury management services.
* Bachelor’s degree in business, finance, economics, or related field, or equivalent experience
* 10\+ years in financial services, including treasury management or product/project management
* 3\+ years of direct management experience leading sales or financial professionals
* Certified Treasury Professional (CTP) preferred
* Accredited ACH Professional (AAP) preferred
* Strong knowledge of Treasury Management products and consultative sales techniques
* Familiarity with bank systems and commercial banking products including deposits, sweep accounts, account analysis, and loans
* Proficiency in Microsoft Office Suite (Excel, Word, PowerPoint, etc.)
* Excellent interpersonal, written, and presentation skills
* Proven ability to evaluate financial data and deliver persuasive sales presentations
* Strong organizational and time management skills
* Ability to communicate effectively across all levels of customers and internal teams
* Must be able to pass a criminal background check
* This is a full\-time position
* Up to 25% of travel required
**FLSA Status**
* Exempt
**Ready to take your grow your career with a team that values your contributions? Apply today and become a vital part of our team!**
 We are an Equal Opportunity Employer and do not discriminate against any employee or applicant for employment because of race, color, sex, age, national origin, religion, sexual orientation, gender identity and/or expression, status as a veteran, and basis of disability or any other federal, state, or local protected class.
 Reasonable accommodations may be made to enable individuals with disabilities to perform the essential functions
 USD $84,136\.00 \- USD $139,486\.00 /Yr.</t>
        </is>
      </c>
    </row>
    <row r="64">
      <c r="A64" t="inlineStr">
        <is>
          <t>li-4330153247</t>
        </is>
      </c>
      <c r="B64" t="inlineStr">
        <is>
          <t>UI Product Owner / UI-UX Specialist</t>
        </is>
      </c>
      <c r="C64" t="inlineStr">
        <is>
          <t>Jobs via Dice</t>
        </is>
      </c>
      <c r="D64" t="inlineStr">
        <is>
          <t>linkedin</t>
        </is>
      </c>
      <c r="E64" t="inlineStr"/>
      <c r="F64" t="inlineStr"/>
      <c r="G64" t="inlineStr">
        <is>
          <t>New York, NY</t>
        </is>
      </c>
      <c r="H64" t="inlineStr"/>
      <c r="I64" t="inlineStr">
        <is>
          <t>Dice is the leading career destination for tech experts at every stage of their careers. Our client, Strategic Staffing Solutions, is seeking the following. Apply via Dice today!
**Job Title:** 
**UI Product Owner / UI\-UX Specialist**
**Location:** 
**New York, NY** 
 \*\*\*
 **On\-Site Required** 
 \*\*\*
**Work Type:** 
 W2 Contingent
**Duration: 12\+ Months**
**Role Overview**
 This contingent assignment is seeking a
 **UI\-focused Product Owner / UI\-UX Specialist** 
 with a strong emphasis on
 **User Interface design and delivery** 
 , rather than traditional UX research. The role sits within a Finance organization but is
 **product and technology driven** 
 , supporting the delivery of modern UI solutions.
 The successful candidate will act as a
 **UI Product Owner** 
 , leading UI initiatives through the full
 **Software Development Life Cycle (SDLC)** 
 while managing a team of Software Engineers responsible for curating and transforming data into
 **AngularJS and React\-based user interfaces** 
 .
 This role is ideal for a highly creative, entrepreneurial individual with strong product vision and a natural curiosity for technology and innovation. A financial background is not required; however,
 **FinTech experience is highly desirable** 
 .
**Key Responsibilities**
* Serve as UI Product Owner, owning UI initiatives from concept through delivery.
* Lead and manage a team of Software Engineers delivering UI solutions.
* Drive UI development through the full SDLC, including planning, execution, and delivery.
* Curate, shape, and present complex data into intuitive AngularJS and React UI screens.
* Partner closely with engineering, product, and business stakeholders to align UI delivery with strategic goals.
* Establish product vision, roadmap, and priorities for UI initiatives.
* Ensure high\-quality, scalable, and user\-friendly UI implementations.
* Promote innovation, experimentation, and continuous improvement across UI solutions.
**Required Qualifications**
* 5\+ years of experience in a product, technology, or finance\-related role, demonstrated through work or consulting experience, training, military experience, or education.
* Strong experience managing UI initiatives within an SDLC\-driven environment.
* Experience working closely with or leading software engineering teams.
* Excellent communication skills with the ability to translate product vision into executable outcomes.
**Preferred Qualifications**
* Strong UI\-centric experience (UI over UX).
* Hands\-on experience supporting or delivering AngularJS and React applications.
* Prior Product Owner or product leadership experience.
* FinTech experience or exposure to technology products within regulated industries.
* Demonstrated creativity, product vision, and entrepreneurial mindset.
* Naturally curious and innovative approach to problem solving.
**Key Attributes for Success**
* UI\-first mindset with strong aesthetic and usability sensibilities
* Product\-driven, ownership mentality
* Ability to inspire and lead engineering teams
* Comfortable operating in ambiguity and driving outcomes</t>
        </is>
      </c>
    </row>
    <row r="65">
      <c r="A65" t="inlineStr">
        <is>
          <t>li-4354353444</t>
        </is>
      </c>
      <c r="B65" t="inlineStr">
        <is>
          <t>Technical Program Manager</t>
        </is>
      </c>
      <c r="C65" t="inlineStr">
        <is>
          <t>HPM Building Supply</t>
        </is>
      </c>
      <c r="D65" t="inlineStr">
        <is>
          <t>linkedin</t>
        </is>
      </c>
      <c r="E65" t="inlineStr"/>
      <c r="F65" t="inlineStr"/>
      <c r="G65" t="inlineStr">
        <is>
          <t>Honolulu, HI</t>
        </is>
      </c>
      <c r="H65" t="inlineStr"/>
      <c r="I65" t="inlineStr">
        <is>
          <t>The
 **expected pay range** 
 for our Technical Program Manager is
 **$71,200 to $95,500 a year** 
 . The pay is determined by several factors, including but not limited to
 **location** 
 , job\-related skills, qualifications, experience, education, internal equity, and other factors relevant to the job.
 Our Technical Program Manager will be located in Honolulu, Kapolei, or Hilo, Hawaii. This is not a remote position.
**HPM Building Supply** 
 is hiring a Technical Program Manager. The Technical Program Manager leverages a strong technical foundation and leadership experience to oversee a wide range of initiatives across IT systems, software platforms, infrastructure, and emerging technologies. This role provides strategic direction, technical oversight, and mentorship to Program Managers, ensuring that projects are aligned with enterprise architecture, built on scalable solutions, and contribute to long\-term business value.
**Qualifications**
* 7\+ years of experience in technical projects or program management
* Bachelor's degree in related field or equivalent experience
* PMP certification preferred
* Experience with projects in multiple technologies and business functions
* Valid Driver's license required
* Employment is contingent upon successfully passing a background screening and drug test, in accordance with applicable law
**Our Benefits**
* Medical (including prescription drug, vision and chiropractor/massage/acupuncture or Health Reimbursement Account ($2,400 a year)
* Dental (with ortho coverage for employee and dependents)
* PTO (15 days a year) \+ up to 5 additional days of Well Being Leave
* Basic Life/AD\&amp;D coverage
* Long\-term disability
* Health and Dependent Care Flexible Spending Plans
* 401(k) Plan
* Employee Stock Ownership Plan (ESOP)
* AFLAC voluntary insurance and more!
**ARE YOU READY TO JOIN OUR TEAM?**
 If you feel that you would be right for this Technical Program Manager position, complete our initial application. We look forward to hearing from you!
**About Hpm Hawaii**
 HPM Building Supply has been helping Hawai'i build and live better for over a century. HPM serves the home improvement market and building industry statewide through its retail stores, building supply and lumber yards, Home Design Centers, roofing and manufacturing facilities, corporate offices, and U.S. West Coast Consolidation Facility spanning 18 locations across Hawai'i Island, Maui, Lāna'i, O'ahu, Kaua'i, and Washington state. HPM is also the parent company of Truss Systems by HPM and HPM Tech. As a local, 100% employee\-owned company, we strive to enhance homes, improve lives, and transform communities by living our core values of Heart, Character, and Growth. Join HPM and become an owner!
 \#ZR
**Candidates must successfully pass a background check and drug test as part of the hiring process.**
***Job Posted by ApplicantPro***</t>
        </is>
      </c>
    </row>
    <row r="66">
      <c r="A66" t="inlineStr">
        <is>
          <t>li-4330182938</t>
        </is>
      </c>
      <c r="B66" t="inlineStr">
        <is>
          <t>Principal Program Manager (REMOTE)</t>
        </is>
      </c>
      <c r="C66" t="inlineStr">
        <is>
          <t>RemoteHunter</t>
        </is>
      </c>
      <c r="D66" t="inlineStr">
        <is>
          <t>linkedin</t>
        </is>
      </c>
      <c r="E66" t="inlineStr"/>
      <c r="F66" t="inlineStr"/>
      <c r="G66" t="inlineStr"/>
      <c r="H66" t="inlineStr"/>
      <c r="I66" t="inlineStr">
        <is>
          <t>About the Opportunity:
 The organization seeks a Principal Portfolio Program Manager to lead large multi\-year strategic programs focused on evolving and scaling the Merchandising portfolio. This role oversees program management including strategy, process definition, organization design, and technology delivery. The position manages a team of business, technology, and third\-party vendor stakeholders and supports the Inventory 360 initiative, which integrates Merchandising, Supply Chain, Space Management, and Reporting \&amp; Analytics to optimize the inventory ecosystem.
 Responsibilities:
 • Provide strategic leadership in Merchandising and Supply Chain
 • Implement best practices and program standards for multi\-year, cross\-functional initiatives
 • Drive transformation and change management with executive leadership
 • Lead program management activities across business and technology teams to deliver technology\-enabled solutions
 • Own all aspects of program planning including prioritization, estimation, budgeting, and goal setting
 • Facilitate executive\-level planning, prioritization, and status updates with stakeholders
 • Produce and approve program plans ensuring alignment with organizational processes and governance
 • Communicate strategy implementation actions internally and externally
 • Motivate teams by connecting program goals to organizational mission and values
 • Lead a large cross\-functional team, defining vision and coordinating activities
 • Manage program budgets with accurate forecasting and variance reporting
 • Clarify roles and responsibilities to enable rapid decision\-making
 • Identify and manage risks, issues, dependencies, and constraints, escalating as needed
 • Manage program reviews and assurance processes to maintain delivery confidence
 • Define stakeholder engagement plans ensuring balanced participation
 • Partner with stakeholders to assess and track business benefit realization
 • Support strategic planning across product and technology portfolios
 • Lead portfolio prioritization, budgeting, and goal setting
 • Ensure alignment of organization and stakeholders with portfolio direction
 Requirements:
 • Proven experience leading large, multi\-year strategic programs
 • Strong program and portfolio management skills
 • Expertise in cross\-functional team leadership and stakeholder management
 • Ability to drive transformation and change management
 • Skilled in risk identification and mitigation
 • Experience managing budgets and resource allocation
 • Effective communication and motivational skills
 • Knowledge of merchandising, supply chain, and inventory management concepts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7">
      <c r="A67" t="inlineStr">
        <is>
          <t>li-4330073366</t>
        </is>
      </c>
      <c r="B67" t="inlineStr">
        <is>
          <t>Staff Product Manager - Digital Strategy (Remote)</t>
        </is>
      </c>
      <c r="C67" t="inlineStr">
        <is>
          <t>Ad Hoc LLC</t>
        </is>
      </c>
      <c r="D67" t="inlineStr">
        <is>
          <t>linkedin</t>
        </is>
      </c>
      <c r="E67" t="inlineStr"/>
      <c r="F67" t="inlineStr"/>
      <c r="G67" t="inlineStr">
        <is>
          <t>Atlanta, GA</t>
        </is>
      </c>
      <c r="H67" t="inlineStr"/>
      <c r="I67" t="inlineStr">
        <is>
          <t>****Staff Product Manager****
**This is a remote position with heavy travel for the first 3\-6 months**
 Ad Hoc is a technology company that empowers organizations to deliver scalable, impactful digital services. Using modern, agile methods, our team creates products that meet people’s needs and transform their experience of government.
**Work on things that matter**
 Our collaborations have shaped some of the defining moments in public\-sector service delivery. We’ve helped build products that connect Veterans to tailored services, help millions access affordable health care, and support important programs like Head Start. As we work with agencies to deliver critical services, we’re also changing how the government approaches technology.
**Built for a remote life**
 Our culture, communications, and tools are built for remote work, enabling us to bring together top talent nationwide. At Ad Hoc, remote life empowers our teams to design work environments that fit their lives and that foster flexibility and collaboration to achieve positive outcomes for our customers.
**Committed to high expectations and a welcoming culture**
 Ad Hoc values acceptance, accountability, and humility. We aren’t heroes. We learn from our mistakes and improve the process for the next time. We build small, inclusive teams to collaborate closely with our partners to solve the right problems and deliver software that works.
 The
 **Federal Civilian** 
 business unit supports many customers spanning the federal, commercial, and nonprofit space. Our customers include NASA, the General Services Administration, Office of Personnel Management, the Library of Congress, Health \&amp; Human Services, and the FDIC. We partner with these agencies to build new capabilities, deliver products, establish data as a strategic asset for informed decision\-making, modernize legacy systems, and build the digital service infrastructure necessary to scale their mission impact.
**Primary Responsibilities**
 Staff Product Manager serves as an emerging subject matter expert, while serving as an individual contributor that exhibits a high level of trust, autonomy and empowerment. With minimal oversight from leadership, you will be essential to leading and guiding a unified product strategy across a multi\-channel communication efforts, and modernizing one of the federal government’s most mission\-critical digital properties. Given highly distributed organizational structure with the HHS portfolio and the need to provide clear, timely public health information across web, mobile, social, and API\-driven channels, a senior product leader ensures alignment across communications, policy, design, and technology teams. This role drives cohesive content governance, streamlines operations, reduces redundancies, and supports a user\-centered approach to information architecture, accessibility, and omnichannel delivery. The ultimate outcomes of this role is to strengthen public trust, accelerates digital modernization, and ensures health guidance is consistently understood—regardless of platform or audience.
**Skills**
 A Staff Product Manager exhibits strong influential skills to represent the product management practice in planning sessions, advocating for the best solution, while communicating tradeoffs. You will serve as the primary lead and proactively communicate with stakeholders; while utilizing strong influential skills to drive improvements in product management processes and practices. Primary expectations of a Staff Product Manager:
* Strong influential skills to garner consensus among stakeholders, leadership, programs, and practice teams
* Primarily supports a program/portfolio, but may support business unit initiatives in order to drive thought leadership among practice and delivery
* Serves as a mentor to individuals within the assigned business unit or Program, providing constructive feedback to support employee development and practice innovations
* Presents to a wide variety of audiences, inclusive of internal and external stakeholders
* Primarily focused on program/portfolio strategic initiatives, but may support tactical assignments
* Exhibits strong communications skills in order to gain consensus, mitigate conflict, and serves as a stewardess of innovation or change
* Responsible for defining the vision and strategy for products and identifying areas of growth for a program or portfolio of work
* Demonstrates the ability to make educated decisions and understands when to pivot and how to experiment in order to reduce uncertainty and inform next steps
* Utilizes effective communication skills and understands how to translate complex issues for a wide variety of audiences in order to influence decision making for the highest value outcome
* May support growth opportunities, inclusive of proposal writing, solution development, presentations, and briefings
* Serves as a partner to Project and Program Managers to support the delivery of required scope and deliverables
**Required Qualifications**
* Bachelor’s degree and 9\+ years of experience directing cross\-functional team
* Strong understanding of content management systems (CMS) and multi\-channel platforms, a strategic mindset for defining content goals and user experiences, and excellent communication and data analysis skills to guide the execution of content and campaigns across various channels
* Be adept at defining target audiences, developing content strategies, choosing the right channels, and using analytics to measure performance.
* Heath policy and/or health content implementation experience
**Technical And Strategic Skills**
* Technical understanding: Possess a strong grasp of content management systems, web and mobile architecture, and publishing tools
* Strategic planning: Be able to define clear goals, KPIs, and metrics to measure success for both the CMS and multi\-channel communication efforts
* Content strategy: Understand how to develop a content strategy, including identifying target audiences, defining content types, and planning a content calendar.
* Channel expertise: Know how to select the right mix of channels based on the target audience, business goals, and available resources
* User experience (UX): Have a passion for creating optimal user experiences across all digital products.
**Execution And Analysis**
* Data\-driven decision\-making: Use customer data and analytics to make informed decisions about product features and content performance
* Performance monitoring: Continuously monitor and analyze performance across all channels using metrics like website traffic, engagement rates, and conversion rates
* Optimization: Use insights from analytics to continually refine and optimize the strategy and content
**Leadership And Communication**
* Cross\-functional collaboration: Be able to work effectively with engineers, designers, marketing, and other teams
* Clear communication: Translate complex technical and strategic information so that all stakeholders can understand it
* "Evangelism": Act as a product champion, articulating the product's vision and value to the market
* Leadership and decision\-making: Make tough decisions when necessary and be able to manage competing requests while keeping the product's best interests in mind
* Culture of innovation: Foster a culture of discovery and continuous learning within the team
**Preferred Qualifications** 
* .gov and social media background
* Ability to obtain/maintain any of the following:
+ CSPO, CPM, CSM or other related certifications
**To learn more about working at Ad Hoc, please visit:** 
 https://adhocteam.us/join
**Benefits**
* Company\-subsidized health, dental, and vision insurance
* Flexible PTO
* 401K with employer match
* Paid parental leave after one year of service
* Employee Assistance Program
 Ad Hoc LLC is an Equal Opportunity/Affirmative Action Employer. All qualified applicants will receive consideration for employment without regard to race, color, national origin, ancestry, sex, sexual orientation, gender identity or expression, religion, age, pregnancy, disability, work\-related injury, covered veteran status, political ideology, marital status, or any other factor that the law protects from employment discrimination.
 In support of various state and city equal pay transparency laws, Ad Hoc job descriptions feature the starting range we reasonably expect to pay to candidates who would join our team with little to no need for training on the responsibilities we've outlined above. Actual compensation is influenced by a wide range of factors including but not limited to skill set, level of experience, and responsibility. The range of starting pay for this role is $140,000 \- $155,000\. Our recruiters will be happy to answer any questions you may have, and we look forward to learning more about your salary requirements.</t>
        </is>
      </c>
    </row>
    <row r="68">
      <c r="A68" t="inlineStr">
        <is>
          <t>li-4354363569</t>
        </is>
      </c>
      <c r="B68" t="inlineStr">
        <is>
          <t>Program Manager, Zucker School of Medicine at Hofstra/Northwell</t>
        </is>
      </c>
      <c r="C68" t="inlineStr">
        <is>
          <t>Hofstra University</t>
        </is>
      </c>
      <c r="D68" t="inlineStr">
        <is>
          <t>linkedin</t>
        </is>
      </c>
      <c r="E68" t="inlineStr"/>
      <c r="F68" t="inlineStr"/>
      <c r="G68" t="inlineStr">
        <is>
          <t>Hempstead, NY</t>
        </is>
      </c>
      <c r="H68" t="inlineStr"/>
      <c r="I68" t="inlineStr">
        <is>
          <t>**Qualifications**
 Bachelor’s degree required. 3\-5 years of relevant administrative experience is required, preferably in an education or health care setting. Proficient in Microsoft Office Suite, Zoom, and related software tools. Excellent interpersonal, verbal, and written communication skills. Strong organizational skills and attention to detail, with the ability to manage multiple priorities independently. Must demonstrate a high degree of judgment, discretion, and confidentiality. Must be able to work in a highly trafficked office environment. Ability to lift and/or transport up to 15 pounds for class, as needed. Must be able to provide their own transportation to and from off\-site meetings. Must be available to work early mornings, evenings, and weekends during busy periods as needed.</t>
        </is>
      </c>
    </row>
    <row r="69">
      <c r="A69" t="inlineStr">
        <is>
          <t>li-4275357712</t>
        </is>
      </c>
      <c r="B69" t="inlineStr">
        <is>
          <t>Program Manager - Contingent upon award</t>
        </is>
      </c>
      <c r="C69" t="inlineStr">
        <is>
          <t>Piedmont Global</t>
        </is>
      </c>
      <c r="D69" t="inlineStr">
        <is>
          <t>linkedin</t>
        </is>
      </c>
      <c r="E69" t="inlineStr"/>
      <c r="F69" t="inlineStr"/>
      <c r="G69" t="inlineStr"/>
      <c r="H69" t="inlineStr"/>
      <c r="I69" t="inlineStr">
        <is>
          <t>**About Piedmont Global**
 Piedmont Global is a leading provider of Translation, Interpretation, and Language Training solutions in over 200 languages and regional varieties. Headquartered in the Washington D.C. area with team members spanning five continents, Piedmont Global is a minority\-owned company that provides unique, innovative and scalable solutions that advance the global missions of its partners.
**Position Summary**
 Program Oversight: Ensure interpreter services meet government standards and execute contract goals. Team Management, Supervise Operations Managers, Quality Control Managers, and Interpreter Evaluators.
**Job Responsibilities**
* Program Oversight: Manage interpreter services, ensuring compliance with DOJ/EOIR standards, and execute policies to meet contractual adherence goals.
* Supervise and mentor Operations Managers, Quality Control Managers, and Interpreter Evaluators.
* Liaise with EOIR officials, address program needs, and implement client\-requested adjustments.
* Oversee daily operations, including scheduling and resource allocation, focusing on high\-demand languages.
* Collaborate on quality initiatives, monitor performance, and drive process improvements.
* Manage budget, expenses, and metrics, ensuring contract adherence and accurate invoicing.
**Qualifications**
* Education: Bachelor’s degree (master’s preferred).
* Experience: 7\+ years in program management; 3\+ years with federal/government contracts.
**Requirements**
* Skills: PMP preferred; strong leadership, communication, and multitasking skills.
* Clearance: DOJ Public Trust eligibility required.
* Language industry experience
**Benefits**
 Piedmont Global has a wide variety of benefit offerings including Health, Dental, 401k, Vision, Pet
 Insurance, PTO, Paid Holidays, and flexible work schedule.
****Location****
 Nationwide</t>
        </is>
      </c>
    </row>
    <row r="70">
      <c r="A70" t="inlineStr">
        <is>
          <t>li-4354600117</t>
        </is>
      </c>
      <c r="B70" t="inlineStr">
        <is>
          <t>Program Manager</t>
        </is>
      </c>
      <c r="C70" t="inlineStr">
        <is>
          <t>ITegrity, Inc. - A trusted 8(a) Technology, Engineering, and Management Services Provider</t>
        </is>
      </c>
      <c r="D70" t="inlineStr">
        <is>
          <t>linkedin</t>
        </is>
      </c>
      <c r="E70" t="inlineStr"/>
      <c r="F70" t="inlineStr"/>
      <c r="G70" t="inlineStr">
        <is>
          <t>King George, VA</t>
        </is>
      </c>
      <c r="H70" t="inlineStr"/>
      <c r="I70" t="inlineStr">
        <is>
          <t>**Location:** 
 Dahlgren, VA (Remote within 75 miles)
**Job Description:** 
 The Program Manager provides overarching management for the contract and must be an employee of the Prime contractor. This role involves overseeing both the technical and administrative aspects of performance, including the timeliness and quality of all service and data deliverables The PM is responsible for managing a diverse technical workforce consisting of multiple skill sets involved in Navy Network systems design, development, test, evaluation, and training.
**Required Skills And Experience**
* Five (5\) years of experience in Contract Management, specifically overseeing Government contract performance
* Proven ability to oversee contract schedules, costs, and data deliverables
* Demonstrated ability to interface effectively with customers and manage project progress to meet sponsor objectives
**Education/Certification:** 
 Must possess an
 **IAM Level I certification** 
 (CAP, CND, Cloud\+
 GSLC, Security\+ CE, HCISPP)
**Security:** 
 Active
 **Secret clearance** 
 required at the time of award
**Citizenship:** 
 U.S. Citizen
**Desired Skills And Experience**
* Experience specifically supporting U.S. Navy or DoD IT training command environments
* Advanced management experience demonstrated by the ability to maintain and evolve a team for five years or more</t>
        </is>
      </c>
    </row>
    <row r="71">
      <c r="A71" t="inlineStr">
        <is>
          <t>li-4354570516</t>
        </is>
      </c>
      <c r="B71" t="inlineStr">
        <is>
          <t>Senior Product Manager, Clinical Safety and Pharmacovigilance Systems</t>
        </is>
      </c>
      <c r="C71" t="inlineStr">
        <is>
          <t>BioSpace</t>
        </is>
      </c>
      <c r="D71" t="inlineStr">
        <is>
          <t>linkedin</t>
        </is>
      </c>
      <c r="E71" t="inlineStr"/>
      <c r="F71" t="inlineStr"/>
      <c r="G71" t="inlineStr">
        <is>
          <t>Cambridge, MA</t>
        </is>
      </c>
      <c r="H71" t="inlineStr"/>
      <c r="I71" t="inlineStr">
        <is>
          <t>**The Role**
 Moderna is seeking a Senior Product Manager – Clinical Safety and Pharmacovigilance Systems to support the digital product strategy, operations, and lifecycle management of the platforms that enable our global Patient Safety and Pharmacovigilance functions. As Product Manager and System Owner, this role will have accountability for system reliability, enhancement delivery, compliance, and long\-term technology planning aligned with Moderna’s Product Management framework.
 This role is essential to ensuring the performance of Moderna’s safety systems, including case intake, processing, and aggregate reporting, across the product lifecycle. You will contribute to execute a 3–5 year roadmap, drive adoption of innovative capabilities including AI/ML, and optimize platform performance for stability and cost. The successful candidate will partner closely with stakeholders in Patient Safety, Regulatory, Quality, Clinical Development, and Digital, as well as global teams across the U.S., Poland, and India.
 You’ll bring deep domain expertise in pharmacovigilance, a strong understanding of GxP\-compliant system operations, and a product mindset that prioritizes agility, user\-centricity, and innovation. This role contributes directly to Moderna’s mission to ensure patient safety and maintain compliance with global health authorities, in alignment with our values of acting with urgency, behaving like owners, and questioning convention.
 This role will be based in the US in one of the Moderna Offices. 70% office presence is required.
**Here’s What You’ll Do**
* Serve as System Owner for Clinical Safety and Pharmacovigilance systems, accountable for end\-to\-end system operations, governance, and lifecycle planning.
* Manage and continuously improve the release management process, including planning, testing, and deployment of new system features and enhancements.
* Ensure full GxP compliance and audit readiness, working in partnership with Quality, IT Compliance, and Regulatory teams.
* Contribute to the definition and delivery of the product strategy and roadmap in alignment with business needs.
* Support execution of the roadmap by coordinating initiatives across functions.
* Support the evaluation and implementation of innovative capabilities such as AI/ML to enhance safety operations.
* Collaborate with agile software squads to develop and deliver custom features and scalable solutions supporting safety operations.
* Contribute domain knowledge to adjacent systems and processes, including regulatory information management and quality compliance systems.
* Proactively challenge existing solutions and workflows, identifying opportunities for simplification, optimization, and innovation.
* Operate effectively in a global, cross\-timezone team environment with colleagues and partners in the U.S., Poland, and India.
**Here’s What You’ll Bring To The Table**
* Prior 7\+ years’ experience in the pharmaceutical or biotechnology industry is required.
* Strong domain expertise in Pharmacovigilance, including safety case processing, aggregate reporting, and post\-marketing surveillance.
* Demonstrated product management experience delivering technology solutions in a life sciences or healthcare environment.
* Hands\-on experience serving as System Owner for validated GxP systems.
* Solid working knowledge of GxP, GAMP5, and regulatory expectations for computerized systems supporting safety operations.
* Familiarity with Argus Safety, Veeva Vault and other PV ecosystem platforms and integrations.
* Experience working with agile software development teams in a digital product model.
* Ability to collaborate across time zones and cultures; strong cross\-functional communication and influence skills.
* A mindset focused on curiosity, ownership, and continuous learning, aligned with Moderna Mindsets.
* Minimal Bachelor’s degree in life sciences, computer science, engineering, or a related field required; advanced degree or certifications (e.g., PMP, Agile, GxP systems) are a plus.
**Pay \&amp; Benefits**
**At Moderna, we believe that when you feel your best, you can do your best work. That’s why our US benefits and global well\-being resources are designed to support you—at work, at home, and everywhere in between.**
* Best\-in\-class healthcare coverage, plus voluntary benefit programs to support your unique needs
* A holistic approach to well\-being, with access to fitness, mindfulness, and mental health support
* Family planning benefits, including fertility, adoption, and surrogacy support
* Generous paid time off, including vacation, volunteer days, sabbatical, global recharge days, and a discretionary year\-end shutdown
* Savings and investment opportunities to help you plan for the future
* Location\-specific perks and extras
 The salary range for this role is $145,900\.00 \- $234,200\.00\. This is the lowest to highest salary we in good faith believe we would pay for this role at the time of this posting. An individual’s position within the salary range will be based on several factors including, but not limited to, specific competencies, relevant education, qualifications, certifications, experience, skills, performance, and business or organizational needs.
 The successful candidate may be eligible for an annual discretionary bonus, other incentive compensation, or equity award, subject to company plan eligibility criteria and individual performance.
**About Moderna**
 Since our founding in 2010, we have aspired to build the leading mRNA technology platform, the infrastructure to reimagine how medicines are created and delivered, and a world\-class team. We believe in giving our people a platform to change medicine and an opportunity to change the world.
 By living our mission, values, and mindsets every day, our people are the driving force behind our scientific progress and our culture. Together, we are creating a culture of belonging and building an organization that cares deeply for our patients, our employees, the environment, and our communities.
 We are proud to have been recognized as a Science Magazine Top Biopharma Employer, a Fast Company Best Workplace for Innovators, and a Great Place to Work in the U.S.
 If you want to make a difference and join a team that is changing the future of medicine, we invite you to visit modernatx.com/careers to learn more about our current opportunities.
**Our Working Model**
 As we build our company, we have always believed an in\-person culture is critical to our success. Moderna champions the significant benefits of in\-office collaboration by embracing a 70/30 work model. This 70% in\-office structure helps to foster a culture rich in innovation, teamwork, and direct mentorship. Join us in shaping a world where every interaction is an opportunity to learn, contribute, and make a meaningful impact.
 Moderna is a smoke\-free, alcohol\-free, and drug\-free work environment.
**Equal Opportunities**
 Moderna is committed to equal employment opportunity and non\-discrimination for all employees and qualified applicants without regard to a person's race, color, sex, gender identity or expression, age, religion, national origin, ancestry or citizenship, ethnicity, disability, military or protected veteran status, genetic information, sexual orientation, marital or familial status, or any other personal characteristic protected under applicable law.Moderna is a place where everyone can grow. If you meet the Basic Qualifications for the role and you would be excited to contribute to our mission every day, please apply!
 Moderna is an E\-Verify Employer in the United States. We consider qualified applicants regardless of criminal histories, consistent with legal requirements.
**Accommodations**
 We’re focused on attracting, retaining, developing, and advancing our employees. By cultivating a workplace that values diverse experiences, backgrounds, and ideas, we create an environment where every employee can contribute their best.
 Moderna is committed to offering reasonable accommodations to qualified job applicants with disabilities. Any applicant requiring an accommodation in connection with the hiring process and/or to perform the essential functions of the position for which the applicant has applied should contact the Accommodations team at leavesandaccommodations@modernatx.com.
**Export Control Notice**
 This position may involve access to technology or data that is subject to U.S. export control laws, including the Export Administration Regulations (EAR). As such, employment is contingent upon the applicant’s ability to access export\-controlled information in accordance with U.S. law. Due to the nature of the work and regulatory requirements, only individuals who qualify as U.S. persons (citizens, permanent residents, asylees, or refugees) are eligible for this position. For this role Moderna is unable to sponsor non\-U.S. persons to apply for an export control license.</t>
        </is>
      </c>
    </row>
    <row r="72">
      <c r="A72" t="inlineStr">
        <is>
          <t>li-4351262476</t>
        </is>
      </c>
      <c r="B72" t="inlineStr">
        <is>
          <t>Senior Program Manager</t>
        </is>
      </c>
      <c r="C72" t="inlineStr">
        <is>
          <t>Leonardo DRS</t>
        </is>
      </c>
      <c r="D72" t="inlineStr">
        <is>
          <t>linkedin</t>
        </is>
      </c>
      <c r="E72" t="inlineStr"/>
      <c r="F72" t="inlineStr"/>
      <c r="G72" t="inlineStr">
        <is>
          <t>Cypress, CA</t>
        </is>
      </c>
      <c r="H72" t="inlineStr"/>
      <c r="I72" t="inlineStr">
        <is>
          <t>Job description:
**Job ID: 
 ******111372******** 
**Location: Onsite at Cypress CA** 
**Schedule: 9/80** 
 The Electro Optical Infrared Systems (EOIS) line of business within DRS has locations in Dallas and Austin, TX, Melbourne, FL, and Cypress, CA.  EOIS develops, manufactures, and supports infrared and electro\-optical solutions for soldiers, ground vehicles and airborne platforms.  We offer an exciting and challenging work environment, a competitive salary and benefits package, and a business culture that rewards performance. 
  Employing the world’s brightest. Supporting the world’s bravest.
**Position Summary** 
 DRS Network \&amp; Imaging Systems, LLC is seeking a Senior Program Manager to join our team in Cypress, CA. In this role, you will manage and direct the daily execution of contract requirements to ensure that cost, schedules and performance goals are met, lead meetings and the integrated product team (kick\-off through project close), and provide interface, communication and coordination with internal and external customers on matters pertaining to existing contracts and bid and proposal activities.
**Job Duties and Responsibilities** 
* Manage and direct the daily execution of multiple programs within contract requirements to assure that cost, schedules and performance goals are met.
* Lead all meetings and the integrated product and/or project team from kick\-off through project close. Lead and or support bid and proposal activities.
* Provide interface, communication and coordination with internal and external customers on matters pertaining to existing contracts.
* Ensure that the requirements of the request for proposal are met in the preparation and documentation of bids and proposals for existing customers.
* Actively seek new business opportunities in coordination with Business Development.
* Represent management at program reviews, meetings, seminars, etc.
* Prepare for and participate in contract/subcontract negotiations. While representing Company’s interests, assure that all government regulatory guidance is adhered to.
* Allocate and control contract budgets for labor, material, travel and purchased services. Regularly report program status to senior management.
* Formally identify, assess, monitor and mitigate risk throughout the program life cycle. Obtains management approval prior to making decisions that will cause deterioration of established program, cost and schedule objectives.
* May be required to ensure the overall execution of material on schedule and on budget for a business area.
* May be required to collaborate on various tasks with various project teams.
* May be required to various tasks/team/project/Engineering changes.
* Notify and seek senior management assistance in resolving schedule and budget problems as they arise. Develop and implement corrective action plans when deviations from budgets and/or schedules are evident.
* Perform variance analysis of schedule and cost on a formal and informal basis and present them to senior management (i.e. earned value management system).
* Serve as the primary interface with the customer on all matters involving contract execution. Coordinate with other departments on resolution of contractual problems with the customer.
* Coordinate with Contracts Administration on issues pertaining to contract requirements, changes, and interpretations.
* Assure the contract requirements are executed in accordance with appropriate regulations and Company policies and procedures (i.e. federal acquisition regulations).
* Provide leadership to program or project team. Assures communication and cooperation among team members and resolves areas of conflict.
* Ensure a timely closeout of completed programs to ensure that all obligations are satisfied and program documentation is properly recorded.
* Understand and develop leading verses lagging indicators.
* Develop and execute program corrective action strategies.
* May partner with various stakeholders on planning process and system improvements.
* Develop and understand principles of program planning. Broad application of principles, theories, and concepts in applicable discipline, plus working knowledge of other related fields.
* Develop and understand cash flow management principles.
* Support, communicate, reinforce and defend the mission, values and culture of the organization.
**Basic Qualifications and Required Skills** 
 •    7\+ years with experience in a DoD/Government environment working in project engineering or program management
 •    Bachelor’s Engineering, Science, or Mathematics degree or equivalent combination of education and experience
 •    5\+ years EOIR or space experience
 •    5\+ years with experience in EVMS
 •    5\+ years of experience leading and managing multi\-discipline development teams/projects
 •    Experience throughout the program lifecycle from development through sustainment to include: proposal development, requirements decomposition, generation of system and subsystem statements of work and subcontracts, risk management, and continuous improvement efforts including implementation cost reduction and performance improvement efforts
 •    Solid problem solving skills
 •    Knowledge of program management tools and procedures
 •    Strong presentation skills
 •    Experience with managing manpower planning, project reviews, scheduling and budget control
 •    Strong oral and written communication skills
**Desired Skills and Experience** 
* Program Management certification preferred (i.e. PMP or DAU)
* Active/current DoD security clearance up to a TS/SCI preferred
* Prefer experience with turnaround programs in which recovery was successful
**Working Conditions** 
* Normal for an office environment. Work may require occasional weekend and/or evening work.
* Travel up to 10% of time
 U.S. Citizenship required. This position requires an active DOD security clearance or the ability to obtain such clearance within a reasonable time after commencement of employment.
 The expected pay scale for this position is $126,991/year \- $197,154/year. Should the level, location, or scope of the position change during the hiring process, the pay scale may be modified accordingly. When extending an offer of employment, Leonardo DRS considers factors such as (but not limited to) the scope and responsibilities of the position; any Federal Government contract labor categories and contract wage rates, the candidate’s relevant work experience, education/training, certifications, and key skills; internal equity; and market and business considerations.
 Taking care of our people is a top priority at Leonardo DRS. We are proud to offer competitive salaries and comprehensive benefits, including medical, dental, and vision coverage, a company contribution to a health savings account, telemedicine, life and disability insurance, legal insurance, and a 401(k) savings plan. We champion wellness programs that focus on physical, emotional, and financial well\-being. We develop our talent by offering programs and activities to support career\-growth, professional development, and skill enhancement. And we understand there is more to life than work, and the importance of offering flexible work schedules with our 9/80 program, competitive vacation, health/emergency leave, paid parental leave, and community service hours. 
 \*Some employees are eligible for limited benefits only
 Leonardo DRS, Inc. and its subsidiaries provide equal opportunities to all employees and applicants for employment and prohibit discrimination and harassment of any type without regard to race, color, religion, age, sex, national origin, disability status, protected veteran status, or any other characteristic protected by federal, state, or local laws.</t>
        </is>
      </c>
    </row>
    <row r="73">
      <c r="A73" t="inlineStr">
        <is>
          <t>li-4317055279</t>
        </is>
      </c>
      <c r="B73" t="inlineStr">
        <is>
          <t>Agent Product Manager</t>
        </is>
      </c>
      <c r="C73" t="inlineStr">
        <is>
          <t>Granted</t>
        </is>
      </c>
      <c r="D73" t="inlineStr">
        <is>
          <t>linkedin</t>
        </is>
      </c>
      <c r="E73" t="inlineStr"/>
      <c r="F73" t="inlineStr"/>
      <c r="G73" t="inlineStr">
        <is>
          <t>New York, NY</t>
        </is>
      </c>
      <c r="H73" t="inlineStr"/>
      <c r="I73" t="inlineStr">
        <is>
          <t>🌿 Mission
 The US healthcare system is complex, error\-prone, and financially draining. Medical bills and insurance coverage shouldn’t be this hard to navigate. At Granted, we’re building the one solution every American can turn to for help.
 Thanks to AI and new regulations, Granted can fight claim denials, correct billing errors, negotiate bills, and make coverage easier to understand—saving people time, money, and stress. Our goal is simple: to be the \#1 platform that empowers all Americans to take charge of their healthcare
 🏢 About Us
 Founded by a former Oscar Health leader, we’re a seed\-stage company with $17M in funding. We’re lucky to be backed by the founders and investors at Hugging Face, Rocket Money, Oscar Health, CaseText, Forerunner Ventures, RRE Ventures, and more. We are well\-funded for the next few years.
 🧭 About the Role
 The Automations pod’s mission is to design, build, and operate agentic, end\-to\-end workflows that turn complex healthcare advocacy case work into reliable, scalable automations. This team owns the case pipeline from activation through resolution — increasing automation coverage, reducing cost to serve, and keeping experiences transparent by escalating to humans when needed.
 As the PM for Automations, you’ll sit at the center of how we scale advocacy with speed, precision, and trust. You’ll work across engineering, SMEs, design and ops to transform messy, high\-complexity healthcare workflows into structured, intelligent flows that feel effortless to users. Your work will directly shape how we deliver care and resolution at scale — making advocacy more automated, human when it matters, and dramatically more efficient.
 🛠 What You’ll Do
* Own the product strategy, KPIs and roadmap for the Automations pod.
* Translate messy, multi\-step operational workflows into agentic, intuitive product experiences.
* Partner closely with Engineering, Design, SMEs and Ops to drive alignment on and deliver high\-leverage automation opportunities.
* Run your own processes to derive actionable user insights from both quantitative and qualitative data.
* Define and run cross\-functional processes to test, measure, learn and refine how agentic systems anticipate user needs.
* Ship fast, reliable features that balance automation efficiency with user trust and transparency.
* Establish success metrics that blend operational scale with human\-centered experience.
**Must\-haves**
 🧰 You’ll Bring:
* 5\+ years in product management roles within technical product environments.
* Strong technical fluency \- able to collaborate deeply with engineering.
* Solid technical foundation (through education and/or hands\-on experience).
* Proven interest working with automation or agentic workflow products.
* Comfort operating in 0→1, fast\-moving, ambiguous environments.
**Nice\-to\-haves**
* Experience in healthcare or other complex regulated domains
* Early\-stage startup experience (Series B or earlier)
* Background in AI / intelligent workflow products.
 ✨ You’ll Thrive Here If
* You’re energized by chaos and the undefined — you love diving into ambiguous, complex problems, and spike on finding clarity fast.
* You’re fluent working with deeply technical teams, but care just as much about creating beautiful, intuitive user experiences.
* You are an excellent communicator and collaborator – you have proven experience clearly communicating high\-level product vision and low\-level requirements across cross\-functional stakeholders.
* You love turning messy, manual processes into clean, scalable systems that just work.
* You see automation and agentic workflows not as bolt\-ons, but as the foundation of a differentiated, user\-first product.
 This probably isn’t for you if…
* You prefer clearly scoped work and get frustrated when priorities shift quickly.
* You need a lot of process, layers of approval, or long timelines to do your best work.
* You’re not excited by the idea of owning problems end to end in a small, high\-trust team.
 📢 You don’t need to check every single box—if you bring the right skills and drive, we want to hear from you! 📩
*Granted is proud to be an Equal Opportunity Employer. We celebrate diversity and are committed to creating an inclusive environment for all employees. We do not discriminate based on race, religion, color, national origin, gender (including pregnancy, childbirth, or related medical conditions), sexual orientation, gender identity or expression, age, protected veteran status, disability, or any other legally protected characteristics.*
*We are also committed to providing reasonable accommodations to qualified individuals with disabilities. If you need assistance or an accommodation during the application or interview process, please contact us.*</t>
        </is>
      </c>
    </row>
    <row r="74">
      <c r="A74" t="inlineStr">
        <is>
          <t>li-4330083730</t>
        </is>
      </c>
      <c r="B74" t="inlineStr">
        <is>
          <t>Senior Product Manager - Data &amp; AI Services</t>
        </is>
      </c>
      <c r="C74" t="inlineStr">
        <is>
          <t>Siemens Digital Industries Software</t>
        </is>
      </c>
      <c r="D74" t="inlineStr">
        <is>
          <t>linkedin</t>
        </is>
      </c>
      <c r="E74" t="inlineStr"/>
      <c r="F74" t="inlineStr"/>
      <c r="G74" t="inlineStr">
        <is>
          <t>Charlotte, NC</t>
        </is>
      </c>
      <c r="H74" t="inlineStr"/>
      <c r="I74" t="inlineStr">
        <is>
          <t>Siemens Digital Industries Software is a leading provider of solutions for the design, simulation, and manufacture of products across many different industries. Formula 1 cars, skyscrapers, ships, space exploration vehicles, and many of the objects we see in our daily lives are being conceived and manufactured using our Product Lifecycle Management (PLM) software.
**Key Responsibilities:** 
 We are seeking an experienced
 **Senior Product Manager** 
 to work on our
 **FDS** 
**Data Services \&amp; Agentic AI** 
 offerings. The ideal candidate should have a strong background in Product Management (
 **minimum 12 years** 
 in
 **Product Management role** 
 , NOT just project or program management), be an excellent communicator, understanding of market \&amp; basic business perspectives, smart in stakeholder management skills. He/She is expected to have prior experience of working with Data Analytics \&amp; AI/ML products, enterprise software, and cloud services.
* Define and execute product strategy for Data Strategy (Data Lake, Data Catalog, Data Governance \&amp; Data Access) and AI\-powered workflow automation services
* Create and build product roadmap aligned with business objectives
* Work closely with engineering teams to define technical requirements
* Conduct market research and competitive analysis
* Drive product decisions through data\-driven insights
* Collaborate with stakeholders to gather requirements and feedback
**Qualifications:**
* 12\+ years of product management experience
* Experience with Data Analytics, building AI/ML products, preferably in workflow automation
* Strong understanding of cloud services (AWS)
* Strong understanding of Data storage, Data Governance, Data Semantics and access services
* Experience with enterprise software development lifecycle
* Knowledge of LLMs and RAG architecture
* Excellent communication and leadership skills
**Preferred Location in US:** 
 Charlotte, NC
 We are an equal opportunity employer and value diversity at our company. We do not discriminate based on race, religion, color, national origin, sex, gender, gender expression, sexual orientation, age, marital status, veteran status, or disability status.
 Qualified Applicants must be legally authorized for employment in the United States. Qualified Applicants will not require employer sponsored work authorization now or in the future for employment in the United States.
**Why us?**
 Working at Siemens Software means flexibility \- Choosing between working at home and the office at other times is the norm here. We offer great benefits and rewards, as you'd expect from a world leader in industrial software.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**Siemens Software.** 
***Transform the Everyday with Us***</t>
        </is>
      </c>
    </row>
    <row r="75">
      <c r="A75" t="inlineStr">
        <is>
          <t>li-4330073840</t>
        </is>
      </c>
      <c r="B75" t="inlineStr">
        <is>
          <t>Program Manager, Transatlantic Relations (think tank)</t>
        </is>
      </c>
      <c r="C75" t="inlineStr">
        <is>
          <t>WalterLane, Inc.</t>
        </is>
      </c>
      <c r="D75" t="inlineStr">
        <is>
          <t>linkedin</t>
        </is>
      </c>
      <c r="E75" t="inlineStr"/>
      <c r="F75" t="inlineStr"/>
      <c r="G75" t="inlineStr">
        <is>
          <t>Washington, DC</t>
        </is>
      </c>
      <c r="H75" t="inlineStr"/>
      <c r="I75" t="inlineStr">
        <is>
          <t>WalterLane is pleased to lead the search for a Manager, Transatlantic Relations for the DC office of one of Europe’s largest foundations. The foundation’s work focuses on the transatlantic partnership and seeks to educate and engage their audience on the most pressing economic, political, and social challenges facing the United States and Europe.
 Reporting to the Director of Transatlantic Relations, this role supports the team’s research and program needs in appropriate topic areas.
 **You will oversee the fellowship program** 
 , which connects American decisionmakers in the public and private sectors with their European counterparts to discuss policy areas of mutual interest, and provides a deeper awareness of the legislative process and political and institutional challenges across the Atlantic. You will also develop a research portfolio that includes key relationships and issues defining the transatlantic relationship, and collaborate with other team members to develop programming that supports the foundation’s standing as a prominent voice in transatlantic relations.
**Must have a Master's degree and 2\-3\+ years of post\-graduate related work experience with the European Union \- United States relationship. Hill experience is a plus. Hybrid, salary 70K plus bonus, excellent benefits package!** 
**RESPONSIBILITIES** 
* Manage the fellowship program and all related activities
* Research and track current issues with a transatlantic dimension
* Write articles, analyses, and policy papers (short form) across a broad range of transatlantic policy areas and international or global issues
* Design and implement Congressional outreach and engagement plan
* Transform research into a variety of multimedia content
* Attend and actively participate in events pertinent to the work of the research portfolio
* Develop, organize, and manage a diplomatic roundtable series that facilitates dialogue on key transatlantic policy issues
* Build and maintain a strong network of domestic and international government officials, diplomatic leaders, think tanks, the private sector, and NGOs
* Manage events including preparation of policy content and organizational issues
* Provide program support to transatlantic projects as needed including various panel discussions, conferences, and workshops
**ABOUT YOU** 
* Master’s degree in public policy, international relations, international business, international economics, international politics, or a related field
* **Minimum of 2\-3 years, post\-graduate related work experience beyond internships**
* Solid knowledge of the European Union, international relations and transatlantic issues with the ability and interest in learning new issues
* Outstanding research and writing ability
* Demonstrated interest in addressing the challenges facing the transatlantic alliance
* Professional experience working with public\- and private\-sector in the U.S. and Europe
* Openness, creativity, and conceptual skills
* **You are a go\-getter who embraces independence, collaboration, curiosity, and versatility**
* Fluency in at least one EU language preferred
 The organization offers a hybrid telework policy, a culture that encourages creativity and new ideas, the opportunity to work with highly talented individuals. Salary 70K plus bonus, comprehensive benefits package including 28 vacation days, transportation allowance, health insurance, 401K and more.
 EQUAL OPPORTUNITY EMPLOYER</t>
        </is>
      </c>
    </row>
    <row r="76">
      <c r="A76" t="inlineStr">
        <is>
          <t>li-4351162822</t>
        </is>
      </c>
      <c r="B76" t="inlineStr">
        <is>
          <t>Senior Program Manager, Commercial New Construction</t>
        </is>
      </c>
      <c r="C76" t="inlineStr">
        <is>
          <t>CLEAResult</t>
        </is>
      </c>
      <c r="D76" t="inlineStr">
        <is>
          <t>linkedin</t>
        </is>
      </c>
      <c r="E76" t="inlineStr"/>
      <c r="F76" t="inlineStr"/>
      <c r="G76" t="inlineStr">
        <is>
          <t>Oregon, United States</t>
        </is>
      </c>
      <c r="H76" t="inlineStr"/>
      <c r="I76" t="inlineStr">
        <is>
          <t>At CLEAResult, we lead the transition to a sustainable, equitable, and carbon\-neutral energy\-efficient future for our communities and our planet. We do that by creating a people\-first culture built on trust, accountability, and transparency; where every employee – regardless of position, role, or identity is treated with respect and given an equal chance to thrive.
**Additionally, You Will Enjoy**
* Medical, Dental, and Vision Insurance; we also offer a company\-paid health care concierge service to help navigate our health plan to make the best decisions for you and yours
* 401(k) with company match
* Paid vacation, sick, personal and parental leave time
* Paid Volunteer Time: giving back to our communities is important to us
* Employee Recognition Program – convert your recognition points into gift cards
* Employee Assistance Program – offers benefits to help you manage daily responsibilities
* Access to on\-demand training courses to advance further in your career
**Job Description**
**We are looking for a talented individual to join our team as a Senior Program Manager!**
 The Senior Program Manager will lead CLEAResult’s implementation of a Commercial New Construction program in the Pacific Northwest. This role is ultimately accountable for all phases of program implementation, including budget management, program implementation, performance tracking, client \&amp; customer satisfaction, robust training and education offerings, subcontractor management, equity and inclusion outcomes, and leading overall program strategy. The Senior PM will serve as the primary contact for the client and have overall accountability for successful delivery of the program.
**Here at CLEAResult, you will fit right in with our energetic team if you are resourceful, resilient, and kind.**
**For this opportunity, you’re a great fit if you…**
**Are a Strong Program Manager Who Can…**
* Lead contract and subcontract execution, ensuring compliance and alignment with client and company requirements and expectations
* Ensure accurate and timely budget tracking and reporting, KPI tracking, and accurate 18\-month client energy savings forecasts
* Support process and tool improvements to enhance program delivery
* Ensure accurate reporting and data management
* Integrate equity considerations into all program systems and processes, including tracking demographic data (where allowable), identifying disparities, and reporting on equity\-related KPIs
**Are a Leader Who Will…**
* Lead a supportive and inclusive team culture that promotes high performance and engagement for a diversity of multi\-functional teams (\~30 people) and 12\+ subcontractor organizations, and directly manage 4\-7 direct reports, including people managers
* Model inclusive leadership practices, address conflict through an equity lens, and cultivate psychological safety and belonging across the team
* Build capacity among subcontractors, especially COBID certified and emerging firms, by identifying needs, providing guidance, and ensuring equitable work distribution
* Work cross functionally with a variety of teams (engineering, operations, marketing, etc.)
**Are client and customer centric by…**
* Serving as primary liaison with Client for both day\-to\-day management as well as strategic planning and ensuring program implementation aligns with client requirements, market trends, and customer needs.
* Developing strategies to expand participation and realize energy savings across commercial market sectors, with a particular focus on ensuring participation by priority customers who have historically been underserved by efficiency programs
* Providing oversight and guidance for our market engagement offerings, grants and the training \&amp; education series serving the high\-performance building design community of architects, engineers, developers, owners and more who are critical to the program’s success
* Building and sustaining authentic relationships with community\-based organizations, culturally specific associations, and rural partners to broaden program reach and build trust
* Ensuring program design, communication, and outreach are culturally responsive, accessible, and grounded in equity best practices
**In this exciting career opportunity, you will have…**
* 8\+ years of project/program management experience, in energy efficiency or utility programs
* 5\+ years of people management experience, including experience navigating or facilitating difficult conversations related to culture, bias, inclusion, or conflict in a professional setting
* Experience managing large\-scale commercial programs
* Understanding of commercial construction building codes, energy modeling, and energy efficiency measures
* Excellent communication, client management, and leadership skills
* Demonstrated experience leading equity\-centered initiatives or integrating DEI into program strategy, team leadership, or community engagement
* Be based in Oregon with the ability to travel regularly in the Pacific Northwest, to the CLEAResult Portland, Oregon office, Client Portland office, Customer Sites and as attend regional and national conferences
*Studies have shown that women and people of color are less likely to apply for jobs unless they believe they meet every single one of the qualifications as described in a job description. We are committed to building a diverse and inclusive organization and are most interested in finding the best candidate for the job, and that candidate may be one who comes from a less traditional background. We strongly encourage you to apply, even if you don’t believe you meet every one of the qualifications described.*
**Compensation Range**
 $102,800\.00 \- $154,200\.00
**Currency**
 USD
**Type**
 Salary
 Any offered salary is determined based on internal equity, internal salary ranges, market data/ranges, applicant’s skills and prior relevant experience, certain degrees and certifications (e.g. JD/technology), for example.
 CLEAResult does not provide sponsorship of any kind. Successful hires must pass pre\-employment checks.
**Equal Opportunity Employer**
 As an Equal Opportunity Employer, we are committed to ensuring equal employment opportunities for all job applicants and employees. Employment decisions are based upon job\-related reasons regardless of an applicant’s race, color, religion, national origin, marital status, age, sex, gender identity, sexual orientation, status as a qualified individual with a disability or protected veteran, or any other protected status.
 The above job description and job requirements are not intended to be all inclusive. CLEAResult retains the right to make changes or adjustments to job descriptions and/or requirements at any time without notice.</t>
        </is>
      </c>
    </row>
    <row r="77">
      <c r="A77" t="inlineStr">
        <is>
          <t>li-4345215498</t>
        </is>
      </c>
      <c r="B77" t="inlineStr">
        <is>
          <t>Program Manager for Sexual and Gender-Based Misconduct Response</t>
        </is>
      </c>
      <c r="C77" t="inlineStr">
        <is>
          <t>University of Michigan</t>
        </is>
      </c>
      <c r="D77" t="inlineStr">
        <is>
          <t>linkedin</t>
        </is>
      </c>
      <c r="E77" t="inlineStr"/>
      <c r="F77" t="inlineStr"/>
      <c r="G77" t="inlineStr">
        <is>
          <t>Ann Arbor, MI</t>
        </is>
      </c>
      <c r="H77" t="inlineStr"/>
      <c r="I77" t="inlineStr">
        <is>
          <t>How to Apply
 A cover letter is required for consideration for this position and should be attached as the first page of your resume. The cover letter should address your specific interest in the position and outline skills and experience that directly relate to this position.
**Job Summary**
**Department Summary**
 At the Office of Student Conflict Resolution (OSCR), we believe every member of our campus community deserves to learn and grow free from sexual abuse, harm, and the fear of violence. Our mission is to Build Trust, Promote Justice, and Teach Peace, and we know that preventing harm before it occurs is just as important as responding after it happens. This position exists because sexual abuse is preventable, not inevitable.
 As the Program Manager for SGBM Response, you will help create a safer community by:
* Preventing future harm through education, skill\-building, and healthy relationship development
* Reducing recidivism by engaging with those who have caused harm, holding them accountable, and supporting change
* Strengthening community safety by building partnerships, promoting dialogue, and leading restorative processes
 With the right interventions, support, and accountability, individuals and communities can heal, repair harm, and prevent recurrence.
**To View The Full Job Description Click Here.**
 Why Work at Michigan?
**Why You'll Love This Work**
* You will directly contribute to a safer, healthier campus.
* You will have the opportunity to address both prevention and response, creating lasting cultural change.
* You will work in a collaborative, values\-centered environment where your expertise and passion can grow.
* You will help shape a future where sexual abuse is prevented before it occurs and where those who have caused harm can make different choices.
**Benefits At The University Of Michigan**
 In addition to a career filled with purpose and opportunity, The University of Michigan offers a comprehensive benefits package to help you stay well, protect yourself and your family and plan for a secure future. Benefits include:
* Generous time off
* A retirement plan that provides two\-for\-one matching contributions with immediate vesting
* Many choices for comprehensive health insurance
* Life insurance
* Long\-term disability coverage
* Flexible spending accounts for healthcare and dependent care expenses
 Responsibilities\*
* Lead the design, facilitation, and evaluation of SGBM Education \&amp; Intervention (e.g., STARRSA Active Psychoeducation), Adaptable Resolution, and Review \&amp; Reintegration programs.
* Serve as Adaptable Resolution Coordinator, ensuring processes meet University policy and Title IX requirements.
* Train program facilitators to deliver impactful, hope\-centered interventions.
* Develop comprehensive education and outreach strategies that engage the campus in prevention\-focused conversations.
* Conduct intakes, assess eligibility, and design tailored education or resolution plans.
* Facilitate one\-on\-one and group interventions to support personal growth, behavior change, and community reintegration.
* Oversee approximately 2 graduate staff, interns, and practicum students.
* Report directly to the Assistant Director for Sexual and Gender\-Based Misconduct Response Programs
* Track program budgets, reconcile expenses, and document revenue from external engagements.
 Required Qualifications\*
* Bachelor's Degree from an accredited institution.
* Minimum 3\+ years of experience in applicable responsibilities such as student development, ethical development, social identity development, leadership development, community building, social justice, restorative justice, conflict resolution theory, motivational interviewing, and related theories of human development.
* Experience with Title IX and SGBM processes in higher education.
* Client/student support experience related to SGBM and trauma.
* Content and facilitation expertise in restorative practices, conflict transformation, student development, community development, and engagement (or related fields).
 Modes of Work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
 Additional Information
 Working Location
 You'll work on\-site in a typical office environment at the Ann Arbor, MI Campus location. Requires some evening or weekend hours.
 Additional Information
 This role may have reporting obligations under Title IX and Clery.
 Authorization to work in the U.S. is a precondition of employment and applicants for this position will not be sponsored for work visas.
 Salary may vary depending on qualifications, experience, and education of the selected candidate.
 \#studentlife
 Union Affiliation
 This position is included in the bargaining unit represented by the University Staff United (USU), which represents bargaining unit members in all matters with respect to wages, benefits, hours and other terms and conditions of employment.
 Application Deadline
 Job openings are posted for a minimum of seven calendar days. The review and selection process may begin as early as the eighth day after posting. This opening may be removed from posting boards and filled anytime after the minimum posting period has ended.
 U\-M EEO Statement
 The University of Michigan is an equal employment opportunity employer.</t>
        </is>
      </c>
    </row>
    <row r="78">
      <c r="A78" t="inlineStr">
        <is>
          <t>li-4349397864</t>
        </is>
      </c>
      <c r="B78" t="inlineStr">
        <is>
          <t>Education Program Manager</t>
        </is>
      </c>
      <c r="C78" t="inlineStr">
        <is>
          <t>The Washington Institute for STEM, Entrepreneurship and Research</t>
        </is>
      </c>
      <c r="D78" t="inlineStr">
        <is>
          <t>linkedin</t>
        </is>
      </c>
      <c r="E78" t="inlineStr"/>
      <c r="F78" t="inlineStr"/>
      <c r="G78" t="inlineStr">
        <is>
          <t>Denver, CO</t>
        </is>
      </c>
      <c r="H78" t="inlineStr"/>
      <c r="I78" t="inlineStr">
        <is>
          <t>About the Role
 Do you love making complex concepts sound simple and exciting? WISER, as part of the Elevate Quantum consortium, is building the next generation of quantum talent across Colorado, Wyoming, and New Mexico. We’re looking for an Education Program Manager who can design, manage, and grow world\-class learning education programs.
 This role blends program management, science communication, curriculum development, partner engagement, marketing, and operations. You will build programs that make complex technical ideas accessible and inspiring for community college students, adult learners, and professionals seeking pathways into emerging tech careers. If you love translating deep science into clear learning experiences and running fast, dynamic education programs end\-to\-end, this role is for you.
 Who you are:
* 3\+ years of experience in program management \- being able to ideas from concept to reality.
* Experience in outreach, education, or creating educational content is a plus.
* Organized, proactive, and excited to work with students, teachers, and community partners.
* Organized, proactive, and comfortable managing contractors, partners, and learners simultaneously.
* Location: Based in Denver/Boulder preferred; travel across Colorado and New Mexico required.
 What You'll Do
* Lead end\-to\-end planning, launch, and delivery of multi\-week quantum and advanced\-science education programs for students.
* Manage email campaigns, and new program/product launches; oversee full enrollment processes for hundreds of students.
* Set program timelines, milestones, and KPIs; coordinate all logistics for live sessions, summer bootcamps, orientations, and stakeholder events.
* Create career pathway guides that show how skills in quantum link to real jobs, transfer opportunities, and certificates across fields like quantum, and advanced manufacturing.
* Spotlight students, educators, and local champions whose journeys reflect the diversity and resilience of the community college experience.
* Monitor program performance, gather data and feedback, and implement continuous improvements.
* Oversee a multidisciplinary team of part\-time staff, contractors, and fellows for marketing, video editing, curriculum development, and mentorship.
* Recruit and maintain relationships with quantum labs, universities, colleges, employers, industry partners, and nonprofits.
* Serve as the primary liaison to partners across CO, WY, NM \- aligning marketing, content, speakers, and local engagement.
* Onboard new partners and support them in co\-developing learning content, events, and career pathways.
* Represent WISER and INCLUDE at scientific, entrepreneurship, workforce, and quantum ecosystem events.
 Compensation
* $60,000\-$80,000, based on experience</t>
        </is>
      </c>
    </row>
    <row r="79">
      <c r="A79" t="inlineStr">
        <is>
          <t>li-4354600074</t>
        </is>
      </c>
      <c r="B79" t="inlineStr">
        <is>
          <t>Program Manager, Special Projects - College of Nursing (Panama City Campus)</t>
        </is>
      </c>
      <c r="C79" t="inlineStr">
        <is>
          <t>Inside Higher Ed</t>
        </is>
      </c>
      <c r="D79" t="inlineStr">
        <is>
          <t>linkedin</t>
        </is>
      </c>
      <c r="E79" t="inlineStr"/>
      <c r="F79" t="inlineStr"/>
      <c r="G79" t="inlineStr">
        <is>
          <t>Tallahassee, FL</t>
        </is>
      </c>
      <c r="H79" t="inlineStr"/>
      <c r="I79" t="inlineStr">
        <is>
          <t>*Job Title:* 
 Program Manager, Special Projects \- College of Nursing (Panama City Campus)
*Location:* 
 Panama City, FL
*Regular/Temporary:* 
 Regular
*Full/Part Time:* 
 Full\-Time
*Job ID:* 
 61233
 Department
 College of Nursing
**Responsibilities**
 Responsible for the operational management of special projects and strategic initiatives in the Panama City area on behalf of the Office of the Dean for the College of Nursing. Examples could include dean\-led councils and boards, college\-wide consortiums and alliances, and internal working groups. Reporting to the Director of Strategic Engagement and Chief of Staff, duties include developing policies and procedures; managing timelines and deliverables; and ensuring the efficient organization of activities. The Program Manager will support strategic planning, maintain accurate records, prepare communications and reports, and serve as a point of contact for internal and external stakeholders, such as College of Nursing faculty and staff, FSU collaborators, healthcare community partners and representatives from not\-for\-profit organizations, private companies and other universities and colleges.
 Manage the creation of communication materials related to projects and initiatives of the Office of the Dean for the College of Nursing, examples of which could include e\-newsletters, event invitations, presentation materials and reports, coordinating with the college’s communication team when appropriate
 Plan and execute events related to projects and initiatives of the Office of the Dean in Panama City, examples of which could include meetings, webinars, events and programs, working with the college’s event coordinator, when appropriate.
 Actively participate in the life of the college and local community, including attending events, meetings, and other activities, as well as maintaining effective working relationships with all campus members and community partners. Other duties as assigned.
**Qualifications**
* Bachelor's degree and four years of experience related to administrative services; or a high school diploma/equivalent and experience equal to eight years. (Note: post\-high school education can substitute for experience at the equivalent rate.)
* Valid Florida or Georgia Driver's License, or the ability to obtain prior to hire.
 University Information
 One of the nation's elite research universities, Florida State University preserves, expands, and disseminates knowledge in the sciences, technology, arts, humanities, and professions, while embracing a philosophy of learning strongly rooted in the traditions of the liberal arts and critical thinking. Founded in 1851, Florida State University is the oldest continuous site of higher education in Florida. FSU is a community steeped in tradition that fosters research and encourages creativity. At FSU, there’s the excitement of being part of a vibrant academic and professional community, surrounded by people whose ideas are shaping tomorrow’s news!
 Learn more about our university and campuses.
 FSU Total Rewards
 FSU offers a robust Total Rewards package. Visit our website to learn more about our Compensation, Benefits, Wellness, Recognition, and Employee Development programs.
 Use our interactive tool to calculate Total Compensation options based on potential salary, benefits and retirement contributions, earned leave, and other employment\-related perks.
 How To Apply
 If qualified and interested in a specific job opening as advertised, apply to Florida State University at https://jobs.fsu.edu. If you are a current FSU employee, apply via myFSU \&gt; Self Service.
 Applicants are required to complete the online application with all applicable information. Applications must include all work history up to ten years, and education details even if attaching a resume.
 Considerations
 This is an A\&amp;P position.
 This position requires successful completion of a criminal history background check.
 This position is located on the FSU Panama City, FL campus. This position is being readvertised as open until filled.
 Equal Employment Opportunity
 FSU is an Equal Employment Opportunity Employer.</t>
        </is>
      </c>
    </row>
    <row r="80">
      <c r="A80" t="inlineStr">
        <is>
          <t>li-4329774208</t>
        </is>
      </c>
      <c r="B80" t="inlineStr">
        <is>
          <t>Investment Data Product Owner &amp; Manager</t>
        </is>
      </c>
      <c r="C80" t="inlineStr">
        <is>
          <t>MFM Search LLC</t>
        </is>
      </c>
      <c r="D80" t="inlineStr">
        <is>
          <t>linkedin</t>
        </is>
      </c>
      <c r="E80" t="inlineStr"/>
      <c r="F80" t="inlineStr"/>
      <c r="G80" t="inlineStr"/>
      <c r="H80" t="inlineStr"/>
      <c r="I80" t="inlineStr">
        <is>
          <t>My client is a $3 trillion global pension fund currently expanding their presence in New York, NY.
 This role is part of the private equity portfolio monitoring team and is pivotal in ensuring robust asset oversight, effective risk management, and the continuous improvement of investment and relationship management processes. This person oversees the monitoring and evaluation of investment assets, ensuring compliance, timely reporting, and effective coordination across teams.
**Key Responsibilities:** 
* Responsible for the delivery of accurate data and investment insights used for PE (Private Equity) investment decision making
* Responsible for collating all PE data and reporting requirements from business stakeholders across the PE teams
* Ensure the completeness and accuracy of business requirements, data models, source\-to\-target mappings, and data quality control definitions
* Design data platform components to meet business requirements, encompassing Extract, Transform, Load (ETL) pipelines, metadata management, and data quality functionalities
* Ensure that industry best practices for testing to perform comprehensive unit testing of developed components have been established
* Responsible for ensuring any data exceptions and data quality issues are investigated
* Work with the global private equity team on various ad hoc reports
**Key Requirements:** 
* BSc in Computer Science (data analysis), Applied Math or Finance
* 5\-7 years’ experience as a data product owner within an asset owner / investment management organization within their data operations capability
* Proficiency in Python, rest APIs and SQL, data visualization
* Proficiency in ETL (Extract, Transform, Load) processes and tools
* Certification in Python, Power BI
* Knowledge of private equity / GP /LP data
* Good understanding of data management functions and usage of investment data in various forms
* Knowledge of financial data providers/source qualities. Experience navigating market data platforms for data sampling and review
* Ability to guide teams through complex financial data structures
* Proficient in using tools and methodologies to ensure data consistency, accuracy, and security, aligning with Data Governance best practices.</t>
        </is>
      </c>
    </row>
    <row r="81">
      <c r="A81" t="inlineStr">
        <is>
          <t>li-4351322711</t>
        </is>
      </c>
      <c r="B81" t="inlineStr">
        <is>
          <t>Business Analyst / Product Manager (Healthcare Focus)</t>
        </is>
      </c>
      <c r="C81" t="inlineStr">
        <is>
          <t>Hvantage Technologies Inc USA</t>
        </is>
      </c>
      <c r="D81" t="inlineStr">
        <is>
          <t>linkedin</t>
        </is>
      </c>
      <c r="E81" t="inlineStr"/>
      <c r="F81" t="inlineStr"/>
      <c r="G81" t="inlineStr">
        <is>
          <t>Los Angeles County, CA</t>
        </is>
      </c>
      <c r="H81" t="inlineStr"/>
      <c r="I81" t="inlineStr">
        <is>
          <t>About the Role
 We are seeking a
 **Business Analyst / Product Manager** 
 to help translate business needs into well\-designed, scalable products—primarily within the healthcare domain. This is a hybrid role ideal for someone who is analytically strong, curious, and eager to grow into broader product ownership and leadership responsibilities over time.
 The ideal candidate is
 **smart, adaptable, and motivated to learn** 
 , with enough healthcare exposure to understand industry context (e.g., payers, providers, data, compliance), but not necessarily a long tenure in product management. This role offers significant opportunity for growth.
 Key ResponsibilitiesBusiness Analysis
 * Gather, analyze, and document business requirements from stakeholders
* Translate business needs into clear functional requirements, user stories, and acceptance criteria
* Analyze workflows, data models, and system interactions to identify gaps and improvements
* Support solution design by working closely with engineering, data, and architecture teams
 Product Management
 * Assist in defining product vision, roadmap, and priorities
* Collaborate with stakeholders to balance business value, technical feasibility, and timelines
* Own and refine product backlogs; participate in sprint planning and reviews
* Support go\-to\-market planning, release coordination, and post\-launch evaluation
* Continuously identify opportunities to improve user experience and product outcomes
 Cross\-Functional Collaboration
 * Act as a bridge between business, technical teams, and leadership
* Communicate clearly across technical and non\-technical audiences
* Support decision\-making with data, analysis, and structured thinking
 Required Qualifications
 * 2–5 years of experience in
 **business analysis, product management, or a related role**
* Some experience or exposure to
 **healthcare** 
 (payer, provider, health IT, analytics, compliance, or adjacent domains)
* Strong analytical and problem\-solving skills
* Excellent written and verbal communication skills
* Ability to learn quickly and adapt in a fast\-moving environment
* Comfortable working remotely and collaborating with distributed teams
 Preferred Qualifications
 * Experience with healthcare data models, workflows, or standards (e.g., claims, eligibility, clinical data, FHIR, HL7\)
* Experience working with Agile/Scrum teams
* Familiarity with product tools (Jira, Confluence, Azure DevOps, Productboard, etc.)
* Technical curiosity (APIs, data platforms, analytics, or cloud systems)
 What We’re Looking For
 * Someone
 **intellectually curious** 
 who wants to grow into a senior product role
* A self\-starter who takes ownership and asks thoughtful questions
* A team player who values clarity, structure, and impact
* Someone who can evolve with the role as the product and organization scale</t>
        </is>
      </c>
    </row>
    <row r="82">
      <c r="A82" t="inlineStr">
        <is>
          <t>li-4351183049</t>
        </is>
      </c>
      <c r="B82" t="inlineStr">
        <is>
          <t>Sr. Product Manager - Smart Home - Door Security</t>
        </is>
      </c>
      <c r="C82" t="inlineStr">
        <is>
          <t>TP-Link</t>
        </is>
      </c>
      <c r="D82" t="inlineStr">
        <is>
          <t>linkedin</t>
        </is>
      </c>
      <c r="E82" t="inlineStr"/>
      <c r="F82" t="inlineStr"/>
      <c r="G82" t="inlineStr">
        <is>
          <t>Irvine, CA</t>
        </is>
      </c>
      <c r="H82" t="inlineStr"/>
      <c r="I82" t="inlineStr">
        <is>
          <t>About Us:
 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 believe technology changes the world for the better! At TP\-Link Systems Inc, we are committed to crafting dependable, high\-performance products to connect users worldwide with the wonders of technology.
 Embracing professionalism, innovation, excellence, and simplicity, we aim to assist our clients in achieving remarkable global performance and enable consumers to enjoy a seamless, effortless lifestyle.
**Overview**
 We are seeking a passionate and results \- driven Senior Product Manager with 5 \- 10 years of successful experience in product planning, definition, and management in the realm of smart home products especially home automation ecosystem like smart lighting systems, smart switches, sockets, smart control centers, smart curtains, sensors and buttons, etc. You'll be at the forefront of product innovation, not only in individual product features but also in expanding and strengthening our home automation ecosystem. You will be responsible for collaborating with major clients such as ISPs, third \- party platforms, pre \- installation market clients, etc. to execute home automation business projects and drive the growth of our smart home ecosystem.
 Your contributions will improve the daily experiences of countless smart home users, making their lives more convenient and secure. Join us and be part of creating a world full of exciting possibilities!
**Key Responsibilities**
* User Insights:
* Conduct in\-depth analyses of global users’ home environments to understand and identify their real needs. Use these insights to develop innovative product features that enhance the user experience.
* Competitive Analysis:
* Quickly assess and summarize competitor product features. Provide targeted recommendations to differentiate TP\-Link’s smart home offerings and stay ahead of the competition.
* Technology Research and Innovation:
* Dive into research on new technologies conducive to enhancing user experience, applying innovations to improve user experience and product competitiveness.
* Product Definition and Roadmap Planning \[Core Responsibility]:
* Define market\-leading smart home especially home automation products by leveraging market research, user feedback, and technology trends.
* Develop product roadmaps and plan for product iterations and feature development, ensuring sustained product leadership in the market.
* Create comprehensive product requirement documents to guide the design and development teams.
* Communication and Collaboration:
* Actively articulate product features, user value, and competitive advantages, collaborating with TP\-Link's creative product team for further refinement.
* Collaborate with product and development teams in both China and the United States to ensure the timely delivery of high\-quality products.
* Partner with clients to drive the successful completion of projects, aligning product features with client needs for seamless implementation.
* Sales and Operations Support:
* Collaborate with the global sales team to create monthly product production plans, adjusting based on sales and competitive conditions.
* Monitor and optimize user feedback post\-product launch, continuously refining products.Qualifications:
**Requirements**
* Bachelor's degree in a STEM (Science, Technology, Engineering, and Mathematics) field.
* 6 \+ years of proven experience in product planning, definition, and management, covering the full product lifecycle from concept to market launch.
* Strong technical understanding and ability to engage in technical decision\-making.
**Preferred Qualifications**
* Hands\-on experience with smart home products, particularly in Home Automation related products.
* Experience in successfully delivering smart home ecosystem solutions to clients.
* A strong technical background and ability to provide technical direction throughout product development.
* Deep in customer empathy, with the ability to identify and act on the smallest details to drive meaningful product innovation.
**Benefits**
 Salary range: $160,000 \- $180,000
* Fully paid medical, dental, and vision insurance (partial coverage for dependents)
* Contributions to 401k funds
* 15 days accrued vacation
* 11 paid holidays
* Bi\-annual pay increases
* Health and wellness benefits, including free gym membership
* Quarterly team\-building events
* Free lunch Friday
 At TP\-Link Systems Inc., we are continually searching for ambitious individuals who are passionate about their work. We believe that diversity fuels innovation, collaboration, and drives our entrepreneurial spirit. As a global company, we highly value diverse perspectives and are committed to cultivating an environment where all voices are heard, respected, and valued. We are dedicated to providing equal employment opportunities to all employees and applicants, and we prohibit discrimination and harassment of any kind based on race, color, religion, age, sex, national origin, disability status, genetics, protected veteran status, sexual orientation, gender identity or expression, or any other characteristic protected by federal, state, or local laws. Beyond compliance, we strive to create a supportive and growth\-oriented workplace for everyone. If you share our passion and connection to this mission, we welcome you to apply and join us in building a vibrant and inclusive team at TP\-Link Systems Inc.
 Please, no third\-party agency inquiries, and we are unable to offer visa sponsorships at this time.</t>
        </is>
      </c>
    </row>
    <row r="83">
      <c r="A83" t="inlineStr">
        <is>
          <t>li-4354590990</t>
        </is>
      </c>
      <c r="B83" t="inlineStr">
        <is>
          <t>Senior Product Manager, FinTech Products</t>
        </is>
      </c>
      <c r="C83" t="inlineStr">
        <is>
          <t>Second Nature</t>
        </is>
      </c>
      <c r="D83" t="inlineStr">
        <is>
          <t>linkedin</t>
        </is>
      </c>
      <c r="E83" t="inlineStr"/>
      <c r="F83" t="inlineStr"/>
      <c r="G83" t="inlineStr"/>
      <c r="H83" t="inlineStr"/>
      <c r="I83" t="inlineStr">
        <is>
          <t>Today, we live in a world where everything has become convenient. Now you can get a ride anywhere, buy anything, answer any question with just a couple clicks on your phone. Convenience isn't a luxury, it's an expectation. So why not renting? It's still a chore to get utilities set up, buy renters insurance, get air filters changed, handle pest control, and more.
 That's why we've built the world's first Resident Experience Platform that makes resident onboarding, resident services, and ancillary revenue effortless for property managers.
 We're passionate about turning friction into “Triple Win” experiences for residents, property managers, and investors. That way renting can be easy and rewarding for everyone.
 And now you can join us. Apply today to join 200\+ passionate, creative people who strive to make a difference each day so residents, property managers, and investors all win; creating the ultimate Triple Win.
**About The Role**
 Second Nature is seeking an experienced Senior Product Manager to focus on our Fintech products. In this role, you will own the end\-to\-end lifecycle, from discovery and strategy to roadmap execution, delivering products that create meaningful value for residents and property managers alike.
 This role requires a bias for action and the ability to make critical decisions in a fast\-paced, iterative landscape. Reporting to the Group Product Manager, you will work collaboratively across Engineering, Design, and Compliance to bring the vision to life.
**Key Outcomes**
* Launch products with defined MVPs within 12 months, achieving adoption and revenue targets (e.g., % of units enrolled) validated through customer discovery and pilot testing.
* Define and achieve product\-market fit milestones, including target user adoption rates, NPS ≥ 55 from residents and property managers, and qualitative evidence (via user interviews) that the product is "must\-have" rather than "nice\-to\-have."
* Drive reliability and success rates to target thresholds (e.g., reduction in failed ACH transactions, NSF incidents, or chargeback rates by a target %), maintaining or improving resident and property manager satisfaction scores (CSAT/NPS).
* Build a discovery and experimentation process that produces at least two validated product hypotheses per quarter through user research, prototypes, and controlled A/B tests, informing roadmap prioritization and reducing execution risk.
**Key Responsibilities**
 0 to 1 Product Discovery \&amp; Validation
* Conduct ongoing discovery with residents, property managers, and internal teams to understand pain points, workflows, and unmet needs.
* Synthesize research, user feedback, and market data to build a compelling product narrative and business case for each new initiative; communicate findings clearly to leadership and cross\-functional teams.
* Develop and test multiple product hypotheses via wireframes, prototypes, and early\-stage pilots; manage the learning cycle to rapidly converge on product\-market fit while knowing when to pivot.
 Strategy, Roadmap \&amp; Execution
* Define product strategy and a rolling 12 month roadmap, translating business objectives into clear, outcome\-focused quarterly OKRs and a prioritized backlog.
* Write concise, unambiguous product specs and collaborate with Engineering and Design to deliver features on schedule, on scope, and at quality standards.
* Monitor execution progress against roadmap, celebrate wins, identify blockers early, and pivot quickly when signals indicate a change of direction is needed.
 Domain \&amp; Technical Ownership
* Own core technical flows and user experiences.
* Collaborate with Engineering on integrations with service providers and banking partners, defining APIs, data schemas, and integration specifications that enable scalability and reduce technical debt.
 Compliance, Risk \&amp; Security
* Partner with Legal, Security, and Compliance teams to ensure products adhere to all relevant regulations governing payments, deposits, and fee collection.
* Build risk and fraud mitigation into product design, balancing security and regulatory requirements with a frictionless resident and property manager experience.
 Commercial \&amp; Cross\-Functional Leadership
* Collaborate with GTM, Sales, and Customer Success to develop positioning, pricing, and rollout strategies that drive adoption among property managers and residents. Work closely with Sales to identify early pilots and customer advocates.
* Monitor product performance against KPIs and use insights to inform backlog prioritization and optimization efforts. Establish dashboards visible to leadership.
* Build alignment across stakeholders on priorities, trade\-offs, and investment decisions through clear communication and data\-driven advocacy. Escalate conflicts or constraints to leadership promptly.
* Conduct competitive and market analysis to stay informed of emerging Fintech solutions, identifying differentiation opportunities and product gaps.
**About You**
* 5\+ years of product management in SaaS environments, with demonstrated success in SAAS payments or fintech products.
* Demonstrated ability to take products from 0 to 1 in ambiguous environments (startup or new venture within a larger company), including leading discovery, MVP launch, and early scaling based on customer feedback and market signals.
* Strong user empathy and ability to work closely with customers and frontline teams to translate insights into exceptional product experiences. Comfortable spending time with users and gathering qualitative feedback.
* Familiarity with the payments regulatory landscape, including NACHA, PCI DSS, and relevant state/federal regulations;
* Proven ability to define outcome\-focused roadmaps, establish and monitor success metrics, and make data\-driven prioritization decisions with incomplete information.
* Track record of influencing and aligning cross\-functional partners (Engineering, Design, Ops, Finance) and external partners (PSPs, banking partners, regulators).
* Experience in SFR property management, or adjacent verticals.
* Experience building or scaling products in a high\-growth environment.
* Ability to work EST work hours
**Remote Work Statement**
 This is a remote\-first, work\-from\-home position. At Second Nature, we see remote work as a core part of our company's identity and success. We're dedicated to building a remote culture that promotes collaboration and strong connections.
 To join our team and succeed in this remote environment, you will be expected to:
* Be present and engaged during your scheduled working hours. Your specific work schedule will be based on your role and team, but you must be able to join an all\-hands company meeting on Mondays at 10\.30 a.m. EST and be available for any other early morning meetings appropriate for the role.
* Work from a quiet, professional, and distraction\-free space.
* Have a dependable high\-speed internet connection that supports video calls, as we operate with cameras on by default.
* Attend our bi\-annual company\-wide in\-person meetings, with all business travel costs reimbursed according to company policy.
**Why Second Nature**
* Health First: Medical, Dental, Vision, \&amp; Life Insurance; 401(k) Plan
* Location: Work Remotely from anywhere in the US (with core collaboration hours 9am–5pm EST)
* Flexibility: Open PTO and sick days
* Culture: Diverse, inclusive, supportive, and growth\-focused
* Growth: Be part of a fast\-growing team building a new category and making a real difference
* The Product: Expanding, customer\-loved platform that truly delivers on our mission
**The anticipated annual compensation for this role is between $175 to $200K, depending on budget, location, experience. Plus options, remote environment, 401K program, open PTO, health benefits, and more.**
**Our Core Values**
**Pirate Ship, Not A Cruise Ship:** 
 We are innovators who move quickly and decisively.
**Extreme Ownership:** 
 We own our results and act with integrity.
**Grow the Pie:** 
 We deliver real outcomes for customers and stakeholders.
**Massive Growth Takes Massive Growth:** 
 We seek out challenges and learn from them.
**Purple Heart:** 
 We normalize the rebound and value resilience.
**Be a Moment\-Maker:** 
 We always look for ways to do the most we can.
**AI Innovation**
 We’re thrilled about the transformative potential of AI innovation and its ability to drive progress at Second Nature. As we continue to explore and integrate AI into our workflows, we’re eager to learn how you’ve embraced and implemented AI in your professional journey. In the interview process, we look forward to hearing about your experiences and exploring how we can collectively leverage AI technology to accelerate our growth.
*Second Nature is an Equal Opportunity Employer and prohibits discrimination and harassment of any kind. We take action to ensure equal employment opportunities for all candidates and employees and to provide employees with a workplace free of discrimination and harassment. Our hiring decisions are based on business needs, job requirements and individual qualifications, without regard to race, color, religion or belief, family or parental status, or any other status protected by federal and/or state law.*</t>
        </is>
      </c>
    </row>
    <row r="84">
      <c r="A84" t="inlineStr">
        <is>
          <t>li-4354502590</t>
        </is>
      </c>
      <c r="B84" t="inlineStr">
        <is>
          <t>Product Program Manager</t>
        </is>
      </c>
      <c r="C84" t="inlineStr">
        <is>
          <t>Rain</t>
        </is>
      </c>
      <c r="D84" t="inlineStr">
        <is>
          <t>linkedin</t>
        </is>
      </c>
      <c r="E84" t="inlineStr"/>
      <c r="F84" t="inlineStr"/>
      <c r="G84" t="inlineStr">
        <is>
          <t>New York, NY</t>
        </is>
      </c>
      <c r="H84" t="inlineStr"/>
      <c r="I84" t="inlineStr">
        <is>
          <t>**About Rain**
 At Rain, we’re rebuilding the global financial pipes money flows through. Our infrastructure makes stablecoins usable in the real world by powering credit card transactions, cross\-border payments, B2B purchases, remittances, and more. We partner with fintechs, neobanks, and institutions to help them launch solutions that are global, inclusive, and efficient. If you’re curious, bold, and excited to help shape a borderless financial system, we’d love to talk.
**Our Ethos:**
 We believe in an open and flat structure. You will be able to grow into the role that most aligns with your goals. Our team members at all levels have the freedom to explore ideas and impact the roadmap and vision of our company.
**About the role:**
 Uptop (a Rain company) is looking for a versatile
 **Product Program Manager** 
 to help lead the next phase of growth for our sports rewards business. This role sits at the intersection of product, partnerships, and execution, working directly with the Uptop leadership team to scale and optimize rewards programs with professional sports organizations.
 The ideal candidate is equally comfortable in
 **client\-facing commercial conversations** 
 and
 **internal product execution** 
 , translating partner needs into high\-quality product experiences. You will act as the connective tissue between sports partners, customer support, marketing execution, and engineering—ensuring our rewards platform delivers measurable value in real time.
**What You’ll Do**
**Partner \&amp; Client Leadership**
* Serve as the primary point of contact for Uptop’s professional sports partners
* Lead customer support efforts across all sports rewards programs, ensuring high partner satisfaction
* Work closely with sports teams to understand business goals, fan engagement strategies, and success metrics
* Guide partners through launches, optimizations, and ongoing program execution
**Product Management**
* Gather, synthesize, and prioritize product feedback from sports partners
* Translate partner needs and insights into clear product requirements and feature improvements
* Partner with engineering and design to guide product development and iteration
* Ensure the rewards product continues to evolve toward scalability, reliability, and performance
**Program \&amp; Execution Management**
* Own end\-to\-end execution of sports rewards programs, from planning through launch and optimization
* Coordinate cross\-functional efforts across product, engineering, support, and marketing
* Track milestones, manage risks, and ensure on\-time delivery of initiatives
* Audit and monitor marketing campaigns in real time, identifying issues and opportunities for optimization
**Marketing \&amp; Growth Enablement**
* Collaborate with sports teams to architect rewards\-driven marketing strategies Support real\-time campaign execution and performance monitoring
* Provide insights and recommendations to improve fan engagement and program effectiveness
**What We’re Looking For**
* Experience in product management, program management, or project management, ideally in a tech\-enabled or marketplace environment
* Strong client\-facing skills with experience working directly with external partners
* Ability to translate business and customer needs into product and execution plans
* Comfort working cross\-functionally with engineering, design, marketing, and leadership
* Highly organized, proactive, and comfortable operating in a fast\-paced growth environment
* Passion for sports, consumer products, or fan engagement is a plus
**Benefits:**
* Unlimited time off 🛼 Unlimited vacation can be daunting, so at Rain we require our teammates to take 10 days minimum for themselves.
* Flexible working ☕ We support a flexible workplace, if you feel comfortable at home please work from home. If you’d like to work with others in an office feel free to come in. We want everyone to be able to work in the environment in which they are their most confident and productive selves.
* Flexible Benefits 🧠 Easy\-to\-access benefits, for all employees based in the US, Rain pays a percentage of your benefits for the employee and for your dependents. We offer comprehensive health, dental and vision plans as well as a 100% company\-subsidized life insurance plan.
* Equity plan 📦 On top of a competitive salary, we offer every Rain employee an equity option plan so we can all can benefit from our success.
* Rain Cards 🌧️ We want our teammates to be knowledgeable about our core products and services and to support this mission we issue a card for our team to utilize the card for testing.
* Health and Wellness 📚 High performance begins from within. Our members are welcome to use their company card for eligible health and wellness spending like gym memberships, fitness classes and other wellness items.
* Team summits ✨ Summits play an important role at Rain! Time spent together helps us get to know each other, strengthen our relationships, and build a common destiny. Stay tuned for upcoming destinations!
 Compensation Range: $147\.4K \- $161\.2K</t>
        </is>
      </c>
    </row>
    <row r="85">
      <c r="A85" t="inlineStr">
        <is>
          <t>li-4354610159</t>
        </is>
      </c>
      <c r="B85" t="inlineStr">
        <is>
          <t>Product Manager</t>
        </is>
      </c>
      <c r="C85" t="inlineStr">
        <is>
          <t>JLL</t>
        </is>
      </c>
      <c r="D85" t="inlineStr">
        <is>
          <t>linkedin</t>
        </is>
      </c>
      <c r="E85" t="inlineStr"/>
      <c r="F85" t="inlineStr"/>
      <c r="G85" t="inlineStr">
        <is>
          <t>Charlotte, NC</t>
        </is>
      </c>
      <c r="H85" t="inlineStr"/>
      <c r="I85" t="inlineStr">
        <is>
          <t>**Overview:**
 We are seeking a results\-driven Product Manager to lead the deployment and ongoing enhancement of our workplace technology platform. This role will serve as a key resource in managing multi\-generational, global rollouts and driving integration strategies to maximize platform value. The ideal candidate possesses a blend of product, project, and program management capabilities, enabling effective operation in a fast\-paced, ambiguous environment with multiple stakeholders. This role will coordinate with technology teams, business partners, and service providers across the US and internationally, supporting enterprise technology initiatives and feature launches.
**Key Responsibilities:**
* Lead end\-to\-end product management of workplace technology platform deployments across multiple sites and countries.
* Drive integration of various technology and service applications (e.g., food service ordering, booking capabilities, site\-specific features) into the primary platform.
* Develop, maintain, and communicate product roadmaps, including feature generation planning and prioritization of enterprise and site\-specific initiatives.
* Collaborate with global cross\-functional teams (business, IT, operations, vendors) to align technical solutions with business objectives.
* Serve as project/program manager for technology development and deployment, tracking deliverables, managing day\-to\-day operations, and ensuring project timelines and quality standards are met.
* Support continuous improvement of product processes, including documentation, templates, controls, and best practices for deployment and enhancement.
* Adapt quickly to changing requirements and emerging priorities, thriving in high\-volume, loosely defined scenarios.
* Contribute to strategic decisions regarding key deployment hubs; partner closely with regional and global stakeholders.
* Communicate clearly and proactively with internal and external teams to ensure effective coordination and change management.
**Required Qualifications:**
* Bachelor’s degree in Computer Science, Engineering, Business, or a related field.
* 5\+ years experience in product management, program management, or project management roles, ideally with exposure to technology platform deployment in workplace or enterprise settings.
* Demonstrated success in leading technology integrations and multi\-site rollouts, preferably for software platforms with customizable features.
* Experience collaborating with cross\-functional, culturally diverse teams across time zones.
* Strong analytical and problem\-solving skills, with a proven track record in managing complex operational and technical projects.
* Excellent written and verbal communication skills.
* High comfort level operating in ambiguous, rapidly changing environments.
* Proficiency with business intelligence, analytics tools, and vendor applications is highly desirable.
* Prior experience with workplace technology applications (wayfinding, booking, food services, etc.) strongly preferred.
* Knowledge of agile product development methodologies is a plus.
**Preferred Locations:**
 New York, Dallas, Charlotte, or other major business hubs to provide optimal collaboration with in\-office teams. Ability and willingness to travel as required.</t>
        </is>
      </c>
    </row>
    <row r="86">
      <c r="A86" t="inlineStr">
        <is>
          <t>li-4354324921</t>
        </is>
      </c>
      <c r="B86" t="inlineStr">
        <is>
          <t>Salesforce Product Manager</t>
        </is>
      </c>
      <c r="C86" t="inlineStr">
        <is>
          <t>EXL</t>
        </is>
      </c>
      <c r="D86" t="inlineStr">
        <is>
          <t>linkedin</t>
        </is>
      </c>
      <c r="E86" t="inlineStr"/>
      <c r="F86" t="inlineStr"/>
      <c r="G86" t="inlineStr"/>
      <c r="H86" t="inlineStr"/>
      <c r="I86" t="inlineStr">
        <is>
          <t>*As a Product Manager, you will own the strategy, roadmap, and delivery of client's Salesforce platform. This role is central to their mission, directly impacting ability to service their customers, optimize workflows, and increase funding velocity.* 
*You will work as the critical link between business stakeholders (Sales, Operations, Risk, Marketing, Collections, Legal) and technical development teams (Salesforce Admins and Apex Developers). You will join the Product Team to coordinate, plan, and prioritize improvements to Forward's software infrastructure.* 
***In this role you will:***
* *Own, groom, and prioritize the Salesforce product backlog based on business value, technical feasibility, and strategic alignment.*
* *Develop and communicate a clear, multi\-quarter product roadmap that balances new feature development, technical debt, and continuous improvement initiatives.*
* *Prioritize competing feature requests and product ideas to ensure the team is always working on the highest\-impact initiatives.*
* *Serve as the primary point of contact for all Salesforce feature requests and enhancements.*
* *Proactively field, analyze, and translate stakeholder needs into clear, actionable, and well\-defined product requirements and user stories.*
* *Write detailed JIRA tickets for Salesforce Admins (configuration) and Apex Developers (custom development), ensuring specifications are complete, testable, and aligned with the business objective.*
* *Define acceptance criteria and success metrics for all features.*
* *Act as the liaison between Salesforce Admins and business stakeholders (Sales, Marketing, Collections, Legal). You must be able to explain technical concepts to non\-technical team members and vice versa.*
* *Contribute time to assisting with User Acceptance Testing (UAT) and functional testing to ensure high\-quality releases.*
* *Coordinate and communicate deployment plans with business stakeholders and the technical team.*
* *Drive alignment on initiatives with stakeholders, ensuring the business is bought in on why investments are being made.*
***Requirements:***
*(Even if you don't check every box, but see yourself contributing, please apply.)* 
* *2\-3 years of prior product experience as a Product Manager or Product Owner.*
* *Demonstrable experience with Salesforce as a Product Manager (e.g., managing a Salesforce\-based platform or application).*
* *Proven ability to translate high\-level business goals into specific, detailed technical requirements (user stories, acceptance criteria, wireframes, etc.).*
* *Expertise in agile development methodologies and managing backlogs using tools like JIRA or similar systems.*
* *Expertise in agile software engineering practices and best practices for the full software development life cycle, including agile estimation/planning, building, testing, and operations.*
* *Exceptional communication and interpersonal skills, with the ability to effectively interact with technical teams and executive\-level stakeholders.*
* *Preference for prior experience in the Financial Services, FinTech, or Lending industry.*
***Preferred (but not required) Skills \&amp; Experience:***
* *Hands\-on experience with specific Salesforce tooling, such as:*
* *Salesforce Service Cloud*
* *Salesforce Marketing Cloud*
* *Salesforce Voice Cloud*
* *Salesforce Einstein / AI features*
* *Familiarity with B2B lending processes and the unique needs of a revenue\-based financing model.*
* *Having a technical degree in Computer Science or Information Systems is a plus.*
***Please message me the Resume directly***</t>
        </is>
      </c>
    </row>
    <row r="87">
      <c r="A87" t="inlineStr">
        <is>
          <t>li-4330039582</t>
        </is>
      </c>
      <c r="B87" t="inlineStr">
        <is>
          <t>Technical Product Owner</t>
        </is>
      </c>
      <c r="C87" t="inlineStr">
        <is>
          <t>SPS Commerce</t>
        </is>
      </c>
      <c r="D87" t="inlineStr">
        <is>
          <t>linkedin</t>
        </is>
      </c>
      <c r="E87" t="inlineStr"/>
      <c r="F87" t="inlineStr"/>
      <c r="G87" t="inlineStr">
        <is>
          <t>Minneapolis, MN</t>
        </is>
      </c>
      <c r="H87" t="inlineStr"/>
      <c r="I87" t="inlineStr">
        <is>
          <t>****Description:****
 SPS Commerce is a leading provider of cloud\-based supply chain management solutions, serving a global network of retail trading partners. We foster a collaborative and inclusive work environment where innovation and continuous improvement are highly valued. Join SPS Commerce and be part of a dynamic team that's transforming the global retail supply chain!
****Position Summary:****
 We’re seeking a Technical Product Owner to serve as a single\-threaded leader driving a cohesive roadmap and execution within one of SPS' Platform Services aligned to our Strategic Plan. As a technical resource you will demonstrate an understanding of customer needs and product requirements, simplifying technical user stories and epics, and act as a technical advisor to the development team, organizational stakeholders, and leaders.
****Key Responsibilities:****
* Partner with technical product managers, product manager(s), builders, and software engineers to understand the market and the customers you are serving to convey that vision to engineering and other stakeholders
* Collaborate with Solution Architects and Principals to create and manage architecture/service roadmap, ensuring complete visibility for both business and technical items
* Work with large\-scale technical products or products with many pending architectural changes
* Maintain product roadmap in partnership with the Development Manager and Domain Technical Lead to provide consistent, clear, and realistic updates to all stakeholders
* Create user stories and acceptance criteria to provide clarity for software engineers
* Respond to questions from developers and clarify requirements related to the voice of the customer (VOC) and business requirements
* Participate in scrum ceremonies including stand\-ups, sprint planning, retrospectives, grooming, and release planning
**Location:**
 Minneapolis, MN (Hybrid)
****Required Qualifications:****
* Bachelor’s degree and a minimum of 3 years of related experience; or an advanced degree without experience; or equivalent work experience
* Experience working in an agile development environment
* Strong communication skills that allow you to speak directly to your stakeholders using their language and mental models
****Preferred Qualifications:****
* 2 years' experience in software development
* Scaled Agile Framework (SAFe)
****What We Offer:****
 At SPS Commerce, we are committed to ensuring that each employee's compensation reflects their unique experiences, performance, and skills in their role. The salary range for this role considers several factors, including education, relevant skills, work history, certifications, location, and more.
 The annual salary range for this role is: $100,200 \- $150,400 \+ Equity. The actual salary offered will be determined based on the factors listed above and may fall anywhere within the range.
 Additionally, you may also be eligible to participate in an annual incentive program. An incentive award, if granted, is based on individual and/or organizational performance.
 SPS Commerce offers a comprehensive package of benefits including health, dental, vision, disability and life insurance, paid time\-off, 401(k), health and flexible spending accounts, stock purchase plan and more.
****Commitment To Our Employees:****
 At SPS we power connections that drive the world of commerce forward, and our success depends on making strong decisions, fostering innovation, delivering unparalleled customer solutions, and driving outstanding business performance. We achieve this by creating an environment where every employee feels a true sense of belonging. We embrace diversity, equity, and inclusion, ensuring everyone feels accepted, valued, and empowered to make a meaningful impact.
 We are committed to affirmative action and equal opportunity in all aspects of employment. All qualified applicants will receive consideration for employment without regard to race, color, religion, sex, sexual orientation, gender identity, national origin, disability, or status as a protected veteran.
****Commitment To Our Employees:****
 At SPS we power connections that drive the world of commerce forward, and our success depends on making strong decisions, fostering innovation, delivering unparalleled customer solutions, and driving outstanding business performance. We achieve this by creating an environment where every employee feels a true sense of belonging. We embrace diversity, equity, and inclusion, ensuring everyone feels accepted, valued, and empowered to make a meaningful impact.
 We are committed to affirmative action and equal opportunity in all aspects of employment. All qualified applicants will receive consideration for employment without regard to race, color, religion, sex, sexual orientation, gender identity, national origin, disability, or status as a protected veteran.</t>
        </is>
      </c>
    </row>
    <row r="88">
      <c r="A88" t="inlineStr">
        <is>
          <t>li-4351212880</t>
        </is>
      </c>
      <c r="B88" t="inlineStr">
        <is>
          <t>Product Manager - Sanitaire</t>
        </is>
      </c>
      <c r="C88" t="inlineStr">
        <is>
          <t>BISSELL Homecare, Inc.</t>
        </is>
      </c>
      <c r="D88" t="inlineStr">
        <is>
          <t>linkedin</t>
        </is>
      </c>
      <c r="E88" t="inlineStr"/>
      <c r="F88" t="inlineStr"/>
      <c r="G88" t="inlineStr">
        <is>
          <t>Charlotte, NC</t>
        </is>
      </c>
      <c r="H88" t="inlineStr"/>
      <c r="I88" t="inlineStr">
        <is>
          <t>**Overview**
 The Product Manager \- Sanitaire Floorcare is a critical role within BISSELL’s fast\-growing Commercial Floorcare business. This position offers the opportunity to lead strategic brand, product, and channel initiatives for one of the most respected names in commercial cleaning equipment.
 The Product Manager will own the strategy, performance, and commercial execution of the Sanitaire Floorcare category. This includes driving product innovation, leading cross\-functional project teams, managing channel strategies, interpreting market insights, and delivering profitable portfolio growth.
 This role is ideal for a marketer with 4\-6 years of experience who is ready to take full ownership of a category, influence business decisions, and collaborate broadly across Sales, Product Development, Finance, Engineering, and Operations. The Product Manager ensures that Sanitaire delivers exceptional value to distributors, end users, and commercial cleaning professionals.
**Responsibilities**
* Category Leadership: Lead the strategic planning and day\-to\-day management of the Sanitaire Floorcare portfolio, including product life cycle, pricing, channel strategy, and in\-market performance.
* Product \&amp; Innovation Management: Drive product roadmap execution by partnering with BHI category leaders, engineering, and cross\-functional stakeholders to bring new floorcare solutions to market on time and on budget.
* Commercial Strategy Execution: Develop and execute marketing, merchandising, and promotional programs that strengthen brand position and accelerate growth within janitorial\-sanitation distribution, e\-commerce, and other commercial channels.
* Business \&amp; Market Insights: Analyze sales, market, and competitive data to identify trends, recommend actions, and support strategic decision\-making across product and commercial teams.
* Cross\-Functional Collaboration: Serve as the primary business owner for the brand, aligning Sales, Finance, Engineering, Operations, and Communications around business objectives and commercial priorities.
* Customer \&amp; Distributor Engagement: Support key account initiatives, develop customer\-facing materials, and participate in customer conversations to strengthen partnerships and brand adoption.
* Financial Stewardship: Manage category\-level budgets, contribute to annual planning, and drive initiatives to meet revenue, margin, and profitability goals.
* Marketing Asset Development: Oversee creation of product collateral, digital assets, training materials, and sales tools to ensure consistent messaging and a strong commercial presence.
* Competitive Intelligence: Continuously track market trends and competitive activity to inform product positioning, claims, line strategies, and innovation needs.
* Operational Excellence: Lead business reporting, track KPIs, manage timelines, and ensure accountability and follow\-through across all category initiatives.
**Qualifications**
* Education: Bachelor’s degree in marketing, business, or related field.
* Experience: 4\-6 years in commercial product management or other relevant experience including marketing, sales, engineering, project management etc.
* Strong track record driving profitable growth through product development in complex, multi\-layered (B2B) sales channels.
* Proven success leading cross\-functional teams and managing complex projects.
* Strong analytical skills with the ability to interpret data, uncover insights, and tell a compelling business story.
* Demonstrated capability in developing product line extensions, commercial programs, and go\-to\-market plans.
* Strong project management and organizational skills, able to manage multiple priorities and deadlines.
* Demonstrated success presenting product launch strategies and data\-driven business cases to leadership to secure approval and drive market\-ready execution.
* Proficiency in Microsoft Excel, PowerPoint, and Word.
* Attend trade shows, end\-user prototype testing sessions, and support pilots as needed.
* Travel up to 25% to domestic and international sites.
* Advanced proficiency in Microsoft Word, Excel, PowerPoint
* Strong organizational and project management skills
* Ability to lead and influence without direct authority
* High attention to detail and commitment to accuracy
* Ability to translate data into actionable strategies and recommendations
* Strong cross\-functional collaboration and communication skills
* May be required to perform other duties as assigned
 This position requires the ability to manage ongoing data flow, analyze business performance, prepare clear summary reports, and communicate effectively across teams while working flexibly—whether in the office, remotely, or while traveling.
**WHAT'S NEXT, APPLY NOW!**
 BISSELL is an equal opportunity employer, and all qualified applicants will receive consideration for employment without regard to race, color, ethnicity, disability, religion, national origin, gender, gender identity, gender expression, marital status, sexual orientation, age, protected veteran status, or any other characteristic protected by law</t>
        </is>
      </c>
    </row>
    <row r="89">
      <c r="A89" t="inlineStr">
        <is>
          <t>li-4351242898</t>
        </is>
      </c>
      <c r="B89" t="inlineStr">
        <is>
          <t>Program Manager</t>
        </is>
      </c>
      <c r="C89" t="inlineStr">
        <is>
          <t>VIGILINT</t>
        </is>
      </c>
      <c r="D89" t="inlineStr">
        <is>
          <t>linkedin</t>
        </is>
      </c>
      <c r="E89" t="inlineStr"/>
      <c r="F89" t="inlineStr"/>
      <c r="G89" t="inlineStr">
        <is>
          <t>Morrisville, NC</t>
        </is>
      </c>
      <c r="H89" t="inlineStr"/>
      <c r="I89" t="inlineStr">
        <is>
          <t>VIGILINT is a unique medical operations company that provides advisory, planning, logistics, medical operations, and crisis management services to high\-net\-worth individuals, Fortune 500 companies, and government clients. The nature of our clientele and the type of work we engage in demand unparalleled excellence, handled with the utmost discretion. VIGILINT’s team is tight knit. Our world\-class physicians, subject matter experts, and operational staff work side\-by\-side to solve complex medical emergencies around the globe. The work is fast\-paced and different every day. Employees are empowered to lean in, work creatively, and collaboratively to find new solutions to emerging problems.
 The Core Mission
 Lead and empower a high\-performing team to deliver flawless execution on a mission\-critical government program. This role is pivotal in championing our deployed personnel and fostering unwavering trust with our prime partner, ensuring the highest levels of service, integrity, and communication.
 Key Attributes for Success
* An Exceptional Influencer: You excel at building strong, collaborative relationships and can effectively drive outcomes with internal teams and external partners, even without direct authority.
* An Entrepreneurial Mindset: You are a proactive, solutions\-oriented leader who takes full ownership of the program’s success. You are comfortable navigating ambiguity and thrive on turning challenges into opportunities.
* A Dedicated People Leader: You are committed to the growth and well\-being of your team, fostering an environment of trust, accountability, and mutual support.
* A Master Communicator: You can distill complex information into clear, compelling messages for any audience, from executive leadership to government counterparts.
* A Systems Thinker with an Eye for Detail: You possess a meticulous command of contractual and financial details while never losing sight of the broader strategic goals.
 Key Responsibilities
 Team Leadership \&amp; Development
* Lead, manage, and evaluate a dedicated program team, including site managers and support staff, fostering a culture of high performance, accountability, and professional growth.
* Champion the success and well\-being of all deployed personnel, ensuring they are supported and equipped to meet mission requirements.
* Ensure program goals are met in areas of team member performance, engagement, and retention.
 Program Execution \&amp; Contract Integrity
* Serve as the ultimate owner for all contractual obligations, managing Statements of Work (SOW), Contract Modifications (MODs), and data deliverables (CDRLs) to ensure 100% compliance and timely completion.
* Establish, monitor, and report on key performance indicators (KPIs), ensuring program objectives for staffing, quality, and customer satisfaction are consistently achieved.
 Financial Stewardship \&amp; Oversight
* Drive the program's financial health by developing accurate forecasts, managing budgets, and analyzing variances to meet all financial objectives.
* Oversee all funding requests and invoicing processes, ensuring precision and timeliness in all financial submissions to the prime contractor.
 Stakeholder Alliance \&amp; Communication
* Serve as the primary liaison with the prime contractor and government stakeholders, building trusted partnerships through proactive, transparent, and effective communication.
* Create and deliver clear, concise, and compelling program updates and status reports for both external partners and the VIGILINT executive team.
**Requirements**
* Must be a U.S. citizen.
* Must possess or be able to obtain a Secret Security Clearance
* Bachelor’s degree in Business, Management, or a related field.
* A minimum of 5 years of experience in a management role, with direct responsibility for leading and developing teams.
* A minimum of 5 years of experience in government contracting, with a proven track record of managing program execution and compliance.
* Strong financial acumen, including experience with budgeting, forecasting, and government contract finance.
* Adheres to all VIGILINT policies, procedures, and compliance regulations (internal and external).
**Desired Qualifications**
* Master’s degree in a related field.
* Project Management Professional (PMP) certification.
* Experience working with GSA Assisted Acquisition Service (AAS) and/or other Defense contract vehicles.
**Salary Range**
 Location: On\-site, not a remote position
**Benefits**
 VIGILINT is proud to offer a robust benefits package that includes health, dental, and vision insurance, short\-term and long\-term disability, AD\&amp;D insurance, Healthcare Flexible Spending Plan, 401(k), and paid time off.
 Equal Employment Opportunity Policy
 VIGILINT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90">
      <c r="A90" t="inlineStr">
        <is>
          <t>li-4354373584</t>
        </is>
      </c>
      <c r="B90" t="inlineStr">
        <is>
          <t>Program Manager</t>
        </is>
      </c>
      <c r="C90" t="inlineStr">
        <is>
          <t>Haystack</t>
        </is>
      </c>
      <c r="D90" t="inlineStr">
        <is>
          <t>linkedin</t>
        </is>
      </c>
      <c r="E90" t="inlineStr"/>
      <c r="F90" t="inlineStr"/>
      <c r="G90" t="inlineStr"/>
      <c r="H90" t="inlineStr"/>
      <c r="I90" t="inlineStr">
        <is>
          <t>**SAP Program Manager – Energy \&amp; Utilities\- Global Consulting \| United States \| Remote \| $138,000 \- $158,000**
 We're working with Cognizant on this exciting opportunity.
 Join Cognizant Consulting as a Senior Consulting Manager and lead large\-scale SAP implementation programs. This role offers the chance to drive strategic change, engage with senior stakeholders, and shape the future of business for Fortune 500 clients.
**Key Responsibilities**
* Lead enterprise\-level design governance and solutioning oversight, ensuring adherence to architectural standards and best practices.
* Manage multi\-stream programs with cross\-functional teams, ensuring alignment with strategic business objectives.
* Prepare and review comprehensive program\-level documentation including FSDs, TDDs, and governance frameworks.
* Drive stakeholder engagement and executive reporting, providing transparency and accountability across all program streams.
**What You'll Need**
* 16\+ years of experience in program management for large\-scale IT and SAP implementation/migration projects with a proven track record of delivering complex programs.
* Expertise in managing multi\-stream programs with cross\-functional teams, ensuring alignment with strategic business objectives.
* Strong leadership, stakeholder management, and communication skills.
* In\-depth understanding of governance frameworks, audit requirements, and regulatory standards.
**Apply via Haystack today!**</t>
        </is>
      </c>
    </row>
    <row r="91">
      <c r="A91" t="inlineStr">
        <is>
          <t>li-4330241790</t>
        </is>
      </c>
      <c r="B91" t="inlineStr">
        <is>
          <t>Acquisition Program Manager</t>
        </is>
      </c>
      <c r="C91" t="inlineStr">
        <is>
          <t>Odyssey Systems</t>
        </is>
      </c>
      <c r="D91" t="inlineStr">
        <is>
          <t>linkedin</t>
        </is>
      </c>
      <c r="E91" t="inlineStr"/>
      <c r="F91" t="inlineStr"/>
      <c r="G91" t="inlineStr">
        <is>
          <t>Warner Robins, GA</t>
        </is>
      </c>
      <c r="H91" t="inlineStr"/>
      <c r="I91" t="inlineStr">
        <is>
          <t>**Position Summary**
 Odyssey has an exciting new opportunity for a
 **Acquisition Program Manager** 
 supporting EBUI. The Weapons Superiority Division, AFLCMC/EBUI, has responsibility for all development, acquisition, and sustainment activities for a portfolio of weapon systems. This role will play a vital part in the acquisition and sustainment of a vast array of Air Force (AF) conventional munitions, missiles and other related systems and subsystems.
* Contingent upon contract award\*\*\*
**Responsibilities**
 Duties include, but not limited to:
* Plan, evaluate and implement program acquisition strategies to meet DoD 5000\.2 guidance.
* Plan, research, analyze and assess system acquisition in terms of development, production and deployment of weapons systems and associated equipment; formulate plans; and recommend effective strategies in meeting cost, schedule, and performance objectives.
* Support and develop acquisition reports, including statutory and regulatory reports (e.g. DAES and MAR).
* Support program management reviews, senior level meeting/reviews and IMP/IMS reviews; develop various briefings/schedules of program status and acquisition tasks to senior management.
* Advise and assist the Government in performing source selection tasks, to include but not limited to, recommending evaluation areas, factors, sub\-factors, elements and criteria; developing and administering source selection documentation; developing and analyzing acquisition strategies; developing, reviewing and finalizing reports, summaries, memorandums and briefings necessary to the source selection process; conducting proposal evaluation in a non\-decision making role as an advisor (not an evaluator); analyzing and reviewing proposals; and preparing responses to the proposals.
* Develop, maintain, and update program risk management plans IAW the Risk Management Guide for DoD Acquisition, AFPAM 63\-128, and the Air Force Risk Identification Integration and Ilities (RI3\) Guidebook; facilitate program risk identification, risk analysis, risk handling and risk monitoring; executing program risk management boards, risk management working groups (or equivalent), and document results. This task includes analyzing weapon system prime contractor and subcontractor risk management processes.
* Support implementation and execution of Agile development and management processes in concert with Government and weapon system prime contractors
* Develop Business Case Analyses (IAW AFI 65\-509 and AFMAN 65\-510, or tailored), trade studies, any/all DoDI 5000\.02 acquisition milestone documents and briefings (including 2366a/b certification), program assessments, Analyses of Alternatives (AoA) study guidance, study plans and reports, programmatic Integrated Master Schedules (IMS), market research reports, Early Strategy and Issues Sessions (ESIS), and Acquisition Strategy Panel (ASP) briefings.
* Develop program management documentation to support all phases of the acquisition life cycle.
* Assist with planning and management of a product’s life cycle data requirements, which includes development and management of CDRLs and Data Item Descriptions (DIDs) and the use of databases to store and manage the data.
* Develop briefings to support acquisition decision milestones.
* Contingent upon contract award\*\*\*
**Qualifications**
**Citizenship: Must be a US citizen**
**Minimum Required Qualifications**
**Clearance** 
**:** 
 Secret
**Education And Years Of Experience**
* Associates Degree in a relevant discipline and at least 15 years of relevant experience; OR
* Bachelor's Degree in a relevant discipline and at least 10 years of relevant experience; OR
* Master's Degree in a relevant discipline and at least seven (7\) years of relevant experience
**Interpersonal Skills**
* Strong communication skills and ability to deliver information across all levels of the organization
* Works effectively with cross\-functional teams, including engineers, logisticians, and program managers
* Builds strong working relationships with DoD agencies, contractors, and joint service partners
* Applies critical thinking to assess program performance and recommend actionable solutions
* Evaluates data trends to support decision\-making and risk mitigation
* Responds effectively to changing program requirements, timelines, and priorities
* Maintains flexibility in a dynamic acquisition and sustainment environment
**Additional Information**
**Location:** 
 Robins AFB, Georgia
**Travel:** 
 10%
**Remote, Onsite, or Hybrid:** 
 Onsite
* Contingent upon contract award\*\*\*
**Company Overview**
**Odyssey Systems** 
 is a world\-class technical, engineering, and integration company serving the warfighting ecosystem with airborne integration, ISR, C2, and warfighter readiness capabilities. Odyssey meets the military’s operational needs by integrating layered defense systems from equipment, technology, and services to data, information, and business operations. We streamline defense acquisition and sustainment, engineering the technical battlefield with domain\-specific proficiency to ensure lethality. Odyssey is dedicated to excellent contract execution, peak organizational performance, and fostering a workplace built on employee care.
 Odyssey is proud to live out our core values of commitment, ambition, and respect in our work and communities through OdysseyCares , a philanthropic group focused on giving back through direct donations, an employer match program, and volunteering events.
**Please note** 
 : Final compensation for this position will be determined by various factors such as the Federal Government contract labor categories and contract wage rates, relevant work experience, specific skills and competencies, geographic location, education, and certifications.</t>
        </is>
      </c>
    </row>
    <row r="92">
      <c r="A92" t="inlineStr">
        <is>
          <t>li-4354551922</t>
        </is>
      </c>
      <c r="B92" t="inlineStr">
        <is>
          <t>Program Manager / Project Manager (Military Programs delivery)</t>
        </is>
      </c>
      <c r="C92" t="inlineStr">
        <is>
          <t>Butler Aerospace &amp; Defense</t>
        </is>
      </c>
      <c r="D92" t="inlineStr">
        <is>
          <t>linkedin</t>
        </is>
      </c>
      <c r="E92" t="inlineStr"/>
      <c r="F92" t="inlineStr"/>
      <c r="G92" t="inlineStr">
        <is>
          <t>Hartford County, CT</t>
        </is>
      </c>
      <c r="H92" t="inlineStr"/>
      <c r="I92" t="inlineStr">
        <is>
          <t>**Program Manager / Project Manager (Military Programs delivery)**
**Location: Windsor Locks, CT (06096\)**
**Job ID: \#71931**
**Pay Range: $35\-38**
**Pay based on experience** 
**US Citizen and US Permanent residents candidates permitted**
**Ed: Associates degree required**
**Shift: 1st shift M\-F 8a\-5p**
**All work is on\-site only** 
**THE COMPANY \- Work with one of the Largest American Owned Aerospace \&amp; Defense Companies.** 
**Job description** 
 Operations Lead (Onsite) \-
 **Looking for someone experienced in Program Manager or Project Management** 
 , delivery assurance that can effectively communicate to both the value stream and internal factory managers.
**Daily Tasks:** 
 \*
 **Ensure achievement of On\-Time Delivery to the Customer Request Date for military programs**
 o Obtain and validate delivery commits
 o Establish recovery plans
 o Support delivery assurance
 \* Play an active role on the manufacturing floor onsite
 o
 **Understanding material WIP \- Work in Progress** 
 positions and work with supervisors and managers to deliver product on time.
 o Provide detail line of balances with robust action of various production hardware to the customer facing team
 \* Inform the VSL of
 **significant delivery issues** 
 , including impact to the customer
 o Drive detail actions with suppliers and Company sites to recover delivery schedules for the program
 o Facilitate burndown of SRI (Supplier Requested Information) and FAI (First Article Inspection)
 o Support LTB
 **Last Time Buy** 
 or Material substitution activities to ensure component availability.
 o Provide inputs into the SIOP process
 \* Support the Product Value Streams in driving rate readiness assessments, identifying gaps, and driving action plans to maintain production capacity (labor, equipment, tooling) in alignment with the long and short\-term demand.
**\* Coordinate with Value Stream Leaders, Engineering, Quality \&amp; Supply Chain.**
**Other Requirements:** 
**\* US Citizen and US Person candidates permitted
 \* Education: Associates degree required
 \* 2yrs experience in Program Manager or Project Management**
**\* Preferred experience with On\-Time Delivery to the Customer Request Date for military and /or aerospace delivery programs
 \*** 
 SAP
**\* Tableau software or Microsoft Power BI, Qlik Sense, Looker, or Domo** 
**\*** 
 Microsoft Office
 \* PMP, PMI, CAPM, PMI\-ACP certifications are a plus but not required
**Benefits provided:** 
 401K, medical, dental, and vision, sick time as applicable to state law.
 Butler America Aerospace, LLC. is an equal opportunity employer. Butler evaluates applicants without regard to race, color, religion, sex, age, national origin, disability, veteran status, genetic information and other legally protected characteristics. The Butler America Aerospace, LLC. EEO Policy Statement and "Know Your Rights" Poster is available here: Applicant and Employee Notices.
 Butler America Aerospace, LLC. is committed to working with and providing reasonable accommodations to individuals with disabilities. If you need a reasonable accommodation because of a disability for any part of the employment process, please contact the Human Resources Department at
**Desired Skills and Experience**
 AA/AS degree \&amp; SAP \-Ops Lead (Onsite)\- experienced in Program or Project Mgt, delivery assurance, communicates to the value stream \&amp; internal factory mgr. On\-Time Delivery to Request Date for military</t>
        </is>
      </c>
    </row>
    <row r="93">
      <c r="A93" t="inlineStr">
        <is>
          <t>li-4351253077</t>
        </is>
      </c>
      <c r="B93" t="inlineStr">
        <is>
          <t>Product Manager, Workflow Infrastructure (Ads Platform)</t>
        </is>
      </c>
      <c r="C93" t="inlineStr">
        <is>
          <t>Netflix</t>
        </is>
      </c>
      <c r="D93" t="inlineStr">
        <is>
          <t>linkedin</t>
        </is>
      </c>
      <c r="E93">
        <f>HYPERLINK("https://www.linkedin.com/jobs/view/4351253077", "https://www.linkedin.com/jobs/view/4351253077")</f>
        <v/>
      </c>
      <c r="F93" t="inlineStr"/>
      <c r="G93" t="inlineStr">
        <is>
          <t>New York, NY</t>
        </is>
      </c>
      <c r="H93" t="inlineStr"/>
      <c r="I93"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We recently launched a new ad\-supported tier to offer our members with more choice in how they consume their content. Our new tier allows us to attract new members at a lower price point, while also creating a compelling path for advertisers to reach audiences that are deeply immersed.
**Our Team**
 The Ads Platform team builds the advertising systems and integrations that power the delivery of ads using our world class content delivery ecosystem. We deliver ads in a manner that’s thoughtful of our members’ viewing experience and drives great outcomes for advertisers.
 Our team is new and yet faced with the ambitions of building highly performant advertising systems and delivering high impact to our business by monetizing our incredible slate of content. As one of the newest entrants in the Connected TV advertising space that’s rapidly growing, we seek to build unique value propositions that differentiate Netflix from other ad\-supported streaming services.
 We are looking for a Product Manager in the advertising space who is excited to join us on this journey.
**About The Role**
 This PM will be responsible for building a new foundational technology that connects systems across Netflix Ads. Our Workflow Infrastructure will enable product teams to design, assemble, and operate configurable, multi\-user workflows (spanning UI and API) without creating fragile one\-off applications.
 This means building for other builders; laying the foundations for our stunning colleagues across engineering, product, data science, sales, and operations. The goal is to dramatically increase the velocity and reliability of complex multi\-party workflows across different teams (e.g., approvals, handoffs, changes, troubleshooting), and to make cross\-surface experiences uniform, auditable, and automatable.
**This PM Will**
* Define and own the end\-to\-end product vision for a shared Workflow Infrastructure that spans every Netflix Ad Suite surface.
* Deliver a platform (APIs, SDKs, UI components) that product teams can plug into to create composable workflows using reusable building blocks (steps, policies, approvals, automations).
* Establish governance, privacy, and safety standards in partnership with Legal, Privacy, Policy, Operations, and Finance to ensure responsible, auditable outcomes.
* Partner with Experience Design to invent guided, task\-focused flows that reduce handoffs, context switching, and cycle time for operators and customers.
* Serve as connective tissue across PMs in demand, supply, creatives, reporting, insights, policy, and more; aligning roadmaps and eliminating duplicative workflow logic.
* Integrate with third\-party applications (e.g., Salesforce, Jira) where needed while charting a path to consolidate tools and increase automation.
* Define and track success metrics such as workflow time reductions, handoff/approval latency, platform adoption, and partner satisfaction; iterate quickly based on data and feedback.
* Orchestrate both the strategy and the shared platform that deliver uniform, intuitive, and high\-impact experiences for every stakeholder.
**We’re Seeking a Candidate Who Has**
* Experience: 10\+ years of Product Management experience with a proven track record of launching and scaling foundational platforms that power complex, multi\-user workflows (like, media planning, creative approvals, customer onboarding).
* Domain Acumen: Deep understanding of advertising\-oriented workflows; publisher\-side experience preferred, demand\-side experience also valuable.
* Visionary Leadership: Ability to deliver a comprehensive roadmap and vision for composable, workflows that support varied customer groups and use cases.
* Technical Depth: Comfort with the concepts behind modern workflow systems (state machines, orchestration, versioning, approvals, auditability, RBAC/ABAC, policy engines, APIs/SDKs, webhooks, observability).
* Collaborative Skills: Proven experience working with cross\-functional partners including Operations, Demand Management, Policy, Finance, Design, Engineering, Data Science, and other Product teams.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$240,000 \- $725,000\.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94">
      <c r="A94" t="inlineStr">
        <is>
          <t>li-4330173966</t>
        </is>
      </c>
      <c r="B94" t="inlineStr">
        <is>
          <t>Product Manager -Trading Platform</t>
        </is>
      </c>
      <c r="C94" t="inlineStr">
        <is>
          <t>Longbridge</t>
        </is>
      </c>
      <c r="D94" t="inlineStr">
        <is>
          <t>linkedin</t>
        </is>
      </c>
      <c r="E94">
        <f>HYPERLINK("https://www.linkedin.com/jobs/view/4330173966", "https://www.linkedin.com/jobs/view/4330173966")</f>
        <v/>
      </c>
      <c r="F94" t="inlineStr"/>
      <c r="G94" t="inlineStr">
        <is>
          <t>New York, United States</t>
        </is>
      </c>
      <c r="H94" t="inlineStr"/>
      <c r="I94" t="inlineStr">
        <is>
          <t>**About Us** 
 Longbridge is a fast\-growing online brokerage platform on a mission to make investing smarter, simpler, and more accessible for everyone.
**About the Role** 
 Shape Longbridge’s experience for U.S. retail investors. Your north star is to bring U.S. market insights and customer habits into product decisions and represent U.S. user perspectives in day\-to\-day design. This is a high\-impact role where you’ll partner closely with GTM/engineering/design and other teams across the globe.
**Key Responsibilities:** 
* Design core U.S. investing experiences across quotes/market data, news \&amp; community, and trading, delivering simple and reliable flows.
* Turn U.S. retail market trends, competitive signals, and user behaviors into a clear product strategy and roadmap; be the voice of U.S. customers in design reviews.
* Partner with Engineering/Design/Data to frame problems and use metrics and experimentation to solve complex fintech challenges.
* Collaborate with Marketing/Growth and Customer Support to craft product messaging, analyze feedback, and drive acquisition and retention.
* Track the SEC/FINRA landscape and work with Compliance to bake requirements and controls into product early.
**Requirements:** 
* 3\-5 years of product management experience in fintech; or strategic \&amp; business analysis experience in financial services; knowledge in brokerage/trading/ crypto is a plus.
* Knowledge of client onboarding features , specializing in
 **US Tax (W\-9/W\-8, FATCA) and AML/KYC** 
 regulations is strongly preferred.
* Strong grasp of the U.S. retail securities market (users, platforms, habits) with the ability to turn insights into product decisions.
* Data fluency and structured communication; capable of writing clear, actionable PRDs.
* Excellent cross\-functional collaboration and strong execution.
* Personal investing experience and genuine interest in the markets.
**Nice to have:** 
* Hands\-on with LLM\-powered AI tools, with experience applying them to complex workflows (e.g., data extraction, content generation, workflow automation).
* Ability to maintain some time\-zone overlap with Asia\-based teams.</t>
        </is>
      </c>
    </row>
    <row r="95">
      <c r="A95" t="inlineStr">
        <is>
          <t>li-4351242982</t>
        </is>
      </c>
      <c r="B95" t="inlineStr">
        <is>
          <t>Product Manager</t>
        </is>
      </c>
      <c r="C95" t="inlineStr">
        <is>
          <t>TheHireHub.Ai</t>
        </is>
      </c>
      <c r="D95" t="inlineStr">
        <is>
          <t>linkedin</t>
        </is>
      </c>
      <c r="E95">
        <f>HYPERLINK("https://www.linkedin.com/jobs/view/4351242982", "https://www.linkedin.com/jobs/view/4351242982")</f>
        <v/>
      </c>
      <c r="F95" t="inlineStr"/>
      <c r="G95" t="inlineStr">
        <is>
          <t>New York, United States</t>
        </is>
      </c>
      <c r="H95" t="inlineStr"/>
      <c r="I95" t="inlineStr">
        <is>
          <t>Product Manager – SmartSuite (HR Technology, B2B SaaS)
**Location:** 
 NewYork, United States
**Company Overview** 
 Our client is a fast\-growing, PE\-backed B2B SaaS provider in the Human Resources Technology sector, focused on solving high\-volume, distributed hiring challenges. The platform leverages AI, automation, and mobile\-first design to improve speed\-to\-hire, candidate experience, and employee retention for frontline industries such as retail, healthcare, logistics, and hospitality. With a customer\-obsessed and data\-driven culture, we deliver measurable business outcomes that transform how organizations recruit, onboard, and retain hourly talent.
**Role Summary** 
 Our client is seeking a highly skilled Product Manager to drive the vision, strategy, and execution of our SmartSuite platform—a suite of tools designed for large\-scale, hourly hiring needs. This role is central in translating recruiter and operator challenges into actionable product roadmaps, ensuring best\-in\-class user experiences across applicant tracking, AI\-powered scoring, onboarding, and automation workflows. The ideal candidate combines strong product lifecycle expertise with technical fluency and a passion for creating solutions that directly impact speed\-to\-hire and retention.
**Key Responsibilities** 
* Define and manage product OKRs, driving measurable business outcomes.
* Own the end\-to\-end lifecycle of SmartSuite, from roadmap to delivery.
* Design and optimize mobile\-first candidate application experiences.
* Leverage analytics and experimentation frameworks to validate decisions.
* Specify APIs and lead product/system integrations.
* Collaborate cross\-functionally with Engineering, Design, Data Science/ML, Legal/Compliance, and Go\-To\-Market teams.
* Engage with end\-users directly, including onsite ride\-alongs with hiring managers.
**Required Qualifications \&amp; Skills** 
* 5–8 years of experience as a Product Manager in B2B SaaS, with at least 3 years in HR technology or recruiting automation.
* Proven track record of building and scaling workflow products with measurable business impact.
* Strong analytical skills, with hands\-on experience in metrics definition, database querying (SQL/Sheets), instrumentation (Amplitude/Mixpanel), and experimentation.
* Technical proficiency in APIs, webhooks, data modeling, and machine learning fundamentals.
* Expertise in mobile/web user experience design.
* Skilled in writing clear and actionable Product Requirement Documents (PRDs).
* Strong collaboration and communication skills to engage with cross\-functional teams and stakeholders.
**Technical Competencies** 
* Product Lifecycle Management
* Data\-Driven Decision Making
* API Specification
* User Experience Design (Web \&amp; Mobile)
* Experimentation Frameworks
* OKR Monitoring</t>
        </is>
      </c>
    </row>
    <row r="96">
      <c r="A96" t="inlineStr">
        <is>
          <t>li-4329774208</t>
        </is>
      </c>
      <c r="B96" t="inlineStr">
        <is>
          <t>Investment Data Product Owner &amp; Manager</t>
        </is>
      </c>
      <c r="C96" t="inlineStr">
        <is>
          <t>MFM Search LLC</t>
        </is>
      </c>
      <c r="D96" t="inlineStr">
        <is>
          <t>linkedin</t>
        </is>
      </c>
      <c r="E96">
        <f>HYPERLINK("https://www.linkedin.com/jobs/view/4329774208", "https://www.linkedin.com/jobs/view/4329774208")</f>
        <v/>
      </c>
      <c r="F96" t="inlineStr"/>
      <c r="G96" t="inlineStr"/>
      <c r="H96" t="inlineStr"/>
      <c r="I96" t="inlineStr">
        <is>
          <t>My client is a $3 trillion global pension fund currently expanding their presence in New York, NY.
 This role is part of the private equity portfolio monitoring team and is pivotal in ensuring robust asset oversight, effective risk management, and the continuous improvement of investment and relationship management processes. This person oversees the monitoring and evaluation of investment assets, ensuring compliance, timely reporting, and effective coordination across teams.
**Key Responsibilities:** 
* Responsible for the delivery of accurate data and investment insights used for PE (Private Equity) investment decision making
* Responsible for collating all PE data and reporting requirements from business stakeholders across the PE teams
* Ensure the completeness and accuracy of business requirements, data models, source\-to\-target mappings, and data quality control definitions
* Design data platform components to meet business requirements, encompassing Extract, Transform, Load (ETL) pipelines, metadata management, and data quality functionalities
* Ensure that industry best practices for testing to perform comprehensive unit testing of developed components have been established
* Responsible for ensuring any data exceptions and data quality issues are investigated
* Work with the global private equity team on various ad hoc reports
**Key Requirements:** 
* BSc in Computer Science (data analysis), Applied Math or Finance
* 5\-7 years’ experience as a data product owner within an asset owner / investment management organization within their data operations capability
* Proficiency in Python, rest APIs and SQL, data visualization
* Proficiency in ETL (Extract, Transform, Load) processes and tools
* Certification in Python, Power BI
* Knowledge of private equity / GP /LP data
* Good understanding of data management functions and usage of investment data in various forms
* Knowledge of financial data providers/source qualities. Experience navigating market data platforms for data sampling and review
* Ability to guide teams through complex financial data structures
* Proficient in using tools and methodologies to ensure data consistency, accuracy, and security, aligning with Data Governance best practices.</t>
        </is>
      </c>
    </row>
    <row r="97">
      <c r="A97" t="inlineStr">
        <is>
          <t>li-4351192624</t>
        </is>
      </c>
      <c r="B97" t="inlineStr">
        <is>
          <t>Senior Product Manager</t>
        </is>
      </c>
      <c r="C97" t="inlineStr">
        <is>
          <t>Raynmaker</t>
        </is>
      </c>
      <c r="D97" t="inlineStr">
        <is>
          <t>linkedin</t>
        </is>
      </c>
      <c r="E97">
        <f>HYPERLINK("https://www.linkedin.com/jobs/view/4351192624", "https://www.linkedin.com/jobs/view/4351192624")</f>
        <v/>
      </c>
      <c r="F97">
        <f>HYPERLINK("https://raynmaker.breezy.hr/p/be33a3723eda-senior-product-manager&amp;urlHash=3BW9", "https://raynmaker.breezy.hr/p/be33a3723eda-senior-product-manager&amp;urlHash=3BW9")</f>
        <v/>
      </c>
      <c r="G97" t="inlineStr">
        <is>
          <t>Austin, TX</t>
        </is>
      </c>
      <c r="H97" t="inlineStr"/>
      <c r="I97" t="inlineStr">
        <is>
          <t>**Job Overview**
**About Raynmaker:**
 Raynmaker is redefining sales for small and medium\-sized businesses with an enterprise\-grade, end\-to\-end autonomous platform. Powered by our proprietary RaynBrain™ sales insight engine, Raynmaker converts leads into customers by handling every step of the sales journey, from first contact to closed deal, with an AI agent that books appointments, takes payments, and answers questions 24/7, all in a lifelike, brand\-aware, context\-sensitive human voice. For SMBs, it’s like hiring a world\-class sales team on demand.
**About The Role**
 You want to build at the frontier of AI, where agents don’t just augment humans, they replace entire workflows for Small and Medium businesses.
 You want to work directly with our founders, our engineers, and real customers to push the boundaries of what autonomous voice agents can actually do.
 You want to be part of a company where your fingerprints are on the product, the strategy, and the industry we’re redefining.
 You want to build real AI in the real world, where your work ships quickly, learns continuously, and creates measurable revenue every day.
**Why You?**
 You’re a product thinker with a technical backbone—comfortable bridging the gap between engineering complexity and real\-world user needs. You’ve shipped features in agile environments, written clear specs, worked directly with engineers and QA, and know how to prioritize for speed without sacrificing impact.
 You thrive in a dynamic environment and move quickly from idea to execution. Whether it’s refining a multi\-step AI workflow or identifying a fast path to unblock users, you break down complexity into action. You care about outcomes, not just output—and you drive measurable improvements through experimentation, iteration, and smart defaults.You have a foundational understanding of how software is built and are excited by the challenge of translating emerging AI technologies into simple, effective product experiences. You want to build tools that matter, collaborate tightly with high\-agency teams, and own the full lifecycle from prototype to production.
**What You’ll Do**
**AI Agent \&amp; Workflow Design**
* Build voice\-AI powered workflows that automate full\-funnel sales and service operations (inbound call flows, qualification, pricing logic, sentiment\-based branching, scheduling, payments).
* Collaborate with engineering to design agent architectures blending:
+ LLM reasoning
+ RAG pipelines
+ Structured or rule\-based logic
+ Guardrails and evaluator loops
* Own prompt flows end\-to\-end: conversation design, edge\-case handling, fallback logic, experiment configurations, and continuous tuning.
**Product Specs That Drive Real Builds**
* Write crisp, implementable PRDs with tight MVPs and explicit logic (no ambiguity, no fluff).
* Define success metrics aligned to operational performance:
+ Conversion rate
+ Handle time
+ Zip code accuracy
+ Payment completion
+ Deflection to scheduling
+ Agent containment
* Translate field learnings into spec revisions with rapid iteration cycles.
**AI Systems Thinking**
* Turn complex concepts (embeddings, vector DBs, retrieval strategies, agentic chaining) into clear product decisions.
* Work hands\-on with:
+ Call recordings
+ Transcripts
+ Supervisor\-agent outputs
+ RAG logs to diagnose failures, identify gaps, and guide engineering solutions.
**Fast, Iterative Build Cycle**
* Identify and triage edge cases quickly based on business and user impact.
* Run tight feedback loops using real customer calls, tuning cycles, and human\-in\-the\-loop labeling.
* Move prototypes into production with clean documentation and clear engineering handoffs.
**Cross\-Functional Leadership (Without Bureaucracy)**
* Partner directly with engineering, implementation, sales, and leadership to bring clarity and direction.
* Drive alignment around product rationale across technical and non\-technical stakeholders.
* Bring decisiveness where there is ambiguity and momentum where there is drift.
**Lifecycle Ownership**
* Support internal tools, configuration dashboards, QA harnesses, and other operational systems.
* Own external\-facing surfaces such as reporting dashboards and performance insights.
* Take features from whiteboard → prototype → production rollout → post\-launch optimization.
**Stay Ahead of the AI Curve**
* Track emerging LLM techniques, architectures, and agentic patterns.
* Proactively incorporate new capabilities into product strategy.
* Advocate for smart, practical adoption of innovations that materially improve performance.
**Requirements**
* 4\+ years in Product Management, with meaningful hands\-on experience building AI/ML or automation\-heavy products.
* Demonstrated experience designing or shipping LLM\-powered workflows or agentic systems.
* Strong technical fluency:
+ Embeddings
+ Vector search / vector DBs
+ RAG pipelines
+ Prompt engineering
+ Evaluation \&amp; tuning methods
* Ability to write zero\-ambiguity PRDs and logic flows.
* Able to operate in early\-stage velocity with evolving specs and constant iteration.
* High ownership, clarity, and follow\-through.
**Nice to Have**
* Experience with voice platforms or conversational AI.
* Familiarity with compliance\-heavy flows (payments, PCI, PII).
* Startup/hypergrowth track record shipping complex systems under time pressure.
*We are committed to fostering a diverse, inclusive, and equitable workplace where all individuals are valued, respected, and empowered, regardless of their background, identity, or beliefs. All qualified applicants will receive consideration for employment without regard to race, color, religion, sex, sexual orientation, gender identity, national origin, disability, status as a protected veteran, or any other legally protected characteristic.*</t>
        </is>
      </c>
    </row>
    <row r="98">
      <c r="A98" t="inlineStr">
        <is>
          <t>li-4351322711</t>
        </is>
      </c>
      <c r="B98" t="inlineStr">
        <is>
          <t>Business Analyst / Product Manager (Healthcare Focus)</t>
        </is>
      </c>
      <c r="C98" t="inlineStr">
        <is>
          <t>Hvantage Technologies Inc USA</t>
        </is>
      </c>
      <c r="D98" t="inlineStr">
        <is>
          <t>linkedin</t>
        </is>
      </c>
      <c r="E98">
        <f>HYPERLINK("https://www.linkedin.com/jobs/view/4351322711", "https://www.linkedin.com/jobs/view/4351322711")</f>
        <v/>
      </c>
      <c r="F98" t="inlineStr"/>
      <c r="G98" t="inlineStr">
        <is>
          <t>Los Angeles County, CA</t>
        </is>
      </c>
      <c r="H98" t="inlineStr"/>
      <c r="I98" t="inlineStr">
        <is>
          <t>About the Role
 We are seeking a
 **Business Analyst / Product Manager** 
 to help translate business needs into well\-designed, scalable products—primarily within the healthcare domain. This is a hybrid role ideal for someone who is analytically strong, curious, and eager to grow into broader product ownership and leadership responsibilities over time.
 The ideal candidate is
 **smart, adaptable, and motivated to learn** 
 , with enough healthcare exposure to understand industry context (e.g., payers, providers, data, compliance), but not necessarily a long tenure in product management. This role offers significant opportunity for growth.
 Key ResponsibilitiesBusiness Analysis
 * Gather, analyze, and document business requirements from stakeholders
* Translate business needs into clear functional requirements, user stories, and acceptance criteria
* Analyze workflows, data models, and system interactions to identify gaps and improvements
* Support solution design by working closely with engineering, data, and architecture teams
 Product Management
 * Assist in defining product vision, roadmap, and priorities
* Collaborate with stakeholders to balance business value, technical feasibility, and timelines
* Own and refine product backlogs; participate in sprint planning and reviews
* Support go\-to\-market planning, release coordination, and post\-launch evaluation
* Continuously identify opportunities to improve user experience and product outcomes
 Cross\-Functional Collaboration
 * Act as a bridge between business, technical teams, and leadership
* Communicate clearly across technical and non\-technical audiences
* Support decision\-making with data, analysis, and structured thinking
 Required Qualifications
 * 2–5 years of experience in
 **business analysis, product management, or a related role**
* Some experience or exposure to
 **healthcare** 
 (payer, provider, health IT, analytics, compliance, or adjacent domains)
* Strong analytical and problem\-solving skills
* Excellent written and verbal communication skills
* Ability to learn quickly and adapt in a fast\-moving environment
* Comfortable working remotely and collaborating with distributed teams
 Preferred Qualifications
 * Experience with healthcare data models, workflows, or standards (e.g., claims, eligibility, clinical data, FHIR, HL7\)
* Experience working with Agile/Scrum teams
* Familiarity with product tools (Jira, Confluence, Azure DevOps, Productboard, etc.)
* Technical curiosity (APIs, data platforms, analytics, or cloud systems)
 What We’re Looking For
 * Someone
 **intellectually curious** 
 who wants to grow into a senior product role
* A self\-starter who takes ownership and asks thoughtful questions
* A team player who values clarity, structure, and impact
* Someone who can evolve with the role as the product and organization scale</t>
        </is>
      </c>
    </row>
    <row r="99">
      <c r="A99" t="inlineStr">
        <is>
          <t>li-4351183049</t>
        </is>
      </c>
      <c r="B99" t="inlineStr">
        <is>
          <t>Sr. Product Manager - Smart Home - Door Security</t>
        </is>
      </c>
      <c r="C99" t="inlineStr">
        <is>
          <t>TP-Link</t>
        </is>
      </c>
      <c r="D99" t="inlineStr">
        <is>
          <t>linkedin</t>
        </is>
      </c>
      <c r="E99">
        <f>HYPERLINK("https://www.linkedin.com/jobs/view/4351183049", "https://www.linkedin.com/jobs/view/4351183049")</f>
        <v/>
      </c>
      <c r="F99">
        <f>HYPERLINK("https://www.resume-library.com/feed/click/551/234592247?dpj=yes&amp;urlHash=iJak", "https://www.resume-library.com/feed/click/551/234592247?dpj=yes&amp;urlHash=iJak")</f>
        <v/>
      </c>
      <c r="G99" t="inlineStr">
        <is>
          <t>Irvine, CA</t>
        </is>
      </c>
      <c r="H99" t="inlineStr"/>
      <c r="I99" t="inlineStr">
        <is>
          <t>About Us:
 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 believe technology changes the world for the better! At TP\-Link Systems Inc, we are committed to crafting dependable, high\-performance products to connect users worldwide with the wonders of technology.
 Embracing professionalism, innovation, excellence, and simplicity, we aim to assist our clients in achieving remarkable global performance and enable consumers to enjoy a seamless, effortless lifestyle.
**Overview**
 We are seeking a passionate and results \- driven Senior Product Manager with 5 \- 10 years of successful experience in product planning, definition, and management in the realm of smart home products especially home automation ecosystem like smart lighting systems, smart switches, sockets, smart control centers, smart curtains, sensors and buttons, etc. You'll be at the forefront of product innovation, not only in individual product features but also in expanding and strengthening our home automation ecosystem. You will be responsible for collaborating with major clients such as ISPs, third \- party platforms, pre \- installation market clients, etc. to execute home automation business projects and drive the growth of our smart home ecosystem.
 Your contributions will improve the daily experiences of countless smart home users, making their lives more convenient and secure. Join us and be part of creating a world full of exciting possibilities!
**Key Responsibilities**
* User Insights:
* Conduct in\-depth analyses of global users’ home environments to understand and identify their real needs. Use these insights to develop innovative product features that enhance the user experience.
* Competitive Analysis:
* Quickly assess and summarize competitor product features. Provide targeted recommendations to differentiate TP\-Link’s smart home offerings and stay ahead of the competition.
* Technology Research and Innovation:
* Dive into research on new technologies conducive to enhancing user experience, applying innovations to improve user experience and product competitiveness.
* Product Definition and Roadmap Planning \[Core Responsibility]:
* Define market\-leading smart home especially home automation products by leveraging market research, user feedback, and technology trends.
* Develop product roadmaps and plan for product iterations and feature development, ensuring sustained product leadership in the market.
* Create comprehensive product requirement documents to guide the design and development teams.
* Communication and Collaboration:
* Actively articulate product features, user value, and competitive advantages, collaborating with TP\-Link's creative product team for further refinement.
* Collaborate with product and development teams in both China and the United States to ensure the timely delivery of high\-quality products.
* Partner with clients to drive the successful completion of projects, aligning product features with client needs for seamless implementation.
* Sales and Operations Support:
* Collaborate with the global sales team to create monthly product production plans, adjusting based on sales and competitive conditions.
* Monitor and optimize user feedback post\-product launch, continuously refining products.Qualifications:
**Requirements**
* Bachelor's degree in a STEM (Science, Technology, Engineering, and Mathematics) field.
* 6 \+ years of proven experience in product planning, definition, and management, covering the full product lifecycle from concept to market launch.
* Strong technical understanding and ability to engage in technical decision\-making.
**Preferred Qualifications**
* Hands\-on experience with smart home products, particularly in Home Automation related products.
* Experience in successfully delivering smart home ecosystem solutions to clients.
* A strong technical background and ability to provide technical direction throughout product development.
* Deep in customer empathy, with the ability to identify and act on the smallest details to drive meaningful product innovation.
**Benefits**
 Salary range: $160,000 \- $180,000
* Fully paid medical, dental, and vision insurance (partial coverage for dependents)
* Contributions to 401k funds
* 15 days accrued vacation
* 11 paid holidays
* Bi\-annual pay increases
* Health and wellness benefits, including free gym membership
* Quarterly team\-building events
* Free lunch Friday
 At TP\-Link Systems Inc., we are continually searching for ambitious individuals who are passionate about their work. We believe that diversity fuels innovation, collaboration, and drives our entrepreneurial spirit. As a global company, we highly value diverse perspectives and are committed to cultivating an environment where all voices are heard, respected, and valued. We are dedicated to providing equal employment opportunities to all employees and applicants, and we prohibit discrimination and harassment of any kind based on race, color, religion, age, sex, national origin, disability status, genetics, protected veteran status, sexual orientation, gender identity or expression, or any other characteristic protected by federal, state, or local laws. Beyond compliance, we strive to create a supportive and growth\-oriented workplace for everyone. If you share our passion and connection to this mission, we welcome you to apply and join us in building a vibrant and inclusive team at TP\-Link Systems Inc.
 Please, no third\-party agency inquiries, and we are unable to offer visa sponsorships at this time.</t>
        </is>
      </c>
    </row>
    <row r="100">
      <c r="A100" t="inlineStr">
        <is>
          <t>li-4354590990</t>
        </is>
      </c>
      <c r="B100" t="inlineStr">
        <is>
          <t>Senior Product Manager, FinTech Products</t>
        </is>
      </c>
      <c r="C100" t="inlineStr">
        <is>
          <t>Second Nature</t>
        </is>
      </c>
      <c r="D100" t="inlineStr">
        <is>
          <t>linkedin</t>
        </is>
      </c>
      <c r="E100">
        <f>HYPERLINK("https://www.linkedin.com/jobs/view/4354590990", "https://www.linkedin.com/jobs/view/4354590990")</f>
        <v/>
      </c>
      <c r="F100" t="inlineStr"/>
      <c r="G100" t="inlineStr"/>
      <c r="H100" t="inlineStr"/>
      <c r="I100" t="inlineStr">
        <is>
          <t>Today, we live in a world where everything has become convenient. Now you can get a ride anywhere, buy anything, answer any question with just a couple clicks on your phone. Convenience isn't a luxury, it's an expectation. So why not renting? It's still a chore to get utilities set up, buy renters insurance, get air filters changed, handle pest control, and more.
 That's why we've built the world's first Resident Experience Platform that makes resident onboarding, resident services, and ancillary revenue effortless for property managers.
 We're passionate about turning friction into “Triple Win” experiences for residents, property managers, and investors. That way renting can be easy and rewarding for everyone.
 And now you can join us. Apply today to join 200\+ passionate, creative people who strive to make a difference each day so residents, property managers, and investors all win; creating the ultimate Triple Win.
**About The Role**
 Second Nature is seeking an experienced Senior Product Manager to focus on our Fintech products. In this role, you will own the end\-to\-end lifecycle, from discovery and strategy to roadmap execution, delivering products that create meaningful value for residents and property managers alike.
 This role requires a bias for action and the ability to make critical decisions in a fast\-paced, iterative landscape. Reporting to the Group Product Manager, you will work collaboratively across Engineering, Design, and Compliance to bring the vision to life.
**Key Outcomes**
* Launch products with defined MVPs within 12 months, achieving adoption and revenue targets (e.g., % of units enrolled) validated through customer discovery and pilot testing.
* Define and achieve product\-market fit milestones, including target user adoption rates, NPS ≥ 55 from residents and property managers, and qualitative evidence (via user interviews) that the product is "must\-have" rather than "nice\-to\-have."
* Drive reliability and success rates to target thresholds (e.g., reduction in failed ACH transactions, NSF incidents, or chargeback rates by a target %), maintaining or improving resident and property manager satisfaction scores (CSAT/NPS).
* Build a discovery and experimentation process that produces at least two validated product hypotheses per quarter through user research, prototypes, and controlled A/B tests, informing roadmap prioritization and reducing execution risk.
**Key Responsibilities**
 0 to 1 Product Discovery \&amp; Validation
* Conduct ongoing discovery with residents, property managers, and internal teams to understand pain points, workflows, and unmet needs.
* Synthesize research, user feedback, and market data to build a compelling product narrative and business case for each new initiative; communicate findings clearly to leadership and cross\-functional teams.
* Develop and test multiple product hypotheses via wireframes, prototypes, and early\-stage pilots; manage the learning cycle to rapidly converge on product\-market fit while knowing when to pivot.
 Strategy, Roadmap \&amp; Execution
* Define product strategy and a rolling 12 month roadmap, translating business objectives into clear, outcome\-focused quarterly OKRs and a prioritized backlog.
* Write concise, unambiguous product specs and collaborate with Engineering and Design to deliver features on schedule, on scope, and at quality standards.
* Monitor execution progress against roadmap, celebrate wins, identify blockers early, and pivot quickly when signals indicate a change of direction is needed.
 Domain \&amp; Technical Ownership
* Own core technical flows and user experiences.
* Collaborate with Engineering on integrations with service providers and banking partners, defining APIs, data schemas, and integration specifications that enable scalability and reduce technical debt.
 Compliance, Risk \&amp; Security
* Partner with Legal, Security, and Compliance teams to ensure products adhere to all relevant regulations governing payments, deposits, and fee collection.
* Build risk and fraud mitigation into product design, balancing security and regulatory requirements with a frictionless resident and property manager experience.
 Commercial \&amp; Cross\-Functional Leadership
* Collaborate with GTM, Sales, and Customer Success to develop positioning, pricing, and rollout strategies that drive adoption among property managers and residents. Work closely with Sales to identify early pilots and customer advocates.
* Monitor product performance against KPIs and use insights to inform backlog prioritization and optimization efforts. Establish dashboards visible to leadership.
* Build alignment across stakeholders on priorities, trade\-offs, and investment decisions through clear communication and data\-driven advocacy. Escalate conflicts or constraints to leadership promptly.
* Conduct competitive and market analysis to stay informed of emerging Fintech solutions, identifying differentiation opportunities and product gaps.
**About You**
* 5\+ years of product management in SaaS environments, with demonstrated success in SAAS payments or fintech products.
* Demonstrated ability to take products from 0 to 1 in ambiguous environments (startup or new venture within a larger company), including leading discovery, MVP launch, and early scaling based on customer feedback and market signals.
* Strong user empathy and ability to work closely with customers and frontline teams to translate insights into exceptional product experiences. Comfortable spending time with users and gathering qualitative feedback.
* Familiarity with the payments regulatory landscape, including NACHA, PCI DSS, and relevant state/federal regulations;
* Proven ability to define outcome\-focused roadmaps, establish and monitor success metrics, and make data\-driven prioritization decisions with incomplete information.
* Track record of influencing and aligning cross\-functional partners (Engineering, Design, Ops, Finance) and external partners (PSPs, banking partners, regulators).
* Experience in SFR property management, or adjacent verticals.
* Experience building or scaling products in a high\-growth environment.
* Ability to work EST work hours
**Remote Work Statement**
 This is a remote\-first, work\-from\-home position. At Second Nature, we see remote work as a core part of our company's identity and success. We're dedicated to building a remote culture that promotes collaboration and strong connections.
 To join our team and succeed in this remote environment, you will be expected to:
* Be present and engaged during your scheduled working hours. Your specific work schedule will be based on your role and team, but you must be able to join an all\-hands company meeting on Mondays at 10\.30 a.m. EST and be available for any other early morning meetings appropriate for the role.
* Work from a quiet, professional, and distraction\-free space.
* Have a dependable high\-speed internet connection that supports video calls, as we operate with cameras on by default.
* Attend our bi\-annual company\-wide in\-person meetings, with all business travel costs reimbursed according to company policy.
**Why Second Nature**
* Health First: Medical, Dental, Vision, \&amp; Life Insurance; 401(k) Plan
* Location: Work Remotely from anywhere in the US (with core collaboration hours 9am–5pm EST)
* Flexibility: Open PTO and sick days
* Culture: Diverse, inclusive, supportive, and growth\-focused
* Growth: Be part of a fast\-growing team building a new category and making a real difference
* The Product: Expanding, customer\-loved platform that truly delivers on our mission
**The anticipated annual compensation for this role is between $175 to $200K, depending on budget, location, experience. Plus options, remote environment, 401K program, open PTO, health benefits, and more.**
**Our Core Values**
**Pirate Ship, Not A Cruise Ship:** 
 We are innovators who move quickly and decisively.
**Extreme Ownership:** 
 We own our results and act with integrity.
**Grow the Pie:** 
 We deliver real outcomes for customers and stakeholders.
**Massive Growth Takes Massive Growth:** 
 We seek out challenges and learn from them.
**Purple Heart:** 
 We normalize the rebound and value resilience.
**Be a Moment\-Maker:** 
 We always look for ways to do the most we can.
**AI Innovation**
 We’re thrilled about the transformative potential of AI innovation and its ability to drive progress at Second Nature. As we continue to explore and integrate AI into our workflows, we’re eager to learn how you’ve embraced and implemented AI in your professional journey. In the interview process, we look forward to hearing about your experiences and exploring how we can collectively leverage AI technology to accelerate our growth.
*Second Nature is an Equal Opportunity Employer and prohibits discrimination and harassment of any kind. We take action to ensure equal employment opportunities for all candidates and employees and to provide employees with a workplace free of discrimination and harassment. Our hiring decisions are based on business needs, job requirements and individual qualifications, without regard to race, color, religion or belief, family or parental status, or any other status protected by federal and/or state law.*</t>
        </is>
      </c>
    </row>
    <row r="101">
      <c r="A101" t="inlineStr">
        <is>
          <t>li-4354610159</t>
        </is>
      </c>
      <c r="B101" t="inlineStr">
        <is>
          <t>Product Manager</t>
        </is>
      </c>
      <c r="C101" t="inlineStr">
        <is>
          <t>JLL</t>
        </is>
      </c>
      <c r="D101" t="inlineStr">
        <is>
          <t>linkedin</t>
        </is>
      </c>
      <c r="E101">
        <f>HYPERLINK("https://www.linkedin.com/jobs/view/4354610159", "https://www.linkedin.com/jobs/view/4354610159")</f>
        <v/>
      </c>
      <c r="F101">
        <f>HYPERLINK("https://jll.wd1.myworkdayjobs.com/jllcareers/job/Charlotte-NC/Product-Manager_REQ470443&amp;urlHash=ziR7", "https://jll.wd1.myworkdayjobs.com/jllcareers/job/Charlotte-NC/Product-Manager_REQ470443&amp;urlHash=ziR7")</f>
        <v/>
      </c>
      <c r="G101" t="inlineStr">
        <is>
          <t>Charlotte, NC</t>
        </is>
      </c>
      <c r="H101" t="inlineStr"/>
      <c r="I101" t="inlineStr">
        <is>
          <t>**Overview:**
 We are seeking a results\-driven Product Manager to lead the deployment and ongoing enhancement of our workplace technology platform. This role will serve as a key resource in managing multi\-generational, global rollouts and driving integration strategies to maximize platform value. The ideal candidate possesses a blend of product, project, and program management capabilities, enabling effective operation in a fast\-paced, ambiguous environment with multiple stakeholders. This role will coordinate with technology teams, business partners, and service providers across the US and internationally, supporting enterprise technology initiatives and feature launches.
**Key Responsibilities:**
* Lead end\-to\-end product management of workplace technology platform deployments across multiple sites and countries.
* Drive integration of various technology and service applications (e.g., food service ordering, booking capabilities, site\-specific features) into the primary platform.
* Develop, maintain, and communicate product roadmaps, including feature generation planning and prioritization of enterprise and site\-specific initiatives.
* Collaborate with global cross\-functional teams (business, IT, operations, vendors) to align technical solutions with business objectives.
* Serve as project/program manager for technology development and deployment, tracking deliverables, managing day\-to\-day operations, and ensuring project timelines and quality standards are met.
* Support continuous improvement of product processes, including documentation, templates, controls, and best practices for deployment and enhancement.
* Adapt quickly to changing requirements and emerging priorities, thriving in high\-volume, loosely defined scenarios.
* Contribute to strategic decisions regarding key deployment hubs; partner closely with regional and global stakeholders.
* Communicate clearly and proactively with internal and external teams to ensure effective coordination and change management.
**Required Qualifications:**
* Bachelor’s degree in Computer Science, Engineering, Business, or a related field.
* 5\+ years experience in product management, program management, or project management roles, ideally with exposure to technology platform deployment in workplace or enterprise settings.
* Demonstrated success in leading technology integrations and multi\-site rollouts, preferably for software platforms with customizable features.
* Experience collaborating with cross\-functional, culturally diverse teams across time zones.
* Strong analytical and problem\-solving skills, with a proven track record in managing complex operational and technical projects.
* Excellent written and verbal communication skills.
* High comfort level operating in ambiguous, rapidly changing environments.
* Proficiency with business intelligence, analytics tools, and vendor applications is highly desirable.
* Prior experience with workplace technology applications (wayfinding, booking, food services, etc.) strongly preferred.
* Knowledge of agile product development methodologies is a plus.
**Preferred Locations:**
 New York, Dallas, Charlotte, or other major business hubs to provide optimal collaboration with in\-office teams. Ability and willingness to travel as required.</t>
        </is>
      </c>
    </row>
    <row r="102">
      <c r="A102" t="inlineStr">
        <is>
          <t>li-4330184077</t>
        </is>
      </c>
      <c r="B102" t="inlineStr">
        <is>
          <t>Product Owner/Product Director-Liquid Cooling System for Data Center</t>
        </is>
      </c>
      <c r="C102" t="inlineStr">
        <is>
          <t>Midea America</t>
        </is>
      </c>
      <c r="D102" t="inlineStr">
        <is>
          <t>linkedin</t>
        </is>
      </c>
      <c r="E102">
        <f>HYPERLINK("https://www.linkedin.com/jobs/view/4330184077", "https://www.linkedin.com/jobs/view/4330184077")</f>
        <v/>
      </c>
      <c r="F102" t="inlineStr"/>
      <c r="G102" t="inlineStr">
        <is>
          <t>Plano, TX</t>
        </is>
      </c>
      <c r="H102" t="inlineStr"/>
      <c r="I102" t="inlineStr">
        <is>
          <t>Midea America Corp. is one of the world’s largest home appliance brands, offering the most comprehensive selection of products in the world to fully serve the needs of day\-to\-day living at home, at work, or anywhere else you go. In North America we strive to aim high, put the customer first, transform and innovate the marketplace, utilizing our commitment, dedication, inclusion and partnership with our teams. We are a global company with over 150,000 employees and operations in more than 195 countries. As a publicly listed company, we are also ranked \#245 as a Fortune Global 500 company and offers one of the most comprehensive ranges in the home appliance industry. Midea America is a subsidiary of Midea with over 200 employees in the US and we are expanding our presence in North America.
 Location : Plano, Tx;
 Job Responsibilities:
 1\.Have a profound understanding of the product solutions and application scenarios of various customers in the data center industry, accurately comprehend customer needs, and output corresponding solutions to meet customer requirements.
 2\.Overall plan the product development and planning of related categories in the data center.
 3\.Be familiar with the liquid cooling product system solutions in the data center, be able to design optimized product architectures, and enable the products to be competitive in terms of capabilities, energy efficiency, and costs.
 4\.Be responsible for connecting with the market, quality, and after\-sales requirements related to the data center, accurately identify technical problems, and provide effective technical support.
 5\.Thoroughly understand and analyze the trends in the data center industry, conduct technology reserve planning to meet customers' demands for future products.
 Qualifications:
 1\.Bachelor's degree or above in relevant majors such as mechanical automation, HVAC, etc., with over 10 years of experience in the air conditioning industry.
 2\.Be proficient in air\-conditioning and refrigeration products, possess profound experience and professional knowledge in the temperature control field, and be able to handle complex problems properly.
 3\.Be proficient in the product development process, have excellent project management skills and experience in successfully delivering complex R \&amp; D projects.
 4\.Have a strong interest in and learning agility to new technologies and innovations.
 5\.Have an excellent spirit of team development and cooperation, and be able to stimulate the team's technological innovation ability.
*Midea America Corp is an equal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103">
      <c r="A103" t="inlineStr">
        <is>
          <t>li-4354502590</t>
        </is>
      </c>
      <c r="B103" t="inlineStr">
        <is>
          <t>Product Program Manager</t>
        </is>
      </c>
      <c r="C103" t="inlineStr">
        <is>
          <t>Rain</t>
        </is>
      </c>
      <c r="D103" t="inlineStr">
        <is>
          <t>linkedin</t>
        </is>
      </c>
      <c r="E103">
        <f>HYPERLINK("https://www.linkedin.com/jobs/view/4354502590", "https://www.linkedin.com/jobs/view/4354502590")</f>
        <v/>
      </c>
      <c r="F103">
        <f>HYPERLINK("https://jobs.ashbyhq.com/rain/5d826660-a77b-42c4-9fe1-a5c9adcbcc57/application?utm_source=xnjML5dkzo&amp;urlHash=AMDM", "https://jobs.ashbyhq.com/rain/5d826660-a77b-42c4-9fe1-a5c9adcbcc57/application?utm_source=xnjML5dkzo&amp;urlHash=AMDM")</f>
        <v/>
      </c>
      <c r="G103" t="inlineStr">
        <is>
          <t>New York, NY</t>
        </is>
      </c>
      <c r="H103" t="inlineStr"/>
      <c r="I103" t="inlineStr">
        <is>
          <t>**About Rain**
 At Rain, we’re rebuilding the global financial pipes money flows through. Our infrastructure makes stablecoins usable in the real world by powering credit card transactions, cross\-border payments, B2B purchases, remittances, and more. We partner with fintechs, neobanks, and institutions to help them launch solutions that are global, inclusive, and efficient. If you’re curious, bold, and excited to help shape a borderless financial system, we’d love to talk.
**Our Ethos:**
 We believe in an open and flat structure. You will be able to grow into the role that most aligns with your goals. Our team members at all levels have the freedom to explore ideas and impact the roadmap and vision of our company.
**About the role:**
 Uptop (a Rain company) is looking for a versatile
 **Product Program Manager** 
 to help lead the next phase of growth for our sports rewards business. This role sits at the intersection of product, partnerships, and execution, working directly with the Uptop leadership team to scale and optimize rewards programs with professional sports organizations.
 The ideal candidate is equally comfortable in
 **client\-facing commercial conversations** 
 and
 **internal product execution** 
 , translating partner needs into high\-quality product experiences. You will act as the connective tissue between sports partners, customer support, marketing execution, and engineering—ensuring our rewards platform delivers measurable value in real time.
**What You’ll Do**
**Partner \&amp; Client Leadership**
* Serve as the primary point of contact for Uptop’s professional sports partners
* Lead customer support efforts across all sports rewards programs, ensuring high partner satisfaction
* Work closely with sports teams to understand business goals, fan engagement strategies, and success metrics
* Guide partners through launches, optimizations, and ongoing program execution
**Product Management**
* Gather, synthesize, and prioritize product feedback from sports partners
* Translate partner needs and insights into clear product requirements and feature improvements
* Partner with engineering and design to guide product development and iteration
* Ensure the rewards product continues to evolve toward scalability, reliability, and performance
**Program \&amp; Execution Management**
* Own end\-to\-end execution of sports rewards programs, from planning through launch and optimization
* Coordinate cross\-functional efforts across product, engineering, support, and marketing
* Track milestones, manage risks, and ensure on\-time delivery of initiatives
* Audit and monitor marketing campaigns in real time, identifying issues and opportunities for optimization
**Marketing \&amp; Growth Enablement**
* Collaborate with sports teams to architect rewards\-driven marketing strategies Support real\-time campaign execution and performance monitoring
* Provide insights and recommendations to improve fan engagement and program effectiveness
**What We’re Looking For**
* Experience in product management, program management, or project management, ideally in a tech\-enabled or marketplace environment
* Strong client\-facing skills with experience working directly with external partners
* Ability to translate business and customer needs into product and execution plans
* Comfort working cross\-functionally with engineering, design, marketing, and leadership
* Highly organized, proactive, and comfortable operating in a fast\-paced growth environment
* Passion for sports, consumer products, or fan engagement is a plus
**Benefits:**
* Unlimited time off 🛼 Unlimited vacation can be daunting, so at Rain we require our teammates to take 10 days minimum for themselves.
* Flexible working ☕ We support a flexible workplace, if you feel comfortable at home please work from home. If you’d like to work with others in an office feel free to come in. We want everyone to be able to work in the environment in which they are their most confident and productive selves.
* Flexible Benefits 🧠 Easy\-to\-access benefits, for all employees based in the US, Rain pays a percentage of your benefits for the employee and for your dependents. We offer comprehensive health, dental and vision plans as well as a 100% company\-subsidized life insurance plan.
* Equity plan 📦 On top of a competitive salary, we offer every Rain employee an equity option plan so we can all can benefit from our success.
* Rain Cards 🌧️ We want our teammates to be knowledgeable about our core products and services and to support this mission we issue a card for our team to utilize the card for testing.
* Health and Wellness 📚 High performance begins from within. Our members are welcome to use their company card for eligible health and wellness spending like gym memberships, fitness classes and other wellness items.
* Team summits ✨ Summits play an important role at Rain! Time spent together helps us get to know each other, strengthen our relationships, and build a common destiny. Stay tuned for upcoming destinations!
 Compensation Range: $147\.4K \- $161\.2K</t>
        </is>
      </c>
    </row>
    <row r="104">
      <c r="A104" t="inlineStr">
        <is>
          <t>li-4330242077</t>
        </is>
      </c>
      <c r="B104" t="inlineStr">
        <is>
          <t>Senior Product Manager, Photoshop</t>
        </is>
      </c>
      <c r="C104" t="inlineStr">
        <is>
          <t>Adobe</t>
        </is>
      </c>
      <c r="D104" t="inlineStr">
        <is>
          <t>linkedin</t>
        </is>
      </c>
      <c r="E104">
        <f>HYPERLINK("https://www.linkedin.com/jobs/view/4330242077", "https://www.linkedin.com/jobs/view/4330242077")</f>
        <v/>
      </c>
      <c r="F104" t="inlineStr"/>
      <c r="G104" t="inlineStr">
        <is>
          <t>San Francisco, CA</t>
        </is>
      </c>
      <c r="H104" t="inlineStr"/>
      <c r="I104"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Position Summary
 We’re hiring a Senior Product Manager to help develop the future of Photoshop for creators everywhere. In this role, you’ll sit at the center of Photoshop’s most ambitious expansion beyond the desktop—spanning mobile, web, LLM\-powered workflows, and emerging surfaces. You’ll join a high\-impact team reimagining creative imaging by blending Photoshop’s core capabilities with Generative AI and agentic experiences to drive new user growth and activation at scale.
 What You’ll Do
* Lead product strategy and execution to unlock new user activation through innovative Photoshop\-powered experiences built for the Creator generation
* Help build a durable roadmap that focuses on real\-time customer needs and measurable success
* Keep close watch on product performance, customer feedback and market trends to evolve product strategy and deliver high\-impact features at scale
* Partner deeply with our Research, Data Science and Design teams, translating real\-time insights from millions of customers into intuitive, delightful product experiences
* Work alongside our outstanding Engineering teams every day to build, rebalance and prioritize the highest value product innovations for our customers
 What We’re Looking For
* 5\+ years of product management experience, ideally with experience or expertise in creative/social mobile or web applications
* A keen grasp and passion for consumer product growth, activation and retention, ideally with mobile or web products
* Proven ability to turn research and insights into shipped features, balancing innovation, usability, performance, and scope
* Deep empathy for creative customers, with passion for improving workflows and enabling success across the customer journey
* Experience working closely with research and engineering teams to lead fast, informed decision making for a full product life cycle
* Excellent communication and collaboration skills—able to build trust and alignment across diverse collaborators internally and externally
* Strong business and marketing competence; able to pair analytical rigor with customer insights to recognize opportunities and deliver growth. MBA or equivalent is a plus.
* Deep empathy for creative customers, with passion for improving workflows and enabling success across the customer journey.
* Experience in creative tools, imaging, or design software is a big plus.
 Why This Role Matters
 Consumer creativity trends are moving beyond desktop software to mobile devices, GenAI and LLMs, and web applications. Photoshop leads by bringing creativity to every surface. We build tools that improve human creativity, value authenticity, and give creators control over their uniqueness at every step. You’ll join an innovative, empowered team moving quickly across research, engineering, and product to imagine what’s next.
 Our compensation reflects the cost of labor across several  U.S. geographic markets, and we pay differently based on those defined markets. The U.S. pay range for this position is $125,800 \-\- $239,725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$165,600 \- $239,725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105">
      <c r="A105" t="inlineStr">
        <is>
          <t>li-4330039582</t>
        </is>
      </c>
      <c r="B105" t="inlineStr">
        <is>
          <t>Technical Product Owner</t>
        </is>
      </c>
      <c r="C105" t="inlineStr">
        <is>
          <t>SPS Commerce</t>
        </is>
      </c>
      <c r="D105" t="inlineStr">
        <is>
          <t>linkedin</t>
        </is>
      </c>
      <c r="E105">
        <f>HYPERLINK("https://www.linkedin.com/jobs/view/4330039582", "https://www.linkedin.com/jobs/view/4330039582")</f>
        <v/>
      </c>
      <c r="F105" t="inlineStr"/>
      <c r="G105" t="inlineStr">
        <is>
          <t>Minneapolis, MN</t>
        </is>
      </c>
      <c r="H105" t="inlineStr"/>
      <c r="I105" t="inlineStr">
        <is>
          <t>****Description:****
 SPS Commerce is a leading provider of cloud\-based supply chain management solutions, serving a global network of retail trading partners. We foster a collaborative and inclusive work environment where innovation and continuous improvement are highly valued. Join SPS Commerce and be part of a dynamic team that's transforming the global retail supply chain!
****Position Summary:****
 We’re seeking a Technical Product Owner to serve as a single\-threaded leader driving a cohesive roadmap and execution within one of SPS' Platform Services aligned to our Strategic Plan. As a technical resource you will demonstrate an understanding of customer needs and product requirements, simplifying technical user stories and epics, and act as a technical advisor to the development team, organizational stakeholders, and leaders.
****Key Responsibilities:****
* Partner with technical product managers, product manager(s), builders, and software engineers to understand the market and the customers you are serving to convey that vision to engineering and other stakeholders
* Collaborate with Solution Architects and Principals to create and manage architecture/service roadmap, ensuring complete visibility for both business and technical items
* Work with large\-scale technical products or products with many pending architectural changes
* Maintain product roadmap in partnership with the Development Manager and Domain Technical Lead to provide consistent, clear, and realistic updates to all stakeholders
* Create user stories and acceptance criteria to provide clarity for software engineers
* Respond to questions from developers and clarify requirements related to the voice of the customer (VOC) and business requirements
* Participate in scrum ceremonies including stand\-ups, sprint planning, retrospectives, grooming, and release planning
**Location:**
 Minneapolis, MN (Hybrid)
****Required Qualifications:****
* Bachelor’s degree and a minimum of 3 years of related experience; or an advanced degree without experience; or equivalent work experience
* Experience working in an agile development environment
* Strong communication skills that allow you to speak directly to your stakeholders using their language and mental models
****Preferred Qualifications:****
* 2 years' experience in software development
* Scaled Agile Framework (SAFe)
****What We Offer:****
 At SPS Commerce, we are committed to ensuring that each employee's compensation reflects their unique experiences, performance, and skills in their role. The salary range for this role considers several factors, including education, relevant skills, work history, certifications, location, and more.
 The annual salary range for this role is: $100,200 \- $150,400 \+ Equity. The actual salary offered will be determined based on the factors listed above and may fall anywhere within the range.
 Additionally, you may also be eligible to participate in an annual incentive program. An incentive award, if granted, is based on individual and/or organizational performance.
 SPS Commerce offers a comprehensive package of benefits including health, dental, vision, disability and life insurance, paid time\-off, 401(k), health and flexible spending accounts, stock purchase plan and more.
****Commitment To Our Employees:****
 At SPS we power connections that drive the world of commerce forward, and our success depends on making strong decisions, fostering innovation, delivering unparalleled customer solutions, and driving outstanding business performance. We achieve this by creating an environment where every employee feels a true sense of belonging. We embrace diversity, equity, and inclusion, ensuring everyone feels accepted, valued, and empowered to make a meaningful impact.
 We are committed to affirmative action and equal opportunity in all aspects of employment. All qualified applicants will receive consideration for employment without regard to race, color, religion, sex, sexual orientation, gender identity, national origin, disability, or status as a protected veteran.
****Commitment To Our Employees:****
 At SPS we power connections that drive the world of commerce forward, and our success depends on making strong decisions, fostering innovation, delivering unparalleled customer solutions, and driving outstanding business performance. We achieve this by creating an environment where every employee feels a true sense of belonging. We embrace diversity, equity, and inclusion, ensuring everyone feels accepted, valued, and empowered to make a meaningful impact.
 We are committed to affirmative action and equal opportunity in all aspects of employment. All qualified applicants will receive consideration for employment without regard to race, color, religion, sex, sexual orientation, gender identity, national origin, disability, or status as a protected veteran.</t>
        </is>
      </c>
    </row>
    <row r="106">
      <c r="A106" t="inlineStr">
        <is>
          <t>li-4351212880</t>
        </is>
      </c>
      <c r="B106" t="inlineStr">
        <is>
          <t>Product Manager - Sanitaire</t>
        </is>
      </c>
      <c r="C106" t="inlineStr">
        <is>
          <t>BISSELL Homecare, Inc.</t>
        </is>
      </c>
      <c r="D106" t="inlineStr">
        <is>
          <t>linkedin</t>
        </is>
      </c>
      <c r="E106">
        <f>HYPERLINK("https://www.linkedin.com/jobs/view/4351212880", "https://www.linkedin.com/jobs/view/4351212880")</f>
        <v/>
      </c>
      <c r="F106" t="inlineStr"/>
      <c r="G106" t="inlineStr">
        <is>
          <t>Charlotte, NC</t>
        </is>
      </c>
      <c r="H106" t="inlineStr"/>
      <c r="I106" t="inlineStr">
        <is>
          <t>**Overview**
 The Product Manager \- Sanitaire Floorcare is a critical role within BISSELL’s fast\-growing Commercial Floorcare business. This position offers the opportunity to lead strategic brand, product, and channel initiatives for one of the most respected names in commercial cleaning equipment.
 The Product Manager will own the strategy, performance, and commercial execution of the Sanitaire Floorcare category. This includes driving product innovation, leading cross\-functional project teams, managing channel strategies, interpreting market insights, and delivering profitable portfolio growth.
 This role is ideal for a marketer with 4\-6 years of experience who is ready to take full ownership of a category, influence business decisions, and collaborate broadly across Sales, Product Development, Finance, Engineering, and Operations. The Product Manager ensures that Sanitaire delivers exceptional value to distributors, end users, and commercial cleaning professionals.
**Responsibilities**
* Category Leadership: Lead the strategic planning and day\-to\-day management of the Sanitaire Floorcare portfolio, including product life cycle, pricing, channel strategy, and in\-market performance.
* Product \&amp; Innovation Management: Drive product roadmap execution by partnering with BHI category leaders, engineering, and cross\-functional stakeholders to bring new floorcare solutions to market on time and on budget.
* Commercial Strategy Execution: Develop and execute marketing, merchandising, and promotional programs that strengthen brand position and accelerate growth within janitorial\-sanitation distribution, e\-commerce, and other commercial channels.
* Business \&amp; Market Insights: Analyze sales, market, and competitive data to identify trends, recommend actions, and support strategic decision\-making across product and commercial teams.
* Cross\-Functional Collaboration: Serve as the primary business owner for the brand, aligning Sales, Finance, Engineering, Operations, and Communications around business objectives and commercial priorities.
* Customer \&amp; Distributor Engagement: Support key account initiatives, develop customer\-facing materials, and participate in customer conversations to strengthen partnerships and brand adoption.
* Financial Stewardship: Manage category\-level budgets, contribute to annual planning, and drive initiatives to meet revenue, margin, and profitability goals.
* Marketing Asset Development: Oversee creation of product collateral, digital assets, training materials, and sales tools to ensure consistent messaging and a strong commercial presence.
* Competitive Intelligence: Continuously track market trends and competitive activity to inform product positioning, claims, line strategies, and innovation needs.
* Operational Excellence: Lead business reporting, track KPIs, manage timelines, and ensure accountability and follow\-through across all category initiatives.
**Qualifications**
* Education: Bachelor’s degree in marketing, business, or related field.
* Experience: 4\-6 years in commercial product management or other relevant experience including marketing, sales, engineering, project management etc.
* Strong track record driving profitable growth through product development in complex, multi\-layered (B2B) sales channels.
* Proven success leading cross\-functional teams and managing complex projects.
* Strong analytical skills with the ability to interpret data, uncover insights, and tell a compelling business story.
* Demonstrated capability in developing product line extensions, commercial programs, and go\-to\-market plans.
* Strong project management and organizational skills, able to manage multiple priorities and deadlines.
* Demonstrated success presenting product launch strategies and data\-driven business cases to leadership to secure approval and drive market\-ready execution.
* Proficiency in Microsoft Excel, PowerPoint, and Word.
* Attend trade shows, end\-user prototype testing sessions, and support pilots as needed.
* Travel up to 25% to domestic and international sites.
* Advanced proficiency in Microsoft Word, Excel, PowerPoint
* Strong organizational and project management skills
* Ability to lead and influence without direct authority
* High attention to detail and commitment to accuracy
* Ability to translate data into actionable strategies and recommendations
* Strong cross\-functional collaboration and communication skills
* May be required to perform other duties as assigned
 This position requires the ability to manage ongoing data flow, analyze business performance, prepare clear summary reports, and communicate effectively across teams while working flexibly—whether in the office, remotely, or while traveling.
**WHAT'S NEXT, APPLY NOW!**
 BISSELL is an equal opportunity employer, and all qualified applicants will receive consideration for employment without regard to race, color, ethnicity, disability, religion, national origin, gender, gender identity, gender expression, marital status, sexual orientation, age, protected veteran status, or any other characteristic protected by law</t>
        </is>
      </c>
    </row>
    <row r="107">
      <c r="A107" t="inlineStr">
        <is>
          <t>li-4330233095</t>
        </is>
      </c>
      <c r="B107" t="inlineStr">
        <is>
          <t>Staff Product Manager - Digital Strategy (Remote)</t>
        </is>
      </c>
      <c r="C107" t="inlineStr">
        <is>
          <t>Ad Hoc LLC</t>
        </is>
      </c>
      <c r="D107" t="inlineStr">
        <is>
          <t>linkedin</t>
        </is>
      </c>
      <c r="E107">
        <f>HYPERLINK("https://www.linkedin.com/jobs/view/4330233095", "https://www.linkedin.com/jobs/view/4330233095")</f>
        <v/>
      </c>
      <c r="F107" t="inlineStr"/>
      <c r="G107" t="inlineStr">
        <is>
          <t>Atlanta, GA</t>
        </is>
      </c>
      <c r="H107" t="inlineStr"/>
      <c r="I107" t="inlineStr">
        <is>
          <t>****Staff Product Manager****
**This is a remote position with heavy travel for the first 3\-6 months**
 Ad Hoc is a technology company that empowers organizations to deliver scalable, impactful digital services. Using modern, agile methods, our team creates products that meet people’s needs and transform their experience of government.
**Work on things that matter**
 Our collaborations have shaped some of the defining moments in public\-sector service delivery. We’ve helped build products that connect Veterans to tailored services, help millions access affordable health care, and support important programs like Head Start. As we work with agencies to deliver critical services, we’re also changing how the government approaches technology.
**Built for a remote life**
 Our culture, communications, and tools are built for remote work, enabling us to bring together top talent nationwide. At Ad Hoc, remote life empowers our teams to design work environments that fit their lives and that foster flexibility and collaboration to achieve positive outcomes for our customers.
**Committed to high expectations and a welcoming culture**
 Ad Hoc values acceptance, accountability, and humility. We aren’t heroes. We learn from our mistakes and improve the process for the next time. We build small, inclusive teams to collaborate closely with our partners to solve the right problems and deliver software that works.
 The
 **Federal Civilian** 
 business unit supports many customers spanning the federal, commercial, and nonprofit space. Our customers include NASA, the General Services Administration, Office of Personnel Management, the Library of Congress, Health \&amp; Human Services, and the FDIC. We partner with these agencies to build new capabilities, deliver products, establish data as a strategic asset for informed decision\-making, modernize legacy systems, and build the digital service infrastructure necessary to scale their mission impact.
**Primary Responsibilities**
 Staff Product Manager serves as an emerging subject matter expert, while serving as an individual contributor that exhibits a high level of trust, autonomy and empowerment. With minimal oversight from leadership, you will be essential to leading and guiding a unified product strategy across a multi\-channel communication efforts, and modernizing one of the federal government’s most mission\-critical digital properties. Given highly distributed organizational structure with the HHS portfolio and the need to provide clear, timely public health information across web, mobile, social, and API\-driven channels, a senior product leader ensures alignment across communications, policy, design, and technology teams. This role drives cohesive content governance, streamlines operations, reduces redundancies, and supports a user\-centered approach to information architecture, accessibility, and omnichannel delivery. The ultimate outcomes of this role is to strengthen public trust, accelerates digital modernization, and ensures health guidance is consistently understood—regardless of platform or audience.
**Skills**
 A Staff Product Manager exhibits strong influential skills to represent the product management practice in planning sessions, advocating for the best solution, while communicating tradeoffs. You will serve as the primary lead and proactively communicate with stakeholders; while utilizing strong influential skills to drive improvements in product management processes and practices. Primary expectations of a Staff Product Manager:
* Strong influential skills to garner consensus among stakeholders, leadership, programs, and practice teams
* Primarily supports a program/portfolio, but may support business unit initiatives in order to drive thought leadership among practice and delivery
* Serves as a mentor to individuals within the assigned business unit or Program, providing constructive feedback to support employee development and practice innovations
* Presents to a wide variety of audiences, inclusive of internal and external stakeholders
* Primarily focused on program/portfolio strategic initiatives, but may support tactical assignments
* Exhibits strong communications skills in order to gain consensus, mitigate conflict, and serves as a stewardess of innovation or change
* Responsible for defining the vision and strategy for products and identifying areas of growth for a program or portfolio of work
* Demonstrates the ability to make educated decisions and understands when to pivot and how to experiment in order to reduce uncertainty and inform next steps
* Utilizes effective communication skills and understands how to translate complex issues for a wide variety of audiences in order to influence decision making for the highest value outcome
* May support growth opportunities, inclusive of proposal writing, solution development, presentations, and briefings
* Serves as a partner to Project and Program Managers to support the delivery of required scope and deliverables
**Required Qualifications**
* Bachelor’s degree and 9\+ years of experience directing cross\-functional team
* Strong understanding of content management systems (CMS) and multi\-channel platforms, a strategic mindset for defining content goals and user experiences, and excellent communication and data analysis skills to guide the execution of content and campaigns across various channels
* Be adept at defining target audiences, developing content strategies, choosing the right channels, and using analytics to measure performance.
* Heath policy and/or health content implementation experience
**Technical And Strategic Skills**
* Technical understanding: Possess a strong grasp of content management systems, web and mobile architecture, and publishing tools
* Strategic planning: Be able to define clear goals, KPIs, and metrics to measure success for both the CMS and multi\-channel communication efforts
* Content strategy: Understand how to develop a content strategy, including identifying target audiences, defining content types, and planning a content calendar.
* Channel expertise: Know how to select the right mix of channels based on the target audience, business goals, and available resources
* User experience (UX): Have a passion for creating optimal user experiences across all digital products.
**Execution And Analysis**
* Data\-driven decision\-making: Use customer data and analytics to make informed decisions about product features and content performance
* Performance monitoring: Continuously monitor and analyze performance across all channels using metrics like website traffic, engagement rates, and conversion rates
* Optimization: Use insights from analytics to continually refine and optimize the strategy and content
**Leadership And Communication**
* Cross\-functional collaboration: Be able to work effectively with engineers, designers, marketing, and other teams
* Clear communication: Translate complex technical and strategic information so that all stakeholders can understand it
* "Evangelism": Act as a product champion, articulating the product's vision and value to the market
* Leadership and decision\-making: Make tough decisions when necessary and be able to manage competing requests while keeping the product's best interests in mind
* Culture of innovation: Foster a culture of discovery and continuous learning within the team
**Preferred Qualifications** 
* .gov and social media background
* Ability to obtain/maintain any of the following:
+ CSPO, CPM, CSM or other related certifications
**To learn more about working at Ad Hoc, please visit:** 
 https://adhocteam.us/join
**Benefits**
* Company\-subsidized health, dental, and vision insurance
* Flexible PTO
* 401K with employer match
* Paid parental leave after one year of service
* Employee Assistance Program
 Ad Hoc LLC is an Equal Opportunity/Affirmative Action Employer. All qualified applicants will receive consideration for employment without regard to race, color, national origin, ancestry, sex, sexual orientation, gender identity or expression, religion, age, pregnancy, disability, work\-related injury, covered veteran status, political ideology, marital status, or any other factor that the law protects from employment discrimination.
 In support of various state and city equal pay transparency laws, Ad Hoc job descriptions feature the starting range we reasonably expect to pay to candidates who would join our team with little to no need for training on the responsibilities we've outlined above. Actual compensation is influenced by a wide range of factors including but not limited to skill set, level of experience, and responsibility. The range of starting pay for this role is $140,000 \- $155,000\. Our recruiters will be happy to answer any questions you may have, and we look forward to learning more about your salary requirements.</t>
        </is>
      </c>
    </row>
    <row r="108">
      <c r="A108" t="inlineStr">
        <is>
          <t>li-4351242898</t>
        </is>
      </c>
      <c r="B108" t="inlineStr">
        <is>
          <t>Program Manager</t>
        </is>
      </c>
      <c r="C108" t="inlineStr">
        <is>
          <t>VIGILINT</t>
        </is>
      </c>
      <c r="D108" t="inlineStr">
        <is>
          <t>linkedin</t>
        </is>
      </c>
      <c r="E108">
        <f>HYPERLINK("https://www.linkedin.com/jobs/view/4351242898", "https://www.linkedin.com/jobs/view/4351242898")</f>
        <v/>
      </c>
      <c r="F108">
        <f>HYPERLINK("https://www.resume-library.com/feed/click/551/233626558?dpj=yes&amp;urlHash=N8oK", "https://www.resume-library.com/feed/click/551/233626558?dpj=yes&amp;urlHash=N8oK")</f>
        <v/>
      </c>
      <c r="G108" t="inlineStr">
        <is>
          <t>Morrisville, NC</t>
        </is>
      </c>
      <c r="H108" t="inlineStr"/>
      <c r="I108" t="inlineStr">
        <is>
          <t>VIGILINT is a unique medical operations company that provides advisory, planning, logistics, medical operations, and crisis management services to high\-net\-worth individuals, Fortune 500 companies, and government clients. The nature of our clientele and the type of work we engage in demand unparalleled excellence, handled with the utmost discretion. VIGILINT’s team is tight knit. Our world\-class physicians, subject matter experts, and operational staff work side\-by\-side to solve complex medical emergencies around the globe. The work is fast\-paced and different every day. Employees are empowered to lean in, work creatively, and collaboratively to find new solutions to emerging problems.
 The Core Mission
 Lead and empower a high\-performing team to deliver flawless execution on a mission\-critical government program. This role is pivotal in championing our deployed personnel and fostering unwavering trust with our prime partner, ensuring the highest levels of service, integrity, and communication.
 Key Attributes for Success
* An Exceptional Influencer: You excel at building strong, collaborative relationships and can effectively drive outcomes with internal teams and external partners, even without direct authority.
* An Entrepreneurial Mindset: You are a proactive, solutions\-oriented leader who takes full ownership of the program’s success. You are comfortable navigating ambiguity and thrive on turning challenges into opportunities.
* A Dedicated People Leader: You are committed to the growth and well\-being of your team, fostering an environment of trust, accountability, and mutual support.
* A Master Communicator: You can distill complex information into clear, compelling messages for any audience, from executive leadership to government counterparts.
* A Systems Thinker with an Eye for Detail: You possess a meticulous command of contractual and financial details while never losing sight of the broader strategic goals.
 Key Responsibilities
 Team Leadership \&amp; Development
* Lead, manage, and evaluate a dedicated program team, including site managers and support staff, fostering a culture of high performance, accountability, and professional growth.
* Champion the success and well\-being of all deployed personnel, ensuring they are supported and equipped to meet mission requirements.
* Ensure program goals are met in areas of team member performance, engagement, and retention.
 Program Execution \&amp; Contract Integrity
* Serve as the ultimate owner for all contractual obligations, managing Statements of Work (SOW), Contract Modifications (MODs), and data deliverables (CDRLs) to ensure 100% compliance and timely completion.
* Establish, monitor, and report on key performance indicators (KPIs), ensuring program objectives for staffing, quality, and customer satisfaction are consistently achieved.
 Financial Stewardship \&amp; Oversight
* Drive the program's financial health by developing accurate forecasts, managing budgets, and analyzing variances to meet all financial objectives.
* Oversee all funding requests and invoicing processes, ensuring precision and timeliness in all financial submissions to the prime contractor.
 Stakeholder Alliance \&amp; Communication
* Serve as the primary liaison with the prime contractor and government stakeholders, building trusted partnerships through proactive, transparent, and effective communication.
* Create and deliver clear, concise, and compelling program updates and status reports for both external partners and the VIGILINT executive team.
**Requirements**
* Must be a U.S. citizen.
* Must possess or be able to obtain a Secret Security Clearance
* Bachelor’s degree in Business, Management, or a related field.
* A minimum of 5 years of experience in a management role, with direct responsibility for leading and developing teams.
* A minimum of 5 years of experience in government contracting, with a proven track record of managing program execution and compliance.
* Strong financial acumen, including experience with budgeting, forecasting, and government contract finance.
* Adheres to all VIGILINT policies, procedures, and compliance regulations (internal and external).
**Desired Qualifications**
* Master’s degree in a related field.
* Project Management Professional (PMP) certification.
* Experience working with GSA Assisted Acquisition Service (AAS) and/or other Defense contract vehicles.
**Salary Range**
 Location: On\-site, not a remote position
**Benefits**
 VIGILINT is proud to offer a robust benefits package that includes health, dental, and vision insurance, short\-term and long\-term disability, AD\&amp;D insurance, Healthcare Flexible Spending Plan, 401(k), and paid time off.
 Equal Employment Opportunity Policy
 VIGILINT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109">
      <c r="A109" t="inlineStr">
        <is>
          <t>li-4354571731</t>
        </is>
      </c>
      <c r="B109" t="inlineStr">
        <is>
          <t>Project and Program Management - Program Manager Non Tech 2</t>
        </is>
      </c>
      <c r="C109" t="inlineStr">
        <is>
          <t>Apex Systems</t>
        </is>
      </c>
      <c r="D109" t="inlineStr">
        <is>
          <t>linkedin</t>
        </is>
      </c>
      <c r="E109">
        <f>HYPERLINK("https://www.linkedin.com/jobs/view/4354571731", "https://www.linkedin.com/jobs/view/4354571731")</f>
        <v/>
      </c>
      <c r="F109">
        <f>HYPERLINK("https://www.apexsystems.com/job/3015231_usa/project-and-program-management\u002d\u002d-program-manager-non-tech-2&amp;urlHash=zFEz", "https://www.apexsystems.com/job/3015231_usa/project-and-program-management\u002d\u002d-program-manager-non-tech-2&amp;urlHash=zFEz")</f>
        <v/>
      </c>
      <c r="G109" t="inlineStr"/>
      <c r="H109" t="inlineStr"/>
      <c r="I109" t="inlineStr">
        <is>
          <t>**Job\#: 3015231**
**Job Description:**
 Job Description: Program Manager Non\-Tech 2 – Research Operations
**Location:** 
 Microsoft – Remote
**Team Purpose:** 
 Supporting research and growth of Copilot within Microsoft’s suite of tools
 📌 Overview
 We are seeking a
 **Research Operations Program Manager** 
 to design, scale, and optimize global programs that amplify the impact of our world\-class UX Research team. This role is critical in removing barriers to great research by building operational systems, connecting teams and knowledge, managing customer feedback panels, and streamlining processes.
 You will collaborate closely with Research Managers and Researchers to lead strategic planning, manage complex projects, and connect resources to research needs. The ideal candidate thrives in ambiguity, drives operational excellence, and proactively identifies opportunities to leverage automation and AI to improve efficiency and impact.
 Our Research Operations Program Managers are expert problem\-solvers and relationship\-builders who combine strong organizational skills with a passion for enabling research at scale.
 🛠 Typical Day in the Role
* Purpose of the Team: Drive research and growth of Copilot across Microsoft’s tool suite.
+ Key Projects: Research program support
+ Stakeholder and supplier engagement
+ Managing research tools and infrastructure
 🎯 Key Responsibilities
 Program \&amp; Process Design
* Build and scale research programs that reduce friction and enhance researcher impact.
* Develop operational systems for Experience Reviews, Audits, and Customer Programs.
* Establish scheduling protocols, governance frameworks, and compliance processes.
* Manage and evolve the team’s visual identity and brand presence.
 Tools \&amp; Infrastructure
* Manage research technology stack (UserTesting, Qualtrics, dscout, Marvin, etc.).
* Oversee licensing, training, vendor relationships, and budget allocation.
* Evaluate and implement new tools, including AI\-driven solutions.
* Ensure compliance with best practices across research tools.
 Knowledge Management
* Create systems for organizing and sharing research insights.
* Maintain libraries of templates, guides, and best practices.
* Keep SharePoint pages current and implement tagging/search functionality.
 Stakeholder Engagement
* Partner with legal, procurement, and security teams to streamline approvals.
* Develop communication strategies for internal and external research updates.
* Scale research impact through enablement programs and community\-building.
* Ensure insights reach stakeholders via newsletters, SharePoint, and Teams channels.
 Onboarding, Project Allocation \&amp; Offboarding
* Facilitate onboarding for new hires and contractors (tool access, knowledge base orientation, process training).
* Manage offboarding processes to ensure smooth transitions and knowledge preservation.
* Negotiate contracts and manage vendor performance to ensure quality and cost\-effectiveness.
 📋 Candidate Requirements
 Disqualifiers
* Candidates leaning heavily toward business administration or purely technical PM roles without research operations experience will not be eligible.
 Best vs. Average Candidate
* Best: Deep experience in research operations, prior Microsoft experience (to reduce ramp\-up time), familiarity with user testing or similar research tools.
* Average: General PM background without specialized research operations expertise.
**Required**
 🎓 Qualifications
* Bachelor’s or Master’s degree in Design, HCI, UX, or related field (or equivalent experience).
* 3\+ years in research operations, user research, or related roles.
* Proven ability to build and scale operational systems and processes.
* Strong project management skills and experience with research tools.
* Understanding of research methodologies and lifecycle.
**Preferred**
* Experience in enterprise technology or high\-growth environments.
* Background in UX research or customer insights.
* Familiarity with legal, procurement, and compliance for research.
* Knowledge management and vendor negotiation experience.
* Awareness of AI and automation trends in research operations.
 💡 What We Value
* Resourceful, highly organized, and detail\-oriented.
* Strong leadership and collaboration skills.
* Ability to operate independently and embrace ambiguity.
* Passion for enabling research and driving impact at scale.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110">
      <c r="A110" t="inlineStr">
        <is>
          <t>li-4351282587</t>
        </is>
      </c>
      <c r="B110" t="inlineStr">
        <is>
          <t>Business Program Manager - School of Medicine, Graduate Medical Education</t>
        </is>
      </c>
      <c r="C110" t="inlineStr">
        <is>
          <t>Emory University</t>
        </is>
      </c>
      <c r="D110" t="inlineStr">
        <is>
          <t>linkedin</t>
        </is>
      </c>
      <c r="E110">
        <f>HYPERLINK("https://www.linkedin.com/jobs/view/4351282587", "https://www.linkedin.com/jobs/view/4351282587")</f>
        <v/>
      </c>
      <c r="F110">
        <f>HYPERLINK("https://staff-emory.icims.com/jobs/158372/business-program-manager\u002d\u002d-school-of-medicine,-graduate-medical-education/job?hub=13&amp;in_iframe=1&amp;mode=apply&amp;iis=LinkedIn&amp;urlHash=MrnA", "https://staff-emory.icims.com/jobs/158372/business-program-manager\u002d\u002d-school-of-medicine,-graduate-medical-education/job?hub=13&amp;in_iframe=1&amp;mode=apply&amp;iis=LinkedIn&amp;urlHash=MrnA")</f>
        <v/>
      </c>
      <c r="G110" t="inlineStr">
        <is>
          <t>Atlanta, GA</t>
        </is>
      </c>
      <c r="H110" t="inlineStr"/>
      <c r="I110" t="inlineStr">
        <is>
          <t>**Discover Your Career at Emory University**
 Emory University is a leading research university that fosters excellence and attracts world\-class talent to innovate today and prepare leaders for the future. We welcome candidates who can contribute to the excellence of our academic community.
**Description**
 JOB DESCRIPTION:
* Coordinates and directs departmental activities which may include the department's residency program, the transitional year program and/or other programs.
* Provides input into departmental objectives, especially those pertaining to the residency program.
* Interviews applicants and recommends candidates for admission to the residency program.
* Establishes and administers departmental policies and procedures pertaining to teaching requirements, course objectives, and course content in compliance with applicable regulations.
* Plans and develops courses for medical students, manages the course budget, negotiates with outside agencies to obtain funding and support for the course, and coordinates and administers the course throughout the academic year.
* Arranges, administers, and proctors certifying and sub\-specialty exams.
* Develops, administers and monitors intern, resident, and operating budgets.
* Collects and analyzes data to advise management of long range needs.
* May develop various communications materials/methodologies such as newsletter articles, memos, videotapes, workshops, brochures, and focus groups.
* Supervises staff.
* Performs related responsibilities as required.
 MINIMUM QUALIFICATIONS:
* A bachelor's degree in business administration or a related field and five years of professional business administration or management experience OR an equivalent combination of related experience.
 PREFERRED QUALIFICATIONS:
* Proven strong experience in HR and Payroll, preferably at Emory.
* Familiarity with FMLA and other HR policies.
* Knowledge on J\-1/H1B visa processing.
* Advanced Excel and Data Management/Analysis skills required.
* Prior supervision experience preferred.
* Exceptional problem\-solving, time management, organization, and customer\-service skills.
* Masters degree strongly preferred.
 NOTE: This role will be granted the opportunity to work from home regularly but must be able to commute to Emory University on a flexible weekly schedule based upon business needs.  Schedule is based on agreed upon guidelines of department. This role requires residency in the state of GA. Emory reserves the right to change remote work s tatus with notice to employee .
**Additional Details**
 Emory is an equal opportunity employer, and qualified applicants will receive consideration for employment without regard to race, color, religion, sex, national origin, disability, protected veteran status or other characteristics protected by state or federal law. Emory University does not discriminate in admissions, educational programs, or employment, including recruitment, hiring, promotions, transfers, discipline, terminations, wage and salary administration, benefits, and training. Students, faculty, and staff are assured of participation in university programs and in the use of facilities without such discrimination. Emory University complies with Section 503 of the Rehabilitation Act of 1973, the Vietnam Era Veteran's Readjustment Assistance Act, and applicable executive orders, federal and state regulations regarding nondiscrimination, equal opportunity, and affirmative action (for protected veterans and individuals with disabilities). Inquiries regarding this policy should be directed to the Emory University Department of Equity and Civil Rights Compliance, 201 Dowman Drive, Administration Building, Atlanta, GA 30322\. Telephone: 404\-727\-9867 (V) \| 404\-712\-2049 (TDD).
 Emory University is committed to ensuring equal access and providing reasonable accommodations to qualified individuals with disabilities upon request. To request this document in an alternate format or to seek a reasonable accommodation, please contact the Department of Accessibility Services at accessibility@emory.edu or call 404\-727\-9877 (Voice) \| 404\-712\-2049 (TDD). We kindly ask that requests be made at least seven business days in advance to allow adequate time for coordination.</t>
        </is>
      </c>
    </row>
    <row r="111">
      <c r="A111" t="inlineStr">
        <is>
          <t>li-4330241790</t>
        </is>
      </c>
      <c r="B111" t="inlineStr">
        <is>
          <t>Acquisition Program Manager</t>
        </is>
      </c>
      <c r="C111" t="inlineStr">
        <is>
          <t>Odyssey Systems</t>
        </is>
      </c>
      <c r="D111" t="inlineStr">
        <is>
          <t>linkedin</t>
        </is>
      </c>
      <c r="E111">
        <f>HYPERLINK("https://www.linkedin.com/jobs/view/4330241790", "https://www.linkedin.com/jobs/view/4330241790")</f>
        <v/>
      </c>
      <c r="F111" t="inlineStr"/>
      <c r="G111" t="inlineStr">
        <is>
          <t>Warner Robins, GA</t>
        </is>
      </c>
      <c r="H111" t="inlineStr"/>
      <c r="I111" t="inlineStr">
        <is>
          <t>**Position Summary**
 Odyssey has an exciting new opportunity for a
 **Acquisition Program Manager** 
 supporting EBUI. The Weapons Superiority Division, AFLCMC/EBUI, has responsibility for all development, acquisition, and sustainment activities for a portfolio of weapon systems. This role will play a vital part in the acquisition and sustainment of a vast array of Air Force (AF) conventional munitions, missiles and other related systems and subsystems.
* Contingent upon contract award\*\*\*
**Responsibilities**
 Duties include, but not limited to:
* Plan, evaluate and implement program acquisition strategies to meet DoD 5000\.2 guidance.
* Plan, research, analyze and assess system acquisition in terms of development, production and deployment of weapons systems and associated equipment; formulate plans; and recommend effective strategies in meeting cost, schedule, and performance objectives.
* Support and develop acquisition reports, including statutory and regulatory reports (e.g. DAES and MAR).
* Support program management reviews, senior level meeting/reviews and IMP/IMS reviews; develop various briefings/schedules of program status and acquisition tasks to senior management.
* Advise and assist the Government in performing source selection tasks, to include but not limited to, recommending evaluation areas, factors, sub\-factors, elements and criteria; developing and administering source selection documentation; developing and analyzing acquisition strategies; developing, reviewing and finalizing reports, summaries, memorandums and briefings necessary to the source selection process; conducting proposal evaluation in a non\-decision making role as an advisor (not an evaluator); analyzing and reviewing proposals; and preparing responses to the proposals.
* Develop, maintain, and update program risk management plans IAW the Risk Management Guide for DoD Acquisition, AFPAM 63\-128, and the Air Force Risk Identification Integration and Ilities (RI3\) Guidebook; facilitate program risk identification, risk analysis, risk handling and risk monitoring; executing program risk management boards, risk management working groups (or equivalent), and document results. This task includes analyzing weapon system prime contractor and subcontractor risk management processes.
* Support implementation and execution of Agile development and management processes in concert with Government and weapon system prime contractors
* Develop Business Case Analyses (IAW AFI 65\-509 and AFMAN 65\-510, or tailored), trade studies, any/all DoDI 5000\.02 acquisition milestone documents and briefings (including 2366a/b certification), program assessments, Analyses of Alternatives (AoA) study guidance, study plans and reports, programmatic Integrated Master Schedules (IMS), market research reports, Early Strategy and Issues Sessions (ESIS), and Acquisition Strategy Panel (ASP) briefings.
* Develop program management documentation to support all phases of the acquisition life cycle.
* Assist with planning and management of a product’s life cycle data requirements, which includes development and management of CDRLs and Data Item Descriptions (DIDs) and the use of databases to store and manage the data.
* Develop briefings to support acquisition decision milestones.
* Contingent upon contract award\*\*\*
**Qualifications**
**Citizenship: Must be a US citizen**
**Minimum Required Qualifications**
**Clearance** 
**:** 
 Secret
**Education And Years Of Experience**
* Associates Degree in a relevant discipline and at least 15 years of relevant experience; OR
* Bachelor's Degree in a relevant discipline and at least 10 years of relevant experience; OR
* Master's Degree in a relevant discipline and at least seven (7\) years of relevant experience
**Interpersonal Skills**
* Strong communication skills and ability to deliver information across all levels of the organization
* Works effectively with cross\-functional teams, including engineers, logisticians, and program managers
* Builds strong working relationships with DoD agencies, contractors, and joint service partners
* Applies critical thinking to assess program performance and recommend actionable solutions
* Evaluates data trends to support decision\-making and risk mitigation
* Responds effectively to changing program requirements, timelines, and priorities
* Maintains flexibility in a dynamic acquisition and sustainment environment
**Additional Information**
**Location:** 
 Robins AFB, Georgia
**Travel:** 
 10%
**Remote, Onsite, or Hybrid:** 
 Onsite
* Contingent upon contract award\*\*\*
**Company Overview**
**Odyssey Systems** 
 is a world\-class technical, engineering, and integration company serving the warfighting ecosystem with airborne integration, ISR, C2, and warfighter readiness capabilities. Odyssey meets the military’s operational needs by integrating layered defense systems from equipment, technology, and services to data, information, and business operations. We streamline defense acquisition and sustainment, engineering the technical battlefield with domain\-specific proficiency to ensure lethality. Odyssey is dedicated to excellent contract execution, peak organizational performance, and fostering a workplace built on employee care.
 Odyssey is proud to live out our core values of commitment, ambition, and respect in our work and communities through OdysseyCares , a philanthropic group focused on giving back through direct donations, an employer match program, and volunteering events.
**Please note** 
 : Final compensation for this position will be determined by various factors such as the Federal Government contract labor categories and contract wage rates, relevant work experience, specific skills and competencies, geographic location, education, and certifications.</t>
        </is>
      </c>
    </row>
    <row r="112">
      <c r="A112" t="inlineStr">
        <is>
          <t>li-4354551922</t>
        </is>
      </c>
      <c r="B112" t="inlineStr">
        <is>
          <t>Program Manager / Project Manager (Military Programs delivery)</t>
        </is>
      </c>
      <c r="C112" t="inlineStr">
        <is>
          <t>Butler Aerospace &amp; Defense</t>
        </is>
      </c>
      <c r="D112" t="inlineStr">
        <is>
          <t>linkedin</t>
        </is>
      </c>
      <c r="E112">
        <f>HYPERLINK("https://www.linkedin.com/jobs/view/4354551922", "https://www.linkedin.com/jobs/view/4354551922")</f>
        <v/>
      </c>
      <c r="F112" t="inlineStr"/>
      <c r="G112" t="inlineStr">
        <is>
          <t>Hartford County, CT</t>
        </is>
      </c>
      <c r="H112" t="inlineStr"/>
      <c r="I112" t="inlineStr">
        <is>
          <t>**Program Manager / Project Manager (Military Programs delivery)**
**Location: Windsor Locks, CT (06096\)**
**Job ID: \#71931**
**Pay Range: $35\-38**
**Pay based on experience** 
**US Citizen and US Permanent residents candidates permitted**
**Ed: Associates degree required**
**Shift: 1st shift M\-F 8a\-5p**
**All work is on\-site only** 
**THE COMPANY \- Work with one of the Largest American Owned Aerospace \&amp; Defense Companies.** 
**Job description** 
 Operations Lead (Onsite) \-
 **Looking for someone experienced in Program Manager or Project Management** 
 , delivery assurance that can effectively communicate to both the value stream and internal factory managers.
**Daily Tasks:** 
 \*
 **Ensure achievement of On\-Time Delivery to the Customer Request Date for military programs**
 o Obtain and validate delivery commits
 o Establish recovery plans
 o Support delivery assurance
 \* Play an active role on the manufacturing floor onsite
 o
 **Understanding material WIP \- Work in Progress** 
 positions and work with supervisors and managers to deliver product on time.
 o Provide detail line of balances with robust action of various production hardware to the customer facing team
 \* Inform the VSL of
 **significant delivery issues** 
 , including impact to the customer
 o Drive detail actions with suppliers and Company sites to recover delivery schedules for the program
 o Facilitate burndown of SRI (Supplier Requested Information) and FAI (First Article Inspection)
 o Support LTB
 **Last Time Buy** 
 or Material substitution activities to ensure component availability.
 o Provide inputs into the SIOP process
 \* Support the Product Value Streams in driving rate readiness assessments, identifying gaps, and driving action plans to maintain production capacity (labor, equipment, tooling) in alignment with the long and short\-term demand.
**\* Coordinate with Value Stream Leaders, Engineering, Quality \&amp; Supply Chain.**
**Other Requirements:** 
**\* US Citizen and US Person candidates permitted
 \* Education: Associates degree required
 \* 2yrs experience in Program Manager or Project Management**
**\* Preferred experience with On\-Time Delivery to the Customer Request Date for military and /or aerospace delivery programs
 \*** 
 SAP
**\* Tableau software or Microsoft Power BI, Qlik Sense, Looker, or Domo** 
**\*** 
 Microsoft Office
 \* PMP, PMI, CAPM, PMI\-ACP certifications are a plus but not required
**Benefits provided:** 
 401K, medical, dental, and vision, sick time as applicable to state law.
 Butler America Aerospace, LLC. is an equal opportunity employer. Butler evaluates applicants without regard to race, color, religion, sex, age, national origin, disability, veteran status, genetic information and other legally protected characteristics. The Butler America Aerospace, LLC. EEO Policy Statement and "Know Your Rights" Poster is available here: Applicant and Employee Notices.
 Butler America Aerospace, LLC. is committed to working with and providing reasonable accommodations to individuals with disabilities. If you need a reasonable accommodation because of a disability for any part of the employment process, please contact the Human Resources Department at
**Desired Skills and Experience**
 AA/AS degree \&amp; SAP \-Ops Lead (Onsite)\- experienced in Program or Project Mgt, delivery assurance, communicates to the value stream \&amp; internal factory mgr. On\-Time Delivery to Request Date for military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2026-01-05T05:37:08Z</dcterms:created>
  <dcterms:modified xsi:type="dcterms:W3CDTF">2026-01-05T05:37:08Z</dcterms:modified>
</cp:coreProperties>
</file>