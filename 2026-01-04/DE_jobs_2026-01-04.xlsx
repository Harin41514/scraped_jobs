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in-0330e9cea08a3bc7</t>
        </is>
      </c>
      <c r="B2" t="inlineStr">
        <is>
          <t>Data engineer</t>
        </is>
      </c>
      <c r="C2" t="inlineStr">
        <is>
          <t>Stacklogy</t>
        </is>
      </c>
      <c r="D2" t="inlineStr">
        <is>
          <t>indeed</t>
        </is>
      </c>
      <c r="E2" t="inlineStr"/>
      <c r="F2" t="inlineStr"/>
      <c r="G2" t="inlineStr">
        <is>
          <t>US</t>
        </is>
      </c>
      <c r="H2" s="2" t="n">
        <v>46025</v>
      </c>
      <c r="I2" t="inlineStr">
        <is>
          <t>**Qualification:**  
Master's Degree in Statistical Analytics, Data Science, or Bachelor's Degree in computer science engineering will be considered with at least three \- five years of applicable work experience
**Preferred Proficiency:**  
* Web development experience (AngularJS, D3\).
* Experience in a statistical programming language like R or Python; applied machine learning techniques including dimensionality reduction strategies, supervised/unsupervised classification and natural language processing frameworks.
* Experience in at least one data visualization tools (e.g. Tableau, QlikView) and data warehousing tools (e.g. Informatica) is preferred
**Huge Advantage:**  
* Building and scaling Machine Learning frameworks
* Hadoop (Hive, Spark, UDF's)
**Definite Plus:**  
* Web development experience (AngularJS, D3\).
**Experience:**  
* 5\+ years of relevant experience in one of the following areas: Data engineering, database engineering, business intelligence or business analytics.
* 5\+ years of hands\-on experience in writing complex, highly\-optimized SQL queries across large data sets.
* 2\+ years of experience in scripting languages like Python etc.
If you qualify for this position, please send your resume at hr@stacklogy.com Please bookmark this page to know more about job openings at Stacklogy.</t>
        </is>
      </c>
    </row>
    <row r="3">
      <c r="A3" t="inlineStr">
        <is>
          <t>in-5c03a06ce6958ea4</t>
        </is>
      </c>
      <c r="B3" t="inlineStr">
        <is>
          <t>Data Engineer</t>
        </is>
      </c>
      <c r="C3" t="inlineStr">
        <is>
          <t>Amazon.com</t>
        </is>
      </c>
      <c r="D3" t="inlineStr">
        <is>
          <t>indeed</t>
        </is>
      </c>
      <c r="E3" t="inlineStr"/>
      <c r="F3" t="inlineStr"/>
      <c r="G3" t="inlineStr">
        <is>
          <t>San Francisco, CA, US</t>
        </is>
      </c>
      <c r="H3" s="2" t="n">
        <v>46001</v>
      </c>
      <c r="I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
      <c r="A4" t="inlineStr">
        <is>
          <t>in-42482a0d19547e52</t>
        </is>
      </c>
      <c r="B4" t="inlineStr">
        <is>
          <t>Data Engineer</t>
        </is>
      </c>
      <c r="C4" t="inlineStr">
        <is>
          <t>Amazon.com</t>
        </is>
      </c>
      <c r="D4" t="inlineStr">
        <is>
          <t>indeed</t>
        </is>
      </c>
      <c r="E4" t="inlineStr"/>
      <c r="F4" t="inlineStr"/>
      <c r="G4" t="inlineStr">
        <is>
          <t>Seattle, WA, US</t>
        </is>
      </c>
      <c r="H4" s="2" t="n">
        <v>46001</v>
      </c>
      <c r="I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
      <c r="A5" t="inlineStr">
        <is>
          <t>in-2a6192809a706867</t>
        </is>
      </c>
      <c r="B5" t="inlineStr">
        <is>
          <t>Delivery Consultant - Data Engineer, Data and Machine Learning, WWPS US Federal</t>
        </is>
      </c>
      <c r="C5" t="inlineStr">
        <is>
          <t>Amazon Web Services</t>
        </is>
      </c>
      <c r="D5" t="inlineStr">
        <is>
          <t>indeed</t>
        </is>
      </c>
      <c r="E5" t="inlineStr"/>
      <c r="F5" t="inlineStr"/>
      <c r="G5" t="inlineStr">
        <is>
          <t>Arlington, VA, US</t>
        </is>
      </c>
      <c r="H5" s="2" t="n">
        <v>45991</v>
      </c>
      <c r="I5"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
      <c r="A6" t="inlineStr">
        <is>
          <t>in-ef820df1ec574323</t>
        </is>
      </c>
      <c r="B6" t="inlineStr">
        <is>
          <t>Delivery Consultant - Data Engineer, Data and Machine Learning, WWPS US Federal</t>
        </is>
      </c>
      <c r="C6" t="inlineStr">
        <is>
          <t>Amazon Web Services</t>
        </is>
      </c>
      <c r="D6" t="inlineStr">
        <is>
          <t>indeed</t>
        </is>
      </c>
      <c r="E6" t="inlineStr"/>
      <c r="F6" t="inlineStr"/>
      <c r="G6" t="inlineStr">
        <is>
          <t>Herndon, VA, US</t>
        </is>
      </c>
      <c r="H6" s="2" t="n">
        <v>45991</v>
      </c>
      <c r="I6"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in-dd18176986d7d74f</t>
        </is>
      </c>
      <c r="B7" t="inlineStr">
        <is>
          <t>Data Engineer III, ITA</t>
        </is>
      </c>
      <c r="C7" t="inlineStr">
        <is>
          <t>Amazon.com</t>
        </is>
      </c>
      <c r="D7" t="inlineStr">
        <is>
          <t>indeed</t>
        </is>
      </c>
      <c r="E7" t="inlineStr"/>
      <c r="F7" t="inlineStr"/>
      <c r="G7" t="inlineStr">
        <is>
          <t>Arlington, VA, US</t>
        </is>
      </c>
      <c r="H7" s="2" t="n">
        <v>45893</v>
      </c>
      <c r="I7" t="inlineStr">
        <is>
          <t>**DESCRIPTION**
---------------
Do you want a role with deep meaning and the ability to make a major impact? As part of Intelligent Talent Acquisition (ITA), you'll have the opportunity to reinvent the hiring process and deliver unprecedented scale, sophistication, and accuracy for Amazon Talent Acquisition operations. ITA is an industry\-leading people science and technology organization made up of scientists, engineers, analysts, product professionals and more, all with the shared goal of connecting the right people to the right jobs in a way that is fair and precise. Last year we delivered over 6 million online candidate assessments, and helped Amazon deliver billions of packages around the world by making it possible to hire hundreds of thousands of workers in the right quantity, at the right location and at exactly the right time. You’ll work on state\-of\-the\-art research, advanced software tools, new AI systems, and machine learning algorithms, leveraging Amazon's in\-house tech stack to bring innovative solutions to life. Join ITA in using technologies to transform the hiring landscape and make a meaningful difference in people's lives. Together, we can solve the world's toughest hiring problems.  
Key job responsibilities  
Data team builds the foundational data infrastructure and analytics tools that power Amazon's hiring decisions. We create secure, scalable solutions that enable teams across ITA to access and analyze recruitment data effectively while maintaining data integrity.  
Key job responsibilities  
* Architect and implement scalable, reliable data pipelines and infrastructure, supporting analytics at scale
* Design and enforce data modeling standards, lineage, and governance frameworks while ensuring secure, compliant solutions
* Lead technical design/code reviews, evaluate emerging technologies, and drive engineering best practices across development lifecycle
* Work closely with business owners, developers, BI Engineers and Data Scientists to deliver scalable solutions enabling teams to access and analyze data effectively
* Mentor junior engineers, foster technical excellence, and empower team self\-service capabilities for handling complex data tasks independently
**BASIC QUALIFICATIONS**
------------------------
* 5\+ years of data engineering experience
* Experience with data modeling, warehousing and building ETL pipelines
* Experience with SQL
* Experience in at least one modern scripting or programming language, such as Python, Java, Scala, or NodeJS
* Experience mentoring team members on best practices
* Experience building modern cloud based data platforms for AI/ML and analytics usecases
**PREFERRED QUALIFICATIONS**
----------------------------
* Experience with big data technologies such as: Hadoop, Hive, Spark, EMR
* Experience operating large data warehouses
* Knowledge of professional software engineering \&amp; best practices for full software development life cycle, including coding standards, software architectures, code reviews, source control management, continuous deployments, testing, and operational excellence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$139,100/year in our lowest geographic market up to $240,500/year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in-e59c71995556f423</t>
        </is>
      </c>
      <c r="B8" t="inlineStr">
        <is>
          <t>Data Engineer III, ITA</t>
        </is>
      </c>
      <c r="C8" t="inlineStr">
        <is>
          <t>Amazon.com</t>
        </is>
      </c>
      <c r="D8" t="inlineStr">
        <is>
          <t>indeed</t>
        </is>
      </c>
      <c r="E8" t="inlineStr"/>
      <c r="F8" t="inlineStr"/>
      <c r="G8" t="inlineStr">
        <is>
          <t>Seattle, WA, US</t>
        </is>
      </c>
      <c r="H8" s="2" t="n">
        <v>45893</v>
      </c>
      <c r="I8" t="inlineStr">
        <is>
          <t>**DESCRIPTION**
---------------
Do you want a role with deep meaning and the ability to make a major impact? As part of Intelligent Talent Acquisition (ITA), you'll have the opportunity to reinvent the hiring process and deliver unprecedented scale, sophistication, and accuracy for Amazon Talent Acquisition operations. ITA is an industry\-leading people science and technology organization made up of scientists, engineers, analysts, product professionals and more, all with the shared goal of connecting the right people to the right jobs in a way that is fair and precise. Last year we delivered over 6 million online candidate assessments, and helped Amazon deliver billions of packages around the world by making it possible to hire hundreds of thousands of workers in the right quantity, at the right location and at exactly the right time. You’ll work on state\-of\-the\-art research, advanced software tools, new AI systems, and machine learning algorithms, leveraging Amazon's in\-house tech stack to bring innovative solutions to life. Join ITA in using technologies to transform the hiring landscape and make a meaningful difference in people's lives. Together, we can solve the world's toughest hiring problems.  
Key job responsibilities  
Data team builds the foundational data infrastructure and analytics tools that power Amazon's hiring decisions. We create secure, scalable solutions that enable teams across ITA to access and analyze recruitment data effectively while maintaining data integrity.  
Key job responsibilities  
* Architect and implement scalable, reliable data pipelines and infrastructure, supporting analytics at scale
* Design and enforce data modeling standards, lineage, and governance frameworks while ensuring secure, compliant solutions
* Lead technical design/code reviews, evaluate emerging technologies, and drive engineering best practices across development lifecycle
* Work closely with business owners, developers, BI Engineers and Data Scientists to deliver scalable solutions enabling teams to access and analyze data effectively
* Mentor junior engineers, foster technical excellence, and empower team self\-service capabilities for handling complex data tasks independently
**BASIC QUALIFICATIONS**
------------------------
* 5\+ years of data engineering experience
* Experience with data modeling, warehousing and building ETL pipelines
* Experience with SQL
* Experience in at least one modern scripting or programming language, such as Python, Java, Scala, or NodeJS
* Experience mentoring team members on best practices
* Experience building modern cloud based data platforms for AI/ML and analytics usecases
**PREFERRED QUALIFICATIONS**
----------------------------
* Experience with big data technologies such as: Hadoop, Hive, Spark, EMR
* Experience operating large data warehouses
* Knowledge of professional software engineering \&amp; best practices for full software development life cycle, including coding standards, software architectures, code reviews, source control management, continuous deployments, testing, and operational excellence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$139,100/year in our lowest geographic market up to $240,500/year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in-890a0c946ded55ab</t>
        </is>
      </c>
      <c r="B9" t="inlineStr">
        <is>
          <t>Data Engineer</t>
        </is>
      </c>
      <c r="C9" t="inlineStr">
        <is>
          <t>Amazon.com</t>
        </is>
      </c>
      <c r="D9" t="inlineStr">
        <is>
          <t>indeed</t>
        </is>
      </c>
      <c r="E9" t="inlineStr"/>
      <c r="F9" t="inlineStr"/>
      <c r="G9" t="inlineStr">
        <is>
          <t>San Francisco, CA, US</t>
        </is>
      </c>
      <c r="H9" s="2" t="n">
        <v>46001</v>
      </c>
      <c r="I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in-c7b7c14a58dd188b</t>
        </is>
      </c>
      <c r="B10" t="inlineStr">
        <is>
          <t>Data Engineer</t>
        </is>
      </c>
      <c r="C10" t="inlineStr">
        <is>
          <t>Amazon.com</t>
        </is>
      </c>
      <c r="D10" t="inlineStr">
        <is>
          <t>indeed</t>
        </is>
      </c>
      <c r="E10" t="inlineStr"/>
      <c r="F10" t="inlineStr"/>
      <c r="G10" t="inlineStr">
        <is>
          <t>Seattle, WA, US</t>
        </is>
      </c>
      <c r="H10" s="2" t="n">
        <v>46001</v>
      </c>
      <c r="I1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in-84c16005c6a1624b</t>
        </is>
      </c>
      <c r="B11" t="inlineStr">
        <is>
          <t>Delivery Consultant - Data Engineer, Data and Machine Learning, WWPS US Federal</t>
        </is>
      </c>
      <c r="C11" t="inlineStr">
        <is>
          <t>Amazon Web Services</t>
        </is>
      </c>
      <c r="D11" t="inlineStr">
        <is>
          <t>indeed</t>
        </is>
      </c>
      <c r="E11" t="inlineStr"/>
      <c r="F11" t="inlineStr"/>
      <c r="G11" t="inlineStr">
        <is>
          <t>Arlington, VA, US</t>
        </is>
      </c>
      <c r="H11" s="2" t="n">
        <v>45991</v>
      </c>
      <c r="I11"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in-4f88af843ec1a8a2</t>
        </is>
      </c>
      <c r="B12" t="inlineStr">
        <is>
          <t>Delivery Consultant - Data Engineer, Data and Machine Learning, WWPS US Federal</t>
        </is>
      </c>
      <c r="C12" t="inlineStr">
        <is>
          <t>Amazon Web Services</t>
        </is>
      </c>
      <c r="D12" t="inlineStr">
        <is>
          <t>indeed</t>
        </is>
      </c>
      <c r="E12" t="inlineStr"/>
      <c r="F12" t="inlineStr"/>
      <c r="G12" t="inlineStr">
        <is>
          <t>Herndon, VA, US</t>
        </is>
      </c>
      <c r="H12" s="2" t="n">
        <v>45991</v>
      </c>
      <c r="I12"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in-0cd1191272d05cf7</t>
        </is>
      </c>
      <c r="B13" t="inlineStr">
        <is>
          <t>Data Engineer III, ITA</t>
        </is>
      </c>
      <c r="C13" t="inlineStr">
        <is>
          <t>Amazon.com</t>
        </is>
      </c>
      <c r="D13" t="inlineStr">
        <is>
          <t>indeed</t>
        </is>
      </c>
      <c r="E13" t="inlineStr"/>
      <c r="F13" t="inlineStr"/>
      <c r="G13" t="inlineStr">
        <is>
          <t>Seattle, WA, US</t>
        </is>
      </c>
      <c r="H13" s="2" t="n">
        <v>45893</v>
      </c>
      <c r="I13" t="inlineStr">
        <is>
          <t>**DESCRIPTION**
---------------
Do you want a role with deep meaning and the ability to make a major impact? As part of Intelligent Talent Acquisition (ITA), you'll have the opportunity to reinvent the hiring process and deliver unprecedented scale, sophistication, and accuracy for Amazon Talent Acquisition operations. ITA is an industry\-leading people science and technology organization made up of scientists, engineers, analysts, product professionals and more, all with the shared goal of connecting the right people to the right jobs in a way that is fair and precise. Last year we delivered over 6 million online candidate assessments, and helped Amazon deliver billions of packages around the world by making it possible to hire hundreds of thousands of workers in the right quantity, at the right location and at exactly the right time. You’ll work on state\-of\-the\-art research, advanced software tools, new AI systems, and machine learning algorithms, leveraging Amazon's in\-house tech stack to bring innovative solutions to life. Join ITA in using technologies to transform the hiring landscape and make a meaningful difference in people's lives. Together, we can solve the world's toughest hiring problems.  
Key job responsibilities  
Data team builds the foundational data infrastructure and analytics tools that power Amazon's hiring decisions. We create secure, scalable solutions that enable teams across ITA to access and analyze recruitment data effectively while maintaining data integrity.  
Key job responsibilities  
* Architect and implement scalable, reliable data pipelines and infrastructure, supporting analytics at scale
* Design and enforce data modeling standards, lineage, and governance frameworks while ensuring secure, compliant solutions
* Lead technical design/code reviews, evaluate emerging technologies, and drive engineering best practices across development lifecycle
* Work closely with business owners, developers, BI Engineers and Data Scientists to deliver scalable solutions enabling teams to access and analyze data effectively
* Mentor junior engineers, foster technical excellence, and empower team self\-service capabilities for handling complex data tasks independently
**BASIC QUALIFICATIONS**
------------------------
* 5\+ years of data engineering experience
* Experience with data modeling, warehousing and building ETL pipelines
* Experience with SQL
* Experience in at least one modern scripting or programming language, such as Python, Java, Scala, or NodeJS
* Experience mentoring team members on best practices
* Experience building modern cloud based data platforms for AI/ML and analytics usecases
**PREFERRED QUALIFICATIONS**
----------------------------
* Experience with big data technologies such as: Hadoop, Hive, Spark, EMR
* Experience operating large data warehouses
* Knowledge of professional software engineering \&amp; best practices for full software development life cycle, including coding standards, software architectures, code reviews, source control management, continuous deployments, testing, and operational excellence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$139,100/year in our lowest geographic market up to $240,500/year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in-e7b822811d9b3171</t>
        </is>
      </c>
      <c r="B14" t="inlineStr">
        <is>
          <t>Data Engineer III, ITA</t>
        </is>
      </c>
      <c r="C14" t="inlineStr">
        <is>
          <t>Amazon.com</t>
        </is>
      </c>
      <c r="D14" t="inlineStr">
        <is>
          <t>indeed</t>
        </is>
      </c>
      <c r="E14" t="inlineStr"/>
      <c r="F14" t="inlineStr"/>
      <c r="G14" t="inlineStr">
        <is>
          <t>Arlington, VA, US</t>
        </is>
      </c>
      <c r="H14" s="2" t="n">
        <v>45893</v>
      </c>
      <c r="I14" t="inlineStr">
        <is>
          <t>**DESCRIPTION**
---------------
Do you want a role with deep meaning and the ability to make a major impact? As part of Intelligent Talent Acquisition (ITA), you'll have the opportunity to reinvent the hiring process and deliver unprecedented scale, sophistication, and accuracy for Amazon Talent Acquisition operations. ITA is an industry\-leading people science and technology organization made up of scientists, engineers, analysts, product professionals and more, all with the shared goal of connecting the right people to the right jobs in a way that is fair and precise. Last year we delivered over 6 million online candidate assessments, and helped Amazon deliver billions of packages around the world by making it possible to hire hundreds of thousands of workers in the right quantity, at the right location and at exactly the right time. You’ll work on state\-of\-the\-art research, advanced software tools, new AI systems, and machine learning algorithms, leveraging Amazon's in\-house tech stack to bring innovative solutions to life. Join ITA in using technologies to transform the hiring landscape and make a meaningful difference in people's lives. Together, we can solve the world's toughest hiring problems.  
Key job responsibilities  
Data team builds the foundational data infrastructure and analytics tools that power Amazon's hiring decisions. We create secure, scalable solutions that enable teams across ITA to access and analyze recruitment data effectively while maintaining data integrity.  
Key job responsibilities  
* Architect and implement scalable, reliable data pipelines and infrastructure, supporting analytics at scale
* Design and enforce data modeling standards, lineage, and governance frameworks while ensuring secure, compliant solutions
* Lead technical design/code reviews, evaluate emerging technologies, and drive engineering best practices across development lifecycle
* Work closely with business owners, developers, BI Engineers and Data Scientists to deliver scalable solutions enabling teams to access and analyze data effectively
* Mentor junior engineers, foster technical excellence, and empower team self\-service capabilities for handling complex data tasks independently
**BASIC QUALIFICATIONS**
------------------------
* 5\+ years of data engineering experience
* Experience with data modeling, warehousing and building ETL pipelines
* Experience with SQL
* Experience in at least one modern scripting or programming language, such as Python, Java, Scala, or NodeJS
* Experience mentoring team members on best practices
* Experience building modern cloud based data platforms for AI/ML and analytics usecases
**PREFERRED QUALIFICATIONS**
----------------------------
* Experience with big data technologies such as: Hadoop, Hive, Spark, EMR
* Experience operating large data warehouses
* Knowledge of professional software engineering \&amp; best practices for full software development life cycle, including coding standards, software architectures, code reviews, source control management, continuous deployments, testing, and operational excellence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$139,100/year in our lowest geographic market up to $240,500/year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in-b5e7b1f66e978836</t>
        </is>
      </c>
      <c r="B15" t="inlineStr">
        <is>
          <t>Senior Data Engineer</t>
        </is>
      </c>
      <c r="C15" t="inlineStr">
        <is>
          <t>Hasbro, Inc.</t>
        </is>
      </c>
      <c r="D15" t="inlineStr">
        <is>
          <t>indeed</t>
        </is>
      </c>
      <c r="E15" t="inlineStr"/>
      <c r="F15" t="inlineStr"/>
      <c r="G15" t="inlineStr">
        <is>
          <t>Pawtucket, RI, US</t>
        </is>
      </c>
      <c r="H15" s="2" t="n">
        <v>46025</v>
      </c>
      <c r="I15" t="inlineStr">
        <is>
          <t>At Hasbro, our mission is to entertain and connect generations of fans through the wonder of storytelling and exhilaration of play. We’re looking for adventurous and curious people who want to explore, experiment, and innovate to come up with the best ideas. Our culture has inspired our diverse team of highly skilled, highly creative, and highly committed individuals for 100 years and we believe the best is yet to come.
Do you have a passion for data? Then we are looking for you! We have an opportunity for a Senior Data Engineer to join our high\-visibility Analytics team that is helping Hasbro better reach consumers with compelling products and entertainment! In this role use your talents in software engineering, analytics cloud platforms and business collaboration to expand our rich analytics data ecosystem. This Sr. Data Engineer will bring deep knowledge and hands\-on experience working with cloud data platform technologies such as Azure, AWS, Google and scripting language like Python.
 **A day in the life as a Sr. Data Engineer:**
* Design, develop and optimize the data pipelines and transformations to enable analytics insights.
* Participate in the design, architecture, and implementation of data\-engineering platform infrastructure.
* Champion engineering excellence, including software design patterns, code reviews, and automated unit/functional testing.
* Collaborate with product managers, data scientists, and data analysts in an open, creative, and agile environment.
**What you'll bring:**
----------------------
* 5\+ years of hands\-on experience in developing and deploying data architecture strategies or engineering practices.
* Demonstrated ability with complex SQL queries and knowledge of database technologies.
* Proficiency in integrating AI solutions into new and existing technologies to improve efficiency, streamline operations, and elevate the consumer experience is required.
* Self\-starter with a passion and curiosity for solving unstructured data problems and ability to manipulate and optimize large data sets.
* Knowledge of metadata management, data lineage, and principles of data governance.
* Experience with streaming data management.
* Excellent written and verbal communication skills – experience working with business and senior leaders.
* Bachelor’s or master’s degree in Computer Science, Information Systems, or a related field, with equivalent experience accepted.
Location: Pawtucket, RI (Office will relocate to Boston Fall of 2026\)
**We are an Equal Opportunity**
Hasbro is committed to equality of opportunity in all aspects of employment. We are committed to making all employment decisions without regard to race, color, religion, sex, sexual orientation, gender identity or expression, national origin, age, marital status, or any other legally protected status.
We will ensure that individuals with disabilities are provided reasonable accommodation to participate in the job application or interview process, to perform essential job functions, and to receive other benefits and privileges of employment. If you have a disability and require assistance in this application process and need to request an accommodation, please contact your recruiter or coordinator.
The base salary range for this position is $120,300\.00 to $180,500\.00\. The hiring range will vary based on factors such as experience, skills, location and market conditions. Additionally, employees may be eligible for annual and long\-term incentives as part of their overall compensation package.
Our Comprehensive Benefits Package Includes:
* Health \&amp; Wellness: Medical, Dental, and Vision Insurance
* Time Off to Recharge: Paid Vacation \&amp; Holidays
* Financial Well\-being: Generous 401(k) Match
* Life \&amp; Family Support: Paid Parental Leave
* Giving Back: Volunteer \&amp; Employee Giving Programs
* Level Up Your Skills: Tuition Reimbursement
* Exclusive Perks: Product Discounts \&amp; More!</t>
        </is>
      </c>
    </row>
    <row r="16">
      <c r="A16" t="inlineStr">
        <is>
          <t>in-4edd4a1ae0a7ceba</t>
        </is>
      </c>
      <c r="B16" t="inlineStr">
        <is>
          <t>Data Engineer</t>
        </is>
      </c>
      <c r="C16" t="inlineStr">
        <is>
          <t>Hasbro, Inc.</t>
        </is>
      </c>
      <c r="D16" t="inlineStr">
        <is>
          <t>indeed</t>
        </is>
      </c>
      <c r="E16" t="inlineStr"/>
      <c r="F16" t="inlineStr"/>
      <c r="G16" t="inlineStr">
        <is>
          <t>Renton, WA, US</t>
        </is>
      </c>
      <c r="H16" s="2" t="n">
        <v>46026</v>
      </c>
      <c r="I16" t="inlineStr">
        <is>
          <t>At Hasbro, our mission is to entertain and connect generations of fans through the wonder of storytelling and exhilaration of play. We’re looking for adventurous and curious people who want to explore, experiment, and innovate to come up with the best ideas. Our culture has inspired our diverse team of highly skilled, highly creative, and highly committed individuals for 100 years and we believe the best is yet to come.
Are you passionate about data? Then we want to hear from you! We have an opening for a Data Engineer to become part of our high\-profile Analytics group that is helping Hasbro connect more effectively with consumers through engaging products and entertainment. In this position, apply your skills in software engineering, cloud\-based analytics platforms, and working with business partners to grow our comprehensive analytics data ecosystem.
What You'll Do
In the role of Data Engineer at Hasbro, you will:
* Build highly scalable, reliable, and performant pipelines. These pipelines consume, integrate, and analyze large volumes of complex data using various proprietary and open\-source platforms and tools.
* Collaborate with engineers, producers, business partners, and analysts to elicit, translate, and prescribe requirements for their needs.
* Stay ahead of the technology curve and make recommendations about technologies to build current and future products.
* Support the progression of technology solutions from conception through release and into live operations.
* Implement processes, procedures, and documentation standards to ensure compliance with internal Technology and Corporate IT regulations.
What You'll Bring
* 3\+ years of experience working with cloud data platforms like Redshift, Databricks, and Snowflake (Snowflake Preferred).
* More than one year of background working with Cloud Technologies (AWS preferred).
* Proficiency in Python and SQL.
* Background in data warehousing, data quality, and monitoring.
* Experience building scalable data pipelines and ETL processes.
* Experience working in a DevOps environment.
* Experience in managing data streams (KAFKA preferred).
* Experience integrating AI solutions into new and existing technologies to improve efficiency, streamline operations, and elevate the consumer experience.
* Bachelor’s degree or master’s degree or equivalent experience in computer science, Information Systems, or a related field.
Nice\-to\-Have Skills
* Experience integrating with third\-party APIs.
* Experience with data pipeline orchestration tools such as Airflow.
* Familiarity with an Agile workflow environment.
Why Join Us
At Hasbro, you will work within an ambitious group where collaboration and fresh ideas fuel our efforts. Our goal is to offer outstanding products and experiences that deliver happiness to our consumers. Joining us means you can contribute to world\-class projects, grow your career, and be part of a company that prizes inclusion, inventiveness, and flawless delivery. Join us and help develop the future of play and entertainment!
**We are an Equal Opportunity / Affirmative Action Employer**
Hasbro is committed to equality of opportunity in all aspects of employment. We are committed to making all employment decisions without regard to race, color, religion, sex, sexual orientation, gender identity or expression, national origin, age, marital status, or any other legally protected status.
We will ensure that individuals with disabilities are provided reasonable accommodation to participate in the job application or interview process, to perform essential job functions, and to receive other benefits and privileges of employment. If you have a disability and require assistance in this application process and need to request an accommodation, please contact your recruiter or coordinator.
The base salary range for this position is $124,800\.00 to $157,200\.00\. The hiring range will vary based on factors such as experience, skills, location and market conditions. Additionally, employees may be eligible for annual and long\-term incentives as part of their overall compensation package.
Our Comprehensive Benefits Package Includes:
* Health \&amp; Wellness: Medical, Dental, and Vision Insurance
* Time Off to Recharge: Paid Vacation \&amp; Holidays
* Financial Well\-being: Generous 401(k) Match
* Life \&amp; Family Support: Paid Parental Leave
* Giving Back: Volunteer \&amp; Employee Giving Programs
* Level Up Your Skills: Tuition Reimbursement
* Exclusive Perks: Product Discounts \&amp; More!</t>
        </is>
      </c>
    </row>
    <row r="17">
      <c r="A17" t="inlineStr">
        <is>
          <t>in-4fc1bb278bab4e77</t>
        </is>
      </c>
      <c r="B17" t="inlineStr">
        <is>
          <t>Nevly Money Rent Advance Engineering Team - Data Engineer (Level II)</t>
        </is>
      </c>
      <c r="C17" t="inlineStr">
        <is>
          <t>Nevly Holdings Corp.</t>
        </is>
      </c>
      <c r="D17" t="inlineStr">
        <is>
          <t>indeed</t>
        </is>
      </c>
      <c r="E17" t="inlineStr"/>
      <c r="F17" t="inlineStr"/>
      <c r="G17" t="inlineStr">
        <is>
          <t>Washington, DC, US</t>
        </is>
      </c>
      <c r="H17" s="2" t="n">
        <v>46026</v>
      </c>
      <c r="I17" t="inlineStr">
        <is>
          <t>**About the Company**
We believe each of us deserves the opportunity to get all that we can from our money. Since 2022, Nevly has been on a mission to design and build products that empowered every individual to do just that. We are rapidly innovating \- pushing boundaries, experimenting boldly, and continuously learning \- to create solutions centered around tackling the most challenging aspects of financial health with a focus on elevating the human experience.
As we continue on this journey we keep focus on the fact that two things are essential to our success: our people and our culture. We value talented people who are passionate about solving extremely hard problems and who possess an unwavering level of empathy for those we are charged with serving. We embrace a culture of experimentation and one that focuses on continuous improvement and learning.
Nevly can best be defined by collaborative, trusting, thought\-provoking, outcome\-driven environments inside of a forward\-thinking organization that looks to push boundaries. One that encourages diversity of thought and creative solutions that are in the best interests of our customers.
**About the Role**
Nevly is seeking a data engineer (the “**Data Engineer**” or the “**Role**”) to join its Nevly Money Rent Advance (the “**Product**”) team (the “**Product** **Team**”), which is focused on designing, building and delivering the Product including its set of proprietary underwriting models. The Data Engineer will be responsible for designing, constructing, and maintaining scalable data pipelines and architectures. This role will involve working closely with data scientists, analysts, and other stakeholders to ensure that data is accessible and usable for decision\-making processes.
**Position Responsibilities:**
* Develop and maintain scalable data pipelines to support data ingestion and processing.
* Design and implement data storage solutions that ensure data integrity and accessibility.
* Collaborate with a cross\-functional team including machine learning developers, data scientists and data analysts, to understand data requirements and provide necessary data sets.
* Monitor system performance and troubleshoot data\-related issues to ensure optimal functionality.
* Implement data governance and security practices to protect sensitive information.
* Optimize data delivery and processes to improve performance and reduce latency.
* Document data workflows, architecture and processes for future reference and compliance.
* Stay up to date with the latest industry trends and technologies to continually improve data related practices.
 **Position Requirements:**
* Proficiency in programming languages such as Python, Typescript and Scala.
* Deep experience with data lakehouse solutions as well as AWS Step Functions (Glue, Glue Crawler and Glue Data Catalog); Amazon S3; Athena; Quick Sight and Sage Maker.
* Strong knowledge of SQL and large\-scale database management systems.
* Deep prior experience with ETL processes and tools.
* Prior experience as a data engineer with a preference given to prior experience developing big data machine learning \| AI services.
* Excellent problem\-solving skills and attention to detail.
* Strong written and verbal communication skills.
* Ability to work independently and manage time effectively in a fast\-paced environment.
* BSc in Computer Science, Mathematics or similar discipline; Master’s degree is a plus.
 **Compensation Package and Other Benefits:**
Nevly offers a competitive base salary and discretionary bonus based on performance and also provides a generous benefits package to its team members:
* Health, Dental \&amp; Vision
* Fertility Benefits
* Professional Development Fund
* Relocation Benefits
* Paid Parental Leave
* Paid Time Off
* Compassionate Sick and Bereavement Leave
* Volunteering Days
* Employee Referral Program
* Monthly Commuter Stipend
Role Type: Full Time
Base Salary Range: $157,300 \- $200,200
***Important Notice for Candidates***
*Job scams are on the rise. Please keep these guidelines in mind when applying for any open roles.*
* ***Only apply through official Nevly channels****. We don’t use any third\-party services or platforms for our recruitment.*
* ***Always double\-check the emails you receive***. Make sure all communications are being done through official Nevly emails, with an @nevly.com domain.
* ***We won't ask for payment or personal financial information during the hiring process***. If anyone does ask you for this, it’s a scam. Report it immediately.</t>
        </is>
      </c>
    </row>
    <row r="18">
      <c r="A18" t="inlineStr">
        <is>
          <t>in-58e8b3430020a513</t>
        </is>
      </c>
      <c r="B18" t="inlineStr">
        <is>
          <t>Data Engineer</t>
        </is>
      </c>
      <c r="C18" t="inlineStr">
        <is>
          <t>Sumitomo Group</t>
        </is>
      </c>
      <c r="D18" t="inlineStr">
        <is>
          <t>indeed</t>
        </is>
      </c>
      <c r="E18" t="inlineStr"/>
      <c r="F18" t="inlineStr"/>
      <c r="G18" t="inlineStr">
        <is>
          <t>Charlotte, NC, US</t>
        </is>
      </c>
      <c r="H18" s="2" t="n">
        <v>46025</v>
      </c>
      <c r="I18" t="inlineStr">
        <is>
          <t>SMBC Group is a top\-tier global financial group. Headquartered in Tokyo and with a 400\-year history, SMBC Group offers a diverse range of financial services, including banking, leasing, securities, credit cards, and consumer finance. The Group has more than 130 offices and 80,000 employees worldwide in nearly 40 countries. Sumitomo Mitsui Financial Group, Inc. (SMFG) is the holding company of SMBC Group, which is one of the three largest banking groups in Japan. SMFG’s shares trade on the Tokyo, Nagoya, and New York (NYSE: SMFG) stock exchanges.
In the Americas, SMBC Group has a presence in the US, Canada, Mexico, Brazil, Chile, Colombia, and Peru. Backed by the capital strength of SMBC Group and the value of its relationships in Asia, the Group offers a range of commercial and investment banking services to its corporate, institutional, and municipal clients. It connects a diverse client base to local markets and the organization’s extensive global network. The Group’s operating companies in the Americas include Sumitomo Mitsui Banking Corp. (SMBC), SMBC Nikko Securities America, Inc., SMBC Capital Markets, Inc., SMBC MANUBANK, JRI America, Inc., SMBC Leasing and Finance, Inc., Banco Sumitomo Mitsui Brasileiro S.A., and Sumitomo Mitsui Finance and Leasing Co., Ltd.
**SUMMARY:**
------------
The Data Engineer designs, develops, and collaborates with a team of Azure Databricks and Actimize specialists, partnering with external vendors to deliver compliance and surveillance solutions. This role is critical to maintaining and enhancing the bank’s fraud detection and prevention platform, ensuring adherence to risk management, legal, and regulatory obligations.
You will combine deep technical expertise in data engineering with strong development skills to customize and optimize the Databricks platform. You will build scalable data pipelines, implement workflows, write custom rules and logic, and troubleshoot complex issues. You will work closely with business units and technical teams to deliver enhancements, perform upgrades, and provide on\-call production support in a highly transactional environment.
**PRINCIPAL DUTIES \&amp; RESPONSIBILITIES:**
-----------------------------------------
* + Design and develop code and configurations for Azure Databricks and Actimize applications, ensuring alignment with business and technical requirements.
	+ Build and optimize data integration pipelines for ingestion, transformation, and storage using Databricks and Azure Data Lake.
	+ Conduct detailed analysis of requirements, incidents, and process flows; prepare clear technical documentation for development and implementation.
	+ Troubleshoot and resolve issues across environments, performing root cause analysis to improve reliability and prevent recurrence.
	+ Deliver timely, high\-quality solutions and production support to maintain compliance and customer satisfaction.
	+ Communicate effectively with business users, support teams, vendors, and stakeholders to ensure transparency throughout the project lifecycle.
	+ Manage multiple projects and tasks simultaneously, balancing priorities in a fast\-paced environment.
	+ Develop and execute unit and integration test cases to validate changes and releases.
	+ Coordinate and perform system upgrades in collaboration with end users and technical teams.
	+ Act as an escalation point for complex production issues, ensuring minimal business impact.
	+ Participate in system implementations and go\-lives, including occasional evening or weekend support for deployments.
	+ Collaborate with cross\-functional teams to resolve high\-priority incidents and contribute to post\-implementation reviews and continuous improvement efforts.
**JOB SPECIFICATIONS:**
-----------------------
* + 5\+ years of experience implementing enterprise technologies or vendor platforms.
	+ Bachelor’s degree in Computer Science or related field preferred.
	+ Core Technologies: Azure Databricks, Azure Data Lake, Python, Power BI, Power Apps, SQL Server, Oracle/PL\-SQL, SQL stored procedures, Actimize (preferred)
	+ Proven experience in IT development, system design, integration, and data analysis across complex environments.
	+ Strong understanding of relational and SQL database platforms, with proficiency in Oracle or similar technologies.
	+ Familiarity with surveillance and corporate compliance systems.
	+ Ability to manage and prioritize multiple tasks independently in a dynamic environment.
	+ Strong analytical and problem\-solving skills with a focus on innovation and efficiency.
SMBC’s employees participate in a Hybrid workforce model that provides employees with an opportunity to work from home, as well as, from an SMBC office. SMBC requires that employees live within a reasonable commuting distance of their office location. Prospective candidates will learn more about their specific hybrid work schedule during their interview process. Hybrid work may not be permitted for certain roles, including, for example, certain FINRA\-registered roles for which in\-office attendance for the entire workweek is required.
SMBC provides reasonable accommodations during candidacy for applicants with disabilities consistent with applicable federal, state, and local law. If you need a reasonable accommodation during the application process, please let us know at accommodations@smbcgroup.com.</t>
        </is>
      </c>
    </row>
    <row r="19">
      <c r="A19" t="inlineStr">
        <is>
          <t>in-3f5872173d915d2e</t>
        </is>
      </c>
      <c r="B19" t="inlineStr">
        <is>
          <t>SENIOR DATA ENGINEER (REMOTE)</t>
        </is>
      </c>
      <c r="C19" t="inlineStr">
        <is>
          <t>Morrison Healthcare</t>
        </is>
      </c>
      <c r="D19" t="inlineStr">
        <is>
          <t>indeed</t>
        </is>
      </c>
      <c r="E19" t="inlineStr"/>
      <c r="F19" t="inlineStr"/>
      <c r="G19" t="inlineStr">
        <is>
          <t>IL, US</t>
        </is>
      </c>
      <c r="H19" s="2" t="n">
        <v>45966</v>
      </c>
      <c r="I19" t="inlineStr">
        <is>
          <t>**Salary:** $130000\-$140000 (to commensurate with experience)
We are Compass Digital—the digital and technology arm of Compass Group North America. We build and scale digital products and technologies to exceed the expectations of our guests and clients. Backed by research, we create remarkable user experiences with increased choice and convenience. We offer end\-to\-end solutions, simultaneously boosting sales and guest satisfaction.
Compass Digital was developed from within Compass Group, focusing on driving transformation and innovation in the hospitality spaces across Business \&amp; Industry, Education, and Healthcare. We power digital in the hospitality experience, ensuring that each touchpoint is optimized for guest satisfaction while leveraging data to achieve additional outcomes.
We are fully integrated into Compass Group, proudly serving its’ various clients through scalable, cutting\-edge technologies and solutions.
**Job Summary:**
----------------
We are looking for a hands\-on, collaborative Senior Data Engineer. In this role, you will have the chance to build pipelines that will deliver data solutions primarily to Levy, our restaurants and stadium sector. You will help bring best practices to the team while working with a collaborative group of data stewards. As a Senior Data Engineer, you will complete POCs, manage your time without oversight to complete tasks, and be a vocal contributor to team decisions. We are using a tech stack of primarily Snowflake and dbt, with other AWS services as needed. This role will also involve completing the scoping \&amp; discovery of the requirements of the business, identifying dependencies, and communicating those to all parties.
If you have a git repository, we would be excited to see it!
**Responsibilities:**
---------------------
* Lead the design, development, and deployment of scalable, resilient data pipelines using Snowflake, dbt, AWS, Fivetran, and other engineering tools.
* Own and deliver technically complex, cross\-functional data projects aligned with quarterly goals, navigating ambiguity with autonomy.
* Collaborate with reporting, analytics, and data science teams to understand business needs, data sources, and define requirements.
* Shape and influence architectural decisions, contribute to roadmap development, and champion best practices for ETL and engineering excellence.
* Gather, enrich, and transform data to drive actionable insights, ensuring infrastructure changes are well\-documented and pipelines are robust and performant.
* Drive high standards for data and software quality through code reviews, documentation, and implementation of scalable, reusable solutions.
* Mentor junior engineers and apprentices, providing technical guidance, modeling craft, and fostering a culture of growth and inclusion.
* Proactively identify gaps in the data platform, recommend technical solutions, and advocate for improvements that enhance long\-term sustainability.
* Support testing efforts by defining and validating criteria aligned with business expectations, ensuring future\-proofed deliverables.
* Facilitate business alignment by clearly communicating the value and design of data solutions, incorporating user feedback to iterate.
* Collaborate with third\-party vendors and cross\-functional stakeholders to scope requirements and deliver value across teams.
* Take ownership of operational issues, proactively respond to incidents, and build safeguards that improve system resilience.
* Act as a strategic partner—breaking down complex projects into executable phases, setting realistic goals, and delivering customer impact.
* Participate in interviews and team\-building efforts, helping to hire and level up a diverse, high\-performing engineering team.
* Maintain awareness of Compass Group’s organizational structure and priorities, aligning data solutions to broader business goals.
**Qualifications:**
-------------------
* Bachelor’s degree in Computer Science, Information Systems, Analytics, or related field
* 3 – 5 years of experience in ETL or Data Engineering role, building and implementing data pipelines
* AWS Data Engineering Certification, AWS Solution Architect Associate Certification, Snowpro Certification or similar
* Solid understanding of data structures and data warehouses
* Strong skills with SQL with the ability to write efficient queries
* Previous experience working in a highly collaborative environment
* Highly self\-motivated and directed with an attention to detail
* Experience designing pipelines with event driven architecture
* Experience working in AWS
* Experience working with Snowflake and dbt
* Experience managing tickets in Azure DevOps or similar
* Experience in Agile software development
* Strong communication skills with the business \&amp; technical teams
 **Preferred Skills:**
* Experience in DevOps and CI/CD technologies and methodologies
* AWS Security best practices
* Hospitality knowledge/experience a plus
**Apply to Compass Group today!**
**Click here to Learn More about the Compass Story**
 **Compass Group is an equal opportunity employer. At Compass, we are committed to treating all Applicants and Associates fairly based on their abilities, achievements, and experience without regard to race, national origin, sex, age, disability, veteran status, sexual orientation, gender identity, or any other classification protected by law.**
**Qualified candidates must be able to perform the essential functions of this position satisfactorily with or without a reasonable accommodation. Disclaimer: this job post is not necessarily an exhaustive list of all essential responsibilities, skills, tasks, or requirements associated with this position. While this is intended to be an accurate reflection of the position posted, the Company reserves the right to modify or change the essential functions of the job based on business necessity. We will consider for employment all qualified applicants, including those with a criminal history (including relevant driving history), in a manner consistent with all applicable federal, state, and local laws, including the City of Los Angeles’ Fair Chance Initiative for Hiring Ordinance, the San Francisco Fair Chance Ordinance, and the New York Fair Chance Act.**
Compass Digital maintains a drug\-free workplace.
Applications are accepted on an ongoing basis.
 **Associates at Corporate are offered many fantastic benefits.**
* Medical
* Dental
* Vision
* Life Insurance/ AD
* Disability Insurance
* Retirement Plan
* Paid Time Off
* Holiday Time Off (varies by site/state)
* Associate Shopping Program
* Health and Wellness Programs
* Discount Marketplace
* Identity Theft Protection
* Pet Insurance
* Commuter Benefits
* Employee Assistance Program
* Flexible Spending Accounts (FSAs)
* Paid Parental Leave
* Personal Leave
Associates may also be eligible for paid and/or unpaid time off benefits in accordance with applicable federal, state, and local laws. For positions in Washington State, Maryland, or to be performed Remotely, click here for paid time off benefits information.
**Req ID:** 1479669
Compass Digital
Bankston B Williams</t>
        </is>
      </c>
    </row>
    <row r="20">
      <c r="A20" t="inlineStr">
        <is>
          <t>in-b5e7b1f66e978836</t>
        </is>
      </c>
      <c r="B20" t="inlineStr">
        <is>
          <t>Senior Data Engineer</t>
        </is>
      </c>
      <c r="C20" t="inlineStr">
        <is>
          <t>Hasbro, Inc.</t>
        </is>
      </c>
      <c r="D20" t="inlineStr">
        <is>
          <t>indeed</t>
        </is>
      </c>
      <c r="E20">
        <f>HYPERLINK("https://www.indeed.com/viewjob?jk=b5e7b1f66e978836", "https://www.indeed.com/viewjob?jk=b5e7b1f66e978836")</f>
        <v/>
      </c>
      <c r="F20">
        <f>HYPERLINK("https://jobs.hasbro.com/job/Pawtucket-Senior-Data-Engineer-Rhod-02862/1340739600/?feedId=4&amp;utm_source=Indeed", "https://jobs.hasbro.com/job/Pawtucket-Senior-Data-Engineer-Rhod-02862/1340739600/?feedId=4&amp;utm_source=Indeed")</f>
        <v/>
      </c>
      <c r="G20" t="inlineStr">
        <is>
          <t>Pawtucket, RI, US</t>
        </is>
      </c>
      <c r="H20" s="3" t="n">
        <v>46025</v>
      </c>
      <c r="I20" t="inlineStr">
        <is>
          <t>At Hasbro, our mission is to entertain and connect generations of fans through the wonder of storytelling and exhilaration of play. We’re looking for adventurous and curious people who want to explore, experiment, and innovate to come up with the best ideas. Our culture has inspired our diverse team of highly skilled, highly creative, and highly committed individuals for 100 years and we believe the best is yet to come.
Do you have a passion for data? Then we are looking for you! We have an opportunity for a Senior Data Engineer to join our high\-visibility Analytics team that is helping Hasbro better reach consumers with compelling products and entertainment! In this role use your talents in software engineering, analytics cloud platforms and business collaboration to expand our rich analytics data ecosystem. This Sr. Data Engineer will bring deep knowledge and hands\-on experience working with cloud data platform technologies such as Azure, AWS, Google and scripting language like Python.
 **A day in the life as a Sr. Data Engineer:**
* Design, develop and optimize the data pipelines and transformations to enable analytics insights.
* Participate in the design, architecture, and implementation of data\-engineering platform infrastructure.
* Champion engineering excellence, including software design patterns, code reviews, and automated unit/functional testing.
* Collaborate with product managers, data scientists, and data analysts in an open, creative, and agile environment.
**What you'll bring:**
----------------------
* 5\+ years of hands\-on experience in developing and deploying data architecture strategies or engineering practices.
* Demonstrated ability with complex SQL queries and knowledge of database technologies.
* Proficiency in integrating AI solutions into new and existing technologies to improve efficiency, streamline operations, and elevate the consumer experience is required.
* Self\-starter with a passion and curiosity for solving unstructured data problems and ability to manipulate and optimize large data sets.
* Knowledge of metadata management, data lineage, and principles of data governance.
* Experience with streaming data management.
* Excellent written and verbal communication skills – experience working with business and senior leaders.
* Bachelor’s or master’s degree in Computer Science, Information Systems, or a related field, with equivalent experience accepted.
Location: Pawtucket, RI (Office will relocate to Boston Fall of 2026\)
**We are an Equal Opportunity**
Hasbro is committed to equality of opportunity in all aspects of employment. We are committed to making all employment decisions without regard to race, color, religion, sex, sexual orientation, gender identity or expression, national origin, age, marital status, or any other legally protected status.
We will ensure that individuals with disabilities are provided reasonable accommodation to participate in the job application or interview process, to perform essential job functions, and to receive other benefits and privileges of employment. If you have a disability and require assistance in this application process and need to request an accommodation, please contact your recruiter or coordinator.
The base salary range for this position is $120,300\.00 to $180,500\.00\. The hiring range will vary based on factors such as experience, skills, location and market conditions. Additionally, employees may be eligible for annual and long\-term incentives as part of their overall compensation package.
Our Comprehensive Benefits Package Includes:
* Health \&amp; Wellness: Medical, Dental, and Vision Insurance
* Time Off to Recharge: Paid Vacation \&amp; Holidays
* Financial Well\-being: Generous 401(k) Match
* Life \&amp; Family Support: Paid Parental Leave
* Giving Back: Volunteer \&amp; Employee Giving Programs
* Level Up Your Skills: Tuition Reimbursement
* Exclusive Perks: Product Discounts \&amp; More!</t>
        </is>
      </c>
    </row>
    <row r="21">
      <c r="A21" t="inlineStr">
        <is>
          <t>in-4edd4a1ae0a7ceba</t>
        </is>
      </c>
      <c r="B21" t="inlineStr">
        <is>
          <t>Data Engineer</t>
        </is>
      </c>
      <c r="C21" t="inlineStr">
        <is>
          <t>Hasbro, Inc.</t>
        </is>
      </c>
      <c r="D21" t="inlineStr">
        <is>
          <t>indeed</t>
        </is>
      </c>
      <c r="E21">
        <f>HYPERLINK("https://www.indeed.com/viewjob?jk=4edd4a1ae0a7ceba", "https://www.indeed.com/viewjob?jk=4edd4a1ae0a7ceba")</f>
        <v/>
      </c>
      <c r="F21">
        <f>HYPERLINK("https://jobs.hasbro.com/job/Renton-Data-Engineer-Wash-98056/1347912700/?feedId=4&amp;utm_source=Indeed", "https://jobs.hasbro.com/job/Renton-Data-Engineer-Wash-98056/1347912700/?feedId=4&amp;utm_source=Indeed")</f>
        <v/>
      </c>
      <c r="G21" t="inlineStr">
        <is>
          <t>Renton, WA, US</t>
        </is>
      </c>
      <c r="H21" s="3" t="n">
        <v>46026</v>
      </c>
      <c r="I21" t="inlineStr">
        <is>
          <t>At Hasbro, our mission is to entertain and connect generations of fans through the wonder of storytelling and exhilaration of play. We’re looking for adventurous and curious people who want to explore, experiment, and innovate to come up with the best ideas. Our culture has inspired our diverse team of highly skilled, highly creative, and highly committed individuals for 100 years and we believe the best is yet to come.
Are you passionate about data? Then we want to hear from you! We have an opening for a Data Engineer to become part of our high\-profile Analytics group that is helping Hasbro connect more effectively with consumers through engaging products and entertainment. In this position, apply your skills in software engineering, cloud\-based analytics platforms, and working with business partners to grow our comprehensive analytics data ecosystem.
What You'll Do
In the role of Data Engineer at Hasbro, you will:
* Build highly scalable, reliable, and performant pipelines. These pipelines consume, integrate, and analyze large volumes of complex data using various proprietary and open\-source platforms and tools.
* Collaborate with engineers, producers, business partners, and analysts to elicit, translate, and prescribe requirements for their needs.
* Stay ahead of the technology curve and make recommendations about technologies to build current and future products.
* Support the progression of technology solutions from conception through release and into live operations.
* Implement processes, procedures, and documentation standards to ensure compliance with internal Technology and Corporate IT regulations.
What You'll Bring
* 3\+ years of experience working with cloud data platforms like Redshift, Databricks, and Snowflake (Snowflake Preferred).
* More than one year of background working with Cloud Technologies (AWS preferred).
* Proficiency in Python and SQL.
* Background in data warehousing, data quality, and monitoring.
* Experience building scalable data pipelines and ETL processes.
* Experience working in a DevOps environment.
* Experience in managing data streams (KAFKA preferred).
* Experience integrating AI solutions into new and existing technologies to improve efficiency, streamline operations, and elevate the consumer experience.
* Bachelor’s degree or master’s degree or equivalent experience in computer science, Information Systems, or a related field.
Nice\-to\-Have Skills
* Experience integrating with third\-party APIs.
* Experience with data pipeline orchestration tools such as Airflow.
* Familiarity with an Agile workflow environment.
Why Join Us
At Hasbro, you will work within an ambitious group where collaboration and fresh ideas fuel our efforts. Our goal is to offer outstanding products and experiences that deliver happiness to our consumers. Joining us means you can contribute to world\-class projects, grow your career, and be part of a company that prizes inclusion, inventiveness, and flawless delivery. Join us and help develop the future of play and entertainment!
**We are an Equal Opportunity / Affirmative Action Employer**
Hasbro is committed to equality of opportunity in all aspects of employment. We are committed to making all employment decisions without regard to race, color, religion, sex, sexual orientation, gender identity or expression, national origin, age, marital status, or any other legally protected status.
We will ensure that individuals with disabilities are provided reasonable accommodation to participate in the job application or interview process, to perform essential job functions, and to receive other benefits and privileges of employment. If you have a disability and require assistance in this application process and need to request an accommodation, please contact your recruiter or coordinator.
The base salary range for this position is $124,800\.00 to $157,200\.00\. The hiring range will vary based on factors such as experience, skills, location and market conditions. Additionally, employees may be eligible for annual and long\-term incentives as part of their overall compensation package.
Our Comprehensive Benefits Package Includes:
* Health \&amp; Wellness: Medical, Dental, and Vision Insurance
* Time Off to Recharge: Paid Vacation \&amp; Holidays
* Financial Well\-being: Generous 401(k) Match
* Life \&amp; Family Support: Paid Parental Leave
* Giving Back: Volunteer \&amp; Employee Giving Programs
* Level Up Your Skills: Tuition Reimbursement
* Exclusive Perks: Product Discounts \&amp; More!</t>
        </is>
      </c>
    </row>
    <row r="22">
      <c r="A22" t="inlineStr">
        <is>
          <t>in-58e8b3430020a513</t>
        </is>
      </c>
      <c r="B22" t="inlineStr">
        <is>
          <t>Data Engineer</t>
        </is>
      </c>
      <c r="C22" t="inlineStr">
        <is>
          <t>Sumitomo Group</t>
        </is>
      </c>
      <c r="D22" t="inlineStr">
        <is>
          <t>indeed</t>
        </is>
      </c>
      <c r="E22">
        <f>HYPERLINK("https://www.indeed.com/viewjob?jk=58e8b3430020a513", "https://www.indeed.com/viewjob?jk=58e8b3430020a513")</f>
        <v/>
      </c>
      <c r="F22">
        <f>HYPERLINK("https://careers.smbcgroup.com/smbc/job/Charlotte-Data-Engineer-NC-28202/1332312000/?feedId=392100&amp;utm_source=Indeed&amp;utm_campaign=SMBC_Indeed", "https://careers.smbcgroup.com/smbc/job/Charlotte-Data-Engineer-NC-28202/1332312000/?feedId=392100&amp;utm_source=Indeed&amp;utm_campaign=SMBC_Indeed")</f>
        <v/>
      </c>
      <c r="G22" t="inlineStr">
        <is>
          <t>Charlotte, NC, US</t>
        </is>
      </c>
      <c r="H22" s="3" t="n">
        <v>46025</v>
      </c>
      <c r="I22" t="inlineStr">
        <is>
          <t>SMBC Group is a top\-tier global financial group. Headquartered in Tokyo and with a 400\-year history, SMBC Group offers a diverse range of financial services, including banking, leasing, securities, credit cards, and consumer finance. The Group has more than 130 offices and 80,000 employees worldwide in nearly 40 countries. Sumitomo Mitsui Financial Group, Inc. (SMFG) is the holding company of SMBC Group, which is one of the three largest banking groups in Japan. SMFG’s shares trade on the Tokyo, Nagoya, and New York (NYSE: SMFG) stock exchanges.
In the Americas, SMBC Group has a presence in the US, Canada, Mexico, Brazil, Chile, Colombia, and Peru. Backed by the capital strength of SMBC Group and the value of its relationships in Asia, the Group offers a range of commercial and investment banking services to its corporate, institutional, and municipal clients. It connects a diverse client base to local markets and the organization’s extensive global network. The Group’s operating companies in the Americas include Sumitomo Mitsui Banking Corp. (SMBC), SMBC Nikko Securities America, Inc., SMBC Capital Markets, Inc., SMBC MANUBANK, JRI America, Inc., SMBC Leasing and Finance, Inc., Banco Sumitomo Mitsui Brasileiro S.A., and Sumitomo Mitsui Finance and Leasing Co., Ltd.
**SUMMARY:**
------------
The Data Engineer designs, develops, and collaborates with a team of Azure Databricks and Actimize specialists, partnering with external vendors to deliver compliance and surveillance solutions. This role is critical to maintaining and enhancing the bank’s fraud detection and prevention platform, ensuring adherence to risk management, legal, and regulatory obligations.
You will combine deep technical expertise in data engineering with strong development skills to customize and optimize the Databricks platform. You will build scalable data pipelines, implement workflows, write custom rules and logic, and troubleshoot complex issues. You will work closely with business units and technical teams to deliver enhancements, perform upgrades, and provide on\-call production support in a highly transactional environment.
**PRINCIPAL DUTIES \&amp; RESPONSIBILITIES:**
-----------------------------------------
* + Design and develop code and configurations for Azure Databricks and Actimize applications, ensuring alignment with business and technical requirements.
	+ Build and optimize data integration pipelines for ingestion, transformation, and storage using Databricks and Azure Data Lake.
	+ Conduct detailed analysis of requirements, incidents, and process flows; prepare clear technical documentation for development and implementation.
	+ Troubleshoot and resolve issues across environments, performing root cause analysis to improve reliability and prevent recurrence.
	+ Deliver timely, high\-quality solutions and production support to maintain compliance and customer satisfaction.
	+ Communicate effectively with business users, support teams, vendors, and stakeholders to ensure transparency throughout the project lifecycle.
	+ Manage multiple projects and tasks simultaneously, balancing priorities in a fast\-paced environment.
	+ Develop and execute unit and integration test cases to validate changes and releases.
	+ Coordinate and perform system upgrades in collaboration with end users and technical teams.
	+ Act as an escalation point for complex production issues, ensuring minimal business impact.
	+ Participate in system implementations and go\-lives, including occasional evening or weekend support for deployments.
	+ Collaborate with cross\-functional teams to resolve high\-priority incidents and contribute to post\-implementation reviews and continuous improvement efforts.
**JOB SPECIFICATIONS:**
-----------------------
* + 5\+ years of experience implementing enterprise technologies or vendor platforms.
	+ Bachelor’s degree in Computer Science or related field preferred.
	+ Core Technologies: Azure Databricks, Azure Data Lake, Python, Power BI, Power Apps, SQL Server, Oracle/PL\-SQL, SQL stored procedures, Actimize (preferred)
	+ Proven experience in IT development, system design, integration, and data analysis across complex environments.
	+ Strong understanding of relational and SQL database platforms, with proficiency in Oracle or similar technologies.
	+ Familiarity with surveillance and corporate compliance systems.
	+ Ability to manage and prioritize multiple tasks independently in a dynamic environment.
	+ Strong analytical and problem\-solving skills with a focus on innovation and efficiency.
SMBC’s employees participate in a Hybrid workforce model that provides employees with an opportunity to work from home, as well as, from an SMBC office. SMBC requires that employees live within a reasonable commuting distance of their office location. Prospective candidates will learn more about their specific hybrid work schedule during their interview process. Hybrid work may not be permitted for certain roles, including, for example, certain FINRA\-registered roles for which in\-office attendance for the entire workweek is required.
SMBC provides reasonable accommodations during candidacy for applicants with disabilities consistent with applicable federal, state, and local law. If you need a reasonable accommodation during the application process, please let us know at accommodations@smbcgroup.com.</t>
        </is>
      </c>
    </row>
    <row r="23">
      <c r="A23" t="inlineStr">
        <is>
          <t>in-3f5872173d915d2e</t>
        </is>
      </c>
      <c r="B23" t="inlineStr">
        <is>
          <t>SENIOR DATA ENGINEER (REMOTE)</t>
        </is>
      </c>
      <c r="C23" t="inlineStr">
        <is>
          <t>Morrison Healthcare</t>
        </is>
      </c>
      <c r="D23" t="inlineStr">
        <is>
          <t>indeed</t>
        </is>
      </c>
      <c r="E23">
        <f>HYPERLINK("https://www.indeed.com/viewjob?jk=3f5872173d915d2e", "https://www.indeed.com/viewjob?jk=3f5872173d915d2e")</f>
        <v/>
      </c>
      <c r="F23">
        <f>HYPERLINK("https://apply-v3.jobsync.io/indeed/r-app/b1ba15e8c13da03a36a206d54c70078192c2c9d7f540c1160e890678/", "https://apply-v3.jobsync.io/indeed/r-app/b1ba15e8c13da03a36a206d54c70078192c2c9d7f540c1160e890678/")</f>
        <v/>
      </c>
      <c r="G23" t="inlineStr">
        <is>
          <t>IL, US</t>
        </is>
      </c>
      <c r="H23" s="3" t="n">
        <v>45966</v>
      </c>
      <c r="I23" t="inlineStr">
        <is>
          <t>**Salary:** $130000\-$140000 (to commensurate with experience)
We are Compass Digital—the digital and technology arm of Compass Group North America. We build and scale digital products and technologies to exceed the expectations of our guests and clients. Backed by research, we create remarkable user experiences with increased choice and convenience. We offer end\-to\-end solutions, simultaneously boosting sales and guest satisfaction.
Compass Digital was developed from within Compass Group, focusing on driving transformation and innovation in the hospitality spaces across Business \&amp; Industry, Education, and Healthcare. We power digital in the hospitality experience, ensuring that each touchpoint is optimized for guest satisfaction while leveraging data to achieve additional outcomes.
We are fully integrated into Compass Group, proudly serving its’ various clients through scalable, cutting\-edge technologies and solutions.
**Job Summary:**
----------------
We are looking for a hands\-on, collaborative Senior Data Engineer. In this role, you will have the chance to build pipelines that will deliver data solutions primarily to Levy, our restaurants and stadium sector. You will help bring best practices to the team while working with a collaborative group of data stewards. As a Senior Data Engineer, you will complete POCs, manage your time without oversight to complete tasks, and be a vocal contributor to team decisions. We are using a tech stack of primarily Snowflake and dbt, with other AWS services as needed. This role will also involve completing the scoping \&amp; discovery of the requirements of the business, identifying dependencies, and communicating those to all parties.
If you have a git repository, we would be excited to see it!
**Responsibilities:**
---------------------
* Lead the design, development, and deployment of scalable, resilient data pipelines using Snowflake, dbt, AWS, Fivetran, and other engineering tools.
* Own and deliver technically complex, cross\-functional data projects aligned with quarterly goals, navigating ambiguity with autonomy.
* Collaborate with reporting, analytics, and data science teams to understand business needs, data sources, and define requirements.
* Shape and influence architectural decisions, contribute to roadmap development, and champion best practices for ETL and engineering excellence.
* Gather, enrich, and transform data to drive actionable insights, ensuring infrastructure changes are well\-documented and pipelines are robust and performant.
* Drive high standards for data and software quality through code reviews, documentation, and implementation of scalable, reusable solutions.
* Mentor junior engineers and apprentices, providing technical guidance, modeling craft, and fostering a culture of growth and inclusion.
* Proactively identify gaps in the data platform, recommend technical solutions, and advocate for improvements that enhance long\-term sustainability.
* Support testing efforts by defining and validating criteria aligned with business expectations, ensuring future\-proofed deliverables.
* Facilitate business alignment by clearly communicating the value and design of data solutions, incorporating user feedback to iterate.
* Collaborate with third\-party vendors and cross\-functional stakeholders to scope requirements and deliver value across teams.
* Take ownership of operational issues, proactively respond to incidents, and build safeguards that improve system resilience.
* Act as a strategic partner—breaking down complex projects into executable phases, setting realistic goals, and delivering customer impact.
* Participate in interviews and team\-building efforts, helping to hire and level up a diverse, high\-performing engineering team.
* Maintain awareness of Compass Group’s organizational structure and priorities, aligning data solutions to broader business goals.
**Qualifications:**
-------------------
* Bachelor’s degree in Computer Science, Information Systems, Analytics, or related field
* 3 – 5 years of experience in ETL or Data Engineering role, building and implementing data pipelines
* AWS Data Engineering Certification, AWS Solution Architect Associate Certification, Snowpro Certification or similar
* Solid understanding of data structures and data warehouses
* Strong skills with SQL with the ability to write efficient queries
* Previous experience working in a highly collaborative environment
* Highly self\-motivated and directed with an attention to detail
* Experience designing pipelines with event driven architecture
* Experience working in AWS
* Experience working with Snowflake and dbt
* Experience managing tickets in Azure DevOps or similar
* Experience in Agile software development
* Strong communication skills with the business \&amp; technical teams
 **Preferred Skills:**
* Experience in DevOps and CI/CD technologies and methodologies
* AWS Security best practices
* Hospitality knowledge/experience a plus
**Apply to Compass Group today!**
**Click here to Learn More about the Compass Story**
 **Compass Group is an equal opportunity employer. At Compass, we are committed to treating all Applicants and Associates fairly based on their abilities, achievements, and experience without regard to race, national origin, sex, age, disability, veteran status, sexual orientation, gender identity, or any other classification protected by law.**
**Qualified candidates must be able to perform the essential functions of this position satisfactorily with or without a reasonable accommodation. Disclaimer: this job post is not necessarily an exhaustive list of all essential responsibilities, skills, tasks, or requirements associated with this position. While this is intended to be an accurate reflection of the position posted, the Company reserves the right to modify or change the essential functions of the job based on business necessity. We will consider for employment all qualified applicants, including those with a criminal history (including relevant driving history), in a manner consistent with all applicable federal, state, and local laws, including the City of Los Angeles’ Fair Chance Initiative for Hiring Ordinance, the San Francisco Fair Chance Ordinance, and the New York Fair Chance Act.**
Compass Digital maintains a drug\-free workplace.
Applications are accepted on an ongoing basis.
 **Associates at Corporate are offered many fantastic benefits.**
* Medical
* Dental
* Vision
* Life Insurance/ AD
* Disability Insurance
* Retirement Plan
* Paid Time Off
* Holiday Time Off (varies by site/state)
* Associate Shopping Program
* Health and Wellness Programs
* Discount Marketplace
* Identity Theft Protection
* Pet Insurance
* Commuter Benefits
* Employee Assistance Program
* Flexible Spending Accounts (FSAs)
* Paid Parental Leave
* Personal Leave
Associates may also be eligible for paid and/or unpaid time off benefits in accordance with applicable federal, state, and local laws. For positions in Washington State, Maryland, or to be performed Remotely, click here for paid time off benefits information.
**Req ID:** 1479669
Compass Digital
Bankston B Williams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5"/>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li-4354372442</t>
        </is>
      </c>
      <c r="B2" t="inlineStr">
        <is>
          <t>Data Engineer</t>
        </is>
      </c>
      <c r="C2" t="inlineStr">
        <is>
          <t>Calyptus</t>
        </is>
      </c>
      <c r="D2" t="inlineStr">
        <is>
          <t>linkedin</t>
        </is>
      </c>
      <c r="E2" t="inlineStr"/>
      <c r="F2" t="inlineStr"/>
      <c r="G2" t="inlineStr">
        <is>
          <t>New York, United States</t>
        </is>
      </c>
      <c r="H2" t="inlineStr"/>
      <c r="I2" t="inlineStr">
        <is>
          <t>**Want to put your job search on autopilot? Join our platform, complete a 6\-minute AI screening interview, and get auto\-applied to 100s of high\-paying roles.** 
**Sign up now at https://app.calyptus.co/auth/candidate/sign\-up and let the opportunities come to you.** 
 \_\_\_\_\_\_\_\_\_\_\_\_\_\_\_\_\_\_\_\_\_\_\_\_\_\_\_\_\_\_\_\_\_\_\_\_\_\_\_\_\_\_\_\_\_\_\_\_\_\_\_\_\_\_\_\_\_\_\_\_
**Responsibilities** 
* Build reliable pipelines to ingest on\-chain data into ClickHouse (or similar OLAP systems)
* Interact with Solana full nodes or RPC infrastructure to extract raw blockchain data
* Design and maintain dashboards to visualize key metrics
* Maintain data accuracy, uptime, and performance of analytics services
* Extract and process validator performance metrics and staking rewards data
**Requirements** 
* Deep familiarity with ClickHouse, Grafana, or equivalent data/visualization stacks
* 3\+ years of experience with Python and shell scripting
* 2\+ years of experience with Rust
* Experience with blockchain indexers or off\-chain data APIs
* Bonus: Understanding of Solana's account model, transaction structure, and program architecture
 \_\_\_\_\_\_\_\_\_\_\_\_\_\_\_\_\_\_\_\_\_\_\_\_\_\_\_\_\_\_\_\_\_\_\_\_\_\_\_\_\_\_\_\_\_\_\_\_\_\_\_\_\_\_\_\_\_\_\_\_
**Want to put your job search on autopilot? Join our platform, complete a 6\-minute AI screening interview, and get auto\-applied to 100s of high\-paying roles.** 
**Sign up now at https://app.calyptus.co/auth/candidate/sign\-up and let the opportunities come to you.**</t>
        </is>
      </c>
    </row>
    <row r="3">
      <c r="A3" t="inlineStr">
        <is>
          <t>li-4333261202</t>
        </is>
      </c>
      <c r="B3" t="inlineStr">
        <is>
          <t>Data Engineer</t>
        </is>
      </c>
      <c r="C3" t="inlineStr">
        <is>
          <t>ICE</t>
        </is>
      </c>
      <c r="D3" t="inlineStr">
        <is>
          <t>linkedin</t>
        </is>
      </c>
      <c r="E3" t="inlineStr"/>
      <c r="F3" t="inlineStr"/>
      <c r="G3" t="inlineStr">
        <is>
          <t>Atlanta, GA</t>
        </is>
      </c>
      <c r="H3" t="inlineStr"/>
      <c r="I3" t="inlineStr">
        <is>
          <t>**Overview**
**Job Purpose**
 We're seeking a talented Data Engineer to join ICE Data Services in a cross\-cutting role that will help define and implement our next\-generation data platform. In this pivotal position, you'll lead the design and implementation of scalable, self\-service data pipelines with a strong emphasis on data quality and governance. This is an opportunity to shape our data engineering practice from the ground up, working directly with key stakeholders to build mission\-critical ML and AI data workflows.
 You'll be working with a modern, on\-premises data stack that includes:
* Apache Airflow for workflow orchestration (self\-hosted on Kubernetes)
* dbt for data transformation and testing
* Apache Flink for stream processing and real\-time data workflows
* Kubernetes for containerized deployment and scaling
* Git\-based version control and CI/CD for data pipelines
* Oracle Exadata for data warehousing
* Kafka for messaging and event streaming
 We emphasize building systems that are maintainable, scalable, and focused on enabling self\-service data access while maintaining high standards for data quality and governance.
 The ideal candidate is a problem\-solver who enjoys working on complex data systems and is passionate about data quality. You thrive in collaborative environments but can also work independently to deliver solutions. You're comfortable working directly with technical and non\-technical stakeholders and can communicate complex technical concepts clearly. Most importantly, you're excited about creating systems that empower others to work with data efficiently and confidently.
**Responsibilities**
* Design, build, and maintain our on\-premises data orchestration platform using Apache Airflow, dbt, and Apache Flink
* Create self\-service capabilities that empower teams across the organization to build and deploy data pipelines without extensive engineering support
* Implement robust data quality testing frameworks that ensure data integrity throughout the entire data lifecycle
* Establish data engineering best practices, including version control, CI/CD for data pipelines, and automated testing
* Collaborate with ML/AI teams to build scalable feature engineering pipelines that support both batch and real\-time data processing
* Develop reusable patterns for common data integration scenarios that can be leveraged across the organization
* Work closely with infrastructure teams to optimize our Kubernetes\-based data platform for performance and reliability
**Knowledge And Experience**
* 2\+ years of professional experience in data engineering
* Deep expertise with Apache Airflow, including DAG design, performance optimization, and operational management
* Strong understanding of dbt for data transformation, including experience with testing frameworks and deployment strategies
* Proficiency with SQL and Python for data transformation and pipeline development
* Familiarity with Kubernetes for containerized application deployment
* Experience implementing data quality frameworks and automated testing for data pipelines
* Knowledge of Git\-based workflows and CI/CD pipelines for data applications
* Ability to work cross\-functionally with data scientists, ML engineers, and business stakeholders
**Preferred Knowledge And Experience**
* Experience with self\-hosted data orchestration platforms (rather than managed services)
* Experience with stream processing frameworks like Apache Flink or similar technologies
* Background in implementing data contracts or schema governance
* Knowledge of ML/AI data pipeline requirements and feature engineering
* Experience with real\-time data processing and streaming architectures
* Familiarity with data modeling and warehouse design principles
* Prior experience in a technical leadership role
 Intercontinental Exchange, Inc. is an Equal Opportunity Employer. All qualified applicants will receive consideration for employment without regard to legally protected characteristics.</t>
        </is>
      </c>
    </row>
    <row r="4">
      <c r="A4" t="inlineStr">
        <is>
          <t>li-4354501418</t>
        </is>
      </c>
      <c r="B4" t="inlineStr">
        <is>
          <t>Analytics Engineer</t>
        </is>
      </c>
      <c r="C4" t="inlineStr">
        <is>
          <t>James Search Group</t>
        </is>
      </c>
      <c r="D4" t="inlineStr">
        <is>
          <t>linkedin</t>
        </is>
      </c>
      <c r="E4" t="inlineStr"/>
      <c r="F4" t="inlineStr"/>
      <c r="G4" t="inlineStr"/>
      <c r="H4" t="inlineStr"/>
      <c r="I4" t="inlineStr">
        <is>
          <t>Analytics Engineer I / II (Remote\-First)
**James Search Group** 
 is partnering with a high\-growth, data\-driven
 **Property \&amp; Casualty Insurance carrier** 
 to hire an
 **Analytics Engineer I / II** 
 to support their expanding analytics enablement function.
 This role is
 **remote\-first** 
 , with the option to work hybrid or on\-site from any of
 **12 U.S. office locations** 
 .
**Compensation:** 
**$100,000–$120,000 base** 
 \+ bonus \+ 401(k) match \+ health benefits \+ additional perks
 About the Role
 As an Analytics Engineer I / II, you’ll play a hands\-on role in building, modeling, and maintaining high\-quality analytics\-ready data assets. Working closely with senior analytics engineers and analysts, you’ll help transform curated data into reliable models that power reporting, dashboards, and decision\-making across the business.
 This role is ideal for someone early in their analytics engineering career who has strong SQL fundamentals, growing dbt experience, and a desire to learn best practices for building scalable, production\-grade data models in a modern cloud environment.
 What You’ll Do
* Build and maintain analytics\-ready data models using
 **dbt**
* Develop well\-documented, reusable datasets to support reporting and insights
* Partner with analytics engineering and data teams to align with existing data layers
* Write clean, efficient SQL to transform and validate data
* Implement dbt tests to ensure data accuracy and reliability
* Support business teams including
 **Underwriting, Claims, Finance, and Product**
* Contribute to version\-controlled analytics workflows using Git
 What We’re Looking For
* **1–4 years** 
 of experience in data analytics or analytics engineering
* Strong SQL skills and hands\-on experience with
 **dbt**
* Exposure to
 **Databricks** 
 or similar cloud data platforms
* Familiarity with modern data modeling concepts and analytics workflows
* Experience working in collaborative, Git\-based environments
* Curiosity, attention to detail, and eagerness to learn and grow
 Nice to Have
* Experience supporting insurance or financial services analytics
* Familiarity with medallion architecture concepts
* Exposure to BI or analytics tools (e.g., dashboards, notebooks)
* Interest in improving data quality, documentation, and usability
 Interested in Applying? If you’re looking to grow your analytics engineering skills while contributing to meaningful, business\-critical data products, we’d love to connect.
**Apply directly or reach out to the James Search Group team** 
 to learn more about this opportunity.</t>
        </is>
      </c>
    </row>
    <row r="5">
      <c r="A5" t="inlineStr">
        <is>
          <t>li-4319858323</t>
        </is>
      </c>
      <c r="B5" t="inlineStr">
        <is>
          <t>Data Engineer II</t>
        </is>
      </c>
      <c r="C5" t="inlineStr">
        <is>
          <t>Electronic Arts (EA)</t>
        </is>
      </c>
      <c r="D5" t="inlineStr">
        <is>
          <t>linkedin</t>
        </is>
      </c>
      <c r="E5" t="inlineStr"/>
      <c r="F5" t="inlineStr"/>
      <c r="G5" t="inlineStr">
        <is>
          <t>Orlando, FL</t>
        </is>
      </c>
      <c r="H5" t="inlineStr"/>
      <c r="I5" t="inlineStr">
        <is>
          <t>**Description \&amp; Requirements**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
 Central Technology is a force multiplier. Our teams develop EA's proprietary game engine, drive cutting\-edge research, manage innovative infrastructures, create safety and security, and transform data into inspiration.
 The Data \&amp; Insights (D\&amp;I) team harnesses the power of data to deliver transformative insights and solutions to EA game teams and players. D\&amp;I teams are involved in every aspect of data, driving strategy and governance; building powerful data and AI applications; and developing personalization, experimentation, and analytics tools, and more.
 As a Data Engineer II, you will support data and metrics for titles such as Madden, College Football, NHL and UFC. You will collaborate with Game, Analytics and Product teams to implement data strategies and develop complex ETL pipelines that support dashboards for promoting deeper understanding of our games.
 You will report to a Technical Director.
**Responsibilities**
* You will gather requirements, model and design solutions to support product analytics, business analytics and data science teams.
* You will design and implement efficient and scalable data pipelines using cloud\-native and open\-source technologies.
* You will develop and optimize ETL/ELT processes
* You will support production code to produce comprehensive and accurate datasets.
**Qualifications**
* 4\+ years of experience in a data engineering role
* Proficiency writing SQL queries
* Knowledge of cloud\-based databases like Snowflake, Redshift, BigQuery or other big data solutions
* Experience in data modeling and tools such as dbt, ETL processes, and data warehousing
* Experience with programming languages including Python, Java
* Experience with cloud platforms (AWS, GCP, or Azure) and infrastructure\-as\-code tools (e.g., Docker, Terraform, and CloudFormation).
* Experience with BI and data visualization tools (e.g., Looker, Tableau, or Power BI)
**Bonus**
* Gaming industry experience
* Experience with big data technologies such as EMR, Databricks, Kafka, Spark, or Iceberg
* Experience with AI/ML platforms or supporting AI\-driven analytics
 This is a hybrid remote/in\-office role.
**About Electronic Arts**
 We’re proud to have an extensive portfolio of games and experiences, locations around the world, and opportunities across EA. We value adaptability, resilience, creativity, and curiosity. From leadership that brings out your potential, to creating space for learning and experimenting, we empower you to do great work and pursue opportunities for growth.
 We adopt a holistic approach to our benefits programs, emphasizing physical, emotional, financial, career, and community wellness to support a balanced life. Our packages are tailored to meet local needs and may include healthcare coverage, mental well\-being support, retirement savings, paid time off, family leaves, complimentary games, and more. We nurture environments where our teams can always bring their best to what they do.
 Electronic Arts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We will also consider employment qualified applicants with criminal records in accordance with applicable law. EA also makes workplace accommodations for qualified individuals with disabilities as required by applicable law.</t>
        </is>
      </c>
    </row>
    <row r="6">
      <c r="A6" t="inlineStr">
        <is>
          <t>li-4330093329</t>
        </is>
      </c>
      <c r="B6" t="inlineStr">
        <is>
          <t>Junior Data Engineer</t>
        </is>
      </c>
      <c r="C6" t="inlineStr">
        <is>
          <t>Haystack</t>
        </is>
      </c>
      <c r="D6" t="inlineStr">
        <is>
          <t>linkedin</t>
        </is>
      </c>
      <c r="E6" t="inlineStr"/>
      <c r="F6" t="inlineStr"/>
      <c r="G6" t="inlineStr"/>
      <c r="H6" t="inlineStr"/>
      <c r="I6" t="inlineStr">
        <is>
          <t>**Data Engineer Intern \| $13\.33 \- $26\.67 per hour** 
 We're working with Ameritas on this exciting opportunity.
 Are you a driven student with a passion for data and a desire to contribute to an evolving investment data and analytics ecosystem? This internship offers the chance to gain hands\-on experience in designing, maintaining, and supporting data management activities in a collaborative and communication\-heavy environment. You'll work with contemporary technologies and contribute to scalable, extensible solutions.
**Key Responsibilities:** 
 • Design and configure data flows from automation to automated quality checks
 • Identify, design, and implement internal process improvements, including automating manual processes and optimizing data delivery
 • Build the infrastructure required for optimal extraction, transformation, and loading of data for consumption by portfolio managers and analysts
 • Participate in and help guide research of proof of concepts (POCs), including design, coding, and performance and efficacy measurement
**What You'll Need:** 
 • Actively enrolled at a college or university at least half\-time studying Computer Science, Computer Engineering, Information Technology, Management Information Systems, Statistics, or related field
 • Ability to commit to a 12\-month internship working full\-time during the summer (30\-40 hours/week) and part\-time during the school year (15\-20 hours/week)
 • Minimum GPA of 3\.25
 • Proficiency in Python and SQL preferred
 • Basic understanding of statistical concepts including percentiles, confidence intervals, and correlation
**Apply via Haystack today!**</t>
        </is>
      </c>
    </row>
    <row r="7">
      <c r="A7" t="inlineStr">
        <is>
          <t>li-4253958029</t>
        </is>
      </c>
      <c r="B7" t="inlineStr">
        <is>
          <t>Data Engineer III</t>
        </is>
      </c>
      <c r="C7" t="inlineStr">
        <is>
          <t>Horizon Media</t>
        </is>
      </c>
      <c r="D7" t="inlineStr">
        <is>
          <t>linkedin</t>
        </is>
      </c>
      <c r="E7" t="inlineStr"/>
      <c r="F7" t="inlineStr"/>
      <c r="G7" t="inlineStr">
        <is>
          <t>New York, NY</t>
        </is>
      </c>
      <c r="H7" t="inlineStr"/>
      <c r="I7" t="inlineStr">
        <is>
          <t>**Job Description**
 Who We Are
**Horizon Media** 
 , founded in 1989 by Bill Koenigsberg, is recognized as one of the most innovative marketing and advertising firms. We are headquartered in New York City, with offices in Los Angeles and Toronto. A leader in driving business solutions for marketers, Horizon is known for its highly personal approach to client service. Renowned for its incredible culture, Horizon is consistently named to all the prestigious annual Best Places to Work lists published by Fortune, AdAge, Crain’s New York Business and Los Angeles Business Journal. Together we are building a place of belonging.
 At Horizon, we understand the value that different perspectives can bring to our clients and culture, so we strive for an environment where our employees feel welcomed, safe and empowered. We value YOU and believe that your authentic voice and unique perspective allows us to create a more rewarding culture, and experience, together.
 Our simple recipe for success? We hire talented people (thinkers, doers, dreamers, makers), challenge them and give them every opportunity to grow.
**Job Summary**
 As an Analytics Engineering Architect, you will be responsible for leading the design and implementation of enterprise\-wide analytics solutions that transform raw data into actionable business insights. This role combines deep expertise in data architecture, visualization development, and analytics engineering to create scalable solutions that enable data\-driven decision\-making across the organization. You will establish standards for data transformation, testing, and documentation while partnering with leadership to align analytics initiatives with business objectives.
**What You'll Do**
**(40%) Design and Implement Enterprise Analytics**
* Architect and oversee implementation of enterprise\-wide data modeling strategies in Snowflake
* Define and maintain dbt modeling standards and best practices across the organization
* Design scalable solutions for complex analytical problems spanning multiple data domains
* Lead the development and implementation of reusable analytics frameworks and components
* Drive implementation of advanced performance optimization strategies for large\-scale data transformations
**(30%) Technical Leadership and Innovation**
* Partner with leadership to align analytics initiatives with business objectives
* Drive adoption of modern engineering tools with emphasis on dbt development practices
* Establish best practices for engineering across the organization
* Evaluate and recommend new technologies and approaches to improve capabilities
* Lead technical discussions and decision\-making with executives, bridging engineering teams and stakeholders
**(15%) Visualization Development and Strategy**
* Lead the design and implementation of enterprise\-wide visualization solutions
* Establish visualization standards and best practices across the organization
* Architect scalable and performant dashboard solutions
* Optimize data models and queries for visualization performance
* Guide the development of interactive analytics applications
* Ensure visualizations effectively communicate business insights
**(15%) Team Leadership and Mentorship**
* Mentor and guide junior analytics engineers in dbt development and analytics engineering best practices
* Review and approve technical designs and perform code reviews
* Foster a culture of innovation and continuous improvement within the team
* Lead knowledge sharing initiatives and internal training programs
**Qualifications**
* Bachelor’s degree in computer science, Statistics, Mathematics, or related field
* 10\+ years of experience in analytics, data engineering, or related field
**Experience With Dbt With Expertise In**
* Package development and dependency management
* Custom macro development
* Testing framework implementation
* CI/CD pipeline integration
* Expert\-level knowledge of data modeling, dimensional design, and analytics engineering best practices
* Advanced proficiency in SQL and Python
* Proven experience leading and mentoring technical teams
* Excellence in stakeholder management and technical communication
* Track record of successfully delivering enterprise\-scale solutions
**Proven Expertise In Data Visualization Development, Including**
* Experience building enterprise\-scale dashboards
* Strong understanding of data visualization best practices
* Expertise in visual design principles and data storytelling
* Experience with multiple visualization platforms
**Minimum 3 Years Of Experience With Snowflake, Including**
* Performance optimization and query tuning
* Security and access control implementation
* Resource monitoring and cost optimization
* Data warehouse architecture design
**Preferred Skills**
* Prior experience with marketing and advertising data
* Experience with Streamlit for building data visualizations \&amp; applications
* Knowledge of other modern data visualization frameworks (D3\.js, Plotly, etc.)
* Familiarity with machine learning visualization techniques
* Building pipelines in support of chat applications
* Publishing applications to Snowflake’s marketplace
 \#HM
*Horizon Media is proud to be an equal opportunity workplace.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**Salary Range**
 $180,000\.00 \- $230,000\.00
*A successful applicant’s actual base salary may vary based on factors such as individual’s skill sets, experience, training, education, licensure/certifications, and qualifications for the role.* 
*As an organization, we take an aptitude and competency\-based hiring approach.* 
*We provide a competitive total rewards package including a discretionary bonus and a variety of benefits including health insurance coverage, life and disability insurance, retirement savings plans, company paid holidays and unlimited paid time off (PTO), mental health and wellness resources, pet insurance, childcare resources, identity theft insurance, fertility assistance programs, and fitness reimbursement.*</t>
        </is>
      </c>
    </row>
    <row r="8">
      <c r="A8" t="inlineStr">
        <is>
          <t>li-4354501284</t>
        </is>
      </c>
      <c r="B8" t="inlineStr">
        <is>
          <t>Data Engineer</t>
        </is>
      </c>
      <c r="C8" t="inlineStr">
        <is>
          <t>Hirenza</t>
        </is>
      </c>
      <c r="D8" t="inlineStr">
        <is>
          <t>linkedin</t>
        </is>
      </c>
      <c r="E8" t="inlineStr"/>
      <c r="F8" t="inlineStr"/>
      <c r="G8" t="inlineStr"/>
      <c r="H8" t="inlineStr"/>
      <c r="I8" t="inlineStr">
        <is>
          <t>**About The Company**
 Weidenhammer is a leading technology solutions provider dedicated to empowering organizations through innovative data and analytics solutions. With a strong focus on leveraging the latest advancements in cloud computing, data engineering, and business intelligence, Weidenhammer partners with clients across various industries to transform their data assets into strategic business advantages. Our commitment to excellence, continuous innovation, and customer\-centric approach has established us as a trusted leader in the technology consulting space. We foster a collaborative environment that encourages professional growth, creativity, and the pursuit of technological excellence, ensuring our team remains at the forefront of industry developments.
**About The Role**
 The Analytics \&amp; Data Engineer role at Weidenhammer is a pivotal position responsible for designing, developing, and implementing advanced data engineering and business intelligence solutions tailored to client needs. This client\-facing role demands a combination of technical expertise, strategic thinking, and excellent communication skills to effectively guide clients through complex data initiatives. The successful candidate will participate in solution architecture, consulting, and development activities that contribute to the growth of our Analytics and Data Estate Practice. You will work closely with stakeholders at all levels, from C\-suite executives to engineering teams, to craft scalable, secure, and high\-performance data platforms in cloud environments. Your role will also involve conducting workshops, delivering presentations, and educating clients on modern data technologies and their business implications.
**Qualifications**
 To excel in this role, candidates should possess a B.S. or M.S. degree in Computer Science, Software Engineering, or a related discipline. A minimum of five years of experience in data reporting, analytics, visualization, and integration within the Microsoft technology stack is essential. Proven expertise in developing and implementing high\-quality software solutions, along with a deep understanding of data solution development, is required. Candidates should have extensive knowledge of Microsoft Azure, M365, and related cloud services, with at least one active Microsoft Fabric certification. Strong communication and stakeholder management skills are vital, enabling effective collaboration with diverse teams and executive leadership. Familiarity with big data technologies, data modeling concepts, and modern data architectures will be considered advantageous.
**Responsibilities**
 The primary responsibilities of the Analytics \&amp; Data Engineer include supporting solution decision\-making as a trusted technical advisor, designing and deploying data platforms in cloud environments, and guiding clients on data strategy, governance, and quality management. You will lead customer workshops, discovery sessions, and presentations to articulate complex technical concepts clearly. Educating clients on emerging technologies and their business value is a key aspect of this role. You will define processes and tools for data acquisition, transformation, and analysis, ensuring solutions align with business requirements. Reviewing and auditing existing data solutions, creating architecture documentation, and discussing solutions with stakeholders at all levels are essential tasks. Additionally, you will assist in pre\-sales activities and client presentations, contributing to the growth of our practice. Throughout project lifecycles, you will function in various roles, providing technical expertise and strategic guidance to ensure successful project delivery.
**Benefits**
 Weidenhammer offers a comprehensive benefits package designed to support the well\-being and professional growth of our employees. This includes competitive salary packages, health insurance plans, retirement savings options, and paid time off. We also provide opportunities for continuous learning and certification, fostering an environment where employees can expand their skills and advance their careers. Our flexible work arrangements, collaborative culture, and recognition programs ensure a positive and engaging workplace. Additionally, employees benefit from exposure to cutting\-edge technologies, challenging projects, and the chance to make a meaningful impact on clients' data strategies and business success.
 Equal Opportunity
 Weidenhammer is committed to fostering an inclusive and diverse work environment. We provide equal employment opportunities to all qualified applicants without regard to race, color, religion, gender, gender identity or expression, sexual orientation, national origin, age, disability, or any other protected characteristic. We believe that diverse teams drive innovation and creativity, and we are dedicated to creating a workplace where everyone feels valued, respected, and empowered to succeed.</t>
        </is>
      </c>
    </row>
    <row r="9">
      <c r="A9" t="inlineStr">
        <is>
          <t>li-4330172816</t>
        </is>
      </c>
      <c r="B9" t="inlineStr">
        <is>
          <t>Data Engineer</t>
        </is>
      </c>
      <c r="C9" t="inlineStr">
        <is>
          <t>United States Cold Storage, Inc.</t>
        </is>
      </c>
      <c r="D9" t="inlineStr">
        <is>
          <t>linkedin</t>
        </is>
      </c>
      <c r="E9" t="inlineStr"/>
      <c r="F9" t="inlineStr"/>
      <c r="G9" t="inlineStr">
        <is>
          <t>Camden, NJ</t>
        </is>
      </c>
      <c r="H9" t="inlineStr"/>
      <c r="I9" t="inlineStr">
        <is>
          <t>United States Cold Storage, Inc. seeks a Data Engineer in Camden, NJ.The Data Engineer will migrate and automate all customer inventory balance reports to enhance visibility of reports and aid the business in making informed decisions related to inbounds and outbound sales. The Data Engineer will investigate and correct logistics data as it is related to inbounds and appointments for different warehouses to improve the accuracy of tableau dashboards insights resulting in better inventory management. The Data Engineer will report directly to the Data Engineer Manager.Additional specific job duties will include:Work on modeling of a new source system in snowflake to pull in data using a REST API; Create and maintain optimal data pipeline architecture, and assemble large, complex data sets that meet functional / non\-functional business requirements; Identify, design, and implement internal process improvements: automating manual processes, optimizing data delivery, re\-designing infrastructure for greater scalability, etc.; Build the infrastructure required for optimal extraction, transformation, and loading of data from a wide variety of data sources using SQL and AWS ‘big data’ technologies; Build analytics tools that utilize the data pipeline to provide actionable insights into customer acquisition, operational efficiency and other key business performance metrics; Work with stakeholders including the Executive, Product, Data and Design teams to assist with data\-related technical issues and support their data infrastructure needs; Keep data separated and secure across national boundaries through multiple data centers and AWS regions; Create data tools for analytics and data scientist team members that assist them in building and optimizing our product into an innovative industry leader; Work with data and analytics experts to strive for greater functionality in data systems; Leverage SQL knowledge and experience working with relational databases, query authoring (SQL), unstructured datasets, message queuing, stream processing, and highly scalable ‘big data’ data stores; Build processes supporting data transformation, data structures, metadata, dependency and workload management; and Perform root cause analysis on internal and external data and processes to answer specific business questions and identify opportunities for improvement.The Data Engineer must have at a minimum a Bachelor's degree in Computer Science or Computer Engineering. Must have certifications in Azure Data Lake Storage Gen2 \&amp; Data Streaming, Data Engineering w/ MS Azure Synapse Apache Spark Pools, Data Storage in Microsoft Azure, Data Warehousing w/ Microsoft Azure Synapse Analytics, Microsoft Azure for Data Engineering, Operational Analytics w/ Microsoft Azure Synapse Analytics.Email resumes to JThompson@uscold.com.</t>
        </is>
      </c>
    </row>
    <row r="10">
      <c r="A10" t="inlineStr">
        <is>
          <t>li-4330192921</t>
        </is>
      </c>
      <c r="B10" t="inlineStr">
        <is>
          <t>Data Engineer</t>
        </is>
      </c>
      <c r="C10" t="inlineStr">
        <is>
          <t>RemoteHunter</t>
        </is>
      </c>
      <c r="D10" t="inlineStr">
        <is>
          <t>linkedin</t>
        </is>
      </c>
      <c r="E10" t="inlineStr"/>
      <c r="F10" t="inlineStr"/>
      <c r="G10" t="inlineStr"/>
      <c r="H10" t="inlineStr"/>
      <c r="I10" t="inlineStr">
        <is>
          <t>About the Opportunity:
 This team is hiring a junior to mid\-level Data Engineer fluent in SQL and Python to build, debug, and maintain production data pipelines and system integrations. The role involves owning these pipelines end to end, partnering with the Business Intelligence team to deliver reliable data, actionable insights, and process automation across the business. The position requires comfort reading, understanding, and improving existing systems, not just building greenfield solutions. The technology stack includes SQL Server, Snowflake, Fivetran, and Python with an emphasis on the Pandas library. Experience with these exact tools is not required, but a solid foundation in SQL and Python is essential.
 Responsibilities:
 • Build and maintain ETL pipelines that ingest and validate source\-system data with minimal transformation.
 • Design and implement SQL transformation layers to create analyst\-ready data models.
 • Build and maintain data integrations via inbound and outbound APIs.
 • Troubleshoot data failures across the entire data pipeline independently.
 • Automate manual processes to improve data delivery and reliability.
 • Create clear documentation for ETL processes, object usage, and data models.
 • Test and validate code changes.
 Requirements:
 • Strong SQL skills to simplify complex logic and messy data into consistent models.
 • Practical experience with Python; familiarity with Pandas is beneficial.
 • Experience integrating external systems using inbound and outbound APIs.
 • Understanding of logging, error handling, and control flow in production data pipelines.
 • Solid knowledge of data architecture and modeling (normalized/denormalized, star/snowflake schemas).
 • Experience using version control with a team, preferably Git.
 • Excellent analytical thinking, problem solving, and communication skills.
 • Ability to work independently, manage priorities, and deliver in a rapidly changing environment.
 • Bachelor’s degree in Computer Science or equivalent experience; non\-traditional candidates encouraged to share relevant projects.
 • Experience maintaining data pipelines and integrations in SQL Server, Snowflake, or similar environments.
 • Experience supporting data ingestion from enterprise systems such as Workday, ERP, or HR platforms.
 • Experience with BI or reporting platforms; strong fundamentals valued over specific tool experience.
 • Relevant certifications are a plus but not required.
 Benefits \&amp; Perks:
 • Remote role based in the U.S. with working hours aligned to Eastern Time.
 • Candidates in Central Time are welcome if able to work an Eastern Time schedule.
 • Strong preference for candidates based in North Carolina.
 Compensation:
 • Determined by experience, skills, and role fit.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1">
      <c r="A11" t="inlineStr">
        <is>
          <t>li-4338437566</t>
        </is>
      </c>
      <c r="B11" t="inlineStr">
        <is>
          <t>Data Engineer - DataBricks</t>
        </is>
      </c>
      <c r="C11" t="inlineStr">
        <is>
          <t>SMBC Group</t>
        </is>
      </c>
      <c r="D11" t="inlineStr">
        <is>
          <t>linkedin</t>
        </is>
      </c>
      <c r="E11" t="inlineStr"/>
      <c r="F11" t="inlineStr"/>
      <c r="G11" t="inlineStr">
        <is>
          <t>Charlotte, NC</t>
        </is>
      </c>
      <c r="H11" t="inlineStr"/>
      <c r="I11" t="inlineStr">
        <is>
          <t>SMBC Group is a top\-tier global financial group. Headquartered in Tokyo and with a 400\-year history, SMBC Group offers a diverse range of financial services, including banking, leasing, securities, credit cards, and consumer finance. The Group has more than 130 offices and 80,000 employees worldwide in nearly 40 countries. Sumitomo Mitsui Financial Group, Inc. (SMFG) is the holding company of SMBC Group, which is one of the three largest banking groups in Japan. SMFG’s shares trade on the Tokyo, Nagoya, and New York (NYSE: SMFG) stock exchanges.
 In the Americas, SMBC Group has a presence in the US, Canada, Mexico, Brazil, Chile, Colombia, and Peru. Backed by the capital strength of SMBC Group and the value of its relationships in Asia, the Group offers a range of commercial and investment banking services to its corporate, institutional, and municipal clients. It connects a diverse client base to local markets and the organization’s extensive global network. The Group’s operating companies in the Americas include Sumitomo Mitsui Banking Corp. (SMBC), SMBC Nikko Securities America, Inc., SMBC Capital Markets, Inc., SMBC MANUBANK, JRI America, Inc., SMBC Leasing and Finance, Inc., Banco Sumitomo Mitsui Brasileiro S.A., and Sumitomo Mitsui Finance and Leasing Co., Ltd.
**Summary**
 Join SMBC’s Compliance Technology team as a Data Engineer specializing in Azure and Databricks. You will architect and build secure, scalable data pipelines and a cloud\-native data platform that powers real\-time compliance analytics and regulatory reporting across global markets. Work collaboratively as a team player on mission\-critical projects involving complex financial datasets, leveraging Azure Data Factory, Databricks, Delta Lake, and Python to transform raw data into trusted, governed insights. This is a high\-impact role where a motivated self\-starter owns, end\-to\-end data engineering initiatives, collaborates with governance teams, and influence the architecture of SMBC’s next\-generation compliance systems.
**Principal Duties \&amp; Responsibilities**
* Own the design and implementation of ETL workflows using Azure Data Factory and Databricks for compliance\-related data ingestion and transformation.
* Integrate and normalize data from multiple structured and unstructured sources, ensuring adherence to strict data quality governance framework.
* Develop secure, auditable, and optimized pipelines for performance and reliability across sensitive financial datasets.
* Automate ingestion and transformation processes to enable real\-time compliance analytics and reporting.
* Implement efficient storage formats and partitioning strategies for fast loading and retrieval.
* Utilize Databricks and Delta Lake for distributed processing and versioned data storage.
* Enforce data retention, archiving, and purging policies aligned with global regulatory requirements.
* Migrate legacy application logic into modern Azure Databricks/Data Lake and SQL environments.
* Maintain comprehensive data lineage, metadata, and audit trails using Azure Purview or custom frameworks.
* Collaborate with governance teams and compliance analysts to define requirements and manage access controls.
* Participate in Agile development cycles, sprint planning, and compliance reviews.
* Review code changes and support production deployments.
**Job Specifications**
* 3\+ years of experience in data engineering within financial services, preferably compliance/regulatory.
* Advanced proficiency in SQL, Python, and Azure Databricks.
* Hands\-on experience with Azure Data Factory, Databricks notebooks, and ADLS.
* Expertise in data wrangling, modeling, and analytics enablement for compliance use cases.
* Experience integrating Microsoft ADF and Databricks for complex ETL development.
* Familiarity with data governance, quality frameworks, and audit processes.
* Strong communication and collaboration skills.
* Experience with Git/GitLab and CI/CD tools such as Azure DevOps.
* Preferred: Certifications in Azure Data Engineering, Databricks, or Financial Compliance Technology.
* Preferred: Bachelor’s or Master’s in Computer Science, Data Engineering, or related field
 SMBC’s employees participate in a Hybrid workforce model that provides employees with an opportunity to work from home, as well as, from an SMBC office. SMBC requires that employees live within a reasonable commuting distance of their office location. Prospective candidates will learn more about their specific hybrid work schedule during their interview process. Hybrid work may not be permitted for certain roles, including, for example, certain FINRA\-registered roles for which in\-office attendance for the entire workweek is required.
 SMBC provides reasonable accommodations during candidacy for applicants with disabilities consistent with applicable federal, state, and local law. If you need a reasonable accommodation during the application process, please let us know at accommodations@smbcgroup.com.</t>
        </is>
      </c>
    </row>
    <row r="12">
      <c r="A12" t="inlineStr">
        <is>
          <t>li-4333400338</t>
        </is>
      </c>
      <c r="B12" t="inlineStr">
        <is>
          <t>Senior Data Engineer</t>
        </is>
      </c>
      <c r="C12" t="inlineStr">
        <is>
          <t>ICE</t>
        </is>
      </c>
      <c r="D12" t="inlineStr">
        <is>
          <t>linkedin</t>
        </is>
      </c>
      <c r="E12" t="inlineStr"/>
      <c r="F12" t="inlineStr"/>
      <c r="G12" t="inlineStr">
        <is>
          <t>Atlanta, GA</t>
        </is>
      </c>
      <c r="H12" t="inlineStr"/>
      <c r="I12" t="inlineStr">
        <is>
          <t>**Overview**
**Job Purpose**
 We're seeking a talented Senior Data Engineer to join our Enterprise Architecture team in a cross\-cutting role that will help define and implement our next\-generation data platform. In this pivotal position, you'll lead the design and implementation of scalable, self\-service data pipelines with a strong emphasis on data quality and governance. This is an opportunity to shape our data engineering practice from the ground up, working directly with key stakeholders to build mission\-critical ML and AI data workflows.
 We emphasize building systems that are maintainable, scalable, and focused on enabling self\-service data access while maintaining high standards for data quality and governance. The ideal candidate is a problem\-solver who enjoys working on complex data systems and is passionate about data quality. You thrive in collaborative environments but can also work independently to deliver solutions. You're comfortable working directly with technical and non\-technical stakeholders and can communicate complex technical concepts clearly. Most importantly, you're excited about creating systems that empower others to work with data efficiently and confidently.
**Responsibilities**
* Design, build, and maintain our on\-premises data orchestration platform using the best\-in\-breed open\-source tools
* Create self\-service capabilities that empower teams across the organization to build and deploy data pipelines without extensive engineering support
* Implement robust data quality testing frameworks that ensure data integrity throughout the entire data lifecycle
* Establish data engineering best practices, including version control, CI/CD for data pipelines, and automated testing
* Collaborate with ML/AI teams to build scalable feature engineering pipelines that support both batch and real\-time data processing
* Develop reusable patterns for common data integration scenarios that can be leveraged across the organization
* Work closely with infrastructure teams to optimize our Kubernetes\-based data platform for performance and reliability
* Mentor junior engineers and advocate for engineering excellence in data practices
**Knowledge And Experience**
* 5\+ years of professional experience in data engineering, with at least 2 years working on enterprise\-scale data platforms
* Demonstrated experience with orchestrating workflows, performance optimization, and operational management
* Strong understanding of data transformation techniques, including experience with testing frameworks and deployment strategies
* Experience with stream processing frameworks and technologies
* Proficiency with SQL and Python for data transformation and pipeline development
* Familiarity with containerized application deployment
* Experience implementing data quality frameworks and automated testing for data pipelines
* Ability to work cross\-functionally with data scientists, ML engineers, and business stakeholders
**Preferred Knowledge And Experience**
* Experience with self\-hosted data orchestration platforms (rather than managed services)
* Background in implementing data contracts or schema governance
* Knowledge of ML/AI data pipeline requirements and feature engineering
* Experience leveraging AI tools (e.g., GitHub Copilot, Cursor, Claude Code) to debug, develop unit tests and generate test cases from requirements documents
* Experience with real\-time data processing and streaming architectures
* Familiarity with data modeling and warehouse design principles
* Prior experience in a technical leadership role
 Intercontinental Exchange, Inc. is an Equal Opportunity Employer. All qualified applicants will receive consideration for employment without regard to legally protected characteristics.</t>
        </is>
      </c>
    </row>
    <row r="13">
      <c r="A13" t="inlineStr">
        <is>
          <t>li-4349397334</t>
        </is>
      </c>
      <c r="B13" t="inlineStr">
        <is>
          <t>Data Engineer, Sr.</t>
        </is>
      </c>
      <c r="C13" t="inlineStr">
        <is>
          <t>Cognizant</t>
        </is>
      </c>
      <c r="D13" t="inlineStr">
        <is>
          <t>linkedin</t>
        </is>
      </c>
      <c r="E13" t="inlineStr"/>
      <c r="F13" t="inlineStr"/>
      <c r="G13" t="inlineStr"/>
      <c r="H13" t="inlineStr"/>
      <c r="I13" t="inlineStr">
        <is>
          <t>**About The Company**
 Cognizant is a leading global professional services company that specializes in digital, technology, consulting, and operations services. With a strong focus on innovation and customer\-centric solutions, Cognizant helps organizations across various industries transform their business models, optimize processes, and leverage emerging technologies to stay competitive in a rapidly evolving digital landscape. Known for its commitment to diversity, inclusion, and employee development, Cognizant fosters a collaborative environment that encourages continuous learning and growth. The company’s global presence and extensive expertise make it a trusted partner for enterprises seeking to harness the power of data and technology to achieve strategic objectives.
**About The Role**
 We are seeking an experienced Senior Data Engineer to join our dynamic data engineering team. In this role, you will be instrumental in designing, building, and scaling modern cloud\-based data ecosystems that enable real\-time insights, analytics, and critical business decision\-making. You will work closely with cloud architects, product owners, security teams, and cross\-functional engineering squads to develop enterprise\-grade data pipelines and frameworks. Your expertise will help optimize large\-scale, distributed data systems leveraging Google Cloud Platform (GCP) services such as BigQuery, Dataflow, Pub/Sub, and Cloud Storage. Additionally, you will lead initiatives to migrate legacy systems to cloud environments, implement compliance controls for sensitive data, and improve overall data reliability, performance, and uptime. This role offers a unique opportunity to influence the organization’s data strategy, modernize legacy infrastructure, and contribute to innovative data solutions that support various business functions.
**Qualifications**
* 15\+ years of experience in data engineering, with a proven track record of building large\-scale distributed data systems and cloud architectures.
* Expertise in Google Cloud Platform (BigQuery, Dataflow, Pub/Sub, Dataproc, Cloud Storage).
* Proficiency in Python, PySpark, SQL, and scripting languages.
* Experience designing data models, data warehouses, data lakes, and scalable schema architectures such as Star and Snowflake schemas.
* Strong understanding of data governance, security, and compliance frameworks including HIPAA, PII, and PHI standards.
* Demonstrated success in optimizing query performance, reducing cloud costs, and enhancing system reliability and data freshness.
* Experience leading cross\-functional Agile teams, including offshore and onshore collaboration models.
**Responsibilities**
* Design, develop, and optimize large\-scale, distributed data pipelines utilizing GCP services to support complex analytics and operational workloads.
* Lead and contribute to enterprise\-wide cloud migration initiatives, including schema mapping, dependency consolidation, and validation.
* Architect and deploy unified batch and streaming ingestion frameworks to enable near real\-time dashboards and low\-latency data processing.
* Enhance data reliability, performance, and uptime through pipeline refactoring, automation, and quality frameworks.
* Collaborate with governance, risk, and security teams to implement and monitor compliance controls across cloud environments.
* Support the development of data models, warehouses, and lakes, ensuring scalability, security, and adherence to enterprise standards.
* Mentor engineering teams, provide technical leadership, and drive architecture decisions to align with business goals.
* Implement CI/CD pipelines for data and analytics ecosystems, supporting continuous integration and deployment practices.
**Benefits**
* Medical, Dental, Vision, and Life Insurance coverage.
* Paid holidays and Paid Time Off (PTO).
* 401(k) retirement plan with company contributions.
* Long\-term and short\-term disability insurance.
* Paid parental leave to support work\-life balance.
* Employee Stock Purchase Plan allowing ownership participation.
* Flexible work arrangements supported by wellbeing programs.
 Equal Opportunity
 Cognizant is an equal opportunity employer. We celebrate diversity and are committed to creating an inclusive environment for all employees. All qualified applicants will receive consideration for employment without regard to sex, gender identity, sexual orientation, race, color, religion, national origin, disability, protected veteran status, age, or any other characteristic protected by law.</t>
        </is>
      </c>
    </row>
    <row r="14">
      <c r="A14" t="inlineStr">
        <is>
          <t>li-4253954225</t>
        </is>
      </c>
      <c r="B14" t="inlineStr">
        <is>
          <t>Principal Data Engineer</t>
        </is>
      </c>
      <c r="C14" t="inlineStr">
        <is>
          <t>Horizon Media</t>
        </is>
      </c>
      <c r="D14" t="inlineStr">
        <is>
          <t>linkedin</t>
        </is>
      </c>
      <c r="E14" t="inlineStr"/>
      <c r="F14" t="inlineStr"/>
      <c r="G14" t="inlineStr">
        <is>
          <t>New York, NY</t>
        </is>
      </c>
      <c r="H14" t="inlineStr"/>
      <c r="I14" t="inlineStr">
        <is>
          <t>**Job Description**
**Horizon Media** 
 , founded in 1989 by Bill Koenigsberg, is recognized as one of the most innovative marketing and advertising firms. We are headquartered in New York City, with offices in Los Angeles and Toronto. A leader in driving business solutions for marketers, Horizon is known for its highly personal approach to client service. Renowned for its incredible culture, Horizon is consistently named to all the prestigious annual Best Places to Work lists published by Fortune, AdAge, Crain’s New York Business and Los Angeles Business Journal. Together we are building a place of belonging.
 At Horizon, we understand the value that different perspectives can bring to our clients and culture, so we strive for an environment where our employees feel welcomed, safe and empowered. We value YOU and believe that your authentic voice and unique perspective allows us to create a more rewarding culture, and experience, together.
 Our simple recipe for success? We hire talented people (thinkers, doers, dreamers, makers), challenge them and give them every opportunity to grow.
**Overview**
 Horizon Media is seeking a hands\-on Principal Data Engineer to join our growing data engineering team. Reporting to the VP of Architecture \&amp; Data Engineering, you will play a critical role in building and maintaining robust, scalable, and efficient data pipelines that power analytics, reporting, and data\-driven decision\-making across the organization.
 This role is deeply embedded in our modern data stack—leveraging tools like Snowflake, dbt Cloud, Fivetran, and Python. You will work closely with analysts, data scientists, and engineering peers to ensure our data systems are fast, reliable, and ready to meet business demands.
**Key Responsibilities**
* Build and maintain end\-to\-end data pipelines using dbt, Snowflake, and Python
* Develop modular, testable, and well\-documented SQL\-based data models in dbt
* Integrate data from multiple sources using Fivetran and custom ingestion scripts
* Write and optimize complex SQL queries for performance and scalability
* Implement data quality checks, monitoring, and alerting to ensure pipeline reliability
* Collaborate with cross\-functional teams to understand data needs and deliver clean, well\-structured datasets
* Support production workflows through CI/CD pipelines and version control (Git)
* Troubleshoot pipeline failures and performance issues quickly and effectively
* Contribute to documentation and improve internal standards and tooling
**Qualifications**
* 6–10 years of hands\-on experience in data engineering or a similar role
* Strong experience working with Snowflake and dbt in production environments
* Proficient in SQL (advanced level) and Python for data transformation and automation
* Experience working with Fivetran or similar data ingestion platforms
* Familiarity with CI/CD tools and Git\-based development workflows
* Understanding of data modeling principles (e.g., dimensional models, star/snowflake schemas)
* Experience working in cloud environments, preferably AWS
* Strong attention to detail, with a passion for clean, maintainable data systems
* Excellent problem\-solving skills and a collaborative mindset
**Nice to Have**
* Experience with orchestration tools like Airflow or Dagster
* Familiarity with data testing frameworks (e.g., dbt tests, Great Expectations)
* Exposure to media, advertising, or marketing data
**Technical Skills**
* dbt Cloud, Snowflake, Fivetran
* SQL, Python
* Git, CI/CD workflows
* AWS (S3, Lambda, etc.)
 \#HM
*Horizon Media is proud to be an equal opportunity workplace.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**Salary Range**
 $180,000\.00 \- $230,000\.00
*A successful applicant’s actual base salary may vary based on factors such as individual’s skill sets, experience, training, education, licensure/certifications, and qualifications for the role.* 
*As an organization, we take an aptitude and competency\-based hiring approach.* 
*We provide a competitive total rewards package including a discretionary bonus and a variety of benefits including health insurance coverage, life and disability insurance, retirement savings plans, company paid holidays and unlimited paid time off (PTO), mental health and wellness resources, pet insurance, childcare resources, identity theft insurance, fertility assistance programs, and fitness reimbursement.*</t>
        </is>
      </c>
    </row>
    <row r="15">
      <c r="A15" t="inlineStr">
        <is>
          <t>li-4330143284</t>
        </is>
      </c>
      <c r="B15" t="inlineStr">
        <is>
          <t>Associate Analytics Engineer</t>
        </is>
      </c>
      <c r="C15" t="inlineStr">
        <is>
          <t>RemoteHunter</t>
        </is>
      </c>
      <c r="D15" t="inlineStr">
        <is>
          <t>linkedin</t>
        </is>
      </c>
      <c r="E15" t="inlineStr"/>
      <c r="F15" t="inlineStr"/>
      <c r="G15" t="inlineStr"/>
      <c r="H15" t="inlineStr"/>
      <c r="I15" t="inlineStr">
        <is>
          <t>About the Opportunity:
 This nonprofit member association provides medical and dental benefits to over two million federal employees, retirees, military retirees, and their families. The organization supports health and wellness through one of the largest provider networks available to federal employees in the United States. The Associate Analytics Engineer role is an entry\-level position focused on assisting in the design, development, and maintenance of data pipelines and analytics solutions, collaborating with senior team members to ensure models, data sets, and pipelines are reliable and accessible.
 Responsibilities:
 • Assist in building and maintaining data models, reporting systems, and data automation systems for key business decisions
 • Assist in staging data from multiple sources for integration into models
 • Monitor performance of analytic solutions and report issues to senior engineers
 • Implement quality controls and departmental standards to meet quality, organizational, and regulatory requirements
 • Develop and maintain documentation of models, user guides, policies, and procedures
 • Assist with employee training on newly developed models
 • Ensure data management complies with HIPAA, departmental, and corporate guidelines, applying masking and encryption techniques as needed
 • Perform other duties as assigned
 Requirements:
 • Bachelor’s degree in computer science, statistics, or related field, or equivalent experience
 • PL300 certification or equivalent
 • Minimum 2 years of experience in BI, data science, analytics, or related fields
 • Minimum 2 years’ experience with relational databases (SQL Server, DB2, Snowflake) and data processes
 • Proficiency in building tabular and multi\-dimensional models
 • Minimum 2 years experience with Power BI or equivalent tools (Tableau, Cognos, MicroStrategy)
 • Proficiency in SQL for querying databases
 • Understanding of scripting languages such as Python, R, Java, PowerShell, etc.
 • Strong analytical and problem\-solving skills
 • Knowledge of insurance or healthcare industry preferred
 • Strong written and oral communication skills
 • Ability to provide a non\-cellular high\-speed internet service (Fiber, DSL, or cable modem) with minimum 30 Mbps download and 5 Mbps upload speeds and latency below 80 ms
 • Dedicated workspace free of interruptions to protect member PHI/HIPAA information
 • Hotspots, satellite, and wireless internet services are not permitted
 Benefits \&amp; Perks:
 • Competitive salary ranges
 • Incentive plan
 • Health, vision, and dental benefits effective day one
 • 401(k) retirement plan with company match up to 4% employee contribution and 6% annual company contribution
 • Employee well\-being program
 • Paid time off
 • Personal community enrichment time
 • Company\-provided basic life and AD\&amp;D insurance
 • Company\-provided short\-term and long\-term disability insurance
 • Tuition assistance program
 Compensation:
 • Hiring range is $71,961 to $91,035 USD
 • Maximum salary for this role is $101,439 USD
 • Initial compensation varies based on experience and qualifications with potential for growth through performance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6">
      <c r="A16" t="inlineStr">
        <is>
          <t>li-4338249148</t>
        </is>
      </c>
      <c r="B16" t="inlineStr">
        <is>
          <t>Senior. Data Engineer</t>
        </is>
      </c>
      <c r="C16" t="inlineStr">
        <is>
          <t>Broadridge</t>
        </is>
      </c>
      <c r="D16" t="inlineStr">
        <is>
          <t>linkedin</t>
        </is>
      </c>
      <c r="E16" t="inlineStr"/>
      <c r="F16" t="inlineStr"/>
      <c r="G16" t="inlineStr">
        <is>
          <t>Newark, NJ</t>
        </is>
      </c>
      <c r="H16" t="inlineStr"/>
      <c r="I16" t="inlineStr">
        <is>
          <t>At Broadridge, we've built a culture where the highest goal is to empower others to accomplish more. If you’re passionate about developing your career, while helping others along the way, come join the Broadridge team.
 Broadridge is hiring! We currently have an opening for a
 **data architecture** 
 minded
 **Senior Software Engineer.**
 In this role, you will support an emerging
 **FinTech** 
 product line within
 **Broadridge** 
 and you will have a direct impact on the expansion of several of our key growth initiatives. For this role, you'll be self\-motivated, detail oriented, and creative, with relevant experience supporting a Software\-as\-a\-Service (SaaS) solution.If you are
 **passionate about technology** 
 and are looking to be a part of a growing and dynamic Fin Tech team, we urge you to read below.
**Responsibilities**
* You will coordinate with senior leadership and other senior engineers to establish consistent software architecture guidelines and standard methodologies for the software development team.
* You will provide technical expertise and leadership to more junior levels of the software engineering staff.
* You will work with product line managers, business users, and other members of the team to understand software requirements and author code that satisfies those requirements.
* You will work together with our customer support by analyzing and correcting reported problems in a timely manner.
* You will produce high quality code developed using computer science principles
* You will stay informed of/follows all relevant Broadridge security policies to ensure the security and privacy of data.
**Requirements:**
* 6\-8 years of experience developing enterprise\-class database driven applications
* Experience with software development of web and/or big data applications
* Excellent knowledge of SQL and database technologies. Snowflake, SQL Server, Oracle.
* Experience with Data modeling
* Experience with Business Intelligence tools
* Experience with Data Warehousing and ETL/ELT used on large datasets
* Enjoys working in a highly effective, deadline driven, and fast\-paced, global and agile team environment.
*Salary range $120,000\.00\- $165,000\.00\. Bonus Eligible.*
*Broadridge considers various factors when evaluating a candidate's final salary including, but not limited to, relevant experience, skills, and education.*
*Please visit* 
*www.broadridgebenefits.com* 
*for more information on our comprehensive benefit offerings* 
 .
 All Colorado employees receive paid sick leave in compliance with the Colorado Healthy Families and Workplaces Act and other legally required benefits, as applicable. Apply by clicking the application link and submitting your information. The deadline to apply for this role is December 18, 2025
 We are dedicated to fostering a collaborative, engaging, and inclusive environment and are committed to providing a workplace that empowers associates to be authentic and bring their best to work. We believe that associates do their best when they feel safe, understood, and valued, and we work diligently and collaboratively to ensure Broadridge is a company—and ultimately a community—that recognizes and celebrates everyone’s unique perspective.
**Use of AI in Hiring**
 As part of the recruiting process, Broadridge may use technology, including artificial intelligence (AI)\-based tools, to help review and evaluate applications. These tools are used only to support our recruiters and hiring managers, and all employment decisions include human review to ensure fairness, accuracy, and compliance with applicable laws. Please note that honesty and transparency are critical to our hiring process. Any attempt to falsify, misrepresent, or disguise information in an application, resume, assessment, or interview will result in disqualification from consideration.
 US applicants: Click here to view the EEOC "Know Your Rights" poster.
***Disability Assistance***
 We recognize that ensuring our long\-term success means creating an environment where everyone is welcome, where everyone's strengths are valued, and where everyone can perform at their best. Broadridge provides equal employment opportunities to all associates and applicants for employment without regard to race, color, religion, sex (including sexual orientation, gender identity or expression, and pregnancy), marital status, national origin, ethnic origin, age, disability, genetic information, military or veteran status, and other protected characteristics protected by applicable federal, state, or local laws.
 If you need assistance or would like to request reasonable accommodations during the application and/or hiring process, please contact us at 888\-237\-7769 or by sending an email to BRcareers@broadridge.com.</t>
        </is>
      </c>
    </row>
    <row r="17">
      <c r="A17" t="inlineStr">
        <is>
          <t>li-4354305446</t>
        </is>
      </c>
      <c r="B17" t="inlineStr">
        <is>
          <t>Analytics &amp;amp; Data Engineer</t>
        </is>
      </c>
      <c r="C17" t="inlineStr">
        <is>
          <t>Weidenhammer Systems Corp</t>
        </is>
      </c>
      <c r="D17" t="inlineStr">
        <is>
          <t>linkedin</t>
        </is>
      </c>
      <c r="E17" t="inlineStr"/>
      <c r="F17" t="inlineStr"/>
      <c r="G17" t="inlineStr">
        <is>
          <t>Philadelphia, PA</t>
        </is>
      </c>
      <c r="H17" t="inlineStr"/>
      <c r="I17" t="inlineStr">
        <is>
          <t>The Analytics \&amp; Data Engineer role is engaged in architecture, consulting and development of Data Engineering and Business Intelligence solutions related to client projects. This role will also participate in activities that are directed at the overall growth of the Analytics and Data Estate Practice within Hammer Dev. This is a client facing role requiring excellent relationship management, communication, and solution architecture / development skills.
**Essential Functions and Responsibilities** 
 • Support solution decision\-making as a trusted technical advisor.
 • Design, implement, and deploy data platforms in public and private cloud environments.
 • Guide clients on data strategy, governance, architecture, and quality management.
 • Conduct customer workshops, discovery sessions, and presentations.
 • Educate clients on modern technologies and their business value.
 • Define processes and tools for data acquisition, storage, transformation, and analysis.
 • Communicate solution and technology options and their business impact.
 • Develop roadmaps and implementation strategies for data initiatives.
 • Review and audit existing solutions and create architecture documentation.
 • Discuss solutions with stakeholders from C\-level to engineering teams.
 • Function in various roles throughout the project lifecycle.
 Assist in pre\-sales activities and client presentations</t>
        </is>
      </c>
    </row>
    <row r="18">
      <c r="A18" t="inlineStr">
        <is>
          <t>li-4280491461</t>
        </is>
      </c>
      <c r="B18" t="inlineStr">
        <is>
          <t>Lead Data Engineer - Snowflake, Power BI - Hybrid</t>
        </is>
      </c>
      <c r="C18" t="inlineStr">
        <is>
          <t>CyberCoders</t>
        </is>
      </c>
      <c r="D18" t="inlineStr">
        <is>
          <t>linkedin</t>
        </is>
      </c>
      <c r="E18" t="inlineStr"/>
      <c r="F18" t="inlineStr"/>
      <c r="G18" t="inlineStr">
        <is>
          <t>Raleigh, NC</t>
        </is>
      </c>
      <c r="H18" t="inlineStr"/>
      <c r="I18" t="inlineStr">
        <is>
          <t>**Lead Data Engineer with Snowflake and Power BI**
**Up to $160,000 base with a 15% bonus and excellent benefits**
**Hybrid \- onsite 2 days a week in Raleigh, NC (must be currently local and will come onsite for the interview)**
**Position Overview**
 We are seeking a highly skilled
 **Lead Data Engineer** 
 to
 **design, build, and manage our data architecture** 
 and pipelines as we migrate a legacy system from Cognos and SSIS to Snowflake and Power BI. This role will involve leading data engineering initiatives and collaborating with cross\-functional teams to optimize data access and reporting capabilities. The ideal candidate will have a strong background in data engineering and a passion for utilizing data to drive business insights and strategies.
 This is a Lead role, you must be hands\-on with the technology along with your leadership skills.
**Key Responsibilities**
* Lead the design and development of scalable data architectures and pipelines using Snowflake and cloud technologies.
* Design and implement data modeling, including dimensional modeling (Kimball) and Data Vault 2\.0 methodologies.
* Develop, maintain, and optimize ETL processes to ensure efficient data flow and accessibility.
* Collaborate with business stakeholders to understand data needs and translate them into technical requirements.
* Create and manage reports and dashboards using Power BI to provide actionable insights to the team and leadership.
* Utilize SQL and Python for data manipulation, analysis, and process automation.
* Mentor and guide junior data engineers, fostering a culture of continuous learning and improvement.
* Stay up\-to\-date with emerging technologies and data engineering best practices to ensure our systems are on the cutting edge.
**Qualifications**
* Bachelor's degree in Computer Science, Information Technology, or a related field.
* 8\+ years of experience in data engineering or related roles, with a focus on building robust data solutions.
* 3\+ years in a leadership or architecture role.
* Strong proficiency in Snowflake data warehouse development, architecture and performance tuning.
* Expertise in SQL, ETL, Python and orchestration frameworks such as Airflow, DT or Matillion.
* Strong understanding of data warehousing concepts, data modeling techniques (Kimball, Data Vault 2\.0\), and architecture best practices.
* 5\+ year of experience with Power BI for data visualization and reporting.
* Solid understanding of cloud platforms (AWS, Azure or GCP and direct experience integrating cloud services into data pipelines.
* Familiarity with real\-time data streaming tools such as Kafka is a plus.
* Snowflake certification is a nice\-to\-have but not mandatory.
* Hands\-on experience with DataOps and infrastructure\-as\-code techniques.
**Benefits**
 Bonus \- 15%
 PTO \- 25 days
 Medical, Dental, Vision
 401K match
**Email Your Resume In Word To**
 Looking forward to receiving your resume through our website and going over the position with you. Clicking apply is the best way to apply, but you may also:
 rhona.kannon@cybercoders.com
* Please do NOT change the email subject line in any way. You must keep the JobID: linkedin : RK3\-1873072 \-\- in the email subject line for your application to be considered.\*\*\*
 Rhona Kannon \- Principal Director
 For this position, you must be currently authorized to work in the United States without the need for sponsorship for a non\-immigrant visa.
 This job was first posted by CyberCoders on 07/25/2025 and applications will be accepted on an ongoing basis until the position is filled or closed.
**CyberCoders is proud to be an Equal Opportunity Employer**
 All qualified applicants will receive consideration for employment without regard to race, color, religion, sex, age, sexual orientation, gender identity or expression, national origin, ancestry, citizenship, genetic information, registered domestic partner status, marital status, status as a crime victim, disability, protected veteran status, or any other characteristic protected by law. CyberCoders will consider qualified applicants with criminal histories in a manner consistent with the requirements of applicable state and local law, including but not limited to the Los Angeles County Fair Chance Ordinance, the San Francisco Fair Chance Ordinance, and the California Fair Chance Act. CyberCoders is committed to working with and providing reasonable accommodation to individuals with physical and mental disabilities. Individuals needing special assistance or an accommodation while seeking employment can contact a member of our Human Resources team at Benefits@CyberCoders.com to make arrangements.</t>
        </is>
      </c>
    </row>
    <row r="19">
      <c r="A19" t="inlineStr">
        <is>
          <t>li-4342967119</t>
        </is>
      </c>
      <c r="B19" t="inlineStr">
        <is>
          <t>Lead Data Engineer</t>
        </is>
      </c>
      <c r="C19" t="inlineStr">
        <is>
          <t>Cox Automotive Inc.</t>
        </is>
      </c>
      <c r="D19" t="inlineStr">
        <is>
          <t>linkedin</t>
        </is>
      </c>
      <c r="E19" t="inlineStr"/>
      <c r="F19" t="inlineStr"/>
      <c r="G19" t="inlineStr">
        <is>
          <t>Atlanta, GA</t>
        </is>
      </c>
      <c r="H19" t="inlineStr"/>
      <c r="I19" t="inlineStr">
        <is>
          <t>The
 **Lead Data Engineer** 
 is responsible for processing structured and unstructured data, validating data quality, and developing and supporting data products. The Senior Data Engineer also plays a role in Agile planning, providing advice and guidance, and monitoring emerging technologies.
**Key Responsibilities**
**WHAT YOU'LL DO**
**Process Structured and Unstructured Data**
* Gathers and processes raw, structured, semi\-structured, and unstructured data using batch and real\-time data processing frameworks.
* Understands and enforces appropriate data master management techniques.
**Data Validation and Quality**
* Ensures data quality and implements tools and frameworks for automating the identification of data quality issues.
* Work with internal and external data providers on data validation providing feedback and making customized changes to data feeds and data mappings.
**Agile Planning**
* Understands the challenges that the analytics organization faces in their day\-to\-day work and partner with them to design viable data solutions.
* Recommends improvements to processes, technology, and interfaces that improve the effectiveness of the team and reduce technical debt.
**Product Development**
* Implements and optimizes data solutions in enterprise data warehouses and big data repositories.
* Installs, maintains, monitors, and supports business intelligence, distributed computation, and big data analytics tools.
**Application Support**
* Provides ongoing support, monitoring, and maintenance of deployed products.
**Advice and Guidance**
* Actively works with less experienced data engineers providing technical guidance and oversight.
**Emerging Technology Monitoring**
* Actively participates in the engineering community, staying up to date on new data technologies and best practices and shares insights with others in the organization.
**Qualifications**
**WHO YOU ARE**
* Must live within a commutable distance to Atlanta GA or be willing to relocate
* Bachelor's degree in Computer Science or related field and 6\+ years related experience OR Masters Degree w/ 4\+ years experience OR 18 years experience of equivalent combination of industry related professional experience and education.
* Working experience with batch and real\-time data processing frameworks
* Strong working experience with data modelling, data access, schemas, and data storage techniques within Snowflake
* Working experience in design, development, and implementation of highly scalable, high\-volume software systems and components, client\-facing web applications, and major Internet\-oriented applications and systems
* Working experience working with relational databases such as SQL, MySQL, Postgres/PostgreSQL
* Working experience with business intelligence tools and platforms
* Working experience with data quality tools
* Working experience with application lifecycle methodologies (e.g. waterfall, agile, iterative)
* Experience with ETL processes and tools
* Experience working with Git
* Experience or exposure to DBT
* Experience working with AI related tools such as co\-pilot
* Experience implementing new tools into environments
**Preferred Qualifications**
* Scrum Developer Certification or equivalent
* Working experience with Sisense platform
* Working experience with SQL Server Integration Services
* Working experience with AWS data tools (Database Migration Service)
* Working experience with Python
* Experience working with Jira, Rally or similar tools
 USD 111,500\.00 \- 185,900\.00 per year
**Compensation**
 Compensation includes a base salary of $111,500\.00 \- $185,900\.00\. The base salary may vary within the anticipated base pay range based on factors such as the ultimate location of the position and the selected candidate's knowledge, skills, and abilities. Position may be eligible for additional compensation that may include an incentive program.
**Benefits**
 The Company offers eligible employees the flexibility to take as much vacation with pay as they deem consistent with their duties, the company's needs, and its obligations; seven paid holidays throughout the calendar year; and up to 160 hours of paid wellness annually for their own wellness or that of family members. Employees are also eligible for additional paid time off in the form of bereavement leave, time off to vote, jury duty leave, volunteer time off, military leave, and parental leave.</t>
        </is>
      </c>
    </row>
    <row r="20">
      <c r="A20" t="inlineStr">
        <is>
          <t>li-4320057905</t>
        </is>
      </c>
      <c r="B20" t="inlineStr">
        <is>
          <t>AI Automations Data Engineer / Data Scientist</t>
        </is>
      </c>
      <c r="C20" t="inlineStr">
        <is>
          <t>RTX</t>
        </is>
      </c>
      <c r="D20" t="inlineStr">
        <is>
          <t>linkedin</t>
        </is>
      </c>
      <c r="E20" t="inlineStr"/>
      <c r="F20" t="inlineStr"/>
      <c r="G20" t="inlineStr">
        <is>
          <t>Hartford, CT</t>
        </is>
      </c>
      <c r="H20" t="inlineStr"/>
      <c r="I20" t="inlineStr">
        <is>
          <t>**Date Posted:**
 2025\-11\-07
**Country:**
 United States of America
**Location:**
 UTCT1: Corp \- CT \- Remote Remote Location, Remote City, CT, 06101 USA
**Position Role Type:**
 Remote
**U.S. Citizen, U.S. Person, or Immigration Status Requirements:**
 This job requires a U.S. Person. A U.S. Person is a lawful permanent resident as defined in 8 U.S.C. 1101(a)(20\) or who is a protected individual as defined by 8 U.S.C. 1324b(a)(3\). U.S. citizens, U.S. nationals, U.S. permanent residents, or individuals granted refugee or asylee status in the U.S. are considered U.S. persons. For a complete definition of “U.S. Person” go here. https://www.ecfr.gov/current/title\-22/chapter\-I/subchapter\-M/part\-120/subpart\-C/section\-120\.62
**Security Clearance:**
 None/Not Required
 RTX Corporation is an Aerospace and Defense company that provides advanced systems and services for commercial, military and government customers worldwide. It comprises three industry\-leading businesses – Collins Aerospace Systems, Pratt \&amp; Whitney, and Raytheon. Its 185,000 employees enable the company to operate at the edge of known science as they imagine and deliver solutions that push the boundaries in quantum physics, electric propulsion, directed energy, hypersonics, avionics and cybersecurity. The company, formed in 2020 through the combination of Raytheon Company and the United Technologies Corporation aerospace businesses, is headquartered in Arlington, VA.
**The following position is to join our RTX Enterprise Services team:**
 As a Data Engineer / Data Scientist at Raytheon Technologies, you will play a critical role in designing, building, and optimizing data solutions that drive business insights, operational efficiency, and technological innovation. You will be responsible for developing and maintaining robust data pipelines, implementing advanced machine learning models, and delivering actionable business intelligence solutions. This role demands a blend of technical expertise and strategic vision, with opportunities to explore emerging technologies, including generative AI, to support RTX's mission to protect and connect the world.
**What You Will Do:**
* Design and implement scalable, reliable, and efficient end\-to\-end data pipelines and workflows using tools like Snowflake and Matillion.
* Collaborate with business owners to identify key data needs, align them with RTX objectives, and translate them into actionable technical solutions.
* Evaluate industry trends and emerging technologies, including generative AI, to recommend and implement innovative data strategies.
* Demonstrate expertise in data integration, transformation, and modeling using tools such as Snowflake and Matillion.
* Develop impactful dashboards and reports using Power BI and Tableau to support data\-driven decision\-making across the organization.
* Leverage Databricks for advanced data processing, machine learning workflows, and big data analytics.
* Build and deploy machine learning models and statistical analyses to address complex business challenges and deliver measurable outcomes.
* Stay current with advancements in AI and ML technologies, including generative AI, to identify opportunities for innovation in RTX’s data landscape.
* Collaborate with cross\-functional teams, including architecture and cloud operations, to align data solutions with organizational priorities and policies.
* Maintain governance standards, ensure compliance with RTX data security protocols, and effectively engage with stakeholders to communicate progress and resolve challenges.
**Qualifications You Must Have:**
* Bachelor’s degree in Computer Science, Data Science, Engineering, or a related field, and 5\+ years of experience in data engineering, data science, or a related field.
* Proficiency in Snowflake, Matillion, BI Tools ( Power BI, Tableau, or similar) and Data Science Platforms (Databricks).
* Strong programming skills in Python, SQL, or other relevant languages.
* Hands\-on experience in building and deploying machine learning models.
* Strong analytical and problem\-solving skills with a business\-oriented mindset.
**Qualifications We Prefer:**
* Master’s degree in a relevant field.
* Knowledge or experience with generative AI frameworks and tools (e.g., LLMs, RAG).
* Familiarity with cloud platforms such as Azure or AWS.
* Strong communication and collaboration skills to work effectively with cross\-functional teams.
* SAFe or similar certifications in agile teams or devops
**What We Offer:**
 Whether you’re just starting out on your career journey or are an experienced professional, we offer a robust total rewards package with compensation; healthcare, wellness, retirement and work/life benefits; career development and recognition programs. Some of the benefits we offer include parental (including paternal) leave, flexible work schedules, achievement awards, educational assistance and child/adult backup care.
**Work Location:**
 Remote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82,000 USD \- 164,000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21">
      <c r="A21" t="inlineStr">
        <is>
          <t>li-4338299424</t>
        </is>
      </c>
      <c r="B21" t="inlineStr">
        <is>
          <t>Staff Data Engineer</t>
        </is>
      </c>
      <c r="C21" t="inlineStr">
        <is>
          <t>Red Ventures</t>
        </is>
      </c>
      <c r="D21" t="inlineStr">
        <is>
          <t>linkedin</t>
        </is>
      </c>
      <c r="E21" t="inlineStr"/>
      <c r="F21" t="inlineStr"/>
      <c r="G21" t="inlineStr">
        <is>
          <t>Charlotte, NC</t>
        </is>
      </c>
      <c r="H21" t="inlineStr"/>
      <c r="I21" t="inlineStr">
        <is>
          <t>* Must be able to work Eastern Standard Time hours.
***This role is not open to visa sponsorship or transfer of visa sponsorship including those on OPT and STEM\-EXT OPT, nor is it available to work corp\-to\-corp.***
 Bankrate.com is looking for a Staff Data Engineer to shape the next generation of our data platform—powering analytics and insights that help millions of people make smarter financial decisions.
 As a Staff Data Engineer, you’ll design and scale the data systems that connect our products, analytics, and business teams. You’ll guide architecture, mentor engineers, and collaborate across disciplines to deliver reliable, high\-performing data solutions that drive measurable impact.
 We’re building on Databricks and AWS using Terraform, so experience with these technologies is a major plus. You’ll work in a modern, cloud\-native data environment focused on accessibility, performance, and continuous improvement.
**What You’ll Do**
* Design, build, and optimize data pipelines and infrastructure in Databricks and AWS (S3, EC2, Lambda, etc.).
* Partner with analytics and product teams to translate business needs into scalable data models and solutions.
* Develop automated workflows for data ingestion, transformation, and validation.
* Implement and promote best practices in data architecture, security, observability, and governance.
* Collaborate with data stakeholders on privacy\-safe data sharing solutions, including clean\-room environments and other secure data exchange methods.
* Lead design and code reviews, mentor engineers, and raise technical standards across teams.
* Drive platform improvements that enhance performance, reliability, and cost efficiency.
* Contribute to long\-term data strategy, evaluating new tools and technologies to advance our data ecosystem.
**What We’re Looking For**
* 7\+ years of data\-engineering experience designing and deploying large\-scale data solutions.
* Deep expertise in SQL and strong software engineering skills in a modern language such as Python or Scala, with an emphasis on building reliable, performant data pipelines.
* Hands\-on experience with Databricks, Spark, and AWS cloud services.
* Strong understanding of data modeling, ELT/ETL design, and distributed data systems.
* Familiarity with CI/CD and infrastructure\-as\-code tools (e.g., GitHub Actions, Terraform, Airflow).
* Experience supporting BI and analytics platforms such as Looker or similar.
* Ability to balance technical depth with business context, clearly communicating complex ideas to diverse audiences.
* Track record of mentorship, collaboration, and continuous improvement.
* No formal degree required—relevant professional experience and technical excellence are what matter most.
**Bonus Points For**
* Experience modernizing or migrating large\-scale data environments to Databricks or AWS.
* Familiarity with data governance, cataloging, and access\-control frameworks.
* Exposure to financial, consumer, or content data domains.
* Proven success influencing technical direction and driving adoption of best practices across teams.
**Compensation**
*This range reflects total cash compensation, which may include base salary only or base salary plus target bonus, depending on the role. Where eligible, equity may also be offered separately and not included below. Actual compensation varies based on location, experience, and qualifications.*
* Total Cash Compensation Range: $130,000 \- $200,000 per year
 Additionally, the following benefits are provided by Red Ventures, subject to eligibility requirements.
* Health Insurance Coverage (medical, dental, and vision)
* Life Insurance
* Short and Long\-Term Disability Insurance
* Flexible Spending Accounts
* Holiday Pay
* 401(k) with match
* Employee Assistance Program
* Paid Parental Bonding Benefit Program
* Flexible Paid Time Off (PTO): We believe time to rest and recharge is essential. That’s why we offer a generous and flexible PTO policy. Full\-time employees accrue 20 days of PTO for a full calendar year annually, with an increase to 25 days after five years of service.
**Who We Are**
 Bankrate is redefining the future of financial decision\-making. For nearly five decades, we’ve empowered tens of millions of consumers to make smarter financial choices and helped hundreds of leading financial institutions grow. Today, we’re evolving from a marketplace into a next\-generation technology platform—underpinned by proprietary data, AI\-driven innovation, and deep enterprise integrations. With our track record of delivering consumers quantifiably better offers—for example, on home loans where we lead the market—Bankrate stands at the center of the $60B U.S. financial services acquisition opportunity. As we expand through omnichannel marketing and strategic partnerships, and launch unique consumer product applications, we’re building a more efficient, personalized, and connected financial ecosystem—one grounded in trust. Join us as we transform five decades of credibility into the next era of financial technology.
 Red Ventures is an equal opportunity employer that does not discriminate against any employee or applicant because of race, creed, color, religion, gender, sexual orientation, gender identity/expression, national origin, disability, age, genetic information, veteran status, marital status, pregnancy or any other basis protected by law. Employment at Red Ventures is based solely on a person's merit and qualifications.
 We are committed to providing equal employment opportunities to qualified individuals with disabilities. This includes providing reasonable accommodation where appropriate. Should you require a reasonable accommodation to apply or participate in the job application or interview process, please contact accommodation@redventures.com.
 If you are based in California, we encourage you to read this important information for California residents linked here.
 Click here for more details regarding the employee privacy policy: https://www.redventures.com/legal/us\-emp\-privacy\-notice
 Questions about this Privacy Notice can be directed to employeerights@redventures.com. Alternatively, you may raise any questions or concerns to your manager, HR Business Partner, or through the Privacy Team.</t>
        </is>
      </c>
    </row>
    <row r="22">
      <c r="A22" t="inlineStr">
        <is>
          <t>li-4354315389</t>
        </is>
      </c>
      <c r="B22" t="inlineStr">
        <is>
          <t>Senior Data Engineer</t>
        </is>
      </c>
      <c r="C22" t="inlineStr">
        <is>
          <t>FlyteHealth</t>
        </is>
      </c>
      <c r="D22" t="inlineStr">
        <is>
          <t>linkedin</t>
        </is>
      </c>
      <c r="E22" t="inlineStr"/>
      <c r="F22" t="inlineStr"/>
      <c r="G22" t="inlineStr"/>
      <c r="H22" t="inlineStr"/>
      <c r="I22" t="inlineStr">
        <is>
          <t>**Who We Are:** 
 FlyteHealth is a cardiometabolic provider that treats obesity, prediabetes, hypertension and hyperlipidemia, while managing other chronic conditions through care partners. Through a patent pending treatment model that combined behavioral lifestyle modification with clinical intervention, we deliver industry best clinical results. Visit www.flytehealth.com to learn more.
**Our Mission:** 
 Delivering best\-in\-class, evidence\-based cardiometabolic care by integrating academic research, clinical expertise, and real\-world data. Our approach combines:
* **Lifestyle Management** 
 – Remote patient monitoring, food and activity tracking, and regular video visits with registered dietitians.
* **Clinical Medication Management** 
 – A structured, research\-backed approach to optimizing both GLP\-1 and non\-GLP\-1 therapies.
**The Role:** 
 As a Sr. Data Engineer, you will be responsible for building the foundation that makes this possible. You will shape how clinical signals, behavioral data, and operational events come together into a cohesive, trusted view of the patient journey. The systems you design will enable teams across FlyteHealth to move faster with confidence, testing new ideas, personalizing care, and learning from outcomes in near real time.
 This role goes beyond analytics or reporting. Your work will directly influence how treatment models evolve, how product decisions are made, and how FlyteHealth demonstrates real world results to partners and patients. As the company grows, the data platform you help build will determine whether FlyteHealth can scale responsibly without losing clinical rigor, trust, or speed.
 In short, this role matters because better data systems lead to better decisions, and better decisions lead to better health outcomes at scale.
**Responsibilities:** 
**Build and Scale FlyteHealth’s Data Platform** 
* Design and maintain reliable, scalable data pipelines across product, clinical, and partner systems
* Model longitudinal patient and outcomes data to support analytics, experimentation, and care insights
* Balance batch and near–real\-time data use cases as the platform evolves
**Enable Product, Clinical, and AI Use Cases** 
* Partner closely with Product, Analytics, Clinical, and Data Science teams to deliver high\-quality, trusted datasets
* Support experimentation, cohort analysis, and personalization initiatives
* Lay the technical foundation for AI\-enabled workflows across care delivery and operations
**Ensure Data Quality, Trust, and Compliance** 
* Implement data quality checks, monitoring, and observability
* Establish shared definitions and metrics to create a single source of truth
* Build systems that are auditable, secure, and compliant with healthcare data standards (e.g., HIPAA)
**Act as a Senior Technical Leader** 
* Make thoughtful architectural decisions and clearly communicate tradeoffs
* Raise engineering standards through code reviews, documentation, and mentorship
* Collaborate cross\-functionally to turn ambiguous, evolving problems into durable systems
**You’ll Be Great in This Role If You…** 
* Have 6–8\+ years of experience building production\-grade data systems
* Are fluent in modern data stacks (cloud data warehouses, orchestration tools, transformation frameworks)
* Write clean, maintainable SQL and Python scripts for the data pipeline
* Have designed data models that support both analytics and operational workflows
* Are comfortable operating in ambiguity and iterating toward scalable solutions
* Think in systems, not just pipelines—and care deeply about long\-term maintainability
**Bonus points if you’ve worked with:** 
* Healthcare, clinical, claims, or outcomes data
* Event\-driven or near–real\-time data architectures
* AI/ML\-enabled products or experimentation platforms
* AWS for cloud and data infrastructure and Airflow for data pipeline orchestration
**Benefits** 
* Comprehensive health, dental, and vision insurance
* Equity shares in a fast\-growing company
* 401(k) retirement plan
* Discretionary PTO plan
* Parental leave
**Perks** 
* Flexible working hours
* Remote\-first company
* Internet stipend for remote work
* Paid company holidays
 FlyteHealth is committed to diversity and inclusion and is an equal\-opportunity employer. We welcome applicants from all backgrounds, regardless of race, religion, gender identity, or sexual orientation.</t>
        </is>
      </c>
    </row>
    <row r="23">
      <c r="A23" t="inlineStr">
        <is>
          <t>li-4354600267</t>
        </is>
      </c>
      <c r="B23" t="inlineStr">
        <is>
          <t>Data Engineer 3/4- Supply Chain Analytics - R10215730</t>
        </is>
      </c>
      <c r="C23" t="inlineStr">
        <is>
          <t>Northrop Grumman</t>
        </is>
      </c>
      <c r="D23" t="inlineStr">
        <is>
          <t>linkedin</t>
        </is>
      </c>
      <c r="E23" t="inlineStr"/>
      <c r="F23" t="inlineStr"/>
      <c r="G23" t="inlineStr"/>
      <c r="H23" t="inlineStr"/>
      <c r="I23" t="inlineStr">
        <is>
          <t>RELOCATION ASSISTANCE: No relocation assistance available
 CLEARANCE TYPE: None
 TRAVEL: Yes, 10% of the Time
**Description**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Join our Insights \&amp; Intelligence (i2\) organization to contribute directly to our supply chain analytics team. As a Principal Data Engineer, you will be essential in building, maintaining, and optimizing the data pipelines that deliver clean, reliable information from our enterprise systems, particularly SAP, to power mission\-critical supply chain analytics. This role is 100% virtual/work from home.
**Key Responsibilities**
* Pipeline Execution: Design, code, test, and deploy production\-grade data pipelines using Python/PySpark and SQL within the Databricks environment to ingest and transform Supply Chain data.
* SAP Integration: Implement and maintain data extraction processes from SAP ERP systems, focusing on supply chain areas
* Data Modeling: Translate high\-level design specifications into physical data models and structures, ensuring the effective implementation of dimensional data models tailored for Supply Chain analytics.
* Data Reliability: Actively monitor pipeline health, troubleshoot production issues, and execute necessary fixes to ensure high data availability and accuracy for downstream reporting and analytics.
* Business Translation: Partner with Senior Engineers and Supply Chain analysts to understand their data needs, assisting in translating complex business questions related to demand planning, inventory, and logistics into specific data requirements.
* Quality \&amp; Governance: Adhere strictly to defined standards for data quality, security, and governance protocols, including proper documentation and adherence to established code quality practices.
* This role can be performed by a level 3 (mid\-career) or level 4 (senior\-career) professional.
**Basic Qualifications For Level 3**
* Must have, at minimum, a Bachelor’s degree in Engineering, Computer Science, Software Engineering, or a related technical field.
* Minimum of 5 years of hands\-on experience in Data Engineering or a related technical field.
* Minimum of 1 year of experience working in Supply Chain, Logistics, or Manufacturing domains.
* Hands\-on experience developing data integrations from SAP ERP systems, demonstrating a foundational understanding of relevant SAP data structures.
* Proficiency in SQL and Python for data manipulation and transformation.
* Direct experience with cloud\-based platforms such as Databricks and AWS.
* Proven experience working within a team using version control systems (e.g., Git) and following agile development practices.
**Basic Qualifications For Level 4**
* Must have, at minimum, a Bachelor’s degree in Engineering, Computer Science, Software Engineering, or a related technical field.
* Minimum of 8 years of hands\-on experience in Data Engineering or a related technical field.
* Minimum of 1 year of experience working in Supply Chain, Logistics, or Manufacturing domains.
* Hands\-on experience developing data integrations from SAP ERP systems, demonstrating a foundational understanding of relevant SAP data structures.
* Proficiency in SQL and Python for data manipulation and transformation.
* Direct experience with cloud\-based platforms such as Databricks and AWS.
* Proven experience working within a team using version control systems (e.g., Git) and following agile development practices.
**Preferred Qualifications**
* Strong working knowledge of dimensional modeling principles.
* Familiarity with specific SAP data models and modules.
* Understanding of fundamental data governance and Master Data Management (MDM) concepts.
 Primary Level Salary Range: $103,600\.00 \- $155,400\.00
 Secondary Level Salary Range: $129,300\.00 \- $193,900\.00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24">
      <c r="A24" t="inlineStr">
        <is>
          <t>li-4346968888</t>
        </is>
      </c>
      <c r="B24" t="inlineStr">
        <is>
          <t>Senior Data Engineer, Technology I, Hybrid</t>
        </is>
      </c>
      <c r="C24" t="inlineStr">
        <is>
          <t>BioSpace</t>
        </is>
      </c>
      <c r="D24" t="inlineStr">
        <is>
          <t>linkedin</t>
        </is>
      </c>
      <c r="E24" t="inlineStr"/>
      <c r="F24" t="inlineStr"/>
      <c r="G24" t="inlineStr">
        <is>
          <t>Mettawa, IL</t>
        </is>
      </c>
      <c r="H24" t="inlineStr"/>
      <c r="I24" t="inlineStr">
        <is>
          <t>**Company Description**
 AbbVie's mission is to discover and deliver innovative medicines and solutions that solve serious health issues today and address the medical challenges of tomorrow. We strive to have a remarkable impact on people's lives across several key therapeutic areas immunology, oncology, neuroscience, and eye care and products and services in our Allergan Aesthetics portfolio. For more information about AbbVie, please visit us atwww.abbvie.com. Follow @abbvie onX,Facebook,Instagram,YouTube,LinkedInandTik Tok.
**Job Description**
 Are you passionate aboutleveragingthe power of data and insights to drive organizational growth and success? Do you thrive on transforming traditional business models into dynamic, data\-driven environments? If so, we have an exciting opportunity for you.
 The Winning with Data (WWD) capability in AbbVies International Commercial Business is driving the transformation of the organization into a data and insights driven decision\-making organization and isseeking a talented Data Engineer tojoinour data engineering team.In this role, you will play a critical part in designing, building, andmaintainingdata solutions using Palantir Foundry to support our data\-driven initiatives.
 This individual will bea key member of our Data Engineering teamand willberesponsible fordesigning, developing, andmaintainingdata pipelines, ensuring data quality, and driving innovation through data engineering solutions.
**In This Role You Willbe Responsible For**
* Planning, building, and running enterprise class information management solutions on Palantir Foundry
* Designing, developing,testing,andmaintainingdata pipelines to support Analytics projects within Commercial.
* Design, implement, andmaintainscalable Functions in Palantir Foundry
* Buildingdata products and service processes which perform data transformation, metadata extraction, workloadmanagementand error processing management.
* Collaborate with cross\-functional teams to understand data requirements and translate them into robust and efficient solutions.
* Develop andoptimizeETL processes to ensuretimelyandaccuratedata delivery to various business applications.
* Implementingstandardized, automated operational and quality control processes to deliveraccurateandtimelydata and reporting.
* Adheringto best practices for coding, testing, and designing reusable code/component.
* CollaboratingwithDataAnalystsandScientiststo enable streamlined data flow for the Commercial Analytics capabilities across brands.
* Ensuringappropriate securityand compliance policies are followed for information access and dissemination.
* Defining and applying information quality andconsistencybusiness rules throughout the data processing lifecycle.
* Collaborating with information providers to ensure quality data updates are processed ina timelyfashion.
* Working in self\-responsible Agile Teams
**Tools And Skills You Will Use In This Role**
* Palantir Foundry
* PySpark, Python, and SQL
* Data Modeling
* Git, Jira, Confluence
* AWS
* Typescript \&amp;Javascriptknowledge is a plus
**Qualifications**
 Required:
* Bachelor's Degree with6years experience; orMaster's Degreewith4years experience
* 6\+ years of experiencein data engineering, preferably within the pharmaceutical or life sciences industry
* Experience in data processing roles such as database developer/administrator, ETL/Big Datadeveloper, dataanalystand/or BI analytics developer
* Experience withcloud platforms, big data platforms andone or more general purpose programming languages, including but not limited to: Python, SQL, Spark, Amazon Web Services, Typescript andJavascript
* Experience with DevOps principals and version control (Git preferred)
* End\-to\-end experience with data, including querying, aggregation, analysis, and visualization.
* Good communicationand presentation skills, being able to explain complex problems and the solutions applied, and comfortable in presenting technical solutions to a nontechnical audience.
**Preferred**
* Experience with Veeva CRM, Reltio, SAP and/or Palantir Foundry.
* Knowledge of pharmaceutical industry regulations, such as data privacy laws, is highly desirable.
* Affinity to either performanceoptimizing, user experience design, automatedtestingand/or data science.
 Additional Information
 Applicable only to applicants applying to a position in any location with pay disclosure requirements under state orlocal law:
* The compensation range described below is the range of possible base pay compensation that the Companybelieves ingood faith it will pay for this role at the timeof this posting based on the job grade for this position.Individualcompensation paid within this range will depend on many factors including geographic location, andwemay ultimatelypay more or less than the posted range. This range may be modified in thefuture.
* We offer a comprehensive package of benefits including paid time off (vacation, holidays, sick),medical/dental/visioninsurance and 401(k) to eligibleemployees.
* This job is eligible to participate in our short\-term incentiveprograms.
 Note: No amount of payis considered to bewages or compensation until such amount is earned, vested, anddeterminable.The amount and availability of any bonus,commission, incentive, benefits, or any other form ofcompensation and benefitsthat are allocable to a particular employee remains in the Company's sole andabsolutediscretion unless and until paid andmay be modified at the Companys sole and absolute discretion, consistent withapplicable law.
 AbbVie is an equal opportunity employer and is committed to operating with integrity, driving innovation, transforming lives and serving our community. Equal Opportunity Employer/Veterans/Disabled.
 US \&amp; Puerto Rico only \- to learn more, visithttps://www.abbvie.com/join\-us/equal\-employment\-opportunity\-employer.html
 US \&amp; Puerto Rico applicants seeking a reasonable accommodation, click here to learn more:
 https://www.abbvie.com/join\-us/reasonable\-accommodations.html</t>
        </is>
      </c>
    </row>
    <row r="25">
      <c r="A25" t="inlineStr">
        <is>
          <t>li-4349387820</t>
        </is>
      </c>
      <c r="B25" t="inlineStr">
        <is>
          <t>Staff Data Engineer (Durham, NC) #4433</t>
        </is>
      </c>
      <c r="C25" t="inlineStr">
        <is>
          <t>BioSpace</t>
        </is>
      </c>
      <c r="D25" t="inlineStr">
        <is>
          <t>linkedin</t>
        </is>
      </c>
      <c r="E25" t="inlineStr"/>
      <c r="F25" t="inlineStr"/>
      <c r="G25" t="inlineStr">
        <is>
          <t>Menlo Park, CA</t>
        </is>
      </c>
      <c r="H25" t="inlineStr"/>
      <c r="I25" t="inlineStr">
        <is>
          <t>Our mission is to detect cancer early, when it can be cured. We are working to change the trajectory of cancer mortality and bring stakeholders together to adopt innovative, safe, and effective technologies that can transform cancer care.
 We are a healthcare company, pioneering new technologies to advance early cancer detection. We have built a multi\-disciplinary organization of scientists, engineers, and physicians and we are using the power of next\-generation sequencing (NGS), population\-scale clinical studies, and state\-of\-the\-art computer science and data science to overcome one of medicine’s greatest challenges.
 GRAIL is headquartered in Menlo Park, California, with locations in Washington, D.C., North Carolina, and the United Kingdom. It is supported by leading global investors and pharmaceutical, technology, and healthcare companies.
 For more information, please visit grail.com.
 We design, optimize, and manage GRAIL’s end\-to\-end data lifecycle, from sample ingestion through analysis, ensuring every step meets rigorous regulatory and clinical standards. We are seeking a Staff Software Engineer to help deliver the high\-quality datasets that power research, analytics, and scientific insights. In this role, you will collaborate with cross\-functional teams to deliver scalable data solutions aligned with FDA and global health authority requirements.
 Our ideal candidate brings experience in the life sciences and a strong background in data processing, infrastructure and operational excellence.
 This hybrid role (60% of time onsite) and will be based Durham, NC in our state of the art lab.
**Responsibilities**
* Contribute to a highly collaborative team focused on delivering value to cross\-functional partners by implementing processes and tools that prepare analysis\-ready datasets.
* Integrate inputs from diverse data sources across the organization into well\-structured, harmonized datasets.
* Build and maintain access controls and data\-delivery mechanisms that uphold stringent blinding and privacy standards.
* Partner with Research, Clinical Lab Operations, and Software Engineering teams to define and implement data transformations that support downstream analysis.
* Ensure all delivered data adheres to software quality expectations, clinical compliance requirements, sequestration protocols, and privacy regulations.
* Implement automated testing and release processes to improve the reliability, quality, and velocity of software and data deliveries.
* Mentor engineers and scientists, promoting best practices in software development, data engineering, and operational rigor.
* These responsibilities summarize the role’s primary responsibilities and are not an exhaustive list. They may change at the company’s discretion.
**Required Qualifications**
* BS/MS/PhD in a quantitative field (e.g., Computer Science, Engineering, Mathematics, Statistics, Bioinformatics) or equivalent and 6\+ years of experience in data engineering, ideally within a regulated biotechnology, pharmaceutical, medical device, or healthcare environment.
* Deep knowledge of ETL/ELT workflows, data pipeline development, and database management, with demonstrated success delivering data solutions for clinical or regulatory use cases.
* Expertise in SQL and proficiency in Go and Python. Experience with R would be nice to have.
* Experience with cloud\-based data platforms (AWS, Azure, or Google Cloud) and preferably an understanding of compliance frameworks such as HIPAA and GDPR.
* Strong analytical and problem\-solving skills, with a track record of maintaining data quality and integrity across complex datasets.
* Proven experience working on cross\-functional teams and translating user requirements into scalable, high\-quality data solutions.
* Hands\-on experience with relational databases, data modeling, data pipeline tools, and workflow engines (e.g., SQL, dbt, Apache Airflow, AWS Glue, Spark).
* Familiarity with DevOps practices, including CI/CD pipelines, containerized deployment (e.g., Kubernetes), and infrastructure\-as\-code (e.g., Terraform).
* Ability to navigate ambiguity, refine evolving requirements, and work with product and stakeholder teams to drive clear engineering objectives and designs.
* Excellent written and verbal communication skills, with the ability to tailor technical content to diverse audiences.
 Expected full time annual base pay scale for the RTP area is $142K\-$200K. Actual base pay will consider skills, experience and location.
 Based on the role, colleagues may be eligible to participate in an annual bonus plan tied to company and individual performance, or an incentive plan. We also offer a long\-term incentive plan to align company and colleague success over time. In addition, GRAIL offers a competitive benefit package, including flexible time\-off, a 401(k) with a company % match, medical, dental, and vision insurance plans, and carefully selected mindfulness offerings, in accordance with our applicable plans and policies.
 GRAIL is an equal employment opportunity employer, and we are committed to building a workplace where every individual can thrive, contribute, and grow. It is GRAIL policy to provide equal employment opportunities without regard to race, color, religion, national origin, sex, gender, gender identity, sexual orientation, age, marital status, protected veteran status, disability status, medical condition, or any other class or characteristic protected by applicable federal, state, and local laws. This policy applies to all phases of employment, including, but not limited to: recruiting, hiring, training, promotion, and termination at all levels of employment. GRAIL maintains a drug\-free workplace.
 Additionally, GRAIL will consider all qualified job\-seekers with criminal histories in a manner consistent with applicable law and provide reasonable accommodations to qualified individuals with disabilities so that they can participate in the job application or interview process, to perform essential job functions, and to receive other benefits and privileges of employment. Please contact us at \[email protected] if you require an accommodation to apply for an open position.
 For more information about equal employment opportunity protections, please view the 'Know Your Rights' poster.
 We welcome job\-seekers from all backgrounds to join us!</t>
        </is>
      </c>
    </row>
    <row r="26">
      <c r="A26" t="inlineStr">
        <is>
          <t>li-4354501624</t>
        </is>
      </c>
      <c r="B26" t="inlineStr">
        <is>
          <t>Staff Data Engineer (Menlo Park, CA ) #4433</t>
        </is>
      </c>
      <c r="C26" t="inlineStr">
        <is>
          <t>BioSpace</t>
        </is>
      </c>
      <c r="D26" t="inlineStr">
        <is>
          <t>linkedin</t>
        </is>
      </c>
      <c r="E26" t="inlineStr"/>
      <c r="F26" t="inlineStr"/>
      <c r="G26" t="inlineStr">
        <is>
          <t>Durham, NC</t>
        </is>
      </c>
      <c r="H26" t="inlineStr"/>
      <c r="I26" t="inlineStr">
        <is>
          <t>Our mission is to detect cancer early, when it can be cured. We are working to change the trajectory of cancer mortality and bring stakeholders together to adopt innovative, safe, and effective technologies that can transform cancer care.
 We are a healthcare company, pioneering new technologies to advance early cancer detection. We have built a multi\-disciplinary organization of scientists, engineers, and physicians and we are using the power of next\-generation sequencing (NGS), population\-scale clinical studies, and state\-of\-the\-art computer science and data science to overcome one of medicine’s greatest challenges.
 GRAIL is headquartered in Menlo Park, California, with locations in Washington, D.C., North Carolina, and the United Kingdom. It is supported by leading global investors and pharmaceutical, technology, and healthcare companies.
 For more information, please visit grail.com.
 We design, optimize, and manage GRAIL’s end\-to\-end data lifecycle, from sample ingestion through analysis, ensuring every step meets rigorous regulatory and clinical standards. We are seeking a Staff Software Engineer to help deliver the high\-quality datasets that power research, analytics, and scientific insights. In this role, you will collaborate with cross\-functional teams to deliver scalable data solutions aligned with FDA and global health authority requirements.
 Our ideal candidate brings experience in the life sciences and a strong background in data processing, infrastructure and operational excellence.
 This role is based in Menlo Park, California, and will move to Sunnyvale, California in Fall 2026\. It offers a flexible work arrangement, with the ability to work from GRAIL's office or from home. Our current flexible work arrangement policy requires that a minimum of 60%, or 24 hours, of your total work week be on\-site. Your specific schedule, determined in collaboration with your manager, will align with team and business needs and could exceed the 40% requirement for the site. At our Menlo Park campus, Tuesdays and Thursdays are the key days where we encourage on\-site presence to engage in events and on\-site activities.
**Responsibilities**
* Contribute to a highly collaborative team focused on delivering value to cross\-functional partners by implementing processes and tools that prepare analysis\-ready datasets.
* Integrate inputs from diverse data sources across the organization into well\-structured, harmonized datasets.
* Build and maintain access controls and data\-delivery mechanisms that uphold stringent blinding and privacy standards.
* Partner with Research, Clinical Lab Operations, and Software Engineering teams to define and implement data transformations that support downstream analysis.
* Ensure all delivered data adheres to software quality expectations, clinical compliance requirements, sequestration protocols, and privacy regulations.
* Implement automated testing and release processes to improve the reliability, quality, and velocity of software and data deliveries.
* Mentor engineers and scientists, promoting best practices in software development, data engineering, and operational rigor.
* These responsibilities summarize the role’s primary responsibilities and are not an exhaustive list. They may change at the company’s discretion.
**Preferred Qualifications**
* BS/MS/PhD in a quantitative field (e.g., Computer Science, Engineering, Mathematics, Statistics, Bioinformatics) or equivalent and 6\+ years of experience in data engineering, ideally within a regulated biotechnology, pharmaceutical, medical device, or healthcare environment.
* Deep knowledge of ETL/ELT workflows, data pipeline development, and database management, with demonstrated success delivering data solutions for clinical or regulatory use cases.
* Expertise in SQL and proficiency in Go and Python. Experience with R would be nice to have.
* Experience with cloud\-based data platforms (AWS, Azure, or Google Cloud) and preferably an understanding of compliance frameworks such as HIPAA and GDPR.
* Strong analytical and problem\-solving skills, with a track record of maintaining data quality and integrity across complex datasets.
* Proven experience working on cross\-functional teams and translating user requirements into scalable, high\-quality data solutions.
* Hands\-on experience with relational databases, data modeling, data pipeline tools, and workflow engines (e.g., SQL, dbt, Apache Airflow, AWS Glue, Spark).
* Familiarity with DevOps practices, including CI/CD pipelines, containerized deployment (e.g., Kubernetes), and infrastructure\-as\-code (e.g., Terraform).
* Ability to navigate ambiguity, refine evolving requirements, and work with product and stakeholder teams to drive clear engineering objectives and designs.
* Excellent written and verbal communication skills, with the ability to tailor technical content to diverse audiences.
 Expected full time annual base pay scale for the bay area is $163K\-$216K. Actual base pay will consider skills, experience and location.
 Based on the role, colleagues may be eligible to participate in an annual bonus plan tied to company and individual performance, or an incentive plan. We also offer a long\-term incentive plan to align company and colleague success over time. In addition, GRAIL offers a competitive benefit package, including flexible time\-off, a 401(k) with a company % match, medical, dental, and vision insurance plans, and carefully selected mindfulness offerings, in accordance with our applicable plans and policies.
 GRAIL is an equal employment opportunity employer, and we are committed to building a workplace where every individual can thrive, contribute, and grow. It is GRAIL policy to provide equal employment opportunities without regard to race, color, religion, national origin, sex, gender, gender identity, sexual orientation, age, marital status, protected veteran status, disability status, medical condition, or any other class or characteristic protected by applicable federal, state, and local laws. This policy applies to all phases of employment, including, but not limited to: recruiting, hiring, training, promotion, and termination at all levels of employment. GRAIL maintains a drug\-free workplace.
 Additionally, GRAIL will consider all qualified job\-seekers with criminal histories in a manner consistent with applicable law and provide reasonable accommodations to qualified individuals with disabilities so that they can participate in the job application or interview process, to perform essential job functions, and to receive other benefits and privileges of employment. Please contact us at \[email protected] if you require an accommodation to apply for an open position.
 For more information about equal employment opportunity protections, please view the 'Know Your Rights' poster.
 We welcome job\-seekers from all backgrounds to join us!</t>
        </is>
      </c>
    </row>
    <row r="27">
      <c r="A27" t="inlineStr">
        <is>
          <t>li-4354570513</t>
        </is>
      </c>
      <c r="B27" t="inlineStr">
        <is>
          <t>Senior Data Engineer II - Electronic Health Records (EHR)</t>
        </is>
      </c>
      <c r="C27" t="inlineStr">
        <is>
          <t>BioSpace</t>
        </is>
      </c>
      <c r="D27" t="inlineStr">
        <is>
          <t>linkedin</t>
        </is>
      </c>
      <c r="E27" t="inlineStr"/>
      <c r="F27" t="inlineStr"/>
      <c r="G27" t="inlineStr">
        <is>
          <t>New York, NY</t>
        </is>
      </c>
      <c r="H27" t="inlineStr"/>
      <c r="I27" t="inlineStr">
        <is>
          <t>**About Formation Bio**
***Formation Bio is a tech and AI driven pharma company differentiated by radically more efficient drug development.***
 Advancements in AI and drug discovery are creating more candidate drugs than the industry can progress because of the high cost and time of clinical trials. Recognizing that this development bottleneck may ultimately limit the number of new medicines that can reach patients, Formation Bio, founded in 2016 as TrialSpark Inc., has built technology platforms, processes, and capabilities to accelerate all aspects of drug development and clinical trials. Formation Bio partners, acquires, or in\-licenses drugs from pharma companies, research organizations, and biotechs to develop programs past clinical proof of concept and beyond, ultimately helping to bring new medicines to patients. The company is backed by investors across pharma and tech, including a16z, Sequoia, Sanofi, Thrive Capital, Sam Altman, John Doerr, Spark Capital, SV Angel Growth, and others.
**You Can Read More At The Following Links**
* Our Vision for AI in Pharma
* Our Current Drug Portfolio
* Our Technology \&amp; Platform
 At Formation Bio, our values are the driving force behind our mission to revolutionize the pharma industry. Every team and individual at the company shares these same values, and every team and individual plays a key part in our mission to bring new treatments to patients faster and more efficiently.
**About The Position**
 We’re looking for a Senior Data Engineer to join the Data Platform team at Formation Bio to help transform Electronic Health Records (EHR) data into structured, analytics\-ready assets. In this role, you’ll be partnering closely with our Data Science team to model, transform, and refine data for operational and scientific use cases.
 This position sits at the intersection of healthcare data engineering, modern data platform infrastructure, and generative AI. While your initial focus will be on building high\-quality EHR models for Formation Bio platform, you’ll also contribute to our broader data architecture by leveraging tools like Snowflake, Dagster, and dbt to enable scalable, governed, and high\-reliability pipelines.
 The ideal candidate combines deep data engineering experience with both GenAI fluency (e.g., LLM\-based entity extraction, summarization, classification) and strong technical expertise with modern data tooling. You’ll play a key role in shaping how healthcare data becomes discoverable, structured, and impactful across the organization.
**Responsibilities**
* Model and transform raw EHR data into clean, canonical, and analytics\-ready datasets using SQL, Python, and clinical standards like FHIR, HL7, or OMOP.
* Build and manage scalable data pipelines using Dagster for orchestration, dbt for transformation, and Snowflake as the primary compute and storage engine.
* Collaborate with Data Science and product stakeholders to co\-develop cohort logic, derived features, and structured outputs that meet real\-world scientific needs.
* Apply Generative AI techniques within transformation layers—using LLMs for named entity recognition, document summarization, classification, and schema alignment.
* Write robust, testable, and version\-controlled code that adheres to CI/CD and data governance best practices.
* Implement data validation and observability frameworks to ensure quality, trust, and reproducibility of datasets.
* Document transformation logic, assumptions, and data lineage in collaboration with metadata and cataloging systems.
* Contribute to the evolution of the Data Platform by helping define standards, patterns, and best practices around GenAI and platform\-scale data engineering.
**About You**
* You have 5\+ years of experience in data engineering, ideally with at least 2 years working in healthcare or life sciences, including direct exposure to EHR datasets.
* Experience with ontologies and biomedical schemas (e.g. UMLS, LOINC, ICD9/10, MeSH, etc.)]
* Experience and understanding of modalities found within EHR datasets incl. Billing claims, lab results, visit notes, images
* Experience in biomedical feature engineering, e.g. variable transformations and derivatives
* You’re fluent in SQL and Python, and you’ve built and maintained production\-grade pipelines that support analytics, science, or operational workflows.
* You have hands\-on expertise with modern data infrastructure, including:
* You’re experienced in applying GenAI techniques within pipelines, including prompt engineering, LLM\-based entity extraction, and classification/summarization workflows.
* You value clarity, documentation, and structured thinking—especially when working with complex data like healthcare records.
* You have a growth mindset and are excited to build bridges between isolated data environments and governed, shared models that power scientific innovation.
* Bonus: You’ve worked in regulated or privacy\-sensitive data environments, and you’re familiar with governance models for PHI or sensitive data
 Formation Bio is prioritizing hiring in key hubs, primarily the New York City and Boston metro areas, with additional growth in the Research Triangle (NC) and San Francisco Bay Area.
 **Please only apply if you reside in these locations or are willing to relocate.**
**Compensation**
**The target salary range for this role is: $230,000 \- $280,000\.**
 Salary ranges are informed by a number of factors including geographic location. The range provided includes base salary only. In addition to base salary, we offer equity, comprehensive benefits, generous perks, hybrid flexibility, and more. If this range doesn't match your expectations, please still apply because we may have something else for you.
*You will receive consideration for employment without regard to race, color, religion, gender, gender identity or expression, sexual orientation, national origin, genetics, disability, age, or veteran status.*</t>
        </is>
      </c>
    </row>
    <row r="28">
      <c r="A28" t="inlineStr">
        <is>
          <t>li-4330173083</t>
        </is>
      </c>
      <c r="B28" t="inlineStr">
        <is>
          <t>Senior Data Engineer - Clearance Required</t>
        </is>
      </c>
      <c r="C28" t="inlineStr">
        <is>
          <t>Jobs via Dice</t>
        </is>
      </c>
      <c r="D28" t="inlineStr">
        <is>
          <t>linkedin</t>
        </is>
      </c>
      <c r="E28" t="inlineStr"/>
      <c r="F28" t="inlineStr"/>
      <c r="G28" t="inlineStr">
        <is>
          <t>Arlington, VA</t>
        </is>
      </c>
      <c r="H28" t="inlineStr"/>
      <c r="I28" t="inlineStr">
        <is>
          <t>Dice is the leading career destination for tech experts at every stage of their careers. Our client, LMI Government Consulting (Logistics Management In, is seeking the following. Apply via Dice today!
**Overview**
 LMI is seeking a
 **Senior Data Engineer** 
 supporting Special Operations Command (SOCOM) on\-site in Crystal City. The position involves providing big data ETL support on classified data and systems to directly support client mission.
 LMI is a new breed of digital solutions provider dedicated to accelerating government impact with innovation and speed. Investing in technology and prototypes ahead of need, LMI brings commercial\-grade platforms and mission\-ready AI to federal agencies at commercial speed.
 Leveraging our mission\-ready technology and solutions, proven expertise in federal deployment, and strategic relationships, we enhance outcomes for the government, efficiently and effectively. With a focus on agility and collaboration, LMI serves the defense, space, healthcare, and civilian sectors\-helping agencies navigate complexity and outpace change. Headquartered in Tysons, Virginia, LMI is committed to delivering impactful results that strengthen missions and drive lasting value.
**Responsibilities**
**Responsibilities will include:**
* Design, develop, and implement scalable data pipelines and ETL processes using Apache Airflow
* Implement and optimize Python\-based data processing solutions.
* Utilize Trino for distributed SQL query processing.
* Develop messaging solutions utilizing Kafka to support real\-time data streaming and event\-driven architectures.
* Build and maintain high\-performance data retrieval solutions using ElasticSearch/OpenSearch.
* Integrate batch and streaming data processing techniques to enhance data availability and accessibility.
* Ensure adherence to security and compliance requirements when working with classified data
* Work closely with cross\-functional teams to define data strategies and develop technical solutions aligned with mission objectives.
* Deploy and manage cloud\-based infrastructure to support scalable and resilient data solutions, including AWS S3\.
* Optimize data storage, retrieval, and processing efficiency, focusing on big data.
**Qualifications**
**Required Skills**
* Bachelor's degree or higher in data engineering, computer science, data science, or similar
* At least 5 years of experience in data engineering or related work
* Expert in Python with significant on the job experience
* Advanced proficiency in SQL (especially Postgres and/or Trino) with significant on the job experience
* Significant experience with big data technology and ETL
* Experience with Airflow (or equivalent) as an ETL workflow technology
* Experience with Kubernetes as an operating environment and Helm as infrastructure management
* Experience with AWS or equivalent cloud based services (e.g. S3 or S3\-like services)
**Desired Skills**
* Experience with Postgres or Trino
* Experience with Apache Iceberg, Hive, HDFS, or Spark
* Previous DOD experience
* Active CI Poly
**Options**
 Apply for this job onlineApply
 Share
 Email this job to a friendRefer
 Sorry the Share function is not working properly at this moment. Please refresh the page and try again later.
 Share on your newsfeed
**LMI is an Equal Opportunity Employer. LMI is committed to the fair treatment of all and to our policy of providing applicants and employees with equal employment opportunities. LMI recruits, hires, trains, and promotes people without regard to race, color, religion, sex, sexual orientation, gender identity, national origin, pregnancy, disability, age, protected veteran status, citizenship status, genetic information, or any other characteristic protected by applicable federal, state, or local law. If you are a person with a disability needing assistance with the application process, please contact
 Colorado Residents: In any materials you submit, you may redact or remove age\-identifying information such as age, date of birth, or dates of school attendance or graduation. You will not be penalized for redacting or removing this information.
**Need help finding the right job?****</t>
        </is>
      </c>
    </row>
    <row r="29">
      <c r="A29" t="inlineStr">
        <is>
          <t>li-4351252611</t>
        </is>
      </c>
      <c r="B29" t="inlineStr">
        <is>
          <t>Nevly Money Rent Advance Engineering Team - Data Engineer (Level II)</t>
        </is>
      </c>
      <c r="C29" t="inlineStr">
        <is>
          <t>Nevly</t>
        </is>
      </c>
      <c r="D29" t="inlineStr">
        <is>
          <t>linkedin</t>
        </is>
      </c>
      <c r="E29" t="inlineStr"/>
      <c r="F29" t="inlineStr"/>
      <c r="G29" t="inlineStr">
        <is>
          <t>Arlington, VA</t>
        </is>
      </c>
      <c r="H29" t="inlineStr"/>
      <c r="I29" t="inlineStr">
        <is>
          <t>**About The Company**
 We believe each of us deserves the opportunity to get all that we can from our money. Since 2022, Nevly has been on a mission to design and build products that empowered every individual to do just that. We are rapidly innovating \- pushing boundaries, experimenting boldly, and continuously learning \- to create solutions centered around tackling the most challenging aspects of financial health with a focus on elevating the human experience.
 As we continue on this journey we keep focus on the fact that two things are essential to our success: our people and our culture. We value talented people who are passionate about solving extremely hard problems and who possess an unwavering level of empathy for those we are charged with serving. We embrace a culture of experimentation and one that focuses on continuous improvement and learning.
 Nevly can best be defined by collaborative, trusting, thought\-provoking, outcome\-driven environments inside of a forward\-thinking organization that looks to push boundaries. One that encourages diversity of thought and creative solutions that are in the best interests of our customers.
**About The Role**
 Nevly is seeking a data engineer (the “
 **Data Engineer** 
 ” or the “
 **Role** 
 ”) to join its Nevly Money Rent Advance (the “
 **Product** 
 ”) team (the “
 **Product** 
**Team** 
 ”), which is focused on designing, building and delivering the Product including its set of proprietary underwriting models. The Data Engineer will be responsible for designing, constructing, and maintaining scalable data pipelines and architectures. This role will involve working closely with data scientists, analysts, and other stakeholders to ensure that data is accessible and usable for decision\-making processes.
**Position Responsibilities**
* Develop and maintain scalable data pipelines to support data ingestion and processing.
* Design and implement data storage solutions that ensure data integrity and accessibility.
* Collaborate with a cross\-functional team including machine learning developers, data scientists and data analysts, to understand data requirements and provide necessary data sets.
* Monitor system performance and troubleshoot data\-related issues to ensure optimal functionality.
* Implement data governance and security practices to protect sensitive information.
* Optimize data delivery and processes to improve performance and reduce latency.
* Document data workflows, architecture and processes for future reference and compliance.
* Stay up to date with the latest industry trends and technologies to continually improve data related practices.
**Position Requirements**
* Proficiency in programming languages such as Python, Typescript and Scala.
* Deep experience with data lakehouse solutions as well as AWS Step Functions (Glue, Glue Crawler and Glue Data Catalog); Amazon S3; Athena; Quick Sight and Sage Maker.
* Strong knowledge of SQL and large\-scale database management systems.
* Deep prior experience with ETL processes and tools.
* Prior experience as a data engineer with a preference given to prior experience developing big data machine learning \| AI services.
* Excellent problem\-solving skills and attention to detail.
* Strong written and verbal communication skills.
* Ability to work independently and manage time effectively in a fast\-paced environment.
* BSc in Computer Science, Mathematics or similar discipline; Master’s degree is a plus.
**Compensation Package And Other Benefits**
 Nevly offers a competitive base salary and discretionary bonus based on performance and also provides a generous benefits package to its team members:
* Health, Dental \&amp; Vision
* Fertility Benefits
* Professional Development Fund
* Relocation Benefits
* Paid Parental Leave
* Paid Time Off
* Compassionate Sick and Bereavement Leave
* Volunteering Days
* Employee Referral Program
* Monthly Commuter Stipend
 Role Type: Full Time
 Base Salary Range: $157,300 \- $200,200
***Important Notice for Candidates***
*Job scams are on the rise. Please keep these guidelines in mind when applying for any open roles.* 
* Only apply through official Nevly channels. We don’t use any third\-party services or platforms for our recruitment.
* Always double\-check the emails you receive. Make sure all communications are being done through official Nevly emails, with an @nevly.com domain.
* We won't ask for payment or personal financial information during the hiring process. If anyone does ask you for this, it’s a scam. Report it immediately.</t>
        </is>
      </c>
    </row>
    <row r="30">
      <c r="A30" t="inlineStr">
        <is>
          <t>li-4326546189</t>
        </is>
      </c>
      <c r="B30" t="inlineStr">
        <is>
          <t>Technical Lead, Data Engineer</t>
        </is>
      </c>
      <c r="C30" t="inlineStr">
        <is>
          <t>Align Technology</t>
        </is>
      </c>
      <c r="D30" t="inlineStr">
        <is>
          <t>linkedin</t>
        </is>
      </c>
      <c r="E30" t="inlineStr"/>
      <c r="F30" t="inlineStr"/>
      <c r="G30" t="inlineStr">
        <is>
          <t>San Jose, CA</t>
        </is>
      </c>
      <c r="H30" t="inlineStr"/>
      <c r="I30" t="inlineStr">
        <is>
          <t>**Department:** 
 Research \&amp; Development
**Location:** 
 US\-California\-San Jose
**Compensation:** 
 $157,050 \- $216,000 / year
**Description**
 This position is ideal for senior\-level data engineering professionals to join the Product Analytics team as a Technical Lead, Data Engineer. You will drive the design, development, and management of robust data pipelines, investigate data discrepancies, and enable research through the creation and maintenance of sandbox databases. Partnering with business owners, product engineering managers, functional managers, and cross\-functional teams in R\&amp;D, IT, marketing, clinical, and operations, you’ll provide technical leadership and hands\-on expertise to deliver high\-quality, reliable data solutions that support business insights, metrics, and recommendations. You will operate as a power user of the Datalake, collaborating with partner teams for administrative support and broader data access.
**Role expectations**
* Serve as the technical leader and subject matter expert for dashboard development, setting best practices for design, implementation, and monitoring of analytics dashboards.
* Lead the investigation and resolution of complex data discrepancies, collaborating with cross\-functional teams to ensure data accuracy, consistency, and integrity across all reporting platforms.
* Architect, develop, and maintain scalable data pipelines and ETL/ELT processes using Databricks, Starburst, and Kafka within the team’s allocated data catalog and resources.
* Design and manage sandbox databases, enabling rapid prototyping and research for internal stakeholders
* Design and maintain data models and schemas for efficient querying and reporting, utilizing Starburst for federated data access.
* Collaborate with partner teams for data access, integration, and troubleshooting beyond your team’s scope.
* Oversee the extraction, cleaning, wrangling, and exploratory analysis of data using SQL and programming languages (e.g., Python).
* Document technical processes and mentor team members in best practices for data engineering and dashboard development.
* Monitor and optimize data infrastructure performance, troubleshooting issues as needed within the team’s allocated resources.
* Establish and enforce data governance and usage guidelines to ensure compliance and best practices.
* Remain current on industry trends and emerging technologies in data engineering, BI, and analytics.
**What We're Looking For**
* Education: BS or MS in Computer Science, Engineering, Data Science, or related technical field.
* Experience: 8\-12 years of experience in Data Engineering, Data Analytics, Business Analytics, or related fields
* Skills: Strong knowledge of data modeling, ETL, and dashboard development; Hands\-on experience with Databricks, Starburst, and Kafka as a power user; Hands\-on expertise with dashboard development and monitoring (e.g., Power BI, Tableau); Deep expertise in data discrepancy investigation, root cause analysis, and resolution; Strong analytical and problem\-solving abilities; Demonstrable experience designing and managing data pipelines and ETL frameworks; Proficiency in SQL writing \&amp; optimization, data modeling, and relational database management; Proficiency in Python or other programming languages for data engineering tasks; Familiarity with cloud data platforms and big data technologies; Strong organization and project management skills.
* Communication: Exceptional communication and documentation skills to accurately convey technical requirements and priorities to stakeholders
* Teamwork: Ability to work cross\-functionally with a diverse group of people and functions to drive timely solutions
 Complementary skills
* Strong presentation and documentation skills
* Self\-motivated, proactive, and willing to work through barriers and strive for continuous improvement
* Desire and willingness to develop clinical understanding of Invisalign product and orthodontics
**Pay Transparency**
 If provided, base salary or wage rate ranges are the range in which Align reasonably expects to set a candidate’s pay for the posted position. Actual placement depends on the individual skills and experience level of a candidate plus the total compensation and equity across team members. For other locations outside of the primary location, the base salary range will be adjusted geographically.
 For Field Sales roles, the salary listed is the base pay only and does not include the applicable incentive compensation plan. A cost of living adjustment may be added to base pay for higher cost areas in the U.S.
 Our internship hourly rates are a standard pay determined based on the position and your location, year in school, degree, and experience.
**General Description Of All Benefits**
 We are pleased to provide a general description of the benefits Align offers to full\-time employees in this position.
**Benefits**
 Family Benefits. Align offers employees and their eligible dependents medical (with a Health Savings Account option for some plan offerings), dental, and vision in accordance with those plans. Align also offers to employees:
* Discounts on Invisalign and Vivera to employees and their eligible dependents after 90 days of employment
* Back\-up Child/Elder Care and access to a caregiving concierge
* Family Forming Benefits – Available to Employees, and their spouse or domestic partner, covered under one of Align’s health plans
* Breast Milk Delivery and Lactation Support Services
* Employee Assistance Program
* Hinge Health Virtual Physical Therapy – Available to all employees and eligible dependents (age 18\+) enrolled in an Align medical Plan
 Employee benefits. Align offers its employees:
* Short\-term and long\-term disability insurance in accordance with those plans.
* Basic Life Insurance and Accidental Death and Dismemberment. Voluntary Supplemental Life Insurance for Employee, Spouse/Domestic Partner, and Child(ren) are available for purchase in accordance with those plans.
* Flexible Spending Accounts – Employees may be eligible to participate in a health care account (including a limited health FSA if enrolled in a HDHP), dependent care account, and a pre\-tax commuter benefit plan.
* 401k plan (with a discretionary Company match of 50% up to 6% of eligible earnings up to a maximum match of 3%.). Employer match vests after two years – 25% year one and 100% at year two. Align offers traditional, Roth, and after\-tax options.
* Employee Stock Purchase Program (Employees must work 20 hours or more and be employed on purchase date to be eligible).
* Paid vacation of up to 17 days during the first full year of employment (currently accrued at the rate of 5\.24 hours each pay\-period), which carries over to a maximum cap of 30 days. Annual paid vacation time accrual increases based on tenure. Both exempt and non\-exempt employees who work 32 hours or more per week receive prorated vacation accrual based on their regularly scheduled work hours and tenure.
* Sick time is accrued throughout the year at the rate of one hour for every thirty worked. Employees can carry over unused sick leave each year, up to a maximum balance of 80 hours.
* 11 Company\-designated paid holidays throughout the year.
* If employed for at least 12 consecutive months, Align will grant up to 6 weeks of paid Parental Leave. If employed for less than 12 consecutive months, Align will grant up to 4 weeks of paid Parental Leave. All parental leave must be completed within one year of the birth or placement of the child. Parental leave is in addition to any state and/or local parental leave benefits. Three days of paid bereavement leave. In some cases, due to travel the amount of paid leave may be extended to 5 paid days off. To the extent applicable state or local law offers more generous benefits, Align complies with any such law.
* Non\-exempt employees will receive full pay for up to 10 days of jury duty. Exempt employees will receive their full salary during any week they serve and perform any work. Other insurance such as legal, critical illness, voluntary accident, long\-term care, auto, home and pet insurance are available for purchase.
 To the extent applicable state or local law offers more generous benefits, Align complies with any such law.
**Applicant Privacy Policy**
 Review our
 **Applicant Privacy Policy** 
 for additional information.
**Equal Opportunity Statement**
 Align Technology is an equal opportunity employer. We are committed to providing equal employment opportunities in all our practices, without regard to race, color, religion, sex, national origin, ancestry, marital status, protected veteran status, age, disability, sexual orientation, gender identity or expression, or any other legally protected category. Applicants must be legally authorized to work in the country for which they are applying, and employment eligibility will be verified as a condition of hire.</t>
        </is>
      </c>
    </row>
    <row r="31">
      <c r="A31" t="inlineStr">
        <is>
          <t>li-4349398081</t>
        </is>
      </c>
      <c r="B31" t="inlineStr">
        <is>
          <t>Data Engineer - Databricks (Remote)</t>
        </is>
      </c>
      <c r="C31" t="inlineStr">
        <is>
          <t>Lumenalta</t>
        </is>
      </c>
      <c r="D31" t="inlineStr">
        <is>
          <t>linkedin</t>
        </is>
      </c>
      <c r="E31" t="inlineStr"/>
      <c r="F31" t="inlineStr"/>
      <c r="G31" t="inlineStr">
        <is>
          <t>Raleigh, NC</t>
        </is>
      </c>
      <c r="H31" t="inlineStr"/>
      <c r="I31" t="inlineStr">
        <is>
          <t>**About the Role** 
 We work with global enterprises to design and build data platforms that power digital products used by millions of users. Our projects involve large\-scale datasets, complex distributed pipelines, and real business impact.
 We’re looking for a
 **Senior Data Engineer** 
 to join our remote team and take ownership of building and scaling data solutions using
 **Databricks on AWS** 
 . This is a hands\-on senior IC role with strong influence on architecture and implementation.
**What You'll Do** 
* Design, build, and maintain
 **scalable ETL / ELT pipelines** 
 using
 **Databricks, PySpark, and AWS**
* Work with
 **large, complex datasets** 
 in production environments
* Write clean, efficient, and maintainable
 **Python and advanced SQL**
* Build pipelines
 **from scratch** 
 , not just maintain existing ones
* Ensure data quality, performance, reliability, and cost efficiency
* Collaborate closely with product, analytics, and engineering teams to translate business needs into technical solutions
* Contribute to architectural decisions and data engineering best practices
**What We’re Looking For** 
* **7\+ years** 
 of experience as a
 **Data Engineer**
* Strong, hands\-on experience with:
 **Python, SQL (advanced), PySpark, Databricks (production experience required) and AWS**
* Proven experience designing and building
 **end\-to\-end data pipelines**
* Solid understanding of
 **distributed data processing** 
 and data modeling
* Strong communication skills
* **Fluent English** 
 , both written and spoken
**Salary** 
 Salary range: $60,000 \- $110,000 annually, with final compensation determined by your qualifications, expertise, experience, and the role's scope.
**Location:** 
 This is a
 **fully remote position** 
 ; however, candidates must be
 **based in regions that align with the Pacific,** 
**Central, or Eastern U.S. time zones** 
 to ensure effective collaboration with client and team schedules.
**Benefits** 
 In addition to competitive pay, we offer a variety of benefits to support your professional and personal growth, including:
* Flexible working hours in a remote environment.
* Health insurance (medical and dental) for W2 Employees.
* 401K Contribution.
* A professional development fund to enhance your skills and knowledge.
* 15 days of paid time off annually.
* Access to soft\-skill development courses to further your career.
**Position Details** 
 This is a full\-time position requiring a minimum of
 **40 hours per week, Monday through Friday** 
 .
 At
 **Lumenalta** 
 , we are committed to creating an environment that prioritizes growth, work\-life balance, and the diverse needs of our team members.
 This is an evergreen opening with no set deadline; we’re always excited to connect with professionals who want to help us build the future</t>
        </is>
      </c>
    </row>
    <row r="32">
      <c r="A32" t="inlineStr">
        <is>
          <t>li-4354541484</t>
        </is>
      </c>
      <c r="B32" t="inlineStr">
        <is>
          <t>Data Engineer - Databricks (Remote)</t>
        </is>
      </c>
      <c r="C32" t="inlineStr">
        <is>
          <t>Lumenalta</t>
        </is>
      </c>
      <c r="D32" t="inlineStr">
        <is>
          <t>linkedin</t>
        </is>
      </c>
      <c r="E32" t="inlineStr"/>
      <c r="F32" t="inlineStr"/>
      <c r="G32" t="inlineStr"/>
      <c r="H32" t="inlineStr"/>
      <c r="I32" t="inlineStr">
        <is>
          <t>**About the Role** 
 We work with global enterprises to design and build data platforms that power digital products used by millions of users. Our projects involve large\-scale datasets, complex distributed pipelines, and real business impact.
 We’re looking for a
 **Senior Data Engineer** 
 to join our remote team and take ownership of building and scaling data solutions using
 **Databricks on AWS** 
 . This is a hands\-on senior IC role with strong influence on architecture and implementation.
**What You'll Do** 
* Design, build, and maintain
 **scalable ETL / ELT pipelines** 
 using
 **Databricks, PySpark, and AWS**
* Work with
 **large, complex datasets** 
 in production environments
* Write clean, efficient, and maintainable
 **Python and advanced SQL**
* Build pipelines
 **from scratch** 
 , not just maintain existing ones
* Ensure data quality, performance, reliability, and cost efficiency
* Collaborate closely with product, analytics, and engineering teams to translate business needs into technical solutions
* Contribute to architectural decisions and data engineering best practices
**What We’re Looking For** 
* **7\+ years** 
 of experience as a
 **Data Engineer**
* Strong, hands\-on experience with:
 **Python, SQL (advanced), PySpark, Databricks (production experience required) and AWS**
* Proven experience designing and building
 **end\-to\-end data pipelines**
* Solid understanding of
 **distributed data processing** 
 and data modeling
* Strong communication skills
* **Fluent English** 
 , both written and spoken
**Salary** 
 Salary range: $60,000 \- $110,000 annually, with final compensation determined by your qualifications, expertise, experience, and the role's scope.
**Location:** 
 This is a
 **fully remote position** 
 ; however, candidates must be
 **based in regions that align with the Pacific,** 
**Central, or Eastern U.S. time zones** 
 to ensure effective collaboration with client and team schedules.
**Benefits** 
 In addition to competitive pay, we offer a variety of benefits to support your professional and personal growth, including:
* Flexible working hours in a remote environment.
* Health insurance (medical and dental) for W2 Employees.
* 401K Contribution.
* A professional development fund to enhance your skills and knowledge.
* 15 days of paid time off annually.
* Access to soft\-skill development courses to further your career.
**Position Details** 
 This is a full\-time position requiring a minimum of
 **40 hours per week, Monday through Friday** 
 .
 At
 **Lumenalta** 
 , we are committed to creating an environment that prioritizes growth, work\-life balance, and the diverse needs of our team members.
 This is an evergreen opening with no set deadline; we’re always excited to connect with professionals who want to help us build the future</t>
        </is>
      </c>
    </row>
    <row r="33">
      <c r="A33" t="inlineStr">
        <is>
          <t>li-4330074090</t>
        </is>
      </c>
      <c r="B33" t="inlineStr">
        <is>
          <t>Data Engineer - Databricks</t>
        </is>
      </c>
      <c r="C33" t="inlineStr">
        <is>
          <t>Jobs via Dice</t>
        </is>
      </c>
      <c r="D33" t="inlineStr">
        <is>
          <t>linkedin</t>
        </is>
      </c>
      <c r="E33" t="inlineStr"/>
      <c r="F33" t="inlineStr"/>
      <c r="G33" t="inlineStr"/>
      <c r="H33" t="inlineStr"/>
      <c r="I33" t="inlineStr">
        <is>
          <t>Dice is the leading career destination for tech experts at every stage of their careers. Our client, Contract Staffing Recruiters, is seeking the following. Apply via Dice today!
 Databricks experience is a must. Looking for a leader that loves Databricks and can work on fast moving team.
* Design and develop ETL Processes that will transform a variety of raw data, flat files, xl spreadsheets into SQL Databases
* Understands the concept of Data marts and Data lakes and experience with migrating legacy systems to data marts/lake
* Uses additional cloud technologies (e.g., understands concept of Cloud services like Azure SQL server)
* Maintain comprehensive project documentation
* Aptitude to learn new technologies and the ability to perform continuous research, analysis, and process improvement.
* Strong interpersonal and communication skills to be able to work in a team environment to include customer and contractor technical, end users, and management team members.
* Manage multiple projects, responsibilities and competing priorities.
**Experience Needed:**
* Programming languages, frameworks, and file formats such as: Python, SQL, PLSQL, and VB
* Database platforms such as: Oracle, SQL Server, MySQL
* Big data concepts and technologies such as Synapse \&amp; Databricks</t>
        </is>
      </c>
    </row>
    <row r="34">
      <c r="A34" t="inlineStr">
        <is>
          <t>li-4354373658</t>
        </is>
      </c>
      <c r="B34" t="inlineStr">
        <is>
          <t>Lead Data Engineer - Databricks (Remote)</t>
        </is>
      </c>
      <c r="C34" t="inlineStr">
        <is>
          <t>Lumenalta</t>
        </is>
      </c>
      <c r="D34" t="inlineStr">
        <is>
          <t>linkedin</t>
        </is>
      </c>
      <c r="E34" t="inlineStr"/>
      <c r="F34" t="inlineStr"/>
      <c r="G34" t="inlineStr"/>
      <c r="H34" t="inlineStr"/>
      <c r="I34" t="inlineStr">
        <is>
          <t>**What We’re Building** 
 We partner with global enterprises to design and scale data platforms that power products used by millions of users. Our work involves large\-scale data systems, complex pipelines, and high\-impact business use cases across multiple industries.
 This role focuses on
 **technical leadership** 
 , architectural ownership, and
 **mentoring** 
 while remaining hands\-on.
**Your Role as a Tech Lead** 
 As a
 **Tech Lead, Data Engineering** 
 , you will own the technical direction of data initiatives while remaining hands\-on. You’ll act as the bridge between architecture, execution, and people leadership.
**What You’ll Do** 
* **Own the technical direction and architecture** 
 of data engineering projects
* Design and build
 **scalable, production\-grade data pipelines** 
 using
 **Databricks, PySpark, AWS, and SQL**
* Lead by example with
 **hands\-on development** 
 , code reviews, and technical decision\-making
* **Mentor and guide data engineers** 
 , promoting best practices, clean code, and high engineering standards
* Drive architectural discussions, trade\-offs, and long\-term technical vision
* Collaborate closely with
 **product, data, and engineering stakeholders**
* Tackle
 **enterprise\-scale data challenges** 
 with real\-world business impact business outcomes
**What We’re Looking For** 
* **10\+ years of experience** 
 in Data Engineering or related roles
* **Proven experience as a Tech Lead, Lead Data Engineer, or similar role**
* Strong hands\-on expertise with:
 **Python \&amp; SQL, PySpark, Databricks and AWS**
* Solid background in
 **data architecture, pipeline design, and distributed systems**
* Experience mentoring engineers and leading technical initiatives
* Strong communication skills and the ability to influence technical decisions
* Fluent in English (spoken and written)
**Salary** 
 Salary range: $65,000 \- $130\.000 annually, with final compensation determined by your qualifications, expertise, experience, and the role's scope.
**Location:** 
 This is a
 **fully remote position** 
 ; however, candidates must be
 **based in regions that align with the Pacific,** 
**Central, or Eastern U.S. time zones** 
 to ensure effective collaboration with client and team schedules.
**Benefits** 
 In addition to competitive pay, we offer a variety of benefits to support your professional and personal growth, including:
* Flexible working hours in a remote environment.
* Health insurance (medical and dental) for W2 Employees.
* 401K Contribution.
* A professional development fund to enhance your skills and knowledge.
* 15 days of paid time off annually.
* Access to soft\-skill development courses to further your career.
**Position Details** 
 This is a full\-time position requiring a minimum of
 **40 hours per week, Monday through Friday** 
 .
 At
 **Lumenalta** 
 , we are committed to creating an environment that prioritizes growth, work\-life balance, and the diverse needs of our team members.
 This is an evergreen opening with no set deadline; we’re always excited to connect with professionals who want to help us build the future</t>
        </is>
      </c>
    </row>
    <row r="35">
      <c r="A35" t="inlineStr">
        <is>
          <t>li-4354581127</t>
        </is>
      </c>
      <c r="B35" t="inlineStr">
        <is>
          <t>Lead Data Engineer - Databricks (Remote)</t>
        </is>
      </c>
      <c r="C35" t="inlineStr">
        <is>
          <t>Lumenalta</t>
        </is>
      </c>
      <c r="D35" t="inlineStr">
        <is>
          <t>linkedin</t>
        </is>
      </c>
      <c r="E35" t="inlineStr"/>
      <c r="F35" t="inlineStr"/>
      <c r="G35" t="inlineStr">
        <is>
          <t>Raleigh, NC</t>
        </is>
      </c>
      <c r="H35" t="inlineStr"/>
      <c r="I35" t="inlineStr">
        <is>
          <t>**What We’re Building** 
 We partner with global enterprises to design and scale data platforms that power products used by millions of users. Our work involves large\-scale data systems, complex pipelines, and high\-impact business use cases across multiple industries.
 This role focuses on
 **technical leadership** 
 , architectural ownership, and
 **mentoring** 
 while remaining hands\-on.
**Your Role as a Tech Lead** 
 As a
 **Tech Lead, Data Engineering** 
 , you will own the technical direction of data initiatives while remaining hands\-on. You’ll act as the bridge between architecture, execution, and people leadership.
**What You’ll Do** 
* **Own the technical direction and architecture** 
 of data engineering projects
* Design and build
 **scalable, production\-grade data pipelines** 
 using
 **Databricks, PySpark, AWS, and SQL**
* Lead by example with
 **hands\-on development** 
 , code reviews, and technical decision\-making
* **Mentor and guide data engineers** 
 , promoting best practices, clean code, and high engineering standards
* Drive architectural discussions, trade\-offs, and long\-term technical vision
* Collaborate closely with
 **product, data, and engineering stakeholders**
* Tackle
 **enterprise\-scale data challenges** 
 with real\-world business impact business outcomes
**What We’re Looking For** 
* **10\+ years of experience** 
 in Data Engineering or related roles
* **Proven experience as a Tech Lead, Lead Data Engineer, or similar role**
* Strong hands\-on expertise with:
 **Python \&amp; SQL, PySpark, Databricks and AWS**
* Solid background in
 **data architecture, pipeline design, and distributed systems**
* Experience mentoring engineers and leading technical initiatives
* Strong communication skills and the ability to influence technical decisions
* Fluent in English (spoken and written)
**Salary** 
 Salary range: $65,000 \- $130\.000 annually, with final compensation determined by your qualifications, expertise, experience, and the role's scope.
**Location:** 
 This is a
 **fully remote position** 
 ; however, candidates must be
 **based in regions that align with the Pacific,** 
**Central, or Eastern U.S. time zones** 
 to ensure effective collaboration with client and team schedules.
**Benefits** 
 In addition to competitive pay, we offer a variety of benefits to support your professional and personal growth, including:
* Flexible working hours in a remote environment.
* Health insurance (medical and dental) for W2 Employees.
* 401K Contribution.
* A professional development fund to enhance your skills and knowledge.
* 15 days of paid time off annually.
* Access to soft\-skill development courses to further your career.
**Position Details** 
 This is a full\-time position requiring a minimum of
 **40 hours per week, Monday through Friday** 
 .
 At
 **Lumenalta** 
 , we are committed to creating an environment that prioritizes growth, work\-life balance, and the diverse needs of our team members.
 This is an evergreen opening with no set deadline; we’re always excited to connect with professionals who want to help us build the future</t>
        </is>
      </c>
    </row>
    <row r="36">
      <c r="A36" t="inlineStr">
        <is>
          <t>li-4354551702</t>
        </is>
      </c>
      <c r="B36" t="inlineStr">
        <is>
          <t>Data Engineer / Data Modeler (DataStage / Payments Subsystem / FTE / Onsite)</t>
        </is>
      </c>
      <c r="C36" t="inlineStr">
        <is>
          <t>NTT DATA North America</t>
        </is>
      </c>
      <c r="D36" t="inlineStr">
        <is>
          <t>linkedin</t>
        </is>
      </c>
      <c r="E36" t="inlineStr"/>
      <c r="F36" t="inlineStr"/>
      <c r="G36" t="inlineStr">
        <is>
          <t>Atlanta, GA</t>
        </is>
      </c>
      <c r="H36" t="inlineStr"/>
      <c r="I36" t="inlineStr">
        <is>
          <t>**Req ID:** 
 340845
 NTT DATA strives to hire exceptional, innovative and passionate individuals who want to grow with us. If you want to be part of an inclusive, adaptable, and forward\-thinking organization, apply now.
 We are currently seeking a Data Engineer / Data Modeler (DataStage / Payments Subsystem / FTE / Onsite) to join our team in Atlanta, Georgia (US\-GA), United States (US).
**Job Duties and Responsibilities:**
 We are looking for an experienced
 **Data Engineer / Data Modeler** 
 to join our banking technology team, with a focus on the
 **payment subsystem** 
 . The role involves designing, developing, and maintaining scalable data pipelines and models to support real\-time and batch payment processing, settlement, reconciliation, and regulatory reporting. The ideal candidate will have strong expertise in
 **data modeling, ETL development, cloud data platforms, and modern data engineering practices** 
 .
**Key Responsibilities**
* Design and implement logical and physical data models for the payment’s domain (merchant onboarding, transactions, clearing, settlement, funding, fraud/risk, reporting).
* Develop ETL/ELT pipelines to integrate data from core banking systems, payment gateways, and external partners into enterprise data stores.
* Ensure data quality, lineage, and governance across payment processing flows.
* Build and optimize data warehouses/lakes on cloud platforms (AWS or Azure).
* Collaborate with architects, developers, and business analysts to map payment business processes into data models and schemas.
* Implement real\-time and batch data integration for use cases such as fraud detection, reconciliations, settlement reporting, and regulatory compliance.
* Monitor and tune pipelines for scalability, performance, and cost efficiency.
* Partner with security and compliance teams to enforce data privacy and regulatory requirements (PCI\-DSS, SOX, AML/KYC).
**Required Qualifications**
* Bachelor’s degree in computer science, Information Systems, or related field (or equivalent experience).
* 7\+ years of data engineering / data modeling experience in financial services or banking.
* 7\+ years of Strong knowledge of payments domain concepts (auth, clearing, settlement, reconciliation, chargebacks, fraud).
* 7\+ years of Hands\-on experience with data modeling (3NF, star/snowflake schemas, dimensional modeling).
* 7\+ years of Proficiency with SQL and at least one ETL/ELT tool (DataStage, Informatica, Talend, dbt).
* 7\+ years of Strong experience with cloud data platforms (AWS Redshift, Azure Synapse, Snowflake, Databricks).
* 7\+ years of Proficiency in a programming language such as Python for data processing and automation.
* 7\+ years of Experience with real\-time streaming (Kafka, Kinesis, EventHub) and batch data pipelines.
* 7\+ years of Familiarity with version control (Git) and CI/CD pipelines.
**Preferred Skills**
* Knowledge of regulatory and compliance requirements in payments/banking.
* Understanding of API\-based integration for payment systems.
* Familiarity with containerization (Docker, Kubernetes) for data services deployment.
**\#INDFSINS**
**About NTT DATA**
 NTT DATA is a $30\+ billion business and technology services leader, serving 75% of the Fortune Global 100\. We are committed to accelerating client success and positively impacting society through responsible innovation. We are one of the world’s leading AI and digital infrastructure providers, with unmatched capabilities in enterprise\-scale AI, cloud, security, connectivity, data centers and application services. Our consulting and industry solutions help organizations and society move confidently and sustainably into the digital future. As a Global Top Employer, we have experts in more than 50 countries. We also offer clients access to a robust ecosystem of innovation centers as well as established and start\-up partners. NTT DATA is part of NTT Group, which invests over $3 billion each year in R\&amp;D.
 Whenever possible, we hire locally to NTT DATA offices or client sites. This ensures we can provide timely and effective support tailored to each client’s needs. While many positions offer remote or hybrid work options, these arrangements are subject to change based on client requirements. For employees near an NTT DATA office or client site, in\-office attendance may be required for meetings or events, depending on business needs. At NTT DATA, we are committed to staying flexible and meeting the evolving needs of both our clients and employees. NTT DATA recruiters will never ask for payment or banking information and will only use @nttdata.com and @talent.nttdataservices.com email addresses. If you are requested to provide payment or disclose banking information, please submit a contact us form, https://us.nttdata.com/en/contact\-us.
***NTT DATA endeavors to make https://us.nttdata.com accessible to any and all users. If you would like to contact us regarding the accessibility of our website or need assistance completing the application process, please contact us at https://us.nttdata.com/en/contact\-us. This contact information is for accommodation requests only and cannot be used to inquire about the status of applications. NTT DATA is an equal opportunity employer. Qualified applicants will receive consideration for employment without regard to race, color, religion, sex, sexual orientation, gender identity, national origin, disability or protected veteran status. For our EEO Policy Statement, please click here. If you'd like more information on your EEO rights under the law, please click here. For Pay Transparency information, please click here.***</t>
        </is>
      </c>
    </row>
    <row r="37">
      <c r="A37" t="inlineStr">
        <is>
          <t>li-4354591191</t>
        </is>
      </c>
      <c r="B37" t="inlineStr">
        <is>
          <t>Market Data Engineer | $200k+</t>
        </is>
      </c>
      <c r="C37" t="inlineStr">
        <is>
          <t>Feldspar &amp; Flint LLC</t>
        </is>
      </c>
      <c r="D37" t="inlineStr">
        <is>
          <t>linkedin</t>
        </is>
      </c>
      <c r="E37">
        <f>HYPERLINK("https://www.linkedin.com/jobs/view/4354591191", "https://www.linkedin.com/jobs/view/4354591191")</f>
        <v/>
      </c>
      <c r="F37" t="inlineStr"/>
      <c r="G37" t="inlineStr"/>
      <c r="H37" t="inlineStr"/>
      <c r="I37" t="inlineStr">
        <is>
          <t>Feldspar \&amp; Flint LLC is a NYC metro area Recruiting \&amp; Staffing firm that specializes in operational strategy across core business functions.
 Our client is seeking a
 **Market Data Engineer** 
 to design and support high\-performance data pipelines for a data\-intensive financial platform. This role focuses on building reliable, scalable data solutions that process large volumes of market data and deliver clean, accurate information to downstream systems. The ideal candidate has strong core data engineering skills, experience in financial services environments, and thrives in fast\-moving, production\-focused teams.
**Key Responsibilities** 
* Design, build, and maintain data pipelines and databases supporting high\-volume market data
* Develop and optimize ETL workflows to ensure data accuracy, consistency, and availability
* Partner with engineering, trading, and business teams to integrate and process multiple data sources
* Monitor and improve system performance, scalability, and reliability in Linux environments
* Contribute to enhancements in data architecture, tooling, and pipeline efficiency
**Qualifications** 
* Proven experience in data engineering within financial services or market data environments
* Strong hands\-on expertise with
 **KDB\+/Q**
* Experience building and maintaining ETL pipelines
* Proficiency in Linux\-based systems
* Working knowledge of Python for scripting or automation
* Familiarity with Java or C\+\+ is a plus
* Experience with options or derivatives markets is advantageous but not required
* Detail\-oriented, self\-directed, and collaborative mindset</t>
        </is>
      </c>
    </row>
    <row r="38">
      <c r="A38" t="inlineStr">
        <is>
          <t>li-4351173331</t>
        </is>
      </c>
      <c r="B38" t="inlineStr">
        <is>
          <t>AWS Data Engineer – Qualtrics Integration</t>
        </is>
      </c>
      <c r="C38" t="inlineStr">
        <is>
          <t>Veracity Software Inc</t>
        </is>
      </c>
      <c r="D38" t="inlineStr">
        <is>
          <t>linkedin</t>
        </is>
      </c>
      <c r="E38">
        <f>HYPERLINK("https://www.linkedin.com/jobs/view/4351173331", "https://www.linkedin.com/jobs/view/4351173331")</f>
        <v/>
      </c>
      <c r="F38" t="inlineStr"/>
      <c r="G38" t="inlineStr">
        <is>
          <t>Torrance, CA</t>
        </is>
      </c>
      <c r="H38" t="inlineStr"/>
      <c r="I38" t="inlineStr">
        <is>
          <t>**AWS Data Engineer \- Qualtrics Integration**
**Role Type:** 
 Contract
**Location:** 
 Torrance, CA / Remote
**Domain:** 
 Enterprise Survey Platform / Qualtrics
**Primary Stack:** 
 AWS \| Python \| SQL \| Qualtrics API
 The
 **AWS Data Engineer \- Qualtrics Integration** 
 is responsible for designing, building, and maintaining scalable, automated data pipelines that support Qualtrics survey ingestion, transformation, and downstream reporting.
 This role focuses on
 **serverless AWS data engineering** 
 , integrating
 **Qualtrics APIs** 
 with AWS services to process structured survey data, dealer hierarchies, and reporting files. The engineer will ensure
 **data accuracy, automation, monitoring, and performance** 
 across end\-to\-end workflows.
**Key Responsibilities**
**AWS Cloud \&amp; Data Engineering**
* Design and maintain ETL pipelines using AWS Glue (PySpark)
* Develop AWS Lambda functions (Python / Node.js) for serverless data processing
* Manage AWS S3 for Qualtrics input/output storage and optimized data access
* Orchestrate workflows using AWS Step Functions and MWAA (Airflow)
* Query structured datasets using AWS Athena
* Monitor pipelines using CloudWatch logs and metrics
**Data Processing \&amp; ETL**
* Transform and aggregate Qualtrics datasets (CSV, JSON, XML)
* Merge multiple source files (e.g., dealer master \+ employee files) into unified hierarchies
* Automate ingestion, transformation, validation, and report generation
* Implement reusable, scalable ETL frameworks
**API \&amp; Integrations**
* Integrate with Qualtrics APIs to extract raw survey data and response files
* Implement event\-driven processing (S3 triggers → Lambda)
* Connect AWS pipelines with CRM, ERP, BI tools, or downstream platforms
**Data Quality \&amp; Reporting**
* Perform data validation and quality checks prior to Qualtrics ingestion
* Generate formatted output files aligned to business\-defined templates
* Support ad\-hoc analysis using SQL and Athena
**Programming \&amp; Automation**
* Develop robust Python scripts for Glue, Lambda, and automation tasks
* Write optimized SQL queries for structured data access
* Use Bash/Shell scripting for file movement and preparation
**DevOps \&amp; Security (Nice to Have)**
* Configure IAM roles and permissions securely
* Implement Infrastructure as Code (Terraform / CloudFormation)
* Support CI/CD pipelines for data workflows
**Required Skills \&amp; Experience**
* Strong experience in AWS Data Engineering \&amp; Serverless Architecture
* Hands\-on expertise with AWS Glue, Lambda, S3, Athena, Step Functions
* Experience with MWAA (Airflow) for orchestration
* Strong Python and SQL skills
* Experience integrating Qualtrics API or structured survey data
* Ability to troubleshoot pipeline failures and performance issues
**Preferred / Nice\-to\-Have Skills**
* Experience with Terraform or CloudFormation
* CI/CD for data pipelines
* Experience supporting BI tools (Power BI, Tableau, etc.)
* Knowledge of data governance and security best practices
**Ideal Candidate Profile**
* AWS\-focused Data Engineer with strong automation mindset
* Comfortable working with survey / VoC / structured data
* Strong debugging, monitoring, and optimization skills
* Able to work independently in enterprise environments
**Recruiter Submission Template \-**
 Full Name:
 Degree Major with University \&amp; Completion Year:
 Total Years of Data Engineering Experience:
 Total Years of AWS Data Engineering Experience:
 Total Years of Experience with Serverless Architecture:
 Experience with AWS Glue (PySpark ETL)? (Yes/No \- please elaborate):
 Experience with AWS Lambda (Python/Node.js)? (Yes/No \- please elaborate):
 Experience with AWS S3 data storage \&amp; optimization?
 Experience with AWS Athena? (Yes/No):
 Experience implementing data validation \&amp; quality checks?
 Experience working with Qualtrics API? (Yes/No \- please specify):
 Experience with event\-driven processing (S3 → Lambda)?
 Experience integrating AWS with CRM / ERP / BI tools?
 Python Experience (years \&amp; libraries used):
 SQL Experience (years \&amp; databases/tools):
 Experience with IAM \&amp; role\-based access?
 Brief description of a recent AWS data pipeline you built (tools \+ outcome):
 Motivation / Reason for Interest in Qualtrics Data Engineering Role:
 Contact Number:
 Email ID:
 LinkedIn Profile URL:
 Full Address (Street, City, State, Zip):
 Notice Period (in weeks):
 Current Work Authorization Status:
 Expected Hourly Rate:
 W2 / C2C (If C2C, corporation name):
**Are you comfortable working primarily** 
**Remote with Limited Onsite Flexibility** 
**?**</t>
        </is>
      </c>
    </row>
    <row r="39">
      <c r="A39" t="inlineStr">
        <is>
          <t>li-4349398081</t>
        </is>
      </c>
      <c r="B39" t="inlineStr">
        <is>
          <t>Data Engineer - Databricks (Remote)</t>
        </is>
      </c>
      <c r="C39" t="inlineStr">
        <is>
          <t>Lumenalta</t>
        </is>
      </c>
      <c r="D39" t="inlineStr">
        <is>
          <t>linkedin</t>
        </is>
      </c>
      <c r="E39">
        <f>HYPERLINK("https://www.linkedin.com/jobs/view/4349398081", "https://www.linkedin.com/jobs/view/4349398081")</f>
        <v/>
      </c>
      <c r="F39" t="inlineStr"/>
      <c r="G39" t="inlineStr">
        <is>
          <t>Raleigh, NC</t>
        </is>
      </c>
      <c r="H39" t="inlineStr"/>
      <c r="I39" t="inlineStr">
        <is>
          <t>**About the Role** 
 We work with global enterprises to design and build data platforms that power digital products used by millions of users. Our projects involve large\-scale datasets, complex distributed pipelines, and real business impact.
 We’re looking for a
 **Senior Data Engineer** 
 to join our remote team and take ownership of building and scaling data solutions using
 **Databricks on AWS** 
 . This is a hands\-on senior IC role with strong influence on architecture and implementation.
**What You'll Do** 
* Design, build, and maintain
 **scalable ETL / ELT pipelines** 
 using
 **Databricks, PySpark, and AWS**
* Work with
 **large, complex datasets** 
 in production environments
* Write clean, efficient, and maintainable
 **Python and advanced SQL**
* Build pipelines
 **from scratch** 
 , not just maintain existing ones
* Ensure data quality, performance, reliability, and cost efficiency
* Collaborate closely with product, analytics, and engineering teams to translate business needs into technical solutions
* Contribute to architectural decisions and data engineering best practices
**What We’re Looking For** 
* **7\+ years** 
 of experience as a
 **Data Engineer**
* Strong, hands\-on experience with:
 **Python, SQL (advanced), PySpark, Databricks (production experience required) and AWS**
* Proven experience designing and building
 **end\-to\-end data pipelines**
* Solid understanding of
 **distributed data processing** 
 and data modeling
* Strong communication skills
* **Fluent English** 
 , both written and spoken
**Salary** 
 Salary range: $60,000 \- $110,000 annually, with final compensation determined by your qualifications, expertise, experience, and the role's scope.
**Location:** 
 This is a
 **fully remote position** 
 ; however, candidates must be
 **based in regions that align with the Pacific,** 
**Central, or Eastern U.S. time zones** 
 to ensure effective collaboration with client and team schedules.
**Benefits** 
 In addition to competitive pay, we offer a variety of benefits to support your professional and personal growth, including:
* Flexible working hours in a remote environment.
* Health insurance (medical and dental) for W2 Employees.
* 401K Contribution.
* A professional development fund to enhance your skills and knowledge.
* 15 days of paid time off annually.
* Access to soft\-skill development courses to further your career.
**Position Details** 
 This is a full\-time position requiring a minimum of
 **40 hours per week, Monday through Friday** 
 .
 At
 **Lumenalta** 
 , we are committed to creating an environment that prioritizes growth, work\-life balance, and the diverse needs of our team members.
 This is an evergreen opening with no set deadline; we’re always excited to connect with professionals who want to help us build the future</t>
        </is>
      </c>
    </row>
    <row r="40">
      <c r="A40" t="inlineStr">
        <is>
          <t>li-4354541484</t>
        </is>
      </c>
      <c r="B40" t="inlineStr">
        <is>
          <t>Data Engineer - Databricks (Remote)</t>
        </is>
      </c>
      <c r="C40" t="inlineStr">
        <is>
          <t>Lumenalta</t>
        </is>
      </c>
      <c r="D40" t="inlineStr">
        <is>
          <t>linkedin</t>
        </is>
      </c>
      <c r="E40">
        <f>HYPERLINK("https://www.linkedin.com/jobs/view/4354541484", "https://www.linkedin.com/jobs/view/4354541484")</f>
        <v/>
      </c>
      <c r="F40" t="inlineStr"/>
      <c r="G40" t="inlineStr"/>
      <c r="H40" t="inlineStr"/>
      <c r="I40" t="inlineStr">
        <is>
          <t>**About the Role** 
 We work with global enterprises to design and build data platforms that power digital products used by millions of users. Our projects involve large\-scale datasets, complex distributed pipelines, and real business impact.
 We’re looking for a
 **Senior Data Engineer** 
 to join our remote team and take ownership of building and scaling data solutions using
 **Databricks on AWS** 
 . This is a hands\-on senior IC role with strong influence on architecture and implementation.
**What You'll Do** 
* Design, build, and maintain
 **scalable ETL / ELT pipelines** 
 using
 **Databricks, PySpark, and AWS**
* Work with
 **large, complex datasets** 
 in production environments
* Write clean, efficient, and maintainable
 **Python and advanced SQL**
* Build pipelines
 **from scratch** 
 , not just maintain existing ones
* Ensure data quality, performance, reliability, and cost efficiency
* Collaborate closely with product, analytics, and engineering teams to translate business needs into technical solutions
* Contribute to architectural decisions and data engineering best practices
**What We’re Looking For** 
* **7\+ years** 
 of experience as a
 **Data Engineer**
* Strong, hands\-on experience with:
 **Python, SQL (advanced), PySpark, Databricks (production experience required) and AWS**
* Proven experience designing and building
 **end\-to\-end data pipelines**
* Solid understanding of
 **distributed data processing** 
 and data modeling
* Strong communication skills
* **Fluent English** 
 , both written and spoken
**Salary** 
 Salary range: $60,000 \- $110,000 annually, with final compensation determined by your qualifications, expertise, experience, and the role's scope.
**Location:** 
 This is a
 **fully remote position** 
 ; however, candidates must be
 **based in regions that align with the Pacific,** 
**Central, or Eastern U.S. time zones** 
 to ensure effective collaboration with client and team schedules.
**Benefits** 
 In addition to competitive pay, we offer a variety of benefits to support your professional and personal growth, including:
* Flexible working hours in a remote environment.
* Health insurance (medical and dental) for W2 Employees.
* 401K Contribution.
* A professional development fund to enhance your skills and knowledge.
* 15 days of paid time off annually.
* Access to soft\-skill development courses to further your career.
**Position Details** 
 This is a full\-time position requiring a minimum of
 **40 hours per week, Monday through Friday** 
 .
 At
 **Lumenalta** 
 , we are committed to creating an environment that prioritizes growth, work\-life balance, and the diverse needs of our team members.
 This is an evergreen opening with no set deadline; we’re always excited to connect with professionals who want to help us build the future</t>
        </is>
      </c>
    </row>
    <row r="41">
      <c r="A41" t="inlineStr">
        <is>
          <t>li-4351332821</t>
        </is>
      </c>
      <c r="B41" t="inlineStr">
        <is>
          <t>Senior Software AI Data Engineer</t>
        </is>
      </c>
      <c r="C41" t="inlineStr">
        <is>
          <t>Oracle</t>
        </is>
      </c>
      <c r="D41" t="inlineStr">
        <is>
          <t>linkedin</t>
        </is>
      </c>
      <c r="E41">
        <f>HYPERLINK("https://www.linkedin.com/jobs/view/4351332821", "https://www.linkedin.com/jobs/view/4351332821")</f>
        <v/>
      </c>
      <c r="F41" t="inlineStr"/>
      <c r="G41" t="inlineStr">
        <is>
          <t>Pleasanton, CA</t>
        </is>
      </c>
      <c r="H41" t="inlineStr"/>
      <c r="I41" t="inlineStr">
        <is>
          <t>**Job Description**
 This position is onsite in Pleasanton, CA \- Remote is not an option. Visa sponsorship is not available
 Oracle Analytics is used by customers across the world to discover deep insights about their business, improve collaboration around a single view by securely including all relevant data, and increase agility by quickly spotting patterns and powering data\-driven decisions with AI and machine learning.
 Oracle Fusion Data Intelligence platform (FDI) is the next generation of Oracle Fusion Analytics Warehouse built for Oracle Fusion Cloud Applications, bringing together business data, ready\-to\-use analytics, and prebuilt AI and machine learning (ML) models to deliver deeper insights and accelerate the decision\-making process into actionable results.
 The backbone of FDI is the lights\-out data pipeline that manages the data warehouse for all the customers. For details about the product, visit http://docs.oracle.com/pls/topic/lookup?ctx\=faw\-latest\&amp;id\=FAWAG\-GUID\-18E9C0C0\-EC07\-4E7D\-95EE\-EAD8D0CA2771
 As part of Data Pipeline AI Engineering team, you will design, model data solutions and build AI agents to support analytics, machine learning and task automation. The role is a full stack engineer role focused on various technologies related to Data Engineering and Web applications.
**Qualifications**
* 6\+ years of hands\-on Software Design, Development of highly scalable data applications
* Proficient in AI Technologies \- LLM, NLP, Prompts, RAG, Embeddings, Graph Store, Vector Store, Cluster Store, MCP, LangChain, LangGraph
* Proficient in Data Engineering technologies like Spark, Airflow, dbt, ETL pipelines
* Proficient in technologies Java, Spring Boot, Python, JPA, Database, SQL \&amp; RDBMS Design
* Web UI technologies like Oracle JET, JavaScript, TypeScript, CSS, HTML5
* Deep knowledge of all aspects of Cloud native distributed system development such as Oracle Cloud Infrastructure (OCI), AWS, Google Cloud
* Expert in tools like Jenkins, TeamCity, Docker, and Kubernetes
* Working knowledge of Data Warehouse, Data Lakes and Data Modeling techniques
* Bachelors degree in Computer Science, Computer Engineering or equivalent, Masters is preferred
**Responsibilities**
 Developing AI Application: Design, Build different AI Agents, Chatbots, Workflows to support various data pipeline configurations.
 Developing Data Solutions: Implement and enhance data\-driven solutions to integrate massive amounts of data in real\-time/batch mode from various data producing systems using state\-of\-the\-art tools such as OCI Data Flow, OCI Data Integration, Spark and Kafka. Embrace modern data architecture philosophies including data products, data contracts, and data mesh to ensure a decentralized approach to data management. Expert in Advanced SQL and PL/SQL for data analysis and testing data gaps \&amp; data quality
 Data Pipeline Development: Develop and optimize high\-performance, batch and real\-time data pipelines employing advanced streaming technologies like Kafka, NoSQL and Oracle ETL Tools to address challenges associated with large\-scale data processing and analysis.
 Cloud Data Management: Implement and oversee cloud\-specific data services including Autonomous Data Warehouse, OCI Object Storage with Parquet and Delta\-Tables and OCI Streams. Leverage cloud architectures to improve data sharing and interoperability across different business pillars
 Security and Compliance: Ensure all data practices comply with security policies and regulations, embedding security by design in the data infrastructure.
 Incorporate tools and methodologies recommended for data security and compliance, ensuring robust protection and governance of data assets. Ensure data governance, security, and compliance: lineage, cataloguing, DQ checks, PII protection, and privacy‑by‑design
 Collaboration: Work with onsite and offshore development and QA teams, cross functional teams to define interfaces, build integrations, implement highly scalable, high quality features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$79,200 \- $178,100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42">
      <c r="A42" t="inlineStr">
        <is>
          <t>li-4330074090</t>
        </is>
      </c>
      <c r="B42" t="inlineStr">
        <is>
          <t>Data Engineer - Databricks</t>
        </is>
      </c>
      <c r="C42" t="inlineStr">
        <is>
          <t>Jobs via Dice</t>
        </is>
      </c>
      <c r="D42" t="inlineStr">
        <is>
          <t>linkedin</t>
        </is>
      </c>
      <c r="E42">
        <f>HYPERLINK("https://www.linkedin.com/jobs/view/4330074090", "https://www.linkedin.com/jobs/view/4330074090")</f>
        <v/>
      </c>
      <c r="F42">
        <f>HYPERLINK("https://click.appcast.io/t/V4iJOFQjNT8JXIyXYxxRsBxjKaTGynA-VHcqnc7n6ec=&amp;urlHash=rhyx", "https://click.appcast.io/t/V4iJOFQjNT8JXIyXYxxRsBxjKaTGynA-VHcqnc7n6ec=&amp;urlHash=rhyx")</f>
        <v/>
      </c>
      <c r="G42" t="inlineStr"/>
      <c r="H42" t="inlineStr"/>
      <c r="I42" t="inlineStr">
        <is>
          <t>Dice is the leading career destination for tech experts at every stage of their careers. Our client, Contract Staffing Recruiters, is seeking the following. Apply via Dice today!
 Databricks experience is a must. Looking for a leader that loves Databricks and can work on fast moving team.
* Design and develop ETL Processes that will transform a variety of raw data, flat files, xl spreadsheets into SQL Databases
* Understands the concept of Data marts and Data lakes and experience with migrating legacy systems to data marts/lake
* Uses additional cloud technologies (e.g., understands concept of Cloud services like Azure SQL server)
* Maintain comprehensive project documentation
* Aptitude to learn new technologies and the ability to perform continuous research, analysis, and process improvement.
* Strong interpersonal and communication skills to be able to work in a team environment to include customer and contractor technical, end users, and management team members.
* Manage multiple projects, responsibilities and competing priorities.
**Experience Needed:**
* Programming languages, frameworks, and file formats such as: Python, SQL, PLSQL, and VB
* Database platforms such as: Oracle, SQL Server, MySQL
* Big data concepts and technologies such as Synapse \&amp; Databricks</t>
        </is>
      </c>
    </row>
    <row r="43">
      <c r="A43" t="inlineStr">
        <is>
          <t>li-4354551702</t>
        </is>
      </c>
      <c r="B43" t="inlineStr">
        <is>
          <t>Data Engineer / Data Modeler (DataStage / Payments Subsystem / FTE / Onsite)</t>
        </is>
      </c>
      <c r="C43" t="inlineStr">
        <is>
          <t>NTT DATA North America</t>
        </is>
      </c>
      <c r="D43" t="inlineStr">
        <is>
          <t>linkedin</t>
        </is>
      </c>
      <c r="E43">
        <f>HYPERLINK("https://www.linkedin.com/jobs/view/4354551702", "https://www.linkedin.com/jobs/view/4354551702")</f>
        <v/>
      </c>
      <c r="F43" t="inlineStr"/>
      <c r="G43" t="inlineStr">
        <is>
          <t>Atlanta, GA</t>
        </is>
      </c>
      <c r="H43" t="inlineStr"/>
      <c r="I43" t="inlineStr">
        <is>
          <t>**Req ID:** 
 340845
 NTT DATA strives to hire exceptional, innovative and passionate individuals who want to grow with us. If you want to be part of an inclusive, adaptable, and forward\-thinking organization, apply now.
 We are currently seeking a Data Engineer / Data Modeler (DataStage / Payments Subsystem / FTE / Onsite) to join our team in Atlanta, Georgia (US\-GA), United States (US).
**Job Duties and Responsibilities:**
 We are looking for an experienced
 **Data Engineer / Data Modeler** 
 to join our banking technology team, with a focus on the
 **payment subsystem** 
 . The role involves designing, developing, and maintaining scalable data pipelines and models to support real\-time and batch payment processing, settlement, reconciliation, and regulatory reporting. The ideal candidate will have strong expertise in
 **data modeling, ETL development, cloud data platforms, and modern data engineering practices** 
 .
**Key Responsibilities**
* Design and implement logical and physical data models for the payment’s domain (merchant onboarding, transactions, clearing, settlement, funding, fraud/risk, reporting).
* Develop ETL/ELT pipelines to integrate data from core banking systems, payment gateways, and external partners into enterprise data stores.
* Ensure data quality, lineage, and governance across payment processing flows.
* Build and optimize data warehouses/lakes on cloud platforms (AWS or Azure).
* Collaborate with architects, developers, and business analysts to map payment business processes into data models and schemas.
* Implement real\-time and batch data integration for use cases such as fraud detection, reconciliations, settlement reporting, and regulatory compliance.
* Monitor and tune pipelines for scalability, performance, and cost efficiency.
* Partner with security and compliance teams to enforce data privacy and regulatory requirements (PCI\-DSS, SOX, AML/KYC).
**Required Qualifications**
* Bachelor’s degree in computer science, Information Systems, or related field (or equivalent experience).
* 7\+ years of data engineering / data modeling experience in financial services or banking.
* 7\+ years of Strong knowledge of payments domain concepts (auth, clearing, settlement, reconciliation, chargebacks, fraud).
* 7\+ years of Hands\-on experience with data modeling (3NF, star/snowflake schemas, dimensional modeling).
* 7\+ years of Proficiency with SQL and at least one ETL/ELT tool (DataStage, Informatica, Talend, dbt).
* 7\+ years of Strong experience with cloud data platforms (AWS Redshift, Azure Synapse, Snowflake, Databricks).
* 7\+ years of Proficiency in a programming language such as Python for data processing and automation.
* 7\+ years of Experience with real\-time streaming (Kafka, Kinesis, EventHub) and batch data pipelines.
* 7\+ years of Familiarity with version control (Git) and CI/CD pipelines.
**Preferred Skills**
* Knowledge of regulatory and compliance requirements in payments/banking.
* Understanding of API\-based integration for payment systems.
* Familiarity with containerization (Docker, Kubernetes) for data services deployment.
**\#INDFSINS**
**About NTT DATA**
 NTT DATA is a $30\+ billion business and technology services leader, serving 75% of the Fortune Global 100\. We are committed to accelerating client success and positively impacting society through responsible innovation. We are one of the world’s leading AI and digital infrastructure providers, with unmatched capabilities in enterprise\-scale AI, cloud, security, connectivity, data centers and application services. Our consulting and industry solutions help organizations and society move confidently and sustainably into the digital future. As a Global Top Employer, we have experts in more than 50 countries. We also offer clients access to a robust ecosystem of innovation centers as well as established and start\-up partners. NTT DATA is part of NTT Group, which invests over $3 billion each year in R\&amp;D.
 Whenever possible, we hire locally to NTT DATA offices or client sites. This ensures we can provide timely and effective support tailored to each client’s needs. While many positions offer remote or hybrid work options, these arrangements are subject to change based on client requirements. For employees near an NTT DATA office or client site, in\-office attendance may be required for meetings or events, depending on business needs. At NTT DATA, we are committed to staying flexible and meeting the evolving needs of both our clients and employees. NTT DATA recruiters will never ask for payment or banking information and will only use @nttdata.com and @talent.nttdataservices.com email addresses. If you are requested to provide payment or disclose banking information, please submit a contact us form, https://us.nttdata.com/en/contact\-us.
***NTT DATA endeavors to make https://us.nttdata.com accessible to any and all users. If you would like to contact us regarding the accessibility of our website or need assistance completing the application process, please contact us at https://us.nttdata.com/en/contact\-us. This contact information is for accommodation requests only and cannot be used to inquire about the status of applications. NTT DATA is an equal opportunity employer. Qualified applicants will receive consideration for employment without regard to race, color, religion, sex, sexual orientation, gender identity, national origin, disability or protected veteran status. For our EEO Policy Statement, please click here. If you'd like more information on your EEO rights under the law, please click here. For Pay Transparency information, please click here.***</t>
        </is>
      </c>
    </row>
    <row r="44">
      <c r="A44" t="inlineStr">
        <is>
          <t>li-4354581127</t>
        </is>
      </c>
      <c r="B44" t="inlineStr">
        <is>
          <t>Lead Data Engineer - Databricks (Remote)</t>
        </is>
      </c>
      <c r="C44" t="inlineStr">
        <is>
          <t>Lumenalta</t>
        </is>
      </c>
      <c r="D44" t="inlineStr">
        <is>
          <t>linkedin</t>
        </is>
      </c>
      <c r="E44">
        <f>HYPERLINK("https://www.linkedin.com/jobs/view/4354581127", "https://www.linkedin.com/jobs/view/4354581127")</f>
        <v/>
      </c>
      <c r="F44" t="inlineStr"/>
      <c r="G44" t="inlineStr">
        <is>
          <t>Raleigh, NC</t>
        </is>
      </c>
      <c r="H44" t="inlineStr"/>
      <c r="I44" t="inlineStr">
        <is>
          <t>**What We’re Building** 
 We partner with global enterprises to design and scale data platforms that power products used by millions of users. Our work involves large\-scale data systems, complex pipelines, and high\-impact business use cases across multiple industries.
 This role focuses on
 **technical leadership** 
 , architectural ownership, and
 **mentoring** 
 while remaining hands\-on.
**Your Role as a Tech Lead** 
 As a
 **Tech Lead, Data Engineering** 
 , you will own the technical direction of data initiatives while remaining hands\-on. You’ll act as the bridge between architecture, execution, and people leadership.
**What You’ll Do** 
* **Own the technical direction and architecture** 
 of data engineering projects
* Design and build
 **scalable, production\-grade data pipelines** 
 using
 **Databricks, PySpark, AWS, and SQL**
* Lead by example with
 **hands\-on development** 
 , code reviews, and technical decision\-making
* **Mentor and guide data engineers** 
 , promoting best practices, clean code, and high engineering standards
* Drive architectural discussions, trade\-offs, and long\-term technical vision
* Collaborate closely with
 **product, data, and engineering stakeholders**
* Tackle
 **enterprise\-scale data challenges** 
 with real\-world business impact business outcomes
**What We’re Looking For** 
* **10\+ years of experience** 
 in Data Engineering or related roles
* **Proven experience as a Tech Lead, Lead Data Engineer, or similar role**
* Strong hands\-on expertise with:
 **Python \&amp; SQL, PySpark, Databricks and AWS**
* Solid background in
 **data architecture, pipeline design, and distributed systems**
* Experience mentoring engineers and leading technical initiatives
* Strong communication skills and the ability to influence technical decisions
* Fluent in English (spoken and written)
**Salary** 
 Salary range: $65,000 \- $130\.000 annually, with final compensation determined by your qualifications, expertise, experience, and the role's scope.
**Location:** 
 This is a
 **fully remote position** 
 ; however, candidates must be
 **based in regions that align with the Pacific,** 
**Central, or Eastern U.S. time zones** 
 to ensure effective collaboration with client and team schedules.
**Benefits** 
 In addition to competitive pay, we offer a variety of benefits to support your professional and personal growth, including:
* Flexible working hours in a remote environment.
* Health insurance (medical and dental) for W2 Employees.
* 401K Contribution.
* A professional development fund to enhance your skills and knowledge.
* 15 days of paid time off annually.
* Access to soft\-skill development courses to further your career.
**Position Details** 
 This is a full\-time position requiring a minimum of
 **40 hours per week, Monday through Friday** 
 .
 At
 **Lumenalta** 
 , we are committed to creating an environment that prioritizes growth, work\-life balance, and the diverse needs of our team members.
 This is an evergreen opening with no set deadline; we’re always excited to connect with professionals who want to help us build the future</t>
        </is>
      </c>
    </row>
    <row r="45">
      <c r="A45" t="inlineStr">
        <is>
          <t>li-4354373658</t>
        </is>
      </c>
      <c r="B45" t="inlineStr">
        <is>
          <t>Lead Data Engineer - Databricks (Remote)</t>
        </is>
      </c>
      <c r="C45" t="inlineStr">
        <is>
          <t>Lumenalta</t>
        </is>
      </c>
      <c r="D45" t="inlineStr">
        <is>
          <t>linkedin</t>
        </is>
      </c>
      <c r="E45">
        <f>HYPERLINK("https://www.linkedin.com/jobs/view/4354373658", "https://www.linkedin.com/jobs/view/4354373658")</f>
        <v/>
      </c>
      <c r="F45" t="inlineStr"/>
      <c r="G45" t="inlineStr"/>
      <c r="H45" t="inlineStr"/>
      <c r="I45" t="inlineStr">
        <is>
          <t>**What We’re Building** 
 We partner with global enterprises to design and scale data platforms that power products used by millions of users. Our work involves large\-scale data systems, complex pipelines, and high\-impact business use cases across multiple industries.
 This role focuses on
 **technical leadership** 
 , architectural ownership, and
 **mentoring** 
 while remaining hands\-on.
**Your Role as a Tech Lead** 
 As a
 **Tech Lead, Data Engineering** 
 , you will own the technical direction of data initiatives while remaining hands\-on. You’ll act as the bridge between architecture, execution, and people leadership.
**What You’ll Do** 
* **Own the technical direction and architecture** 
 of data engineering projects
* Design and build
 **scalable, production\-grade data pipelines** 
 using
 **Databricks, PySpark, AWS, and SQL**
* Lead by example with
 **hands\-on development** 
 , code reviews, and technical decision\-making
* **Mentor and guide data engineers** 
 , promoting best practices, clean code, and high engineering standards
* Drive architectural discussions, trade\-offs, and long\-term technical vision
* Collaborate closely with
 **product, data, and engineering stakeholders**
* Tackle
 **enterprise\-scale data challenges** 
 with real\-world business impact business outcomes
**What We’re Looking For** 
* **10\+ years of experience** 
 in Data Engineering or related roles
* **Proven experience as a Tech Lead, Lead Data Engineer, or similar role**
* Strong hands\-on expertise with:
 **Python \&amp; SQL, PySpark, Databricks and AWS**
* Solid background in
 **data architecture, pipeline design, and distributed systems**
* Experience mentoring engineers and leading technical initiatives
* Strong communication skills and the ability to influence technical decisions
* Fluent in English (spoken and written)
**Salary** 
 Salary range: $65,000 \- $130\.000 annually, with final compensation determined by your qualifications, expertise, experience, and the role's scope.
**Location:** 
 This is a
 **fully remote position** 
 ; however, candidates must be
 **based in regions that align with the Pacific,** 
**Central, or Eastern U.S. time zones** 
 to ensure effective collaboration with client and team schedules.
**Benefits** 
 In addition to competitive pay, we offer a variety of benefits to support your professional and personal growth, including:
* Flexible working hours in a remote environment.
* Health insurance (medical and dental) for W2 Employees.
* 401K Contribution.
* A professional development fund to enhance your skills and knowledge.
* 15 days of paid time off annually.
* Access to soft\-skill development courses to further your career.
**Position Details** 
 This is a full\-time position requiring a minimum of
 **40 hours per week, Monday through Friday** 
 .
 At
 **Lumenalta** 
 , we are committed to creating an environment that prioritizes growth, work\-life balance, and the diverse needs of our team members.
 This is an evergreen opening with no set deadline; we’re always excited to connect with professionals who want to help us build the future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2026-01-05T05:37:09Z</dcterms:created>
  <dcterms:modified xsi:type="dcterms:W3CDTF">2026-01-05T05:37:09Z</dcterms:modified>
</cp:coreProperties>
</file>