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29"/>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in-ba0953c23c9cf6c8</t>
        </is>
      </c>
      <c r="B2" t="inlineStr">
        <is>
          <t>ML Data Scientist - Marketplace, Apple Ads</t>
        </is>
      </c>
      <c r="C2" t="inlineStr">
        <is>
          <t>Apple</t>
        </is>
      </c>
      <c r="D2" t="inlineStr">
        <is>
          <t>indeed</t>
        </is>
      </c>
      <c r="E2" t="inlineStr"/>
      <c r="F2" t="inlineStr"/>
      <c r="G2" t="inlineStr">
        <is>
          <t>Cupertino, CA, US</t>
        </is>
      </c>
      <c r="H2" s="2" t="n">
        <v>46038</v>
      </c>
      <c r="I2" t="inlineStr">
        <is>
          <t>At Apple, we believe in the power of technology to enrich people's lives. Everything we build is designed to empower people, including our advertising platform. We deliver ads in a way that benefits both consumers and advertisers \- helping people discover content, supporting creators, and protecting and respecting everyone’s privacy.  
Our technology makes advertising possible on the App Store, Apple News, Stocks, and Apple TV. We help developers and marketers of all sizes drive app discovery across the App Store. Our display ads on Apple News and Stocks let advertisers promote their products alongside trusted content in a brand\-safe environment, while supporting publishers and journalists. Sponsorship integrations and experiences in live sports on Apple TV help advertisers connect with captivated audiences. Everything we do is with the unwavering commitment to privacy you expect from Apple. Because when advertising is done right, it benefits everyone.  
**Description**  
Our platforms are highly performant, deployed at scale, and set new standards for enabling effective advertising while protecting user privacy. The Ad Platforms Data Insights team is seeking a Data Scientist to join in developing the next generation of analytical solutions in collaboration with Engineering, Product, Sales, Marketing, and Finance. In this role you will work as a key member of a data\-centric team to drive the exploration, analysis, development, execution, and measurement solutions that are essential to running and growing the ads marketplace. Responsibilities include turning the huge amounts of data generated by user searches, app content, and App Store context into business insights that improve the customer experience for the end\-user as well as drive discovery and efficiency for app developers.  
This role requires both a broad knowledge of statistics and creativity to invent and customize when vital. You'll dig in and get into the details. The theory behind the techniques are just the beginning. You'll be working on projects where practical applications of these approaches get applied in real\-world scenarios. Successful analytics teams involve data scientists and data engineers working hand in hand to build insightful and efficient solutions. In your role, you will be a key player in a multi\-functional team that delivers insights that have direct and measurable impact. We're looking for an inquisitive, collaborative, and passionate person to join this amazing team.","responsibilities":"Support Marketplace Product, Engineering, and the Executive Team with analyses, and data products to improve product performance, deepen customer insight and deliver business impact.  
Empower the product and algorithm engineering team with insights to advise and fulfill their strategic objectives and goals.  
Quantify the impact of marketplace initiatives on advertiser impact, and business performance.  
Design experiments that help define opportunities for pricing, matching, and prediction models leading to improved marketplace performance, and positive advertiser impact.  
Monitor usage metrics and provide business\-based explanations for large scale trends and patterns in advertiser lifecycle behavior.  
Develop reusable models and data products working closely with Data Engineering team to ensure scalability of models and products in production.  
Lead business analytics projects through all phases, including defining investigations, exploring data, conducting analysis, interpreting, and presenting results for customers  
**Preferred Qualifications**  
4\+ years of recent experience in a data science role.  
Experience in the mobile advertising industry or related field.  
Familiarity with job orchestration frameworks such as Airflow.  
Demonstrated ability to build visualizations, dashboards and enable broader consumption of insights and tools for investigations.  
Post\-Bachelor's degree in Data Science, Applied Mathematics, Statistics, Computer Science or relevant field/experience  
**Minimum Qualifications**  
2\+ years of recent experience in a data science role.  
Programming skills in Python and SQL, and familiarity with machine learning, such as scikit\-learn, xgboost, PyTorch, SciPy is necessary.  
Familiar with statistical analysis methods, most notably regression analysis, causal inference, statistical learning and A/B and quasi\-experimentation methods.  
Demonstrated experience in applying statistics and machine learning to generate clear actionable insights.  
Comfortable with a variety of data stores such as Hadoop, and Snowflake, familiar with distributed analytics engines such as Spark/PySpark.  
Possess exceptional communication skills to communicate analyses in a clear and effective manner to technical audience and executive leadership.  
Demonstrated ability to partner with engineering, meet the data needs of the business, finding creative analytical solutions and develop initial prototypes to address messy business problems.  
Proven ability to operate comfortably and optimally in a fast\-paced and constantly evolving environment.  
Bachelor's degree in Data Science, Applied Mathematics, Statistics, Computer Science or relevant field/experience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3">
      <c r="A3" t="inlineStr">
        <is>
          <t>in-fbe750ac0fb721bf</t>
        </is>
      </c>
      <c r="B3" t="inlineStr">
        <is>
          <t>ML Data Scientist - Marketplace, Apple Ads</t>
        </is>
      </c>
      <c r="C3" t="inlineStr">
        <is>
          <t>Apple</t>
        </is>
      </c>
      <c r="D3" t="inlineStr">
        <is>
          <t>indeed</t>
        </is>
      </c>
      <c r="E3" t="inlineStr"/>
      <c r="F3" t="inlineStr"/>
      <c r="G3" t="inlineStr">
        <is>
          <t>Cupertino, CA, US</t>
        </is>
      </c>
      <c r="H3" s="2" t="n">
        <v>46038</v>
      </c>
      <c r="I3" t="inlineStr">
        <is>
          <t>At Apple, we believe in the power of technology to enrich people's lives. Everything we build is designed to empower people, including our advertising platform. We deliver ads in a way that benefits both consumers and advertisers \- helping people discover content, supporting creators, and protecting and respecting everyone’s privacy.  
Our technology makes advertising possible on the App Store, Apple News, Stocks, and Apple TV. We help developers and marketers of all sizes drive app discovery across the App Store. Our display ads on Apple News and Stocks let advertisers promote their products alongside trusted content in a brand\-safe environment, while supporting publishers and journalists. Sponsorship integrations and experiences in live sports on Apple TV help advertisers connect with captivated audiences. Everything we do is with the unwavering commitment to privacy you expect from Apple. Because when advertising is done right, it benefits everyone.  
**Description**  
Our platforms are highly performant, deployed at scale, and set new standards for enabling effective advertising while protecting user privacy. The Ad Platforms Data Insights team is seeking a Data Scientist to join in developing the next generation of analytical solutions in collaboration with Engineering, Product, Sales, Marketing, and Finance. In this role you will work as a key member of a data\-centric team to drive the exploration, analysis, development, execution, and measurement solutions that are essential to running and growing the ads marketplace. Responsibilities include turning the huge amounts of data generated by user searches, app content, and App Store context into business insights that improve the customer experience for the end\-user as well as drive discovery and efficiency for app developers.  
This role requires both a broad knowledge of statistics and creativity to invent and customize when vital. You'll dig in and get into the details. The theory behind the techniques are just the beginning. You'll be working on projects where practical applications of these approaches get applied in real\-world scenarios. Successful analytics teams involve data scientists and data engineers working hand in hand to build insightful and efficient solutions. In your role, you will be a key player in a multi\-functional team that delivers insights that have direct and measurable impact. We're looking for an inquisitive, collaborative, and passionate person to join this amazing team.","responsibilities":"Support Marketplace Product, Engineering, and the Executive Team with analyses, and data products to improve product performance, deepen customer insight and deliver business impact.  
Empower the product and algorithm engineering team with insights to advise and fulfill their strategic objectives and goals.  
Quantify the impact of marketplace initiatives on advertiser impact, and business performance.  
Design experiments that help define opportunities for pricing, matching, and prediction models leading to improved marketplace performance, and positive advertiser impact.  
Monitor usage metrics and provide business\-based explanations for large scale trends and patterns in advertiser lifecycle behavior.  
Develop reusable models and data products working closely with Data Engineering team to ensure scalability of models and products in production.  
Lead business analytics projects through all phases, including defining investigations, exploring data, conducting analysis, interpreting, and presenting results for customers  
**Preferred Qualifications**  
4\+ years of recent experience in a data science role.  
Experience in the mobile advertising industry or related field.  
Familiarity with job orchestration frameworks such as Airflow.  
Demonstrated ability to build visualizations, dashboards and enable broader consumption of insights and tools for investigations.  
Post\-Bachelor's degree in Data Science, Applied Mathematics, Statistics, Computer Science or relevant field/experience  
**Minimum Qualifications**  
2\+ years of recent experience in a data science role.  
Programming skills in Python and SQL, and familiarity with machine learning, such as scikit\-learn, xgboost, PyTorch, SciPy is necessary.  
Familiar with statistical analysis methods, most notably regression analysis, causal inference, statistical learning and A/B and quasi\-experimentation methods.  
Demonstrated experience in applying statistics and machine learning to generate clear actionable insights.  
Comfortable with a variety of data stores such as Hadoop, and Snowflake, familiar with distributed analytics engines such as Spark/PySpark.  
Possess exceptional communication skills to communicate analyses in a clear and effective manner to technical audience and executive leadership.  
Demonstrated ability to partner with engineering, meet the data needs of the business, finding creative analytical solutions and develop initial prototypes to address messy business problems.  
Proven ability to operate comfortably and optimally in a fast\-paced and constantly evolving environment.  
Bachelor's degree in Data Science, Applied Mathematics, Statistics, Computer Science or relevant field/experience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4">
      <c r="A4" t="inlineStr">
        <is>
          <t>in-e50e8ba6de3ec402</t>
        </is>
      </c>
      <c r="B4" t="inlineStr">
        <is>
          <t>Senior Applied Scientist - Apple Services Engineering</t>
        </is>
      </c>
      <c r="C4" t="inlineStr">
        <is>
          <t>Apple</t>
        </is>
      </c>
      <c r="D4" t="inlineStr">
        <is>
          <t>indeed</t>
        </is>
      </c>
      <c r="E4" t="inlineStr"/>
      <c r="F4" t="inlineStr"/>
      <c r="G4" t="inlineStr">
        <is>
          <t>Seattle, WA, US</t>
        </is>
      </c>
      <c r="H4" s="2" t="n">
        <v>46038</v>
      </c>
      <c r="I4" t="inlineStr">
        <is>
          <t>At Apple, we believe that technology should enrich people's lives in meaningful ways. Apple Services\-including the App Store, Apple Music, Apple TV\+, and Podcasts\-connect millions of users worldwide to the content and experiences they love. Behind these services are sophisticated AI and machine learning systems that power personalized recommendations, intelligent search, and content discovery. The quality of these experiences depends fundamentally on the integrity of the data that fuels them.  
Join the Human\-centered AI (HAI) organization within Apple Services Engineering as a Senior Applied Scientist on our Data Quality Operations team. This is your opportunity to shape the future of data quality at Apple, working at the intersection of cutting\-edge machine learning, large language models, and rigorous scientific methodology. You'll be at the forefront of designing and implementing novel, scalable quality control solutions which ensure our AI\-powered services meet Apple's exacting standards for a high\-quality user experience. If you're passionate about applying scientific rigor to real\-world problems, thrive on innovation, and want your work to impact hundreds of millions of users, this role offers an exceptional opportunity to make a lasting contribution to products people use every day.  
**Description**  
We are seeking a Senior Applied Scientist to lead the design and implementation of novel, scalable quality control solutions for Apple Services. In this role, you will develop AI or ML solutions for programatically generating gold standard datasets, create anomaly detection systems, and pioneer use of Large Language Models for automated quality control. You will work closely with cross\-functional teams to ensure the data powering our AI/ML systems meets the highest standards of accuracy, consistency, and relevance.  
","responsibilities":"Develop methodologies and systems to programatically generating gold standard datasets to measure and improve data quality across diverse content types.  
Build and validate LLM\-based grading systems that align with human judgment for tasks including content classification, quality assessment, and metadata validation.  
Create and deploy anomaly detection systems to proactively identify data inconsistencies, biases, and errors across production pipelines.  
Collaborate with AI/ML engineering, product, and data science teams to identify quality challenges and integrate solutions into production workflows.  
Stay abreast of the latest advancements in machine learning, AI, data quality, and LLM research, applying relevant techniques to enhance our capabilities.  
Mentor and guide junior team members, fostering technical excellence and innovation in data quality operations.  
Communicate findings and recommendations clearly to technical and non\-technical stakeholders, including senior leadership.  
**Preferred Qualifications**  
* PhD in Computer Science, Machine Learning, Statistics, Applied Mathematics, NLP or a related quantitative field with 3\+ years of relevant industry experience,
* Experience with data labeling operations, annotation quality frameworks, or human\-in\-the\-loop systems.
* Familiarity with prompt optimization frameworks or automated prompt engineering.
* Experience in natural language processing (NLP) or natural language understanding (NLU).
* Experience with MLOps practices and tools for deploying, monitoring, and managing ML models in production.
* Familiarity with cloud platforms (e.g., AWS, GCP, Azure) or large\-scale distributed infrastructure systems.
* Prior experience contributing to open\-source projects or publishing research in relevant academic conferences or journals.
**Minimum Qualifications**  
* 3\+ years of industry experience in an Applied Scientist, Machine Learning Engineer, or Data Scientist role with focus on data quality, evaluation, or related areas.
* Proven experience designing, building, and deploying scalable data quality or evaluation systems in production environments.
* Strong hands\-on experience with Large Language Models (LLMs) including prompt engineering, fine\-tuning, and applications such as grading, validation, or classification.
* Proficiency in Python, data science libraries (pandas, NumPy, scikit\-learn, PyTorch, TensorFlow), SQL, and distributed computing environments (Spark, Hadoop).
* MS in Computer Science, Machine Learning, Statistics, Applied Mathematics, NLP or a related quantitative field with 3\+ years of relevant industry experience, OR BS degree in a related quantitative field with 8\+ years of relevant industry experience.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5">
      <c r="A5" t="inlineStr">
        <is>
          <t>in-939c7f23236ea13c</t>
        </is>
      </c>
      <c r="B5" t="inlineStr">
        <is>
          <t>Principal Applied Scientist, Amazon Special Projects</t>
        </is>
      </c>
      <c r="C5" t="inlineStr">
        <is>
          <t>Amazon.com</t>
        </is>
      </c>
      <c r="D5" t="inlineStr">
        <is>
          <t>indeed</t>
        </is>
      </c>
      <c r="E5">
        <f>HYPERLINK("https://www.indeed.com/viewjob?jk=939c7f23236ea13c", "https://www.indeed.com/viewjob?jk=939c7f23236ea13c")</f>
        <v/>
      </c>
      <c r="F5">
        <f>HYPERLINK("https://www.amazon.jobs/jobs/3132566/principal-applied-scientist-amazon-special-projects?cmpid=DA_INAD200785B", "https://www.amazon.jobs/jobs/3132566/principal-applied-scientist-amazon-special-projects?cmpid=DA_INAD200785B")</f>
        <v/>
      </c>
      <c r="G5" t="inlineStr">
        <is>
          <t>Seattle, WA, US</t>
        </is>
      </c>
      <c r="H5" s="3" t="n">
        <v>45982</v>
      </c>
      <c r="I5" t="inlineStr">
        <is>
          <t>**DESCRIPTION**
---------------
Innovators wanted! Are you an entrepreneur? A builder? A dreamer? This role is part of an Amazon Special Projects team that takes the company’s Think Big leadership principle to the limits. If you’re interested in innovating at scale to address big challenges in the world, this is the team for you.
Our team rewards curiosity while maintaining a laser\-focus in bringing products to market. Competitive candidates are responsive, flexible, and able to succeed within an open, collaborative, entrepreneurial, startup\-like environment. At the forefront of both academic and applied research in this product area, you have the opportunity to work together with a diverse and talented team of scientists, engineers, and product managers and collaborate with other teams.  
We are seeking a Principal Applied Scientist working on machine learning applications in life sciences. This role combines scientific leadership with hands\-on innovation, driving solutions from exploratory research through production\-ready solutions deployment, while maintaining high scientific standards. You will work with Amazon's large\-scale computing resources to accelerate advances in machine learning applications.  
Key job responsibilities  
* Lead ML for life science efforts using computational design approaches and ML\-based tools.
* Guide teams in applying SOTA ML methods, experimentation design, and modeling approaches.
* Transform complex real world problems into scientific challenges and allocate resources effectively.
* Review requirements, conduct technical architecture reviews, and make informed judgments around technical and business tradeoffs.
* Provide mentorship to Applied Scientists, Research Scientists and Data Scientists while maintaining scientific rigor.
* Collaborate with cross functional teams.
**BASIC QUALIFICATIONS**
------------------------
* Deep expertise in machine learning, with broad knowledge across biology and life science.
* Strong understanding of scientific methodologies and experimental design.
* Ability to develop production\-level code and systems.
* Track record of working with cross\-functional scientific teams and fostering collaboration.
* 10\+ years of relevant, broad research experience after a PhD degree in computer science, computational biology or relevant field .
**PREFERRED QUALIFICATIONS**
----------------------------
* Experience with deep learning frameworks (PyTorch, TensorFlow).
* Familiarity with high\-performance computing environments.
* Experience with ML for science and structural biology tools.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
      <c r="A6" t="inlineStr">
        <is>
          <t>in-8cc9fb4e4ecb08fe</t>
        </is>
      </c>
      <c r="B6" t="inlineStr">
        <is>
          <t>Principal Applied Scientist, Amazon Special Projects</t>
        </is>
      </c>
      <c r="C6" t="inlineStr">
        <is>
          <t>Amazon.com</t>
        </is>
      </c>
      <c r="D6" t="inlineStr">
        <is>
          <t>indeed</t>
        </is>
      </c>
      <c r="E6">
        <f>HYPERLINK("https://www.indeed.com/viewjob?jk=8cc9fb4e4ecb08fe", "https://www.indeed.com/viewjob?jk=8cc9fb4e4ecb08fe")</f>
        <v/>
      </c>
      <c r="F6">
        <f>HYPERLINK("https://www.amazon.jobs/jobs/3132566/principal-applied-scientist-amazon-special-projects?cmpid=DA_INAD200785B", "https://www.amazon.jobs/jobs/3132566/principal-applied-scientist-amazon-special-projects?cmpid=DA_INAD200785B")</f>
        <v/>
      </c>
      <c r="G6" t="inlineStr">
        <is>
          <t>Boston, MA, US</t>
        </is>
      </c>
      <c r="H6" s="3" t="n">
        <v>45982</v>
      </c>
      <c r="I6" t="inlineStr">
        <is>
          <t>**DESCRIPTION**
---------------
Innovators wanted! Are you an entrepreneur? A builder? A dreamer? This role is part of an Amazon Special Projects team that takes the company’s Think Big leadership principle to the limits. If you’re interested in innovating at scale to address big challenges in the world, this is the team for you.
Our team rewards curiosity while maintaining a laser\-focus in bringing products to market. Competitive candidates are responsive, flexible, and able to succeed within an open, collaborative, entrepreneurial, startup\-like environment. At the forefront of both academic and applied research in this product area, you have the opportunity to work together with a diverse and talented team of scientists, engineers, and product managers and collaborate with other teams.  
We are seeking a Principal Applied Scientist working on machine learning applications in life sciences. This role combines scientific leadership with hands\-on innovation, driving solutions from exploratory research through production\-ready solutions deployment, while maintaining high scientific standards. You will work with Amazon's large\-scale computing resources to accelerate advances in machine learning applications.  
Key job responsibilities  
* Lead ML for life science efforts using computational design approaches and ML\-based tools.
* Guide teams in applying SOTA ML methods, experimentation design, and modeling approaches.
* Transform complex real world problems into scientific challenges and allocate resources effectively.
* Review requirements, conduct technical architecture reviews, and make informed judgments around technical and business tradeoffs.
* Provide mentorship to Applied Scientists, Research Scientists and Data Scientists while maintaining scientific rigor.
* Collaborate with cross functional teams.
**BASIC QUALIFICATIONS**
------------------------
* Deep expertise in machine learning, with broad knowledge across biology and life science.
* Strong understanding of scientific methodologies and experimental design.
* Ability to develop production\-level code and systems.
* Track record of working with cross\-functional scientific teams and fostering collaboration.
* 10\+ years of relevant, broad research experience after a PhD degree in computer science, computational biology or relevant field .
**PREFERRED QUALIFICATIONS**
----------------------------
* Experience with deep learning frameworks (PyTorch, TensorFlow).
* Familiarity with high\-performance computing environments.
* Experience with ML for science and structural biology tools.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
      <c r="A7" t="inlineStr">
        <is>
          <t>in-da16a748f53ce66e</t>
        </is>
      </c>
      <c r="B7" t="inlineStr">
        <is>
          <t>Sr. Applied Scientist, AGI Foundations</t>
        </is>
      </c>
      <c r="C7" t="inlineStr">
        <is>
          <t>Amazon.com</t>
        </is>
      </c>
      <c r="D7" t="inlineStr">
        <is>
          <t>indeed</t>
        </is>
      </c>
      <c r="E7">
        <f>HYPERLINK("https://www.indeed.com/viewjob?jk=da16a748f53ce66e", "https://www.indeed.com/viewjob?jk=da16a748f53ce66e")</f>
        <v/>
      </c>
      <c r="F7">
        <f>HYPERLINK("https://www.amazon.jobs/jobs/3128807/sr-applied-scientist-agi-foundations?cmpid=DA_INAD200785B", "https://www.amazon.jobs/jobs/3128807/sr-applied-scientist-agi-foundations?cmpid=DA_INAD200785B")</f>
        <v/>
      </c>
      <c r="G7" t="inlineStr">
        <is>
          <t>New York, NY, US</t>
        </is>
      </c>
      <c r="H7" s="3" t="n">
        <v>45978</v>
      </c>
      <c r="I7"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
      <c r="A8" t="inlineStr">
        <is>
          <t>in-2005a50a2f452110</t>
        </is>
      </c>
      <c r="B8" t="inlineStr">
        <is>
          <t>Sr. Applied Scientist, AGI Foundations</t>
        </is>
      </c>
      <c r="C8" t="inlineStr">
        <is>
          <t>Amazon.com</t>
        </is>
      </c>
      <c r="D8" t="inlineStr">
        <is>
          <t>indeed</t>
        </is>
      </c>
      <c r="E8">
        <f>HYPERLINK("https://www.indeed.com/viewjob?jk=2005a50a2f452110", "https://www.indeed.com/viewjob?jk=2005a50a2f452110")</f>
        <v/>
      </c>
      <c r="F8">
        <f>HYPERLINK("https://www.amazon.jobs/jobs/3128807/sr-applied-scientist-agi-foundations?cmpid=DA_INAD200785B", "https://www.amazon.jobs/jobs/3128807/sr-applied-scientist-agi-foundations?cmpid=DA_INAD200785B")</f>
        <v/>
      </c>
      <c r="G8" t="inlineStr">
        <is>
          <t>Bellevue, WA, US</t>
        </is>
      </c>
      <c r="H8" s="3" t="n">
        <v>45978</v>
      </c>
      <c r="I8"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
      <c r="A9" t="inlineStr">
        <is>
          <t>in-7a4b74c5607fdc96</t>
        </is>
      </c>
      <c r="B9" t="inlineStr">
        <is>
          <t>Sr. Applied Scientist, AGI Foundations</t>
        </is>
      </c>
      <c r="C9" t="inlineStr">
        <is>
          <t>Amazon.com</t>
        </is>
      </c>
      <c r="D9" t="inlineStr">
        <is>
          <t>indeed</t>
        </is>
      </c>
      <c r="E9">
        <f>HYPERLINK("https://www.indeed.com/viewjob?jk=7a4b74c5607fdc96", "https://www.indeed.com/viewjob?jk=7a4b74c5607fdc96")</f>
        <v/>
      </c>
      <c r="F9">
        <f>HYPERLINK("https://www.amazon.jobs/jobs/3128807/sr-applied-scientist-agi-foundations?cmpid=DA_INAD200785B", "https://www.amazon.jobs/jobs/3128807/sr-applied-scientist-agi-foundations?cmpid=DA_INAD200785B")</f>
        <v/>
      </c>
      <c r="G9" t="inlineStr">
        <is>
          <t>Sunnyvale, CA, US</t>
        </is>
      </c>
      <c r="H9" s="3" t="n">
        <v>45978</v>
      </c>
      <c r="I9"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
      <c r="A10" t="inlineStr">
        <is>
          <t>in-fe09a7bdcb23a672</t>
        </is>
      </c>
      <c r="B10" t="inlineStr">
        <is>
          <t>Sr. Applied Scientist, AGI Foundations</t>
        </is>
      </c>
      <c r="C10" t="inlineStr">
        <is>
          <t>Amazon.com</t>
        </is>
      </c>
      <c r="D10" t="inlineStr">
        <is>
          <t>indeed</t>
        </is>
      </c>
      <c r="E10">
        <f>HYPERLINK("https://www.indeed.com/viewjob?jk=fe09a7bdcb23a672", "https://www.indeed.com/viewjob?jk=fe09a7bdcb23a672")</f>
        <v/>
      </c>
      <c r="F10">
        <f>HYPERLINK("https://www.amazon.jobs/jobs/3128807/sr-applied-scientist-agi-foundations?cmpid=DA_INAD200785B", "https://www.amazon.jobs/jobs/3128807/sr-applied-scientist-agi-foundations?cmpid=DA_INAD200785B")</f>
        <v/>
      </c>
      <c r="G10" t="inlineStr">
        <is>
          <t>Boston, MA, US</t>
        </is>
      </c>
      <c r="H10" s="3" t="n">
        <v>45978</v>
      </c>
      <c r="I10"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
      <c r="A11" t="inlineStr">
        <is>
          <t>in-cff2818a7551d43c</t>
        </is>
      </c>
      <c r="B11" t="inlineStr">
        <is>
          <t>Sr. Applied Scientist, AGI Foundations</t>
        </is>
      </c>
      <c r="C11" t="inlineStr">
        <is>
          <t>Amazon.com</t>
        </is>
      </c>
      <c r="D11" t="inlineStr">
        <is>
          <t>indeed</t>
        </is>
      </c>
      <c r="E11">
        <f>HYPERLINK("https://www.indeed.com/viewjob?jk=cff2818a7551d43c", "https://www.indeed.com/viewjob?jk=cff2818a7551d43c")</f>
        <v/>
      </c>
      <c r="F11">
        <f>HYPERLINK("https://www.amazon.jobs/jobs/3123268/sr-applied-scientist-agi-foundations?cmpid=DA_INAD200785B", "https://www.amazon.jobs/jobs/3123268/sr-applied-scientist-agi-foundations?cmpid=DA_INAD200785B")</f>
        <v/>
      </c>
      <c r="G11" t="inlineStr">
        <is>
          <t>New York, NY, US</t>
        </is>
      </c>
      <c r="H11" s="3" t="n">
        <v>45963</v>
      </c>
      <c r="I11"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
      <c r="A12" t="inlineStr">
        <is>
          <t>in-48dd78a104800eb5</t>
        </is>
      </c>
      <c r="B12" t="inlineStr">
        <is>
          <t>Sr. Applied Scientist, AGI Foundations</t>
        </is>
      </c>
      <c r="C12" t="inlineStr">
        <is>
          <t>Amazon.com</t>
        </is>
      </c>
      <c r="D12" t="inlineStr">
        <is>
          <t>indeed</t>
        </is>
      </c>
      <c r="E12">
        <f>HYPERLINK("https://www.indeed.com/viewjob?jk=48dd78a104800eb5", "https://www.indeed.com/viewjob?jk=48dd78a104800eb5")</f>
        <v/>
      </c>
      <c r="F12">
        <f>HYPERLINK("https://www.amazon.jobs/jobs/3123268/sr-applied-scientist-agi-foundations?cmpid=DA_INAD200785B", "https://www.amazon.jobs/jobs/3123268/sr-applied-scientist-agi-foundations?cmpid=DA_INAD200785B")</f>
        <v/>
      </c>
      <c r="G12" t="inlineStr">
        <is>
          <t>Boston, MA, US</t>
        </is>
      </c>
      <c r="H12" s="3" t="n">
        <v>45963</v>
      </c>
      <c r="I12"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
      <c r="A13" t="inlineStr">
        <is>
          <t>in-89262cc8102150e9</t>
        </is>
      </c>
      <c r="B13" t="inlineStr">
        <is>
          <t>Sr. Applied Scientist, AGI Foundations</t>
        </is>
      </c>
      <c r="C13" t="inlineStr">
        <is>
          <t>Amazon.com</t>
        </is>
      </c>
      <c r="D13" t="inlineStr">
        <is>
          <t>indeed</t>
        </is>
      </c>
      <c r="E13">
        <f>HYPERLINK("https://www.indeed.com/viewjob?jk=89262cc8102150e9", "https://www.indeed.com/viewjob?jk=89262cc8102150e9")</f>
        <v/>
      </c>
      <c r="F13">
        <f>HYPERLINK("https://www.amazon.jobs/jobs/3123268/sr-applied-scientist-agi-foundations?cmpid=DA_INAD200785B", "https://www.amazon.jobs/jobs/3123268/sr-applied-scientist-agi-foundations?cmpid=DA_INAD200785B")</f>
        <v/>
      </c>
      <c r="G13" t="inlineStr">
        <is>
          <t>Bellevue, WA, US</t>
        </is>
      </c>
      <c r="H13" s="3" t="n">
        <v>45963</v>
      </c>
      <c r="I13"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
      <c r="A14" t="inlineStr">
        <is>
          <t>in-4bc271b7f8f3563d</t>
        </is>
      </c>
      <c r="B14" t="inlineStr">
        <is>
          <t>Applied Scientist II, Prime Video - Personalization and Discovery Science, Personalization and Discovery Science</t>
        </is>
      </c>
      <c r="C14" t="inlineStr">
        <is>
          <t>Amazon.com</t>
        </is>
      </c>
      <c r="D14" t="inlineStr">
        <is>
          <t>indeed</t>
        </is>
      </c>
      <c r="E14">
        <f>HYPERLINK("https://www.indeed.com/viewjob?jk=4bc271b7f8f3563d", "https://www.indeed.com/viewjob?jk=4bc271b7f8f3563d")</f>
        <v/>
      </c>
      <c r="F14">
        <f>HYPERLINK("https://www.amazon.jobs/jobs/3099334/applied-scientist-ii-prime-video--personalization-and-discovery-science-personalization-and-discovery-science?cmpid=DA_INAD200785B", "https://www.amazon.jobs/jobs/3099334/applied-scientist-ii-prime-video--personalization-and-discovery-science-personalization-and-discovery-science?cmpid=DA_INAD200785B")</f>
        <v/>
      </c>
      <c r="G14" t="inlineStr">
        <is>
          <t>Sunnyvale, CA, US</t>
        </is>
      </c>
      <c r="H14" s="3" t="n">
        <v>45930</v>
      </c>
      <c r="I1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
      <c r="A15" t="inlineStr">
        <is>
          <t>in-a8abe73c360508f5</t>
        </is>
      </c>
      <c r="B15" t="inlineStr">
        <is>
          <t>Applied Scientist II, Prime Video - Personalization and Discovery Science, Personalization and Discovery Science</t>
        </is>
      </c>
      <c r="C15" t="inlineStr">
        <is>
          <t>Amazon.com</t>
        </is>
      </c>
      <c r="D15" t="inlineStr">
        <is>
          <t>indeed</t>
        </is>
      </c>
      <c r="E15">
        <f>HYPERLINK("https://www.indeed.com/viewjob?jk=a8abe73c360508f5", "https://www.indeed.com/viewjob?jk=a8abe73c360508f5")</f>
        <v/>
      </c>
      <c r="F15">
        <f>HYPERLINK("https://www.amazon.jobs/jobs/3099334/applied-scientist-ii-prime-video--personalization-and-discovery-science-personalization-and-discovery-science?cmpid=DA_INAD200785B", "https://www.amazon.jobs/jobs/3099334/applied-scientist-ii-prime-video--personalization-and-discovery-science-personalization-and-discovery-science?cmpid=DA_INAD200785B")</f>
        <v/>
      </c>
      <c r="G15" t="inlineStr">
        <is>
          <t>New York, NY, US</t>
        </is>
      </c>
      <c r="H15" s="3" t="n">
        <v>45930</v>
      </c>
      <c r="I1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
      <c r="A16" t="inlineStr">
        <is>
          <t>in-65c5fc8e3be4efdc</t>
        </is>
      </c>
      <c r="B16" t="inlineStr">
        <is>
          <t>Applied Scientist II, Prime Video - Personalization and Discovery Science, Personalization and Discovery Science</t>
        </is>
      </c>
      <c r="C16" t="inlineStr">
        <is>
          <t>Amazon.com</t>
        </is>
      </c>
      <c r="D16" t="inlineStr">
        <is>
          <t>indeed</t>
        </is>
      </c>
      <c r="E16">
        <f>HYPERLINK("https://www.indeed.com/viewjob?jk=65c5fc8e3be4efdc", "https://www.indeed.com/viewjob?jk=65c5fc8e3be4efdc")</f>
        <v/>
      </c>
      <c r="F16">
        <f>HYPERLINK("https://www.amazon.jobs/jobs/3099334/applied-scientist-ii-prime-video--personalization-and-discovery-science-personalization-and-discovery-science?cmpid=DA_INAD200785B", "https://www.amazon.jobs/jobs/3099334/applied-scientist-ii-prime-video--personalization-and-discovery-science-personalization-and-discovery-science?cmpid=DA_INAD200785B")</f>
        <v/>
      </c>
      <c r="G16" t="inlineStr">
        <is>
          <t>Seattle, WA, US</t>
        </is>
      </c>
      <c r="H16" s="3" t="n">
        <v>45930</v>
      </c>
      <c r="I1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
      <c r="A17" t="inlineStr">
        <is>
          <t>in-aab67c1537ee58f7</t>
        </is>
      </c>
      <c r="B17" t="inlineStr">
        <is>
          <t>Applied Scientist II, Prime Video - Personalization and Discovery Science</t>
        </is>
      </c>
      <c r="C17" t="inlineStr">
        <is>
          <t>Amazon.com</t>
        </is>
      </c>
      <c r="D17" t="inlineStr">
        <is>
          <t>indeed</t>
        </is>
      </c>
      <c r="E17">
        <f>HYPERLINK("https://www.indeed.com/viewjob?jk=aab67c1537ee58f7", "https://www.indeed.com/viewjob?jk=aab67c1537ee58f7")</f>
        <v/>
      </c>
      <c r="F17">
        <f>HYPERLINK("https://www.amazon.jobs/jobs/3086060/applied-scientist-ii-prime-video--personalization-and-discovery-science?cmpid=DA_INAD200785B", "https://www.amazon.jobs/jobs/3086060/applied-scientist-ii-prime-video--personalization-and-discovery-science?cmpid=DA_INAD200785B")</f>
        <v/>
      </c>
      <c r="G17" t="inlineStr">
        <is>
          <t>New York, NY, US</t>
        </is>
      </c>
      <c r="H17" s="3" t="n">
        <v>45915</v>
      </c>
      <c r="I1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
      <c r="A18" t="inlineStr">
        <is>
          <t>in-37bfa2b92ed354b0</t>
        </is>
      </c>
      <c r="B18" t="inlineStr">
        <is>
          <t>Applied Scientist II, Prime Video - Personalization and Discovery Science</t>
        </is>
      </c>
      <c r="C18" t="inlineStr">
        <is>
          <t>Amazon.com</t>
        </is>
      </c>
      <c r="D18" t="inlineStr">
        <is>
          <t>indeed</t>
        </is>
      </c>
      <c r="E18">
        <f>HYPERLINK("https://www.indeed.com/viewjob?jk=37bfa2b92ed354b0", "https://www.indeed.com/viewjob?jk=37bfa2b92ed354b0")</f>
        <v/>
      </c>
      <c r="F18">
        <f>HYPERLINK("https://www.amazon.jobs/jobs/3086060/applied-scientist-ii-prime-video--personalization-and-discovery-science?cmpid=DA_INAD200785B", "https://www.amazon.jobs/jobs/3086060/applied-scientist-ii-prime-video--personalization-and-discovery-science?cmpid=DA_INAD200785B")</f>
        <v/>
      </c>
      <c r="G18" t="inlineStr">
        <is>
          <t>Sunnyvale, CA, US</t>
        </is>
      </c>
      <c r="H18" s="3" t="n">
        <v>45915</v>
      </c>
      <c r="I1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
      <c r="A19" t="inlineStr">
        <is>
          <t>in-94f4d4b4635c7921</t>
        </is>
      </c>
      <c r="B19" t="inlineStr">
        <is>
          <t>Applied Scientist II, Prime Video - Personalization and Discovery Science</t>
        </is>
      </c>
      <c r="C19" t="inlineStr">
        <is>
          <t>Amazon.com</t>
        </is>
      </c>
      <c r="D19" t="inlineStr">
        <is>
          <t>indeed</t>
        </is>
      </c>
      <c r="E19">
        <f>HYPERLINK("https://www.indeed.com/viewjob?jk=94f4d4b4635c7921", "https://www.indeed.com/viewjob?jk=94f4d4b4635c7921")</f>
        <v/>
      </c>
      <c r="F19">
        <f>HYPERLINK("https://www.amazon.jobs/jobs/3086060/applied-scientist-ii-prime-video--personalization-and-discovery-science?cmpid=DA_INAD200785B", "https://www.amazon.jobs/jobs/3086060/applied-scientist-ii-prime-video--personalization-and-discovery-science?cmpid=DA_INAD200785B")</f>
        <v/>
      </c>
      <c r="G19" t="inlineStr">
        <is>
          <t>Seattle, WA, US</t>
        </is>
      </c>
      <c r="H19" s="3" t="n">
        <v>45915</v>
      </c>
      <c r="I1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
      <c r="A20" t="inlineStr">
        <is>
          <t>in-74160e21402b84b2</t>
        </is>
      </c>
      <c r="B20" t="inlineStr">
        <is>
          <t>Sr. Applied Scientist, Prime Video - Personalization and Discovery Science</t>
        </is>
      </c>
      <c r="C20" t="inlineStr">
        <is>
          <t>Amazon.com</t>
        </is>
      </c>
      <c r="D20" t="inlineStr">
        <is>
          <t>indeed</t>
        </is>
      </c>
      <c r="E20">
        <f>HYPERLINK("https://www.indeed.com/viewjob?jk=74160e21402b84b2", "https://www.indeed.com/viewjob?jk=74160e21402b84b2")</f>
        <v/>
      </c>
      <c r="F20">
        <f>HYPERLINK("https://www.amazon.jobs/jobs/3083564/sr-applied-scientist-prime-video--personalization-and-discovery-science?cmpid=DA_INAD200785B", "https://www.amazon.jobs/jobs/3083564/sr-applied-scientist-prime-video--personalization-and-discovery-science?cmpid=DA_INAD200785B")</f>
        <v/>
      </c>
      <c r="G20" t="inlineStr">
        <is>
          <t>New York, NY, US</t>
        </is>
      </c>
      <c r="H20" s="3" t="n">
        <v>45914</v>
      </c>
      <c r="I2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
      <c r="A21" t="inlineStr">
        <is>
          <t>in-b41bfea2fcff2ac4</t>
        </is>
      </c>
      <c r="B21" t="inlineStr">
        <is>
          <t>Sr. Applied Scientist, Prime Video - Personalization and Discovery Science</t>
        </is>
      </c>
      <c r="C21" t="inlineStr">
        <is>
          <t>Amazon.com</t>
        </is>
      </c>
      <c r="D21" t="inlineStr">
        <is>
          <t>indeed</t>
        </is>
      </c>
      <c r="E21">
        <f>HYPERLINK("https://www.indeed.com/viewjob?jk=b41bfea2fcff2ac4", "https://www.indeed.com/viewjob?jk=b41bfea2fcff2ac4")</f>
        <v/>
      </c>
      <c r="F21">
        <f>HYPERLINK("https://www.amazon.jobs/jobs/3083564/sr-applied-scientist-prime-video--personalization-and-discovery-science?cmpid=DA_INAD200785B", "https://www.amazon.jobs/jobs/3083564/sr-applied-scientist-prime-video--personalization-and-discovery-science?cmpid=DA_INAD200785B")</f>
        <v/>
      </c>
      <c r="G21" t="inlineStr">
        <is>
          <t>Sunnyvale, CA, US</t>
        </is>
      </c>
      <c r="H21" s="3" t="n">
        <v>45914</v>
      </c>
      <c r="I2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
      <c r="A22" t="inlineStr">
        <is>
          <t>in-eaf383dc2f9a9b77</t>
        </is>
      </c>
      <c r="B22" t="inlineStr">
        <is>
          <t>Sr. Applied Scientist, Prime Video - Personalization and Discovery Science</t>
        </is>
      </c>
      <c r="C22" t="inlineStr">
        <is>
          <t>Amazon.com</t>
        </is>
      </c>
      <c r="D22" t="inlineStr">
        <is>
          <t>indeed</t>
        </is>
      </c>
      <c r="E22">
        <f>HYPERLINK("https://www.indeed.com/viewjob?jk=eaf383dc2f9a9b77", "https://www.indeed.com/viewjob?jk=eaf383dc2f9a9b77")</f>
        <v/>
      </c>
      <c r="F22">
        <f>HYPERLINK("https://www.amazon.jobs/jobs/3083564/sr-applied-scientist-prime-video--personalization-and-discovery-science?cmpid=DA_INAD200785B", "https://www.amazon.jobs/jobs/3083564/sr-applied-scientist-prime-video--personalization-and-discovery-science?cmpid=DA_INAD200785B")</f>
        <v/>
      </c>
      <c r="G22" t="inlineStr">
        <is>
          <t>Seattle, WA, US</t>
        </is>
      </c>
      <c r="H22" s="3" t="n">
        <v>45914</v>
      </c>
      <c r="I2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
      <c r="A23" t="inlineStr">
        <is>
          <t>in-19ca21ef9a7f21a5</t>
        </is>
      </c>
      <c r="B23" t="inlineStr">
        <is>
          <t>Sr. Applied Scientist, Prime Video - Personalization and Discovery Science</t>
        </is>
      </c>
      <c r="C23" t="inlineStr">
        <is>
          <t>Amazon.com</t>
        </is>
      </c>
      <c r="D23" t="inlineStr">
        <is>
          <t>indeed</t>
        </is>
      </c>
      <c r="E23">
        <f>HYPERLINK("https://www.indeed.com/viewjob?jk=19ca21ef9a7f21a5", "https://www.indeed.com/viewjob?jk=19ca21ef9a7f21a5")</f>
        <v/>
      </c>
      <c r="F23">
        <f>HYPERLINK("https://www.amazon.jobs/jobs/3059256/sr-applied-scientist-prime-video--personalization-and-discovery-science?cmpid=DA_INAD200785B", "https://www.amazon.jobs/jobs/3059256/sr-applied-scientist-prime-video--personalization-and-discovery-science?cmpid=DA_INAD200785B")</f>
        <v/>
      </c>
      <c r="G23" t="inlineStr">
        <is>
          <t>Seattle, WA, US</t>
        </is>
      </c>
      <c r="H23" s="3" t="n">
        <v>45881</v>
      </c>
      <c r="I2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
      <c r="A24" t="inlineStr">
        <is>
          <t>in-fb948bd47e523830</t>
        </is>
      </c>
      <c r="B24" t="inlineStr">
        <is>
          <t>Applied Scientist II, Prime Video - Personalization and Discovery Science</t>
        </is>
      </c>
      <c r="C24" t="inlineStr">
        <is>
          <t>Amazon.com</t>
        </is>
      </c>
      <c r="D24" t="inlineStr">
        <is>
          <t>indeed</t>
        </is>
      </c>
      <c r="E24">
        <f>HYPERLINK("https://www.indeed.com/viewjob?jk=fb948bd47e523830", "https://www.indeed.com/viewjob?jk=fb948bd47e523830")</f>
        <v/>
      </c>
      <c r="F24">
        <f>HYPERLINK("https://www.amazon.jobs/jobs/3059253/applied-scientist-ii-prime-video--personalization-and-discovery-science?cmpid=DA_INAD200785B", "https://www.amazon.jobs/jobs/3059253/applied-scientist-ii-prime-video--personalization-and-discovery-science?cmpid=DA_INAD200785B")</f>
        <v/>
      </c>
      <c r="G24" t="inlineStr">
        <is>
          <t>New York, NY, US</t>
        </is>
      </c>
      <c r="H24" s="3" t="n">
        <v>45881</v>
      </c>
      <c r="I2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
      <c r="A25" t="inlineStr">
        <is>
          <t>in-9bb65d77da05eb55</t>
        </is>
      </c>
      <c r="B25" t="inlineStr">
        <is>
          <t>Sr. Applied Scientist, Prime Video - Personalization and Discovery Science</t>
        </is>
      </c>
      <c r="C25" t="inlineStr">
        <is>
          <t>Amazon.com</t>
        </is>
      </c>
      <c r="D25" t="inlineStr">
        <is>
          <t>indeed</t>
        </is>
      </c>
      <c r="E25">
        <f>HYPERLINK("https://www.indeed.com/viewjob?jk=9bb65d77da05eb55", "https://www.indeed.com/viewjob?jk=9bb65d77da05eb55")</f>
        <v/>
      </c>
      <c r="F25">
        <f>HYPERLINK("https://www.amazon.jobs/jobs/3059256/sr-applied-scientist-prime-video--personalization-and-discovery-science?cmpid=DA_INAD200785B", "https://www.amazon.jobs/jobs/3059256/sr-applied-scientist-prime-video--personalization-and-discovery-science?cmpid=DA_INAD200785B")</f>
        <v/>
      </c>
      <c r="G25" t="inlineStr">
        <is>
          <t>Sunnyvale, CA, US</t>
        </is>
      </c>
      <c r="H25" s="3" t="n">
        <v>45881</v>
      </c>
      <c r="I2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
      <c r="A26" t="inlineStr">
        <is>
          <t>in-1e8b415f943f9c1d</t>
        </is>
      </c>
      <c r="B26" t="inlineStr">
        <is>
          <t>Sr. Applied Scientist, Prime Video - Personalization and Discovery Science</t>
        </is>
      </c>
      <c r="C26" t="inlineStr">
        <is>
          <t>Amazon.com</t>
        </is>
      </c>
      <c r="D26" t="inlineStr">
        <is>
          <t>indeed</t>
        </is>
      </c>
      <c r="E26">
        <f>HYPERLINK("https://www.indeed.com/viewjob?jk=1e8b415f943f9c1d", "https://www.indeed.com/viewjob?jk=1e8b415f943f9c1d")</f>
        <v/>
      </c>
      <c r="F26">
        <f>HYPERLINK("https://www.amazon.jobs/jobs/3059256/sr-applied-scientist-prime-video--personalization-and-discovery-science?cmpid=DA_INAD200785B", "https://www.amazon.jobs/jobs/3059256/sr-applied-scientist-prime-video--personalization-and-discovery-science?cmpid=DA_INAD200785B")</f>
        <v/>
      </c>
      <c r="G26" t="inlineStr">
        <is>
          <t>New York, NY, US</t>
        </is>
      </c>
      <c r="H26" s="3" t="n">
        <v>45881</v>
      </c>
      <c r="I2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
      <c r="A27" t="inlineStr">
        <is>
          <t>in-9b9455028f650078</t>
        </is>
      </c>
      <c r="B27" t="inlineStr">
        <is>
          <t>Applied Scientist II, Prime Video - Personalization and Discovery Science</t>
        </is>
      </c>
      <c r="C27" t="inlineStr">
        <is>
          <t>Amazon.com</t>
        </is>
      </c>
      <c r="D27" t="inlineStr">
        <is>
          <t>indeed</t>
        </is>
      </c>
      <c r="E27">
        <f>HYPERLINK("https://www.indeed.com/viewjob?jk=9b9455028f650078", "https://www.indeed.com/viewjob?jk=9b9455028f650078")</f>
        <v/>
      </c>
      <c r="F27">
        <f>HYPERLINK("https://www.amazon.jobs/jobs/3059253/applied-scientist-ii-prime-video--personalization-and-discovery-science?cmpid=DA_INAD200785B", "https://www.amazon.jobs/jobs/3059253/applied-scientist-ii-prime-video--personalization-and-discovery-science?cmpid=DA_INAD200785B")</f>
        <v/>
      </c>
      <c r="G27" t="inlineStr">
        <is>
          <t>Sunnyvale, CA, US</t>
        </is>
      </c>
      <c r="H27" s="3" t="n">
        <v>45881</v>
      </c>
      <c r="I2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
      <c r="A28" t="inlineStr">
        <is>
          <t>in-c43dc8e910498484</t>
        </is>
      </c>
      <c r="B28" t="inlineStr">
        <is>
          <t>Applied Scientist II, Prime Video - Personalization and Discovery Science</t>
        </is>
      </c>
      <c r="C28" t="inlineStr">
        <is>
          <t>Amazon.com</t>
        </is>
      </c>
      <c r="D28" t="inlineStr">
        <is>
          <t>indeed</t>
        </is>
      </c>
      <c r="E28">
        <f>HYPERLINK("https://www.indeed.com/viewjob?jk=c43dc8e910498484", "https://www.indeed.com/viewjob?jk=c43dc8e910498484")</f>
        <v/>
      </c>
      <c r="F28">
        <f>HYPERLINK("https://www.amazon.jobs/jobs/3059253/applied-scientist-ii-prime-video--personalization-and-discovery-science?cmpid=DA_INAD200785B", "https://www.amazon.jobs/jobs/3059253/applied-scientist-ii-prime-video--personalization-and-discovery-science?cmpid=DA_INAD200785B")</f>
        <v/>
      </c>
      <c r="G28" t="inlineStr">
        <is>
          <t>Seattle, WA, US</t>
        </is>
      </c>
      <c r="H28" s="3" t="n">
        <v>45881</v>
      </c>
      <c r="I2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
      <c r="A29" t="inlineStr">
        <is>
          <t>in-0abf9b772b95d200</t>
        </is>
      </c>
      <c r="B29" t="inlineStr">
        <is>
          <t>Applied Scientist, Prime Video - Personalization and Discovery Science</t>
        </is>
      </c>
      <c r="C29" t="inlineStr">
        <is>
          <t>Amazon.com</t>
        </is>
      </c>
      <c r="D29" t="inlineStr">
        <is>
          <t>indeed</t>
        </is>
      </c>
      <c r="E29">
        <f>HYPERLINK("https://www.indeed.com/viewjob?jk=0abf9b772b95d200", "https://www.indeed.com/viewjob?jk=0abf9b772b95d200")</f>
        <v/>
      </c>
      <c r="F29">
        <f>HYPERLINK("https://www.amazon.jobs/jobs/3033050/applied-scientist-prime-video--personalization-and-discovery-science?cmpid=DA_INAD200785B", "https://www.amazon.jobs/jobs/3033050/applied-scientist-prime-video--personalization-and-discovery-science?cmpid=DA_INAD200785B")</f>
        <v/>
      </c>
      <c r="G29" t="inlineStr">
        <is>
          <t>Seattle, WA, US</t>
        </is>
      </c>
      <c r="H29" s="3" t="n">
        <v>45845</v>
      </c>
      <c r="I2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
      <c r="A30" t="inlineStr">
        <is>
          <t>in-48f271a8a5da52dc</t>
        </is>
      </c>
      <c r="B30" t="inlineStr">
        <is>
          <t>Applied Scientist, Prime Video - Personalization and Discovery Science</t>
        </is>
      </c>
      <c r="C30" t="inlineStr">
        <is>
          <t>Amazon.com</t>
        </is>
      </c>
      <c r="D30" t="inlineStr">
        <is>
          <t>indeed</t>
        </is>
      </c>
      <c r="E30">
        <f>HYPERLINK("https://www.indeed.com/viewjob?jk=48f271a8a5da52dc", "https://www.indeed.com/viewjob?jk=48f271a8a5da52dc")</f>
        <v/>
      </c>
      <c r="F30">
        <f>HYPERLINK("https://www.amazon.jobs/jobs/3033050/applied-scientist-prime-video--personalization-and-discovery-science?cmpid=DA_INAD200785B", "https://www.amazon.jobs/jobs/3033050/applied-scientist-prime-video--personalization-and-discovery-science?cmpid=DA_INAD200785B")</f>
        <v/>
      </c>
      <c r="G30" t="inlineStr">
        <is>
          <t>New York, NY, US</t>
        </is>
      </c>
      <c r="H30" s="3" t="n">
        <v>45845</v>
      </c>
      <c r="I3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1">
      <c r="A31" t="inlineStr">
        <is>
          <t>in-2f5c9f5d1b2a0582</t>
        </is>
      </c>
      <c r="B31" t="inlineStr">
        <is>
          <t>Applied Scientist, Prime Video - Personalization and Discovery Science</t>
        </is>
      </c>
      <c r="C31" t="inlineStr">
        <is>
          <t>Amazon.com</t>
        </is>
      </c>
      <c r="D31" t="inlineStr">
        <is>
          <t>indeed</t>
        </is>
      </c>
      <c r="E31">
        <f>HYPERLINK("https://www.indeed.com/viewjob?jk=2f5c9f5d1b2a0582", "https://www.indeed.com/viewjob?jk=2f5c9f5d1b2a0582")</f>
        <v/>
      </c>
      <c r="F31">
        <f>HYPERLINK("https://www.amazon.jobs/jobs/3033050/applied-scientist-prime-video--personalization-and-discovery-science?cmpid=DA_INAD200785B", "https://www.amazon.jobs/jobs/3033050/applied-scientist-prime-video--personalization-and-discovery-science?cmpid=DA_INAD200785B")</f>
        <v/>
      </c>
      <c r="G31" t="inlineStr">
        <is>
          <t>Sunnyvale, CA, US</t>
        </is>
      </c>
      <c r="H31" s="3" t="n">
        <v>45845</v>
      </c>
      <c r="I3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2">
      <c r="A32" t="inlineStr">
        <is>
          <t>in-199e5780b2deb754</t>
        </is>
      </c>
      <c r="B32" t="inlineStr">
        <is>
          <t>Sr. Data Scientist, Amazon Leo Global Planning, Amazon Leo</t>
        </is>
      </c>
      <c r="C32" t="inlineStr">
        <is>
          <t>Amazon.com</t>
        </is>
      </c>
      <c r="D32" t="inlineStr">
        <is>
          <t>indeed</t>
        </is>
      </c>
      <c r="E32">
        <f>HYPERLINK("https://www.indeed.com/viewjob?jk=199e5780b2deb754", "https://www.indeed.com/viewjob?jk=199e5780b2deb754")</f>
        <v/>
      </c>
      <c r="F32">
        <f>HYPERLINK("https://www.amazon.jobs/jobs/3016062/sr-data-scientist-amazon-leo-global-planning-amazon-leo?cmpid=DA_INAD200785B", "https://www.amazon.jobs/jobs/3016062/sr-data-scientist-amazon-leo-global-planning-amazon-leo?cmpid=DA_INAD200785B")</f>
        <v/>
      </c>
      <c r="G32" t="inlineStr">
        <is>
          <t>Redmond, WA, US</t>
        </is>
      </c>
      <c r="H32" s="3" t="n">
        <v>45830</v>
      </c>
      <c r="I32" t="inlineStr">
        <is>
          <t>**DESCRIPTION**
---------------
Amazon Leo is an initiative to increase global broadband access through a constellation of 3,236 satellites in low Earth orbit (LEO). Its mission is to bring fast, affordable broadband to unserved and underserved communities around the world. Amazon Leo will help close the digital divide by delivering fast, affordable broadband to a wide range of customers, including consumers, businesses, government agencies, and other organizations operating in places without reliable connectivity.  
Do you get excited by aerospace, space exploration, and/or satellites? Do you want to help build solutions at Amazon Leo to transform the space industry? If so, then we would love to talk!  
Key job responsibilities  
Work cross\-functionally with product, business development, and various technical teams (engineering, science, simulations, etc.) to execute on the long\-term vision, strategy, and architecture for the science\-based global demand forecast  
Design and deliver modern, flexible, scalable solutions to integrate data from a variety of sources and systems, increasing forecast accuracy over time  
Work closely with the capacity planning science team to ensure that demand forecasts feed seamlessly into their systems to deliver continuous optimization of resources.  
Lead short and long terms technical roadmap definition efforts to deliver solutions that meet business needs in pre\-launch, early\-launch, and mature business phases  
Synthesize and communicate insights and recommendations to audiences of varying levels of technical sophistication to drive change across Amazon Leo.  
Export Control Requirement: Due to applicable export control laws and regulations, candidates must be a U.S. citizen or national, U.S. permanent resident (i.e., current Green Card holder), or lawfully admitted into the U.S. as a refugee or granted asylum.  
About the team  
The Amazon Leo Global Demand Planning team's mission is to map customer demand across space and time. We enable Amazon Leo's long\-term success by delivering actionable insights and scientific forecasts across geographies and customer segments to empower long range planning, capacity simulations, business strategy, and hardware manufacturing recommendations through scalable tools and durable mechanisms.
**BASIC QUALIFICATIONS**
------------------------
* 4\+ years of data scientist experience
* 5\+ years of data querying languages (e.g. SQL), scripting languages (e.g. Python) or statistical/mathematical software (e.g. R, SAS, Matlab, etc.) experience
* Experience with statistical models e.g. multinomial logistic regression
* Experience developing forecasting methodologies
**PREFERRED QUALIFICATIONS**
----------------------------
* Master's degree in a quantitative field such as statistics, mathematics, data science, business analytics, economics, finance, engineering, or computer science
* Experience managing data pipelines
* Experience working with scientists, economists, software developers, or product managers
* 3\+ years of data visualization using AWS QuickSight, Tableau, R Shiny, etc. experience
* Experience in data applications using large scale distributed systems (e.g., EMR, Spark, Elasticsearch, Hadoop, Pig, and Hive)
* Hands\-on experience in building machine learning or optimization models in a business environment using tools such as AWS SageMaker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3">
      <c r="A33" t="inlineStr">
        <is>
          <t>in-d79d2e7bb33cbb0a</t>
        </is>
      </c>
      <c r="B33" t="inlineStr">
        <is>
          <t>Sr. Data Scientist, Amazon Leo Global Planning, Amazon Leo</t>
        </is>
      </c>
      <c r="C33" t="inlineStr">
        <is>
          <t>Amazon.com</t>
        </is>
      </c>
      <c r="D33" t="inlineStr">
        <is>
          <t>indeed</t>
        </is>
      </c>
      <c r="E33">
        <f>HYPERLINK("https://www.indeed.com/viewjob?jk=d79d2e7bb33cbb0a", "https://www.indeed.com/viewjob?jk=d79d2e7bb33cbb0a")</f>
        <v/>
      </c>
      <c r="F33">
        <f>HYPERLINK("https://www.amazon.jobs/jobs/3016062/sr-data-scientist-amazon-leo-global-planning-amazon-leo?cmpid=DA_INAD200785B", "https://www.amazon.jobs/jobs/3016062/sr-data-scientist-amazon-leo-global-planning-amazon-leo?cmpid=DA_INAD200785B")</f>
        <v/>
      </c>
      <c r="G33" t="inlineStr">
        <is>
          <t>Bellevue, WA, US</t>
        </is>
      </c>
      <c r="H33" s="3" t="n">
        <v>45830</v>
      </c>
      <c r="I33" t="inlineStr">
        <is>
          <t>**DESCRIPTION**
---------------
Amazon Leo is an initiative to increase global broadband access through a constellation of 3,236 satellites in low Earth orbit (LEO). Its mission is to bring fast, affordable broadband to unserved and underserved communities around the world. Amazon Leo will help close the digital divide by delivering fast, affordable broadband to a wide range of customers, including consumers, businesses, government agencies, and other organizations operating in places without reliable connectivity.  
Do you get excited by aerospace, space exploration, and/or satellites? Do you want to help build solutions at Amazon Leo to transform the space industry? If so, then we would love to talk!  
Key job responsibilities  
Work cross\-functionally with product, business development, and various technical teams (engineering, science, simulations, etc.) to execute on the long\-term vision, strategy, and architecture for the science\-based global demand forecast  
Design and deliver modern, flexible, scalable solutions to integrate data from a variety of sources and systems, increasing forecast accuracy over time  
Work closely with the capacity planning science team to ensure that demand forecasts feed seamlessly into their systems to deliver continuous optimization of resources.  
Lead short and long terms technical roadmap definition efforts to deliver solutions that meet business needs in pre\-launch, early\-launch, and mature business phases  
Synthesize and communicate insights and recommendations to audiences of varying levels of technical sophistication to drive change across Amazon Leo.  
Export Control Requirement: Due to applicable export control laws and regulations, candidates must be a U.S. citizen or national, U.S. permanent resident (i.e., current Green Card holder), or lawfully admitted into the U.S. as a refugee or granted asylum.  
About the team  
The Amazon Leo Global Demand Planning team's mission is to map customer demand across space and time. We enable Amazon Leo's long\-term success by delivering actionable insights and scientific forecasts across geographies and customer segments to empower long range planning, capacity simulations, business strategy, and hardware manufacturing recommendations through scalable tools and durable mechanisms.
**BASIC QUALIFICATIONS**
------------------------
* 4\+ years of data scientist experience
* 5\+ years of data querying languages (e.g. SQL), scripting languages (e.g. Python) or statistical/mathematical software (e.g. R, SAS, Matlab, etc.) experience
* Experience with statistical models e.g. multinomial logistic regression
* Experience developing forecasting methodologies
**PREFERRED QUALIFICATIONS**
----------------------------
* Master's degree in a quantitative field such as statistics, mathematics, data science, business analytics, economics, finance, engineering, or computer science
* Experience managing data pipelines
* Experience working with scientists, economists, software developers, or product managers
* 3\+ years of data visualization using AWS QuickSight, Tableau, R Shiny, etc. experience
* Experience in data applications using large scale distributed systems (e.g., EMR, Spark, Elasticsearch, Hadoop, Pig, and Hive)
* Hands\-on experience in building machine learning or optimization models in a business environment using tools such as AWS SageMaker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4">
      <c r="A34" t="inlineStr">
        <is>
          <t>in-f99d10957aadc785</t>
        </is>
      </c>
      <c r="B34" t="inlineStr">
        <is>
          <t>Applied Scientist, AGI</t>
        </is>
      </c>
      <c r="C34" t="inlineStr">
        <is>
          <t>Amazon.com</t>
        </is>
      </c>
      <c r="D34" t="inlineStr">
        <is>
          <t>indeed</t>
        </is>
      </c>
      <c r="E34">
        <f>HYPERLINK("https://www.indeed.com/viewjob?jk=f99d10957aadc785", "https://www.indeed.com/viewjob?jk=f99d10957aadc785")</f>
        <v/>
      </c>
      <c r="F34">
        <f>HYPERLINK("https://www.amazon.jobs/jobs/3139033/applied-scientist-agi?cmpid=DA_INAD200785B", "https://www.amazon.jobs/jobs/3139033/applied-scientist-agi?cmpid=DA_INAD200785B")</f>
        <v/>
      </c>
      <c r="G34" t="inlineStr">
        <is>
          <t>Cambridge, MA, US</t>
        </is>
      </c>
      <c r="H34" s="3" t="n">
        <v>45998</v>
      </c>
      <c r="I34" t="inlineStr">
        <is>
          <t>**DESCRIPTION**
---------------
The Artificial General Intelligence (AGI) team is looking for a highly skilled and experienced Applied Scientist, to support the development and implementation of state\-of\-the\-art algorithms and models for supervised fine\-tuning and reinforcement learning through human feedback and and complex reasoning; with a focus across text, image, and video modalities.  
As an Applied Scientist, you will play a critical role in supporting the development of Generative AI (Gen AI) technologies that can handle Amazon\-scale use cases and have a significant impact on our customers' experiences.  
Key job responsibilities  
* Collaborate with cross\-functional teams of engineers, product managers, and scientists to identify and solve complex problems in Gen AI
* Design and execute experiments to evaluate the performance of different algorithms and models, and iterate quickly to improve results
* Think big about the arc of development of Gen AI over a multi\-year horizon, and identify new opportunities to apply these technologies to solve real\-world problems
* Communicate results and insights to both technical and non\-technical audiences, including through presentations and written reports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PhD in computer science, machine learning, engineering, or related fields
* Experience or publications related to Agentic AI applications
*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5">
      <c r="A35" t="inlineStr">
        <is>
          <t>in-8cd2cb92445b08d5</t>
        </is>
      </c>
      <c r="B35" t="inlineStr">
        <is>
          <t>Applied Scientist, AGI</t>
        </is>
      </c>
      <c r="C35" t="inlineStr">
        <is>
          <t>Amazon.com</t>
        </is>
      </c>
      <c r="D35" t="inlineStr">
        <is>
          <t>indeed</t>
        </is>
      </c>
      <c r="E35">
        <f>HYPERLINK("https://www.indeed.com/viewjob?jk=8cd2cb92445b08d5", "https://www.indeed.com/viewjob?jk=8cd2cb92445b08d5")</f>
        <v/>
      </c>
      <c r="F35">
        <f>HYPERLINK("https://www.amazon.jobs/jobs/3139033/applied-scientist-agi?cmpid=DA_INAD200785B", "https://www.amazon.jobs/jobs/3139033/applied-scientist-agi?cmpid=DA_INAD200785B")</f>
        <v/>
      </c>
      <c r="G35" t="inlineStr">
        <is>
          <t>New York, NY, US</t>
        </is>
      </c>
      <c r="H35" s="3" t="n">
        <v>45998</v>
      </c>
      <c r="I35" t="inlineStr">
        <is>
          <t>**DESCRIPTION**
---------------
The Artificial General Intelligence (AGI) team is looking for a highly skilled and experienced Applied Scientist, to support the development and implementation of state\-of\-the\-art algorithms and models for supervised fine\-tuning and reinforcement learning through human feedback and and complex reasoning; with a focus across text, image, and video modalities.  
As an Applied Scientist, you will play a critical role in supporting the development of Generative AI (Gen AI) technologies that can handle Amazon\-scale use cases and have a significant impact on our customers' experiences.  
Key job responsibilities  
* Collaborate with cross\-functional teams of engineers, product managers, and scientists to identify and solve complex problems in Gen AI
* Design and execute experiments to evaluate the performance of different algorithms and models, and iterate quickly to improve results
* Think big about the arc of development of Gen AI over a multi\-year horizon, and identify new opportunities to apply these technologies to solve real\-world problems
* Communicate results and insights to both technical and non\-technical audiences, including through presentations and written reports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PhD in computer science, machine learning, engineering, or related fields
* Experience or publications related to Agentic AI applications
*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6">
      <c r="A36" t="inlineStr">
        <is>
          <t>in-85fba7c4ecb270e4</t>
        </is>
      </c>
      <c r="B36" t="inlineStr">
        <is>
          <t>Applied Scientist, AGI</t>
        </is>
      </c>
      <c r="C36" t="inlineStr">
        <is>
          <t>Amazon.com</t>
        </is>
      </c>
      <c r="D36" t="inlineStr">
        <is>
          <t>indeed</t>
        </is>
      </c>
      <c r="E36">
        <f>HYPERLINK("https://www.indeed.com/viewjob?jk=85fba7c4ecb270e4", "https://www.indeed.com/viewjob?jk=85fba7c4ecb270e4")</f>
        <v/>
      </c>
      <c r="F36">
        <f>HYPERLINK("https://www.amazon.jobs/jobs/3139033/applied-scientist-agi?cmpid=DA_INAD200785B", "https://www.amazon.jobs/jobs/3139033/applied-scientist-agi?cmpid=DA_INAD200785B")</f>
        <v/>
      </c>
      <c r="G36" t="inlineStr">
        <is>
          <t>Sunnyvale, CA, US</t>
        </is>
      </c>
      <c r="H36" s="3" t="n">
        <v>45998</v>
      </c>
      <c r="I36" t="inlineStr">
        <is>
          <t>**DESCRIPTION**
---------------
The Artificial General Intelligence (AGI) team is looking for a highly skilled and experienced Applied Scientist, to support the development and implementation of state\-of\-the\-art algorithms and models for supervised fine\-tuning and reinforcement learning through human feedback and and complex reasoning; with a focus across text, image, and video modalities.  
As an Applied Scientist, you will play a critical role in supporting the development of Generative AI (Gen AI) technologies that can handle Amazon\-scale use cases and have a significant impact on our customers' experiences.  
Key job responsibilities  
* Collaborate with cross\-functional teams of engineers, product managers, and scientists to identify and solve complex problems in Gen AI
* Design and execute experiments to evaluate the performance of different algorithms and models, and iterate quickly to improve results
* Think big about the arc of development of Gen AI over a multi\-year horizon, and identify new opportunities to apply these technologies to solve real\-world problems
* Communicate results and insights to both technical and non\-technical audiences, including through presentations and written reports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PhD in computer science, machine learning, engineering, or related fields
* Experience or publications related to Agentic AI applications
*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7">
      <c r="A37" t="inlineStr">
        <is>
          <t>in-adf03081d0f72f73</t>
        </is>
      </c>
      <c r="B37" t="inlineStr">
        <is>
          <t>Applied Scientist, AGI</t>
        </is>
      </c>
      <c r="C37" t="inlineStr">
        <is>
          <t>Amazon.com</t>
        </is>
      </c>
      <c r="D37" t="inlineStr">
        <is>
          <t>indeed</t>
        </is>
      </c>
      <c r="E37">
        <f>HYPERLINK("https://www.indeed.com/viewjob?jk=adf03081d0f72f73", "https://www.indeed.com/viewjob?jk=adf03081d0f72f73")</f>
        <v/>
      </c>
      <c r="F37">
        <f>HYPERLINK("https://www.amazon.jobs/jobs/3139033/applied-scientist-agi?cmpid=DA_INAD200785B", "https://www.amazon.jobs/jobs/3139033/applied-scientist-agi?cmpid=DA_INAD200785B")</f>
        <v/>
      </c>
      <c r="G37" t="inlineStr">
        <is>
          <t>Bellevue, WA, US</t>
        </is>
      </c>
      <c r="H37" s="3" t="n">
        <v>45998</v>
      </c>
      <c r="I37" t="inlineStr">
        <is>
          <t>**DESCRIPTION**
---------------
The Artificial General Intelligence (AGI) team is looking for a highly skilled and experienced Applied Scientist, to support the development and implementation of state\-of\-the\-art algorithms and models for supervised fine\-tuning and reinforcement learning through human feedback and and complex reasoning; with a focus across text, image, and video modalities.  
As an Applied Scientist, you will play a critical role in supporting the development of Generative AI (Gen AI) technologies that can handle Amazon\-scale use cases and have a significant impact on our customers' experiences.  
Key job responsibilities  
* Collaborate with cross\-functional teams of engineers, product managers, and scientists to identify and solve complex problems in Gen AI
* Design and execute experiments to evaluate the performance of different algorithms and models, and iterate quickly to improve results
* Think big about the arc of development of Gen AI over a multi\-year horizon, and identify new opportunities to apply these technologies to solve real\-world problems
* Communicate results and insights to both technical and non\-technical audiences, including through presentations and written reports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PhD in computer science, machine learning, engineering, or related fields
* Experience or publications related to Agentic AI applications
*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8">
      <c r="A38" t="inlineStr">
        <is>
          <t>in-a332b9ec82d3a90c</t>
        </is>
      </c>
      <c r="B38" t="inlineStr">
        <is>
          <t>Sr. Applied Scientist, Amazon Ads</t>
        </is>
      </c>
      <c r="C38" t="inlineStr">
        <is>
          <t>Amazon.com</t>
        </is>
      </c>
      <c r="D38" t="inlineStr">
        <is>
          <t>indeed</t>
        </is>
      </c>
      <c r="E38">
        <f>HYPERLINK("https://www.indeed.com/viewjob?jk=a332b9ec82d3a90c", "https://www.indeed.com/viewjob?jk=a332b9ec82d3a90c")</f>
        <v/>
      </c>
      <c r="F38">
        <f>HYPERLINK("https://www.amazon.jobs/jobs/3139328/sr-applied-scientist-amazon-ads?cmpid=DA_INAD200785B", "https://www.amazon.jobs/jobs/3139328/sr-applied-scientist-amazon-ads?cmpid=DA_INAD200785B")</f>
        <v/>
      </c>
      <c r="G38" t="inlineStr">
        <is>
          <t>Tukwila, WA, US</t>
        </is>
      </c>
      <c r="H38" s="3" t="n">
        <v>45998</v>
      </c>
      <c r="I38"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39">
      <c r="A39" t="inlineStr">
        <is>
          <t>in-a10a5f0501262e0c</t>
        </is>
      </c>
      <c r="B39" t="inlineStr">
        <is>
          <t>Sr. Applied Scientist, Amazon Ads</t>
        </is>
      </c>
      <c r="C39" t="inlineStr">
        <is>
          <t>Amazon.com</t>
        </is>
      </c>
      <c r="D39" t="inlineStr">
        <is>
          <t>indeed</t>
        </is>
      </c>
      <c r="E39">
        <f>HYPERLINK("https://www.indeed.com/viewjob?jk=a10a5f0501262e0c", "https://www.indeed.com/viewjob?jk=a10a5f0501262e0c")</f>
        <v/>
      </c>
      <c r="F39">
        <f>HYPERLINK("https://www.amazon.jobs/jobs/3139328/sr-applied-scientist-amazon-ads?cmpid=DA_INAD200785B", "https://www.amazon.jobs/jobs/3139328/sr-applied-scientist-amazon-ads?cmpid=DA_INAD200785B")</f>
        <v/>
      </c>
      <c r="G39" t="inlineStr">
        <is>
          <t>Seattle, WA, US</t>
        </is>
      </c>
      <c r="H39" s="3" t="n">
        <v>45998</v>
      </c>
      <c r="I39"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40">
      <c r="A40" t="inlineStr">
        <is>
          <t>in-d9a365bee7a32d44</t>
        </is>
      </c>
      <c r="B40" t="inlineStr">
        <is>
          <t>Sr. Applied Scientist, Amazon Ads</t>
        </is>
      </c>
      <c r="C40" t="inlineStr">
        <is>
          <t>Amazon.com</t>
        </is>
      </c>
      <c r="D40" t="inlineStr">
        <is>
          <t>indeed</t>
        </is>
      </c>
      <c r="E40">
        <f>HYPERLINK("https://www.indeed.com/viewjob?jk=d9a365bee7a32d44", "https://www.indeed.com/viewjob?jk=d9a365bee7a32d44")</f>
        <v/>
      </c>
      <c r="F40">
        <f>HYPERLINK("https://www.amazon.jobs/jobs/3139328/sr-applied-scientist-amazon-ads?cmpid=DA_INAD200785B", "https://www.amazon.jobs/jobs/3139328/sr-applied-scientist-amazon-ads?cmpid=DA_INAD200785B")</f>
        <v/>
      </c>
      <c r="G40" t="inlineStr">
        <is>
          <t>Palo Alto, CA, US</t>
        </is>
      </c>
      <c r="H40" s="3" t="n">
        <v>45998</v>
      </c>
      <c r="I40"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41">
      <c r="A41" t="inlineStr">
        <is>
          <t>in-44cb7c38a5e58a5e</t>
        </is>
      </c>
      <c r="B41" t="inlineStr">
        <is>
          <t>Sr. Applied Scientist, Amazon Ads</t>
        </is>
      </c>
      <c r="C41" t="inlineStr">
        <is>
          <t>Amazon.com</t>
        </is>
      </c>
      <c r="D41" t="inlineStr">
        <is>
          <t>indeed</t>
        </is>
      </c>
      <c r="E41">
        <f>HYPERLINK("https://www.indeed.com/viewjob?jk=44cb7c38a5e58a5e", "https://www.indeed.com/viewjob?jk=44cb7c38a5e58a5e")</f>
        <v/>
      </c>
      <c r="F41">
        <f>HYPERLINK("https://www.amazon.jobs/jobs/3139328/sr-applied-scientist-amazon-ads?cmpid=DA_INAD200785B", "https://www.amazon.jobs/jobs/3139328/sr-applied-scientist-amazon-ads?cmpid=DA_INAD200785B")</f>
        <v/>
      </c>
      <c r="G41" t="inlineStr">
        <is>
          <t>Brooklyn, NY, US</t>
        </is>
      </c>
      <c r="H41" s="3" t="n">
        <v>45998</v>
      </c>
      <c r="I41"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42">
      <c r="A42" t="inlineStr">
        <is>
          <t>in-05b23b9b3c8729a4</t>
        </is>
      </c>
      <c r="B42" t="inlineStr">
        <is>
          <t>Sr. Applied Scientist, Amazon Ads</t>
        </is>
      </c>
      <c r="C42" t="inlineStr">
        <is>
          <t>Amazon.com</t>
        </is>
      </c>
      <c r="D42" t="inlineStr">
        <is>
          <t>indeed</t>
        </is>
      </c>
      <c r="E42">
        <f>HYPERLINK("https://www.indeed.com/viewjob?jk=05b23b9b3c8729a4", "https://www.indeed.com/viewjob?jk=05b23b9b3c8729a4")</f>
        <v/>
      </c>
      <c r="F42">
        <f>HYPERLINK("https://www.amazon.jobs/jobs/3139328/sr-applied-scientist-amazon-ads?cmpid=DA_INAD200785B", "https://www.amazon.jobs/jobs/3139328/sr-applied-scientist-amazon-ads?cmpid=DA_INAD200785B")</f>
        <v/>
      </c>
      <c r="G42" t="inlineStr">
        <is>
          <t>Santa Monica, CA, US</t>
        </is>
      </c>
      <c r="H42" s="3" t="n">
        <v>45998</v>
      </c>
      <c r="I42"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43">
      <c r="A43" t="inlineStr">
        <is>
          <t>in-880c52a1146071bd</t>
        </is>
      </c>
      <c r="B43" t="inlineStr">
        <is>
          <t>Sr. Applied Scientist, Amazon Ads</t>
        </is>
      </c>
      <c r="C43" t="inlineStr">
        <is>
          <t>Amazon.com</t>
        </is>
      </c>
      <c r="D43" t="inlineStr">
        <is>
          <t>indeed</t>
        </is>
      </c>
      <c r="E43">
        <f>HYPERLINK("https://www.indeed.com/viewjob?jk=880c52a1146071bd", "https://www.indeed.com/viewjob?jk=880c52a1146071bd")</f>
        <v/>
      </c>
      <c r="F43">
        <f>HYPERLINK("https://www.amazon.jobs/jobs/3139328/sr-applied-scientist-amazon-ads?cmpid=DA_INAD200785B", "https://www.amazon.jobs/jobs/3139328/sr-applied-scientist-amazon-ads?cmpid=DA_INAD200785B")</f>
        <v/>
      </c>
      <c r="G43" t="inlineStr">
        <is>
          <t>Corvallis, OR, US</t>
        </is>
      </c>
      <c r="H43" s="3" t="n">
        <v>45998</v>
      </c>
      <c r="I43"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44">
      <c r="A44" t="inlineStr">
        <is>
          <t>in-060c57bd82c96567</t>
        </is>
      </c>
      <c r="B44" t="inlineStr">
        <is>
          <t>Sr. Applied Scientist, Amazon Ads</t>
        </is>
      </c>
      <c r="C44" t="inlineStr">
        <is>
          <t>Amazon.com</t>
        </is>
      </c>
      <c r="D44" t="inlineStr">
        <is>
          <t>indeed</t>
        </is>
      </c>
      <c r="E44">
        <f>HYPERLINK("https://www.indeed.com/viewjob?jk=060c57bd82c96567", "https://www.indeed.com/viewjob?jk=060c57bd82c96567")</f>
        <v/>
      </c>
      <c r="F44">
        <f>HYPERLINK("https://www.amazon.jobs/jobs/3139328/sr-applied-scientist-amazon-ads?cmpid=DA_INAD200785B", "https://www.amazon.jobs/jobs/3139328/sr-applied-scientist-amazon-ads?cmpid=DA_INAD200785B")</f>
        <v/>
      </c>
      <c r="G44" t="inlineStr">
        <is>
          <t>Sunnyvale, CA, US</t>
        </is>
      </c>
      <c r="H44" s="3" t="n">
        <v>45998</v>
      </c>
      <c r="I44"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45">
      <c r="A45" t="inlineStr">
        <is>
          <t>in-e064f5d617d9cc66</t>
        </is>
      </c>
      <c r="B45" t="inlineStr">
        <is>
          <t>Sr. Applied Scientist, Amazon Ads</t>
        </is>
      </c>
      <c r="C45" t="inlineStr">
        <is>
          <t>Amazon.com</t>
        </is>
      </c>
      <c r="D45" t="inlineStr">
        <is>
          <t>indeed</t>
        </is>
      </c>
      <c r="E45">
        <f>HYPERLINK("https://www.indeed.com/viewjob?jk=e064f5d617d9cc66", "https://www.indeed.com/viewjob?jk=e064f5d617d9cc66")</f>
        <v/>
      </c>
      <c r="F45">
        <f>HYPERLINK("https://www.amazon.jobs/jobs/3139328/sr-applied-scientist-amazon-ads?cmpid=DA_INAD200785B", "https://www.amazon.jobs/jobs/3139328/sr-applied-scientist-amazon-ads?cmpid=DA_INAD200785B")</f>
        <v/>
      </c>
      <c r="G45" t="inlineStr">
        <is>
          <t>Boston, MA, US</t>
        </is>
      </c>
      <c r="H45" s="3" t="n">
        <v>45998</v>
      </c>
      <c r="I45"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46">
      <c r="A46" t="inlineStr">
        <is>
          <t>in-022bcf7d2b328908</t>
        </is>
      </c>
      <c r="B46" t="inlineStr">
        <is>
          <t>Sr. Applied Scientist, Amazon Ads</t>
        </is>
      </c>
      <c r="C46" t="inlineStr">
        <is>
          <t>Amazon.com</t>
        </is>
      </c>
      <c r="D46" t="inlineStr">
        <is>
          <t>indeed</t>
        </is>
      </c>
      <c r="E46">
        <f>HYPERLINK("https://www.indeed.com/viewjob?jk=022bcf7d2b328908", "https://www.indeed.com/viewjob?jk=022bcf7d2b328908")</f>
        <v/>
      </c>
      <c r="F46">
        <f>HYPERLINK("https://www.amazon.jobs/jobs/3139328/sr-applied-scientist-amazon-ads?cmpid=DA_INAD200785B", "https://www.amazon.jobs/jobs/3139328/sr-applied-scientist-amazon-ads?cmpid=DA_INAD200785B")</f>
        <v/>
      </c>
      <c r="G46" t="inlineStr">
        <is>
          <t>Boulder, CO, US</t>
        </is>
      </c>
      <c r="H46" s="3" t="n">
        <v>45998</v>
      </c>
      <c r="I46"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47">
      <c r="A47" t="inlineStr">
        <is>
          <t>in-abd233732122a4f0</t>
        </is>
      </c>
      <c r="B47" t="inlineStr">
        <is>
          <t>Sr. Applied Scientist, Amazon Ads</t>
        </is>
      </c>
      <c r="C47" t="inlineStr">
        <is>
          <t>Amazon.com</t>
        </is>
      </c>
      <c r="D47" t="inlineStr">
        <is>
          <t>indeed</t>
        </is>
      </c>
      <c r="E47">
        <f>HYPERLINK("https://www.indeed.com/viewjob?jk=abd233732122a4f0", "https://www.indeed.com/viewjob?jk=abd233732122a4f0")</f>
        <v/>
      </c>
      <c r="F47">
        <f>HYPERLINK("https://www.amazon.jobs/jobs/3139328/sr-applied-scientist-amazon-ads?cmpid=DA_INAD200785B", "https://www.amazon.jobs/jobs/3139328/sr-applied-scientist-amazon-ads?cmpid=DA_INAD200785B")</f>
        <v/>
      </c>
      <c r="G47" t="inlineStr">
        <is>
          <t>New York, NY, US</t>
        </is>
      </c>
      <c r="H47" s="3" t="n">
        <v>45998</v>
      </c>
      <c r="I47"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48">
      <c r="A48" t="inlineStr">
        <is>
          <t>in-1f3f7a9bc17f60f6</t>
        </is>
      </c>
      <c r="B48" t="inlineStr">
        <is>
          <t>Applied Scientist, ML Compiler</t>
        </is>
      </c>
      <c r="C48" t="inlineStr">
        <is>
          <t>Amazon Web Services</t>
        </is>
      </c>
      <c r="D48" t="inlineStr">
        <is>
          <t>indeed</t>
        </is>
      </c>
      <c r="E48">
        <f>HYPERLINK("https://www.indeed.com/viewjob?jk=1f3f7a9bc17f60f6", "https://www.indeed.com/viewjob?jk=1f3f7a9bc17f60f6")</f>
        <v/>
      </c>
      <c r="F48">
        <f>HYPERLINK("https://www.amazon.jobs/jobs/3136884/applied-scientist-ml-compiler?cmpid=DA_INAD200785B", "https://www.amazon.jobs/jobs/3136884/applied-scientist-ml-compiler?cmpid=DA_INAD200785B")</f>
        <v/>
      </c>
      <c r="G48" t="inlineStr">
        <is>
          <t>Cupertino, CA, US</t>
        </is>
      </c>
      <c r="H48" s="3" t="n">
        <v>45993</v>
      </c>
      <c r="I48" t="inlineStr">
        <is>
          <t>**DESCRIPTION**
---------------
The Automated Reasoning Group in the AWS Neuron Compiler team is looking for an Applied Scientist to work on the intersection of Artificial Intelligence and program analysis to raise the code quality bar in our state\-of\-the\-art deep learning compiler stack. This stack is designed to optimize application models across diverse domains, including Large Language and Vision, originating from leading frameworks such as PyTorch, TensorFlow, and JAX. Your role will involve working closely with our custom\-built Machine Learning accelerators, Inferentia and Trainium, which represent the forefront of AWS innovation for advanced ML capabilities, and is the underpinning of Generative AI.  
In this role as an Applied Scientist, you'll be instrumental in designing, developing, and deploying analyzers for ML compiler stages and compiler IRs. You will architect and implement business\-critical tooling, publish cutting\-edge research, and mentor a brilliant team of experienced scientists and engineers. You will need to be technically capable, credible, and curious in your own right as a trusted AWS Neuron engineer, innovating on behalf of our customers. Your responsibilities will involve tackling crucial challenges alongside a talented engineering team, contributing to leading\-edge design and research in compiler technology and deep\-learning systems software. Strong experience in programming languages, compilers, program analyzers, and program synthesis engines will be a benefit in this role.  
A background in machine learning and AI accelerators is preferred but not required.  
A day in the life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Experience programming in Java, C\+\+, Python or related language
* Experience in any of the following areas: algorithms and data structures, parsing, numerical optimization, data mining, parallel and distributed computing, high\-performance computing
* PhD, or Master's degree and 2\+ years of CS, CE, ML or related field experience
**PREFERRED QUALIFICATIONS**
----------------------------
* Experience in professional software development
* Publication record in automated reasoning or compiler construction
* Knowledge of interactive theorem provers such as Lean
* Experience with heuristic search, e.g., fuzzers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9">
      <c r="A49" t="inlineStr">
        <is>
          <t>in-01bb957da174d172</t>
        </is>
      </c>
      <c r="B49" t="inlineStr">
        <is>
          <t>Applied Scientist, ML Compiler</t>
        </is>
      </c>
      <c r="C49" t="inlineStr">
        <is>
          <t>Amazon Web Services</t>
        </is>
      </c>
      <c r="D49" t="inlineStr">
        <is>
          <t>indeed</t>
        </is>
      </c>
      <c r="E49">
        <f>HYPERLINK("https://www.indeed.com/viewjob?jk=01bb957da174d172", "https://www.indeed.com/viewjob?jk=01bb957da174d172")</f>
        <v/>
      </c>
      <c r="F49">
        <f>HYPERLINK("https://www.amazon.jobs/jobs/3136884/applied-scientist-ml-compiler?cmpid=DA_INAD200785B", "https://www.amazon.jobs/jobs/3136884/applied-scientist-ml-compiler?cmpid=DA_INAD200785B")</f>
        <v/>
      </c>
      <c r="G49" t="inlineStr">
        <is>
          <t>Seattle, WA, US</t>
        </is>
      </c>
      <c r="H49" s="3" t="n">
        <v>45993</v>
      </c>
      <c r="I49" t="inlineStr">
        <is>
          <t>**DESCRIPTION**
---------------
The Automated Reasoning Group in the AWS Neuron Compiler team is looking for an Applied Scientist to work on the intersection of Artificial Intelligence and program analysis to raise the code quality bar in our state\-of\-the\-art deep learning compiler stack. This stack is designed to optimize application models across diverse domains, including Large Language and Vision, originating from leading frameworks such as PyTorch, TensorFlow, and JAX. Your role will involve working closely with our custom\-built Machine Learning accelerators, Inferentia and Trainium, which represent the forefront of AWS innovation for advanced ML capabilities, and is the underpinning of Generative AI.  
In this role as an Applied Scientist, you'll be instrumental in designing, developing, and deploying analyzers for ML compiler stages and compiler IRs. You will architect and implement business\-critical tooling, publish cutting\-edge research, and mentor a brilliant team of experienced scientists and engineers. You will need to be technically capable, credible, and curious in your own right as a trusted AWS Neuron engineer, innovating on behalf of our customers. Your responsibilities will involve tackling crucial challenges alongside a talented engineering team, contributing to leading\-edge design and research in compiler technology and deep\-learning systems software. Strong experience in programming languages, compilers, program analyzers, and program synthesis engines will be a benefit in this role.  
A background in machine learning and AI accelerators is preferred but not required.  
A day in the life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Experience programming in Java, C\+\+, Python or related language
* Experience in any of the following areas: algorithms and data structures, parsing, numerical optimization, data mining, parallel and distributed computing, high\-performance computing
* PhD, or Master's degree and 2\+ years of CS, CE, ML or related field experience
**PREFERRED QUALIFICATIONS**
----------------------------
* Experience in professional software development
* Publication record in automated reasoning or compiler construction
* Knowledge of interactive theorem provers such as Lean
* Experience with heuristic search, e.g., fuzzers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0">
      <c r="A50" t="inlineStr">
        <is>
          <t>in-2073345e19384ed5</t>
        </is>
      </c>
      <c r="B50" t="inlineStr">
        <is>
          <t>Applied Scientist, Model Customization, Generative AI Innovation Center, Model Customization</t>
        </is>
      </c>
      <c r="C50" t="inlineStr">
        <is>
          <t>Amazon Web Services</t>
        </is>
      </c>
      <c r="D50" t="inlineStr">
        <is>
          <t>indeed</t>
        </is>
      </c>
      <c r="E50">
        <f>HYPERLINK("https://www.indeed.com/viewjob?jk=2073345e19384ed5", "https://www.indeed.com/viewjob?jk=2073345e19384ed5")</f>
        <v/>
      </c>
      <c r="F50">
        <f>HYPERLINK("https://www.amazon.jobs/jobs/3137793/applied-scientist-model-customization-generative-ai-innovation-center-model-customization?cmpid=DA_INAD200785B", "https://www.amazon.jobs/jobs/3137793/applied-scientist-model-customization-generative-ai-innovation-center-model-customization?cmpid=DA_INAD200785B")</f>
        <v/>
      </c>
      <c r="G50" t="inlineStr">
        <is>
          <t>Arlington, VA, US</t>
        </is>
      </c>
      <c r="H50" s="3" t="n">
        <v>45993</v>
      </c>
      <c r="I50"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 Experience with Machine Learning and Large Language Model fundamentals, including architecture, training/inference lifecycles, and optimization of model execution, or experience in development in the last 3 years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1">
      <c r="A51" t="inlineStr">
        <is>
          <t>in-9468873ed427c558</t>
        </is>
      </c>
      <c r="B51" t="inlineStr">
        <is>
          <t>Applied Scientist, Model Customization, Generative AI Innovation Center, Model Customization</t>
        </is>
      </c>
      <c r="C51" t="inlineStr">
        <is>
          <t>Amazon Web Services</t>
        </is>
      </c>
      <c r="D51" t="inlineStr">
        <is>
          <t>indeed</t>
        </is>
      </c>
      <c r="E51">
        <f>HYPERLINK("https://www.indeed.com/viewjob?jk=9468873ed427c558", "https://www.indeed.com/viewjob?jk=9468873ed427c558")</f>
        <v/>
      </c>
      <c r="F51">
        <f>HYPERLINK("https://www.amazon.jobs/jobs/3137793/applied-scientist-model-customization-generative-ai-innovation-center-model-customization?cmpid=DA_INAD200785B", "https://www.amazon.jobs/jobs/3137793/applied-scientist-model-customization-generative-ai-innovation-center-model-customization?cmpid=DA_INAD200785B")</f>
        <v/>
      </c>
      <c r="G51" t="inlineStr">
        <is>
          <t>New York, NY, US</t>
        </is>
      </c>
      <c r="H51" s="3" t="n">
        <v>45993</v>
      </c>
      <c r="I51"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 Experience with Machine Learning and Large Language Model fundamentals, including architecture, training/inference lifecycles, and optimization of model execution, or experience in development in the last 3 years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2">
      <c r="A52" t="inlineStr">
        <is>
          <t>in-38f1d519658c63a8</t>
        </is>
      </c>
      <c r="B52" t="inlineStr">
        <is>
          <t>Applied Scientist, Model Customization, Generative AI Innovation Center, Model Customization</t>
        </is>
      </c>
      <c r="C52" t="inlineStr">
        <is>
          <t>Amazon Web Services</t>
        </is>
      </c>
      <c r="D52" t="inlineStr">
        <is>
          <t>indeed</t>
        </is>
      </c>
      <c r="E52">
        <f>HYPERLINK("https://www.indeed.com/viewjob?jk=38f1d519658c63a8", "https://www.indeed.com/viewjob?jk=38f1d519658c63a8")</f>
        <v/>
      </c>
      <c r="F52">
        <f>HYPERLINK("https://www.amazon.jobs/jobs/3137793/applied-scientist-model-customization-generative-ai-innovation-center-model-customization?cmpid=DA_INAD200785B", "https://www.amazon.jobs/jobs/3137793/applied-scientist-model-customization-generative-ai-innovation-center-model-customization?cmpid=DA_INAD200785B")</f>
        <v/>
      </c>
      <c r="G52" t="inlineStr">
        <is>
          <t>Bellevue, WA, US</t>
        </is>
      </c>
      <c r="H52" s="3" t="n">
        <v>45993</v>
      </c>
      <c r="I52"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 Experience with Machine Learning and Large Language Model fundamentals, including architecture, training/inference lifecycles, and optimization of model execution, or experience in development in the last 3 years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3">
      <c r="A53" t="inlineStr">
        <is>
          <t>in-35c812689e0082f0</t>
        </is>
      </c>
      <c r="B53" t="inlineStr">
        <is>
          <t>Sr. Applied Scientist, Sponsored Products and Brands Off-Search</t>
        </is>
      </c>
      <c r="C53" t="inlineStr">
        <is>
          <t>Amazon.com</t>
        </is>
      </c>
      <c r="D53" t="inlineStr">
        <is>
          <t>indeed</t>
        </is>
      </c>
      <c r="E53">
        <f>HYPERLINK("https://www.indeed.com/viewjob?jk=35c812689e0082f0", "https://www.indeed.com/viewjob?jk=35c812689e0082f0")</f>
        <v/>
      </c>
      <c r="F53">
        <f>HYPERLINK("https://www.amazon.jobs/jobs/3136934/sr-applied-scientist-sponsored-products-and-brands-offsearch?cmpid=DA_INAD200785B", "https://www.amazon.jobs/jobs/3136934/sr-applied-scientist-sponsored-products-and-brands-offsearch?cmpid=DA_INAD200785B")</f>
        <v/>
      </c>
      <c r="G53" t="inlineStr">
        <is>
          <t>Seattle, WA, US</t>
        </is>
      </c>
      <c r="H53" s="3" t="n">
        <v>45993</v>
      </c>
      <c r="I53" t="inlineStr">
        <is>
          <t>**DESCRIPTION**
---------------
The Sponsored Products and Brands (SPB) team at Amazon Ads is re\-imagining the advertising landscape through state\-of\-the\-art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  
Key job responsibilities  
This role will be pivotal in redesigning how ads contribute to a personalized, relevant, and inspirational shopping experience, with the customer value proposition at the forefront. Key responsibilities include, but are not limited to:  
* Contribute to the design and development of GenAI, deep learning, multi\-objective optimization and/or reinforcement learning empowered solutions to transform ad retrieval, auctions, whole\-page relevance, and/or bespoke shopping experiences.
* Collaborate cross\-functionally with other scientists, engineers, and product managers to bring scalable, production\-ready science solutions to life.
* Stay abreast of industry trends in GenAI, LLMs, and related disciplines, bringing fresh and innovative concepts, ideas, and prototypes to the organization.
* Contribute to the enhancement of team’s scientific and technical rigor by identifying and implementing best\-in\-class algorithms, methodologies, and infrastructure that enable rapid experimentation and scaling.
* Mentor and grow junior scientists and engineers, cultivating a high\-performing, collaborative, and intellectually curious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beyond!**BASIC QUALIFICATIONS**
------------------------
* PhD, or Master's degree and 8\+ years of applied research experience
* 3\+ years of building machine learning models for business application experience
* Experience programming in Java, C\+\+, Python or related language
* Strong foundation in GenAI, large language models, machine learning, deep learning, probabilistic modeling, and/or optimization.
* Experience developing and deploying models in real\-world production environments.
**PREFERRED QUALIFICATIONS**
----------------------------
* Proven expertise in Generative AI, foundation models, LLMs, and/or fine\-tuning and customization for downstream tasks.
* Hands\-on experience in ads ranking, retrieval, recommendation systems, search, or personalization at web scale.
* Deep understanding of multi\-modal modeling, few\-shot learning, retrieval\-augmented generation (RAG), or reinforcement learning from human feedback (RLHF).
* Experience with online experimentation, A/B testing frameworks, and metrics design for advertising or e\-commerce.
* Demonstrated ability to communicate complex technical topics clearly to both technical and non\-technical audiences.
* Experience in computational advertising, including familiarity with auction theory, ad economics, and advertiser performance metrics.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4">
      <c r="A54" t="inlineStr">
        <is>
          <t>in-4051116a2436b03c</t>
        </is>
      </c>
      <c r="B54" t="inlineStr">
        <is>
          <t>Sr. Applied Scientist, Sponsored Products and Brands Off-Search</t>
        </is>
      </c>
      <c r="C54" t="inlineStr">
        <is>
          <t>Amazon.com</t>
        </is>
      </c>
      <c r="D54" t="inlineStr">
        <is>
          <t>indeed</t>
        </is>
      </c>
      <c r="E54">
        <f>HYPERLINK("https://www.indeed.com/viewjob?jk=4051116a2436b03c", "https://www.indeed.com/viewjob?jk=4051116a2436b03c")</f>
        <v/>
      </c>
      <c r="F54">
        <f>HYPERLINK("https://www.amazon.jobs/jobs/3136934/sr-applied-scientist-sponsored-products-and-brands-offsearch?cmpid=DA_INAD200785B", "https://www.amazon.jobs/jobs/3136934/sr-applied-scientist-sponsored-products-and-brands-offsearch?cmpid=DA_INAD200785B")</f>
        <v/>
      </c>
      <c r="G54" t="inlineStr">
        <is>
          <t>New York, NY, US</t>
        </is>
      </c>
      <c r="H54" s="3" t="n">
        <v>45993</v>
      </c>
      <c r="I54" t="inlineStr">
        <is>
          <t>**DESCRIPTION**
---------------
The Sponsored Products and Brands (SPB) team at Amazon Ads is re\-imagining the advertising landscape through state\-of\-the\-art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  
Key job responsibilities  
This role will be pivotal in redesigning how ads contribute to a personalized, relevant, and inspirational shopping experience, with the customer value proposition at the forefront. Key responsibilities include, but are not limited to:  
* Contribute to the design and development of GenAI, deep learning, multi\-objective optimization and/or reinforcement learning empowered solutions to transform ad retrieval, auctions, whole\-page relevance, and/or bespoke shopping experiences.
* Collaborate cross\-functionally with other scientists, engineers, and product managers to bring scalable, production\-ready science solutions to life.
* Stay abreast of industry trends in GenAI, LLMs, and related disciplines, bringing fresh and innovative concepts, ideas, and prototypes to the organization.
* Contribute to the enhancement of team’s scientific and technical rigor by identifying and implementing best\-in\-class algorithms, methodologies, and infrastructure that enable rapid experimentation and scaling.
* Mentor and grow junior scientists and engineers, cultivating a high\-performing, collaborative, and intellectually curious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beyond!**BASIC QUALIFICATIONS**
------------------------
* PhD, or Master's degree and 8\+ years of applied research experience
* 3\+ years of building machine learning models for business application experience
* Experience programming in Java, C\+\+, Python or related language
* Strong foundation in GenAI, large language models, machine learning, deep learning, probabilistic modeling, and/or optimization.
* Experience developing and deploying models in real\-world production environments.
**PREFERRED QUALIFICATIONS**
----------------------------
* Proven expertise in Generative AI, foundation models, LLMs, and/or fine\-tuning and customization for downstream tasks.
* Hands\-on experience in ads ranking, retrieval, recommendation systems, search, or personalization at web scale.
* Deep understanding of multi\-modal modeling, few\-shot learning, retrieval\-augmented generation (RAG), or reinforcement learning from human feedback (RLHF).
* Experience with online experimentation, A/B testing frameworks, and metrics design for advertising or e\-commerce.
* Demonstrated ability to communicate complex technical topics clearly to both technical and non\-technical audiences.
* Experience in computational advertising, including familiarity with auction theory, ad economics, and advertiser performance metrics.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5">
      <c r="A55" t="inlineStr">
        <is>
          <t>in-34d208cb49268116</t>
        </is>
      </c>
      <c r="B55" t="inlineStr">
        <is>
          <t>Senior Applied Scientist, Generative AI Innovation Center</t>
        </is>
      </c>
      <c r="C55" t="inlineStr">
        <is>
          <t>Amazon Web Services</t>
        </is>
      </c>
      <c r="D55" t="inlineStr">
        <is>
          <t>indeed</t>
        </is>
      </c>
      <c r="E55">
        <f>HYPERLINK("https://www.indeed.com/viewjob?jk=34d208cb49268116", "https://www.indeed.com/viewjob?jk=34d208cb49268116")</f>
        <v/>
      </c>
      <c r="F55">
        <f>HYPERLINK("https://www.amazon.jobs/jobs/3137791/senior-applied-scientist-generative-ai-innovation-center?cmpid=DA_INAD200785B", "https://www.amazon.jobs/jobs/3137791/senior-applied-scientist-generative-ai-innovation-center?cmpid=DA_INAD200785B")</f>
        <v/>
      </c>
      <c r="G55" t="inlineStr">
        <is>
          <t>Boston, MA, US</t>
        </is>
      </c>
      <c r="H55" s="3" t="n">
        <v>45981</v>
      </c>
      <c r="I55" t="inlineStr">
        <is>
          <t>**DESCRIPTION**
---------------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agentic framework,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in building speech recognition, machine translation and natural language processing systems (e.g., commercial speech products or government speech projects)
* Experience in building machine learning models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6">
      <c r="A56" t="inlineStr">
        <is>
          <t>in-467c49dd4d7fba5a</t>
        </is>
      </c>
      <c r="B56" t="inlineStr">
        <is>
          <t>Senior Applied Scientist, Generative AI Innovation Center</t>
        </is>
      </c>
      <c r="C56" t="inlineStr">
        <is>
          <t>Amazon Web Services</t>
        </is>
      </c>
      <c r="D56" t="inlineStr">
        <is>
          <t>indeed</t>
        </is>
      </c>
      <c r="E56">
        <f>HYPERLINK("https://www.indeed.com/viewjob?jk=467c49dd4d7fba5a", "https://www.indeed.com/viewjob?jk=467c49dd4d7fba5a")</f>
        <v/>
      </c>
      <c r="F56">
        <f>HYPERLINK("https://www.amazon.jobs/jobs/3137791/senior-applied-scientist-generative-ai-innovation-center?cmpid=DA_INAD200785B", "https://www.amazon.jobs/jobs/3137791/senior-applied-scientist-generative-ai-innovation-center?cmpid=DA_INAD200785B")</f>
        <v/>
      </c>
      <c r="G56" t="inlineStr">
        <is>
          <t>Houston, TX, US</t>
        </is>
      </c>
      <c r="H56" s="3" t="n">
        <v>45981</v>
      </c>
      <c r="I56" t="inlineStr">
        <is>
          <t>**DESCRIPTION**
---------------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agentic framework,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in building speech recognition, machine translation and natural language processing systems (e.g., commercial speech products or government speech projects)
* Experience in building machine learning models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7">
      <c r="A57" t="inlineStr">
        <is>
          <t>in-445f5b4f47c33121</t>
        </is>
      </c>
      <c r="B57" t="inlineStr">
        <is>
          <t>Senior Applied Scientist, Generative AI Innovation Center</t>
        </is>
      </c>
      <c r="C57" t="inlineStr">
        <is>
          <t>Amazon Web Services</t>
        </is>
      </c>
      <c r="D57" t="inlineStr">
        <is>
          <t>indeed</t>
        </is>
      </c>
      <c r="E57">
        <f>HYPERLINK("https://www.indeed.com/viewjob?jk=445f5b4f47c33121", "https://www.indeed.com/viewjob?jk=445f5b4f47c33121")</f>
        <v/>
      </c>
      <c r="F57">
        <f>HYPERLINK("https://www.amazon.jobs/jobs/3137791/senior-applied-scientist-generative-ai-innovation-center?cmpid=DA_INAD200785B", "https://www.amazon.jobs/jobs/3137791/senior-applied-scientist-generative-ai-innovation-center?cmpid=DA_INAD200785B")</f>
        <v/>
      </c>
      <c r="G57" t="inlineStr">
        <is>
          <t>Austin, TX, US</t>
        </is>
      </c>
      <c r="H57" s="3" t="n">
        <v>45981</v>
      </c>
      <c r="I57" t="inlineStr">
        <is>
          <t>**DESCRIPTION**
---------------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agentic framework,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in building speech recognition, machine translation and natural language processing systems (e.g., commercial speech products or government speech projects)
* Experience in building machine learning models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8">
      <c r="A58" t="inlineStr">
        <is>
          <t>in-010d214f80aabecb</t>
        </is>
      </c>
      <c r="B58" t="inlineStr">
        <is>
          <t>Senior Applied Scientist, Generative AI Innovation Center</t>
        </is>
      </c>
      <c r="C58" t="inlineStr">
        <is>
          <t>Amazon Web Services</t>
        </is>
      </c>
      <c r="D58" t="inlineStr">
        <is>
          <t>indeed</t>
        </is>
      </c>
      <c r="E58">
        <f>HYPERLINK("https://www.indeed.com/viewjob?jk=010d214f80aabecb", "https://www.indeed.com/viewjob?jk=010d214f80aabecb")</f>
        <v/>
      </c>
      <c r="F58">
        <f>HYPERLINK("https://www.amazon.jobs/jobs/3137791/senior-applied-scientist-generative-ai-innovation-center?cmpid=DA_INAD200785B", "https://www.amazon.jobs/jobs/3137791/senior-applied-scientist-generative-ai-innovation-center?cmpid=DA_INAD200785B")</f>
        <v/>
      </c>
      <c r="G58" t="inlineStr">
        <is>
          <t>Bellevue, WA, US</t>
        </is>
      </c>
      <c r="H58" s="3" t="n">
        <v>45981</v>
      </c>
      <c r="I58" t="inlineStr">
        <is>
          <t>**DESCRIPTION**
---------------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agentic framework,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in building speech recognition, machine translation and natural language processing systems (e.g., commercial speech products or government speech projects)
* Experience in building machine learning models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9">
      <c r="A59" t="inlineStr">
        <is>
          <t>in-15446d95907bf1fd</t>
        </is>
      </c>
      <c r="B59" t="inlineStr">
        <is>
          <t>Senior Applied Scientist, Generative AI Innovation Center</t>
        </is>
      </c>
      <c r="C59" t="inlineStr">
        <is>
          <t>Amazon Web Services</t>
        </is>
      </c>
      <c r="D59" t="inlineStr">
        <is>
          <t>indeed</t>
        </is>
      </c>
      <c r="E59">
        <f>HYPERLINK("https://www.indeed.com/viewjob?jk=15446d95907bf1fd", "https://www.indeed.com/viewjob?jk=15446d95907bf1fd")</f>
        <v/>
      </c>
      <c r="F59">
        <f>HYPERLINK("https://www.amazon.jobs/jobs/3137791/senior-applied-scientist-generative-ai-innovation-center?cmpid=DA_INAD200785B", "https://www.amazon.jobs/jobs/3137791/senior-applied-scientist-generative-ai-innovation-center?cmpid=DA_INAD200785B")</f>
        <v/>
      </c>
      <c r="G59" t="inlineStr">
        <is>
          <t>Seattle, WA, US</t>
        </is>
      </c>
      <c r="H59" s="3" t="n">
        <v>45981</v>
      </c>
      <c r="I59" t="inlineStr">
        <is>
          <t>**DESCRIPTION**
---------------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agentic framework,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in building speech recognition, machine translation and natural language processing systems (e.g., commercial speech products or government speech projects)
* Experience in building machine learning models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0">
      <c r="A60" t="inlineStr">
        <is>
          <t>in-92be733b4177e9b3</t>
        </is>
      </c>
      <c r="B60" t="inlineStr">
        <is>
          <t>Senior Applied Scientist, Generative AI Innovation Center</t>
        </is>
      </c>
      <c r="C60" t="inlineStr">
        <is>
          <t>Amazon Web Services</t>
        </is>
      </c>
      <c r="D60" t="inlineStr">
        <is>
          <t>indeed</t>
        </is>
      </c>
      <c r="E60">
        <f>HYPERLINK("https://www.indeed.com/viewjob?jk=92be733b4177e9b3", "https://www.indeed.com/viewjob?jk=92be733b4177e9b3")</f>
        <v/>
      </c>
      <c r="F60">
        <f>HYPERLINK("https://www.amazon.jobs/jobs/3137791/senior-applied-scientist-generative-ai-innovation-center?cmpid=DA_INAD200785B", "https://www.amazon.jobs/jobs/3137791/senior-applied-scientist-generative-ai-innovation-center?cmpid=DA_INAD200785B")</f>
        <v/>
      </c>
      <c r="G60" t="inlineStr">
        <is>
          <t>New York, NY, US</t>
        </is>
      </c>
      <c r="H60" s="3" t="n">
        <v>45981</v>
      </c>
      <c r="I60" t="inlineStr">
        <is>
          <t>**DESCRIPTION**
---------------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agentic framework,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in building speech recognition, machine translation and natural language processing systems (e.g., commercial speech products or government speech projects)
* Experience in building machine learning models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1">
      <c r="A61" t="inlineStr">
        <is>
          <t>in-88b5f9a4addb48c3</t>
        </is>
      </c>
      <c r="B61" t="inlineStr">
        <is>
          <t>Sr. Applied Scientist, SPB Advertiser Guidance</t>
        </is>
      </c>
      <c r="C61" t="inlineStr">
        <is>
          <t>Amazon.com</t>
        </is>
      </c>
      <c r="D61" t="inlineStr">
        <is>
          <t>indeed</t>
        </is>
      </c>
      <c r="E61">
        <f>HYPERLINK("https://www.indeed.com/viewjob?jk=88b5f9a4addb48c3", "https://www.indeed.com/viewjob?jk=88b5f9a4addb48c3")</f>
        <v/>
      </c>
      <c r="F61">
        <f>HYPERLINK("https://www.amazon.jobs/jobs/3132336/sr-applied-scientist-spb-advertiser-guidance?cmpid=DA_INAD200785B", "https://www.amazon.jobs/jobs/3132336/sr-applied-scientist-spb-advertiser-guidance?cmpid=DA_INAD200785B")</f>
        <v/>
      </c>
      <c r="G61" t="inlineStr">
        <is>
          <t>Seattle, WA, US</t>
        </is>
      </c>
      <c r="H61" s="3" t="n">
        <v>45981</v>
      </c>
      <c r="I61"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2">
      <c r="A62" t="inlineStr">
        <is>
          <t>in-e136e3280f7ca4be</t>
        </is>
      </c>
      <c r="B62" t="inlineStr">
        <is>
          <t>Sr. Applied Scientist, SPB Advertiser Guidance</t>
        </is>
      </c>
      <c r="C62" t="inlineStr">
        <is>
          <t>Amazon.com</t>
        </is>
      </c>
      <c r="D62" t="inlineStr">
        <is>
          <t>indeed</t>
        </is>
      </c>
      <c r="E62">
        <f>HYPERLINK("https://www.indeed.com/viewjob?jk=e136e3280f7ca4be", "https://www.indeed.com/viewjob?jk=e136e3280f7ca4be")</f>
        <v/>
      </c>
      <c r="F62">
        <f>HYPERLINK("https://www.amazon.jobs/jobs/3132336/sr-applied-scientist-spb-advertiser-guidance?cmpid=DA_INAD200785B", "https://www.amazon.jobs/jobs/3132336/sr-applied-scientist-spb-advertiser-guidance?cmpid=DA_INAD200785B")</f>
        <v/>
      </c>
      <c r="G62" t="inlineStr">
        <is>
          <t>Palo Alto, CA, US</t>
        </is>
      </c>
      <c r="H62" s="3" t="n">
        <v>45981</v>
      </c>
      <c r="I62"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3">
      <c r="A63" t="inlineStr">
        <is>
          <t>in-431a79ca4ae350b6</t>
        </is>
      </c>
      <c r="B63" t="inlineStr">
        <is>
          <t>Sr. Applied Scientist, SPB Advertiser Guidance</t>
        </is>
      </c>
      <c r="C63" t="inlineStr">
        <is>
          <t>Amazon.com</t>
        </is>
      </c>
      <c r="D63" t="inlineStr">
        <is>
          <t>indeed</t>
        </is>
      </c>
      <c r="E63">
        <f>HYPERLINK("https://www.indeed.com/viewjob?jk=431a79ca4ae350b6", "https://www.indeed.com/viewjob?jk=431a79ca4ae350b6")</f>
        <v/>
      </c>
      <c r="F63">
        <f>HYPERLINK("https://www.amazon.jobs/jobs/3132336/sr-applied-scientist-spb-advertiser-guidance?cmpid=DA_INAD200785B", "https://www.amazon.jobs/jobs/3132336/sr-applied-scientist-spb-advertiser-guidance?cmpid=DA_INAD200785B")</f>
        <v/>
      </c>
      <c r="G63" t="inlineStr">
        <is>
          <t>New York, NY, US</t>
        </is>
      </c>
      <c r="H63" s="3" t="n">
        <v>45981</v>
      </c>
      <c r="I63"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4">
      <c r="A64" t="inlineStr">
        <is>
          <t>in-e00b75bc638f3292</t>
        </is>
      </c>
      <c r="B64" t="inlineStr">
        <is>
          <t>Senior Applied Scientist, Artificial General Intelligence</t>
        </is>
      </c>
      <c r="C64" t="inlineStr">
        <is>
          <t>Amazon.com</t>
        </is>
      </c>
      <c r="D64" t="inlineStr">
        <is>
          <t>indeed</t>
        </is>
      </c>
      <c r="E64">
        <f>HYPERLINK("https://www.indeed.com/viewjob?jk=e00b75bc638f3292", "https://www.indeed.com/viewjob?jk=e00b75bc638f3292")</f>
        <v/>
      </c>
      <c r="F64">
        <f>HYPERLINK("https://www.amazon.jobs/jobs/3131971/senior-applied-scientist-artificial-general-intelligence?cmpid=DA_INAD200785B", "https://www.amazon.jobs/jobs/3131971/senior-applied-scientist-artificial-general-intelligence?cmpid=DA_INAD200785B")</f>
        <v/>
      </c>
      <c r="G64" t="inlineStr">
        <is>
          <t>Seattle, WA, US</t>
        </is>
      </c>
      <c r="H64" s="3" t="n">
        <v>45980</v>
      </c>
      <c r="I64"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3\+ years of applied research experience
* 3\+ years of building machine learning models for business application experience
* Experience with popular deep learning frameworks such as MxNet and Tensor Flow.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5">
      <c r="A65" t="inlineStr">
        <is>
          <t>in-52900ef7afec23ec</t>
        </is>
      </c>
      <c r="B65" t="inlineStr">
        <is>
          <t>Senior Applied Scientist, Artificial General Intelligence</t>
        </is>
      </c>
      <c r="C65" t="inlineStr">
        <is>
          <t>Amazon.com</t>
        </is>
      </c>
      <c r="D65" t="inlineStr">
        <is>
          <t>indeed</t>
        </is>
      </c>
      <c r="E65">
        <f>HYPERLINK("https://www.indeed.com/viewjob?jk=52900ef7afec23ec", "https://www.indeed.com/viewjob?jk=52900ef7afec23ec")</f>
        <v/>
      </c>
      <c r="F65">
        <f>HYPERLINK("https://www.amazon.jobs/jobs/3131971/senior-applied-scientist-artificial-general-intelligence?cmpid=DA_INAD200785B", "https://www.amazon.jobs/jobs/3131971/senior-applied-scientist-artificial-general-intelligence?cmpid=DA_INAD200785B")</f>
        <v/>
      </c>
      <c r="G65" t="inlineStr">
        <is>
          <t>Boston, MA, US</t>
        </is>
      </c>
      <c r="H65" s="3" t="n">
        <v>45980</v>
      </c>
      <c r="I65"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3\+ years of applied research experience
* 3\+ years of building machine learning models for business application experience
* Experience with popular deep learning frameworks such as MxNet and Tensor Flow.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6">
      <c r="A66" t="inlineStr">
        <is>
          <t>in-67c8b72f6823a03a</t>
        </is>
      </c>
      <c r="B66" t="inlineStr">
        <is>
          <t>Senior Applied Scientist, Artificial General Intelligence</t>
        </is>
      </c>
      <c r="C66" t="inlineStr">
        <is>
          <t>Amazon.com</t>
        </is>
      </c>
      <c r="D66" t="inlineStr">
        <is>
          <t>indeed</t>
        </is>
      </c>
      <c r="E66">
        <f>HYPERLINK("https://www.indeed.com/viewjob?jk=67c8b72f6823a03a", "https://www.indeed.com/viewjob?jk=67c8b72f6823a03a")</f>
        <v/>
      </c>
      <c r="F66">
        <f>HYPERLINK("https://www.amazon.jobs/jobs/3131971/senior-applied-scientist-artificial-general-intelligence?cmpid=DA_INAD200785B", "https://www.amazon.jobs/jobs/3131971/senior-applied-scientist-artificial-general-intelligence?cmpid=DA_INAD200785B")</f>
        <v/>
      </c>
      <c r="G66" t="inlineStr">
        <is>
          <t>New York, NY, US</t>
        </is>
      </c>
      <c r="H66" s="3" t="n">
        <v>45980</v>
      </c>
      <c r="I66"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3\+ years of applied research experience
* 3\+ years of building machine learning models for business application experience
* Experience with popular deep learning frameworks such as MxNet and Tensor Flow.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7">
      <c r="A67" t="inlineStr">
        <is>
          <t>in-facb28fbde4d879a</t>
        </is>
      </c>
      <c r="B67" t="inlineStr">
        <is>
          <t>Senior Applied Scientist, Artificial General Intelligence</t>
        </is>
      </c>
      <c r="C67" t="inlineStr">
        <is>
          <t>Amazon.com</t>
        </is>
      </c>
      <c r="D67" t="inlineStr">
        <is>
          <t>indeed</t>
        </is>
      </c>
      <c r="E67">
        <f>HYPERLINK("https://www.indeed.com/viewjob?jk=facb28fbde4d879a", "https://www.indeed.com/viewjob?jk=facb28fbde4d879a")</f>
        <v/>
      </c>
      <c r="F67">
        <f>HYPERLINK("https://www.amazon.jobs/jobs/3131971/senior-applied-scientist-artificial-general-intelligence?cmpid=DA_INAD200785B", "https://www.amazon.jobs/jobs/3131971/senior-applied-scientist-artificial-general-intelligence?cmpid=DA_INAD200785B")</f>
        <v/>
      </c>
      <c r="G67" t="inlineStr">
        <is>
          <t>Sunnyvale, CA, US</t>
        </is>
      </c>
      <c r="H67" s="3" t="n">
        <v>45980</v>
      </c>
      <c r="I67"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3\+ years of applied research experience
* 3\+ years of building machine learning models for business application experience
* Experience with popular deep learning frameworks such as MxNet and Tensor Flow.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8">
      <c r="A68" t="inlineStr">
        <is>
          <t>in-5a847ea9b2592c39</t>
        </is>
      </c>
      <c r="B68" t="inlineStr">
        <is>
          <t>Applied Scientist II, SPB Advertiser Guidance</t>
        </is>
      </c>
      <c r="C68" t="inlineStr">
        <is>
          <t>Amazon.com</t>
        </is>
      </c>
      <c r="D68" t="inlineStr">
        <is>
          <t>indeed</t>
        </is>
      </c>
      <c r="E68">
        <f>HYPERLINK("https://www.indeed.com/viewjob?jk=5a847ea9b2592c39", "https://www.indeed.com/viewjob?jk=5a847ea9b2592c39")</f>
        <v/>
      </c>
      <c r="F68">
        <f>HYPERLINK("https://www.amazon.jobs/jobs/3131876/applied-scientist-ii-spb-advertiser-guidance?cmpid=DA_INAD200785B", "https://www.amazon.jobs/jobs/3131876/applied-scientist-ii-spb-advertiser-guidance?cmpid=DA_INAD200785B")</f>
        <v/>
      </c>
      <c r="G68" t="inlineStr">
        <is>
          <t>Palo Alto, CA, US</t>
        </is>
      </c>
      <c r="H68" s="3" t="n">
        <v>45980</v>
      </c>
      <c r="I68"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9">
      <c r="A69" t="inlineStr">
        <is>
          <t>in-4f163b7d8fb92044</t>
        </is>
      </c>
      <c r="B69" t="inlineStr">
        <is>
          <t>Applied Scientist II, SPB Advertiser Guidance</t>
        </is>
      </c>
      <c r="C69" t="inlineStr">
        <is>
          <t>Amazon.com</t>
        </is>
      </c>
      <c r="D69" t="inlineStr">
        <is>
          <t>indeed</t>
        </is>
      </c>
      <c r="E69">
        <f>HYPERLINK("https://www.indeed.com/viewjob?jk=4f163b7d8fb92044", "https://www.indeed.com/viewjob?jk=4f163b7d8fb92044")</f>
        <v/>
      </c>
      <c r="F69">
        <f>HYPERLINK("https://www.amazon.jobs/jobs/3131876/applied-scientist-ii-spb-advertiser-guidance?cmpid=DA_INAD200785B", "https://www.amazon.jobs/jobs/3131876/applied-scientist-ii-spb-advertiser-guidance?cmpid=DA_INAD200785B")</f>
        <v/>
      </c>
      <c r="G69" t="inlineStr">
        <is>
          <t>Seattle, WA, US</t>
        </is>
      </c>
      <c r="H69" s="3" t="n">
        <v>45980</v>
      </c>
      <c r="I69"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0">
      <c r="A70" t="inlineStr">
        <is>
          <t>in-e3cc22ff01de92a3</t>
        </is>
      </c>
      <c r="B70" t="inlineStr">
        <is>
          <t>Applied Scientist II, SPB Advertiser Guidance</t>
        </is>
      </c>
      <c r="C70" t="inlineStr">
        <is>
          <t>Amazon.com</t>
        </is>
      </c>
      <c r="D70" t="inlineStr">
        <is>
          <t>indeed</t>
        </is>
      </c>
      <c r="E70">
        <f>HYPERLINK("https://www.indeed.com/viewjob?jk=e3cc22ff01de92a3", "https://www.indeed.com/viewjob?jk=e3cc22ff01de92a3")</f>
        <v/>
      </c>
      <c r="F70">
        <f>HYPERLINK("https://www.amazon.jobs/jobs/3131876/applied-scientist-ii-spb-advertiser-guidance?cmpid=DA_INAD200785B", "https://www.amazon.jobs/jobs/3131876/applied-scientist-ii-spb-advertiser-guidance?cmpid=DA_INAD200785B")</f>
        <v/>
      </c>
      <c r="G70" t="inlineStr">
        <is>
          <t>New York, NY, US</t>
        </is>
      </c>
      <c r="H70" s="3" t="n">
        <v>45980</v>
      </c>
      <c r="I70"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1">
      <c r="A71" t="inlineStr">
        <is>
          <t>in-4092313d3384fa3e</t>
        </is>
      </c>
      <c r="B71" t="inlineStr">
        <is>
          <t>Principal Applied Scientist, Sponsored Products and Brands</t>
        </is>
      </c>
      <c r="C71" t="inlineStr">
        <is>
          <t>Amazon.com</t>
        </is>
      </c>
      <c r="D71" t="inlineStr">
        <is>
          <t>indeed</t>
        </is>
      </c>
      <c r="E71">
        <f>HYPERLINK("https://www.indeed.com/viewjob?jk=4092313d3384fa3e", "https://www.indeed.com/viewjob?jk=4092313d3384fa3e")</f>
        <v/>
      </c>
      <c r="F71">
        <f>HYPERLINK("https://www.amazon.jobs/jobs/3130855/principal-applied-scientist-sponsored-products-and-brands?cmpid=DA_INAD200785B", "https://www.amazon.jobs/jobs/3130855/principal-applied-scientist-sponsored-products-and-brands?cmpid=DA_INAD200785B")</f>
        <v/>
      </c>
      <c r="G71" t="inlineStr">
        <is>
          <t>New York, NY, US</t>
        </is>
      </c>
      <c r="H71" s="3" t="n">
        <v>45979</v>
      </c>
      <c r="I71"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2">
      <c r="A72" t="inlineStr">
        <is>
          <t>in-458024d1846b68a3</t>
        </is>
      </c>
      <c r="B72" t="inlineStr">
        <is>
          <t>Principal Applied Scientist, Sponsored Products and Brands</t>
        </is>
      </c>
      <c r="C72" t="inlineStr">
        <is>
          <t>Amazon.com</t>
        </is>
      </c>
      <c r="D72" t="inlineStr">
        <is>
          <t>indeed</t>
        </is>
      </c>
      <c r="E72">
        <f>HYPERLINK("https://www.indeed.com/viewjob?jk=458024d1846b68a3", "https://www.indeed.com/viewjob?jk=458024d1846b68a3")</f>
        <v/>
      </c>
      <c r="F72">
        <f>HYPERLINK("https://www.amazon.jobs/jobs/3130855/principal-applied-scientist-sponsored-products-and-brands?cmpid=DA_INAD200785B", "https://www.amazon.jobs/jobs/3130855/principal-applied-scientist-sponsored-products-and-brands?cmpid=DA_INAD200785B")</f>
        <v/>
      </c>
      <c r="G72" t="inlineStr">
        <is>
          <t>Seattle, WA, US</t>
        </is>
      </c>
      <c r="H72" s="3" t="n">
        <v>45979</v>
      </c>
      <c r="I72"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3">
      <c r="A73" t="inlineStr">
        <is>
          <t>in-9a8e082f8b278db0</t>
        </is>
      </c>
      <c r="B73" t="inlineStr">
        <is>
          <t>Sr. Applied Scientist, Prime Video - Personalization and Discovery Science</t>
        </is>
      </c>
      <c r="C73" t="inlineStr">
        <is>
          <t>Amazon.com</t>
        </is>
      </c>
      <c r="D73" t="inlineStr">
        <is>
          <t>indeed</t>
        </is>
      </c>
      <c r="E73">
        <f>HYPERLINK("https://www.indeed.com/viewjob?jk=9a8e082f8b278db0", "https://www.indeed.com/viewjob?jk=9a8e082f8b278db0")</f>
        <v/>
      </c>
      <c r="F73">
        <f>HYPERLINK("https://www.amazon.jobs/jobs/3134486/sr-applied-scientist-prime-video--personalization-and-discovery-science?cmpid=DA_INAD200785B", "https://www.amazon.jobs/jobs/3134486/sr-applied-scientist-prime-video--personalization-and-discovery-science?cmpid=DA_INAD200785B")</f>
        <v/>
      </c>
      <c r="G73" t="inlineStr">
        <is>
          <t>Sunnyvale, CA, US</t>
        </is>
      </c>
      <c r="H73" s="3" t="n">
        <v>45969</v>
      </c>
      <c r="I7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4">
      <c r="A74" t="inlineStr">
        <is>
          <t>in-6e49792a62739aa1</t>
        </is>
      </c>
      <c r="B74" t="inlineStr">
        <is>
          <t>Sr. Applied Scientist, Prime Video - Personalization and Discovery Science</t>
        </is>
      </c>
      <c r="C74" t="inlineStr">
        <is>
          <t>Amazon.com</t>
        </is>
      </c>
      <c r="D74" t="inlineStr">
        <is>
          <t>indeed</t>
        </is>
      </c>
      <c r="E74">
        <f>HYPERLINK("https://www.indeed.com/viewjob?jk=6e49792a62739aa1", "https://www.indeed.com/viewjob?jk=6e49792a62739aa1")</f>
        <v/>
      </c>
      <c r="F74">
        <f>HYPERLINK("https://www.amazon.jobs/jobs/3134486/sr-applied-scientist-prime-video--personalization-and-discovery-science?cmpid=DA_INAD200785B", "https://www.amazon.jobs/jobs/3134486/sr-applied-scientist-prime-video--personalization-and-discovery-science?cmpid=DA_INAD200785B")</f>
        <v/>
      </c>
      <c r="G74" t="inlineStr">
        <is>
          <t>New York, NY, US</t>
        </is>
      </c>
      <c r="H74" s="3" t="n">
        <v>45969</v>
      </c>
      <c r="I7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5">
      <c r="A75" t="inlineStr">
        <is>
          <t>in-356faf7fba4bd339</t>
        </is>
      </c>
      <c r="B75" t="inlineStr">
        <is>
          <t>Sr. Applied Scientist, Prime Video - Personalization and Discovery Science</t>
        </is>
      </c>
      <c r="C75" t="inlineStr">
        <is>
          <t>Amazon.com</t>
        </is>
      </c>
      <c r="D75" t="inlineStr">
        <is>
          <t>indeed</t>
        </is>
      </c>
      <c r="E75">
        <f>HYPERLINK("https://www.indeed.com/viewjob?jk=356faf7fba4bd339", "https://www.indeed.com/viewjob?jk=356faf7fba4bd339")</f>
        <v/>
      </c>
      <c r="F75">
        <f>HYPERLINK("https://www.amazon.jobs/jobs/3134486/sr-applied-scientist-prime-video--personalization-and-discovery-science?cmpid=DA_INAD200785B", "https://www.amazon.jobs/jobs/3134486/sr-applied-scientist-prime-video--personalization-and-discovery-science?cmpid=DA_INAD200785B")</f>
        <v/>
      </c>
      <c r="G75" t="inlineStr">
        <is>
          <t>Seattle, WA, US</t>
        </is>
      </c>
      <c r="H75" s="3" t="n">
        <v>45969</v>
      </c>
      <c r="I7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6">
      <c r="A76" t="inlineStr">
        <is>
          <t>in-ede5ef8a7c8d143a</t>
        </is>
      </c>
      <c r="B76" t="inlineStr">
        <is>
          <t>Principal Applied Scientist, Amazon AGI</t>
        </is>
      </c>
      <c r="C76" t="inlineStr">
        <is>
          <t>Amazon.com</t>
        </is>
      </c>
      <c r="D76" t="inlineStr">
        <is>
          <t>indeed</t>
        </is>
      </c>
      <c r="E76">
        <f>HYPERLINK("https://www.indeed.com/viewjob?jk=ede5ef8a7c8d143a", "https://www.indeed.com/viewjob?jk=ede5ef8a7c8d143a")</f>
        <v/>
      </c>
      <c r="F76">
        <f>HYPERLINK("https://www.amazon.jobs/jobs/3128808/principal-applied-scientist-amazon-agi?cmpid=DA_INAD200785B", "https://www.amazon.jobs/jobs/3128808/principal-applied-scientist-amazon-agi?cmpid=DA_INAD200785B")</f>
        <v/>
      </c>
      <c r="G76" t="inlineStr">
        <is>
          <t>San Francisco, CA, US</t>
        </is>
      </c>
      <c r="H76" s="3" t="n">
        <v>45964</v>
      </c>
      <c r="I76" t="inlineStr">
        <is>
          <t>**DESCRIPTION**
---------------
The Artificial General Intelligence (AGI) team is looking for a passionate, talented, and inventive Principal Applied Scientist with a strong deep learning and generative AI background, to focus on the development of software development skills of Nova foundational models.  
As a Principal Applied Scientist,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strong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7">
      <c r="A77" t="inlineStr">
        <is>
          <t>in-31d5509a8bb70e3c</t>
        </is>
      </c>
      <c r="B77" t="inlineStr">
        <is>
          <t>Principal Applied Scientist, Amazon AGI</t>
        </is>
      </c>
      <c r="C77" t="inlineStr">
        <is>
          <t>Amazon.com</t>
        </is>
      </c>
      <c r="D77" t="inlineStr">
        <is>
          <t>indeed</t>
        </is>
      </c>
      <c r="E77">
        <f>HYPERLINK("https://www.indeed.com/viewjob?jk=31d5509a8bb70e3c", "https://www.indeed.com/viewjob?jk=31d5509a8bb70e3c")</f>
        <v/>
      </c>
      <c r="F77">
        <f>HYPERLINK("https://www.amazon.jobs/jobs/3128808/principal-applied-scientist-amazon-agi?cmpid=DA_INAD200785B", "https://www.amazon.jobs/jobs/3128808/principal-applied-scientist-amazon-agi?cmpid=DA_INAD200785B")</f>
        <v/>
      </c>
      <c r="G77" t="inlineStr">
        <is>
          <t>Boston, MA, US</t>
        </is>
      </c>
      <c r="H77" s="3" t="n">
        <v>45964</v>
      </c>
      <c r="I77" t="inlineStr">
        <is>
          <t>**DESCRIPTION**
---------------
The Artificial General Intelligence (AGI) team is looking for a passionate, talented, and inventive Principal Applied Scientist with a strong deep learning and generative AI background, to focus on the development of software development skills of Nova foundational models.  
As a Principal Applied Scientist,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strong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8">
      <c r="A78" t="inlineStr">
        <is>
          <t>in-438c6109fb2d93af</t>
        </is>
      </c>
      <c r="B78" t="inlineStr">
        <is>
          <t>Principal Applied Scientist, AWS Agentic AI Science</t>
        </is>
      </c>
      <c r="C78" t="inlineStr">
        <is>
          <t>Amazon Web Services</t>
        </is>
      </c>
      <c r="D78" t="inlineStr">
        <is>
          <t>indeed</t>
        </is>
      </c>
      <c r="E78">
        <f>HYPERLINK("https://www.indeed.com/viewjob?jk=438c6109fb2d93af", "https://www.indeed.com/viewjob?jk=438c6109fb2d93af")</f>
        <v/>
      </c>
      <c r="F78">
        <f>HYPERLINK("https://www.amazon.jobs/jobs/3132887/principal-applied-scientist-aws-agentic-ai-science?cmpid=DA_INAD200785B", "https://www.amazon.jobs/jobs/3132887/principal-applied-scientist-aws-agentic-ai-science?cmpid=DA_INAD200785B")</f>
        <v/>
      </c>
      <c r="G78" t="inlineStr">
        <is>
          <t>New York, NY, US</t>
        </is>
      </c>
      <c r="H78" s="3" t="n">
        <v>45963</v>
      </c>
      <c r="I78" t="inlineStr">
        <is>
          <t>**DESCRIPTION**
---------------
AWS Agentic AI is looking for a world\-class Applied Scientist with a strong deep learning background to help build industry\-leading Agentic AI (models, systems, and applications). Our mission is to provide a delightful experience to Amazon’s customers by pushing the envelope in Natural Language Understanding (NLU), AI assisted code development, reasoning and planning with LLMs, LLM training and fine\-tuning, and Applied Machine Learning (ML). As part of our AI team in Amazon AWS, you will work alongside internationally recognized experts to develop novel algorithms and modeling techniques to advance the state\-of\-the\-art in Agentic AI. Your work will directly impact millions of our customers in the form of products and services that make use AI technology. You will gain hands on experience with Amazon’s heterogeneous text, structured data sources, and large\-scale computing resources to accelerate advances in language understanding.  
We are looking for experienced scientists who can make complex, autonomous systems understandable and debuggable through intelligent instrumentation and simulation.
Key job responsibilities  
* Develop technical breakthroughs in agentic infrastructure and applications
* Mentor and guide junior scientists.
* Manage a small team of scientists
* Develop technology strategy and roadmap supporting product development
* Develop prototypes for key technology, oversee the productization of the prototype, and develop critical assessment for the prototype
* Write technical reports summarizing R\&amp;D progresses and communicate such progresses with stakeholders
* Engage with cross\-functional stakeholders to drive alignment and outcomes
About the team  
The Amazon Web Services (AWS) Agentic AI team uses generative AI and foundation models to advance application development. In the space of software development and life cycle management, we see the application of AI anywhere: from the IDE to web\-based tools and services, AI helps engineers work many applications. We explore new technologies and find creative solutions. Curiosity and an explorative mindset can find a place here to impact the life of engineers around the world.  
If you are excited about this space and want to enlighten your peers with new capabilities, this is the team for you.**BASIC QUALIFICATIONS**
------------------------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 Experience using Unix/Linux
* Hands\-on experience in professional software development
* Experience with agentic observability, simulators
* Experience with managing junior scientists
* Track record of delivering innovation to production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9">
      <c r="A79" t="inlineStr">
        <is>
          <t>in-57c62f36b51025b0</t>
        </is>
      </c>
      <c r="B79" t="inlineStr">
        <is>
          <t>Principal Applied Scientist, AWS Agentic AI Science</t>
        </is>
      </c>
      <c r="C79" t="inlineStr">
        <is>
          <t>Amazon Web Services</t>
        </is>
      </c>
      <c r="D79" t="inlineStr">
        <is>
          <t>indeed</t>
        </is>
      </c>
      <c r="E79">
        <f>HYPERLINK("https://www.indeed.com/viewjob?jk=57c62f36b51025b0", "https://www.indeed.com/viewjob?jk=57c62f36b51025b0")</f>
        <v/>
      </c>
      <c r="F79">
        <f>HYPERLINK("https://www.amazon.jobs/jobs/3132887/principal-applied-scientist-aws-agentic-ai-science?cmpid=DA_INAD200785B", "https://www.amazon.jobs/jobs/3132887/principal-applied-scientist-aws-agentic-ai-science?cmpid=DA_INAD200785B")</f>
        <v/>
      </c>
      <c r="G79" t="inlineStr">
        <is>
          <t>Santa Clara, CA, US</t>
        </is>
      </c>
      <c r="H79" s="3" t="n">
        <v>45963</v>
      </c>
      <c r="I79" t="inlineStr">
        <is>
          <t>**DESCRIPTION**
---------------
AWS Agentic AI is looking for a world\-class Applied Scientist with a strong deep learning background to help build industry\-leading Agentic AI (models, systems, and applications). Our mission is to provide a delightful experience to Amazon’s customers by pushing the envelope in Natural Language Understanding (NLU), AI assisted code development, reasoning and planning with LLMs, LLM training and fine\-tuning, and Applied Machine Learning (ML). As part of our AI team in Amazon AWS, you will work alongside internationally recognized experts to develop novel algorithms and modeling techniques to advance the state\-of\-the\-art in Agentic AI. Your work will directly impact millions of our customers in the form of products and services that make use AI technology. You will gain hands on experience with Amazon’s heterogeneous text, structured data sources, and large\-scale computing resources to accelerate advances in language understanding.  
We are looking for experienced scientists who can make complex, autonomous systems understandable and debuggable through intelligent instrumentation and simulation.
Key job responsibilities  
* Develop technical breakthroughs in agentic infrastructure and applications
* Mentor and guide junior scientists.
* Manage a small team of scientists
* Develop technology strategy and roadmap supporting product development
* Develop prototypes for key technology, oversee the productization of the prototype, and develop critical assessment for the prototype
* Write technical reports summarizing R\&amp;D progresses and communicate such progresses with stakeholders
* Engage with cross\-functional stakeholders to drive alignment and outcomes
About the team  
The Amazon Web Services (AWS) Agentic AI team uses generative AI and foundation models to advance application development. In the space of software development and life cycle management, we see the application of AI anywhere: from the IDE to web\-based tools and services, AI helps engineers work many applications. We explore new technologies and find creative solutions. Curiosity and an explorative mindset can find a place here to impact the life of engineers around the world.  
If you are excited about this space and want to enlighten your peers with new capabilities, this is the team for you.**BASIC QUALIFICATIONS**
------------------------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 Experience using Unix/Linux
* Hands\-on experience in professional software development
* Experience with agentic observability, simulators
* Experience with managing junior scientists
* Track record of delivering innovation to production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0">
      <c r="A80" t="inlineStr">
        <is>
          <t>in-afaf81d866b3ee1d</t>
        </is>
      </c>
      <c r="B80" t="inlineStr">
        <is>
          <t>Sr. Applied Scientist, Sponsored Product Off-Search</t>
        </is>
      </c>
      <c r="C80" t="inlineStr">
        <is>
          <t>Amazon.com</t>
        </is>
      </c>
      <c r="D80" t="inlineStr">
        <is>
          <t>indeed</t>
        </is>
      </c>
      <c r="E80">
        <f>HYPERLINK("https://www.indeed.com/viewjob?jk=afaf81d866b3ee1d", "https://www.indeed.com/viewjob?jk=afaf81d866b3ee1d")</f>
        <v/>
      </c>
      <c r="F80">
        <f>HYPERLINK("https://www.amazon.jobs/jobs/3120815/sr-applied-scientist-sponsored-product-offsearch-?cmpid=DA_INAD200785B", "https://www.amazon.jobs/jobs/3120815/sr-applied-scientist-sponsored-product-offsearch-?cmpid=DA_INAD200785B")</f>
        <v/>
      </c>
      <c r="G80" t="inlineStr">
        <is>
          <t>New York, NY, US</t>
        </is>
      </c>
      <c r="H80" s="3" t="n">
        <v>45963</v>
      </c>
      <c r="I80" t="inlineStr">
        <is>
          <t>**DESCRIPTION**
---------------
The Sponsored Products and Brands (SPB) team at Amazon Ads is re\-imagining the advertising landscape through state\-of\-the\-art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  
Key job responsibilities  
This role will be pivotal in redesigning how ads contribute to a personalized, relevant, and inspirational shopping experience, with the customer value proposition at the forefront. Key responsibilities include, but are not limited to:  
* Contribute to the design and development of GenAI, deep learning, multi\-objective optimization and/or reinforcement learning empowered solutions to transform ad retrieval, auctions, whole\-page relevance, and/or bespoke shopping experiences.
* Collaborate cross\-functionally with other scientists, engineers, and product managers to bring scalable, production\-ready science solutions to life.
* Stay abreast of industry trends in GenAI, LLMs, and related disciplines, bringing fresh and innovative concepts, ideas, and prototypes to the organization.
* Contribute to the enhancement of team’s scientific and technical rigor by identifying and implementing best\-in\-class algorithms, methodologies, and infrastructure that enable rapid experimentation and scaling.
* Mentor and grow junior scientists and engineers, cultivating a high\-performing, collaborative, and intellectually curious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beyond!**BASIC QUALIFICATIONS**
------------------------
* PhD, or Master's degree and 6\+ years of applied research experience
* 3\+ years of building machine learning models for business application experience
* Experience programming in Java, C\+\+, Python or related language
* Strong foundation in GenAI, large language models, machine learning, deep learning, probabilistic modeling, and/or optimization.
* Experience developing and deploying models in real\-world production environments.
**PREFERRED QUALIFICATIONS**
----------------------------
* Proven expertise in Generative AI, foundation models, LLMs, and/or fine\-tuning and customization for downstream tasks.
* Hands\-on experience in ads ranking, retrieval, recommendation systems, search, or personalization at web scale.
* Deep understanding of multi\-modal modeling, few\-shot learning, retrieval\-augmented generation (RAG), or reinforcement learning from human feedback (RLHF).
* Experience with online experimentation, A/B testing frameworks, and metrics design for advertising or e\-commerce.
* Demonstrated ability to communicate complex technical topics clearly to both technical and non\-technical audiences.
* Experience in computational advertising, including familiarity with auction theory, ad economics, and advertiser performance metrics.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1">
      <c r="A81" t="inlineStr">
        <is>
          <t>in-4e7040e3050be73f</t>
        </is>
      </c>
      <c r="B81" t="inlineStr">
        <is>
          <t>Sr. Applied Scientist, Sponsored Product Off-Search</t>
        </is>
      </c>
      <c r="C81" t="inlineStr">
        <is>
          <t>Amazon.com</t>
        </is>
      </c>
      <c r="D81" t="inlineStr">
        <is>
          <t>indeed</t>
        </is>
      </c>
      <c r="E81">
        <f>HYPERLINK("https://www.indeed.com/viewjob?jk=4e7040e3050be73f", "https://www.indeed.com/viewjob?jk=4e7040e3050be73f")</f>
        <v/>
      </c>
      <c r="F81">
        <f>HYPERLINK("https://www.amazon.jobs/jobs/3120815/sr-applied-scientist-sponsored-product-offsearch-?cmpid=DA_INAD200785B", "https://www.amazon.jobs/jobs/3120815/sr-applied-scientist-sponsored-product-offsearch-?cmpid=DA_INAD200785B")</f>
        <v/>
      </c>
      <c r="G81" t="inlineStr">
        <is>
          <t>Seattle, WA, US</t>
        </is>
      </c>
      <c r="H81" s="3" t="n">
        <v>45963</v>
      </c>
      <c r="I81" t="inlineStr">
        <is>
          <t>**DESCRIPTION**
---------------
The Sponsored Products and Brands (SPB) team at Amazon Ads is re\-imagining the advertising landscape through state\-of\-the\-art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  
Key job responsibilities  
This role will be pivotal in redesigning how ads contribute to a personalized, relevant, and inspirational shopping experience, with the customer value proposition at the forefront. Key responsibilities include, but are not limited to:  
* Contribute to the design and development of GenAI, deep learning, multi\-objective optimization and/or reinforcement learning empowered solutions to transform ad retrieval, auctions, whole\-page relevance, and/or bespoke shopping experiences.
* Collaborate cross\-functionally with other scientists, engineers, and product managers to bring scalable, production\-ready science solutions to life.
* Stay abreast of industry trends in GenAI, LLMs, and related disciplines, bringing fresh and innovative concepts, ideas, and prototypes to the organization.
* Contribute to the enhancement of team’s scientific and technical rigor by identifying and implementing best\-in\-class algorithms, methodologies, and infrastructure that enable rapid experimentation and scaling.
* Mentor and grow junior scientists and engineers, cultivating a high\-performing, collaborative, and intellectually curious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beyond!**BASIC QUALIFICATIONS**
------------------------
* PhD, or Master's degree and 6\+ years of applied research experience
* 3\+ years of building machine learning models for business application experience
* Experience programming in Java, C\+\+, Python or related language
* Strong foundation in GenAI, large language models, machine learning, deep learning, probabilistic modeling, and/or optimization.
* Experience developing and deploying models in real\-world production environments.
**PREFERRED QUALIFICATIONS**
----------------------------
* Proven expertise in Generative AI, foundation models, LLMs, and/or fine\-tuning and customization for downstream tasks.
* Hands\-on experience in ads ranking, retrieval, recommendation systems, search, or personalization at web scale.
* Deep understanding of multi\-modal modeling, few\-shot learning, retrieval\-augmented generation (RAG), or reinforcement learning from human feedback (RLHF).
* Experience with online experimentation, A/B testing frameworks, and metrics design for advertising or e\-commerce.
* Demonstrated ability to communicate complex technical topics clearly to both technical and non\-technical audiences.
* Experience in computational advertising, including familiarity with auction theory, ad economics, and advertiser performance metrics.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2">
      <c r="A82" t="inlineStr">
        <is>
          <t>in-a06d2f2f88aaa7c5</t>
        </is>
      </c>
      <c r="B82" t="inlineStr">
        <is>
          <t>Applied Scientist, AWS Agentic AI</t>
        </is>
      </c>
      <c r="C82" t="inlineStr">
        <is>
          <t>Amazon Web Services</t>
        </is>
      </c>
      <c r="D82" t="inlineStr">
        <is>
          <t>indeed</t>
        </is>
      </c>
      <c r="E82">
        <f>HYPERLINK("https://www.indeed.com/viewjob?jk=a06d2f2f88aaa7c5", "https://www.indeed.com/viewjob?jk=a06d2f2f88aaa7c5")</f>
        <v/>
      </c>
      <c r="F82">
        <f>HYPERLINK("https://www.amazon.jobs/jobs/3141517/applied-scientist-aws-agentic-ai-?cmpid=DA_INAD200785B", "https://www.amazon.jobs/jobs/3141517/applied-scientist-aws-agentic-ai-?cmpid=DA_INAD200785B")</f>
        <v/>
      </c>
      <c r="G82" t="inlineStr">
        <is>
          <t>Seattle, WA, US</t>
        </is>
      </c>
      <c r="H82" s="3" t="n">
        <v>45962</v>
      </c>
      <c r="I82"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3">
      <c r="A83" t="inlineStr">
        <is>
          <t>in-f2446c588f6e55fe</t>
        </is>
      </c>
      <c r="B83" t="inlineStr">
        <is>
          <t>Applied Scientist, AWS Agentic AI</t>
        </is>
      </c>
      <c r="C83" t="inlineStr">
        <is>
          <t>Amazon Web Services</t>
        </is>
      </c>
      <c r="D83" t="inlineStr">
        <is>
          <t>indeed</t>
        </is>
      </c>
      <c r="E83">
        <f>HYPERLINK("https://www.indeed.com/viewjob?jk=f2446c588f6e55fe", "https://www.indeed.com/viewjob?jk=f2446c588f6e55fe")</f>
        <v/>
      </c>
      <c r="F83">
        <f>HYPERLINK("https://www.amazon.jobs/jobs/3141517/applied-scientist-aws-agentic-ai-?cmpid=DA_INAD200785B", "https://www.amazon.jobs/jobs/3141517/applied-scientist-aws-agentic-ai-?cmpid=DA_INAD200785B")</f>
        <v/>
      </c>
      <c r="G83" t="inlineStr">
        <is>
          <t>New York, NY, US</t>
        </is>
      </c>
      <c r="H83" s="3" t="n">
        <v>45962</v>
      </c>
      <c r="I83"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4">
      <c r="A84" t="inlineStr">
        <is>
          <t>in-a244b98fdab60690</t>
        </is>
      </c>
      <c r="B84" t="inlineStr">
        <is>
          <t>Applied Scientist, AWS Agentic AI</t>
        </is>
      </c>
      <c r="C84" t="inlineStr">
        <is>
          <t>Amazon Web Services</t>
        </is>
      </c>
      <c r="D84" t="inlineStr">
        <is>
          <t>indeed</t>
        </is>
      </c>
      <c r="E84">
        <f>HYPERLINK("https://www.indeed.com/viewjob?jk=a244b98fdab60690", "https://www.indeed.com/viewjob?jk=a244b98fdab60690")</f>
        <v/>
      </c>
      <c r="F84">
        <f>HYPERLINK("https://www.amazon.jobs/jobs/3141517/applied-scientist-aws-agentic-ai-?cmpid=DA_INAD200785B", "https://www.amazon.jobs/jobs/3141517/applied-scientist-aws-agentic-ai-?cmpid=DA_INAD200785B")</f>
        <v/>
      </c>
      <c r="G84" t="inlineStr">
        <is>
          <t>Santa Clara, CA, US</t>
        </is>
      </c>
      <c r="H84" s="3" t="n">
        <v>45962</v>
      </c>
      <c r="I84"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5">
      <c r="A85" t="inlineStr">
        <is>
          <t>in-c0e5f156fcd6c278</t>
        </is>
      </c>
      <c r="B85" t="inlineStr">
        <is>
          <t>Principal Applied Scientist, Advertiser Growth, Amazon Sponsored Products &amp; Brands</t>
        </is>
      </c>
      <c r="C85" t="inlineStr">
        <is>
          <t>Amazon.com</t>
        </is>
      </c>
      <c r="D85" t="inlineStr">
        <is>
          <t>indeed</t>
        </is>
      </c>
      <c r="E85">
        <f>HYPERLINK("https://www.indeed.com/viewjob?jk=c0e5f156fcd6c278", "https://www.indeed.com/viewjob?jk=c0e5f156fcd6c278")</f>
        <v/>
      </c>
      <c r="F85">
        <f>HYPERLINK("https://www.amazon.jobs/jobs/3115279/principal-applied-scientist-advertiser-growth-amazon-sponsored-products--brands?cmpid=DA_INAD200785B", "https://www.amazon.jobs/jobs/3115279/principal-applied-scientist-advertiser-growth-amazon-sponsored-products--brands?cmpid=DA_INAD200785B")</f>
        <v/>
      </c>
      <c r="G85" t="inlineStr">
        <is>
          <t>Palo Alto, CA, US</t>
        </is>
      </c>
      <c r="H85" s="3" t="n">
        <v>45942</v>
      </c>
      <c r="I85"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6">
      <c r="A86" t="inlineStr">
        <is>
          <t>in-903a6f8b03220ccc</t>
        </is>
      </c>
      <c r="B86" t="inlineStr">
        <is>
          <t>Principal Applied Scientist, Advertiser Growth, Amazon Sponsored Products &amp; Brands</t>
        </is>
      </c>
      <c r="C86" t="inlineStr">
        <is>
          <t>Amazon.com</t>
        </is>
      </c>
      <c r="D86" t="inlineStr">
        <is>
          <t>indeed</t>
        </is>
      </c>
      <c r="E86">
        <f>HYPERLINK("https://www.indeed.com/viewjob?jk=903a6f8b03220ccc", "https://www.indeed.com/viewjob?jk=903a6f8b03220ccc")</f>
        <v/>
      </c>
      <c r="F86">
        <f>HYPERLINK("https://www.amazon.jobs/jobs/3115279/principal-applied-scientist-advertiser-growth-amazon-sponsored-products--brands?cmpid=DA_INAD200785B", "https://www.amazon.jobs/jobs/3115279/principal-applied-scientist-advertiser-growth-amazon-sponsored-products--brands?cmpid=DA_INAD200785B")</f>
        <v/>
      </c>
      <c r="G86" t="inlineStr">
        <is>
          <t>New York, NY, US</t>
        </is>
      </c>
      <c r="H86" s="3" t="n">
        <v>45942</v>
      </c>
      <c r="I86"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7">
      <c r="A87" t="inlineStr">
        <is>
          <t>in-6ab3c5ca0ffd31de</t>
        </is>
      </c>
      <c r="B87" t="inlineStr">
        <is>
          <t>Principal Applied Scientist, Advertiser Growth, Amazon Sponsored Products &amp; Brands</t>
        </is>
      </c>
      <c r="C87" t="inlineStr">
        <is>
          <t>Amazon.com</t>
        </is>
      </c>
      <c r="D87" t="inlineStr">
        <is>
          <t>indeed</t>
        </is>
      </c>
      <c r="E87">
        <f>HYPERLINK("https://www.indeed.com/viewjob?jk=6ab3c5ca0ffd31de", "https://www.indeed.com/viewjob?jk=6ab3c5ca0ffd31de")</f>
        <v/>
      </c>
      <c r="F87">
        <f>HYPERLINK("https://www.amazon.jobs/jobs/3115279/principal-applied-scientist-advertiser-growth-amazon-sponsored-products--brands?cmpid=DA_INAD200785B", "https://www.amazon.jobs/jobs/3115279/principal-applied-scientist-advertiser-growth-amazon-sponsored-products--brands?cmpid=DA_INAD200785B")</f>
        <v/>
      </c>
      <c r="G87" t="inlineStr">
        <is>
          <t>Seattle, WA, US</t>
        </is>
      </c>
      <c r="H87" s="3" t="n">
        <v>45942</v>
      </c>
      <c r="I87"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8">
      <c r="A88" t="inlineStr">
        <is>
          <t>in-a61ceb41ca921c5e</t>
        </is>
      </c>
      <c r="B88" t="inlineStr">
        <is>
          <t>Sr. Applied Scientist, SPB Advertiser Guidance</t>
        </is>
      </c>
      <c r="C88" t="inlineStr">
        <is>
          <t>Amazon.com</t>
        </is>
      </c>
      <c r="D88" t="inlineStr">
        <is>
          <t>indeed</t>
        </is>
      </c>
      <c r="E88">
        <f>HYPERLINK("https://www.indeed.com/viewjob?jk=a61ceb41ca921c5e", "https://www.indeed.com/viewjob?jk=a61ceb41ca921c5e")</f>
        <v/>
      </c>
      <c r="F88">
        <f>HYPERLINK("https://www.amazon.jobs/jobs/3106497/sr-applied-scientist-spb-advertiser-guidance?cmpid=DA_INAD200785B", "https://www.amazon.jobs/jobs/3106497/sr-applied-scientist-spb-advertiser-guidance?cmpid=DA_INAD200785B")</f>
        <v/>
      </c>
      <c r="G88" t="inlineStr">
        <is>
          <t>Palo Alto, CA, US</t>
        </is>
      </c>
      <c r="H88" s="3" t="n">
        <v>45939</v>
      </c>
      <c r="I88"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9">
      <c r="A89" t="inlineStr">
        <is>
          <t>in-528332d7fe7f11d1</t>
        </is>
      </c>
      <c r="B89" t="inlineStr">
        <is>
          <t>Applied Scientist</t>
        </is>
      </c>
      <c r="C89" t="inlineStr">
        <is>
          <t>Amazon.com</t>
        </is>
      </c>
      <c r="D89" t="inlineStr">
        <is>
          <t>indeed</t>
        </is>
      </c>
      <c r="E89">
        <f>HYPERLINK("https://www.indeed.com/viewjob?jk=528332d7fe7f11d1", "https://www.indeed.com/viewjob?jk=528332d7fe7f11d1")</f>
        <v/>
      </c>
      <c r="F89">
        <f>HYPERLINK("https://www.amazon.jobs/jobs/3106501/applied-scientist?cmpid=DA_INAD200785B", "https://www.amazon.jobs/jobs/3106501/applied-scientist?cmpid=DA_INAD200785B")</f>
        <v/>
      </c>
      <c r="G89" t="inlineStr">
        <is>
          <t>Palo Alto, CA, US</t>
        </is>
      </c>
      <c r="H89" s="3" t="n">
        <v>45939</v>
      </c>
      <c r="I89"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0">
      <c r="A90" t="inlineStr">
        <is>
          <t>in-3879ba4bd982cb2d</t>
        </is>
      </c>
      <c r="B90" t="inlineStr">
        <is>
          <t>Sr. Applied Scientist, SPB Advertiser Guidance</t>
        </is>
      </c>
      <c r="C90" t="inlineStr">
        <is>
          <t>Amazon.com</t>
        </is>
      </c>
      <c r="D90" t="inlineStr">
        <is>
          <t>indeed</t>
        </is>
      </c>
      <c r="E90">
        <f>HYPERLINK("https://www.indeed.com/viewjob?jk=3879ba4bd982cb2d", "https://www.indeed.com/viewjob?jk=3879ba4bd982cb2d")</f>
        <v/>
      </c>
      <c r="F90">
        <f>HYPERLINK("https://www.amazon.jobs/jobs/3106497/sr-applied-scientist-spb-advertiser-guidance?cmpid=DA_INAD200785B", "https://www.amazon.jobs/jobs/3106497/sr-applied-scientist-spb-advertiser-guidance?cmpid=DA_INAD200785B")</f>
        <v/>
      </c>
      <c r="G90" t="inlineStr">
        <is>
          <t>New York, NY, US</t>
        </is>
      </c>
      <c r="H90" s="3" t="n">
        <v>45939</v>
      </c>
      <c r="I90"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1">
      <c r="A91" t="inlineStr">
        <is>
          <t>in-e12b194145ae6f03</t>
        </is>
      </c>
      <c r="B91" t="inlineStr">
        <is>
          <t>Applied Scientist</t>
        </is>
      </c>
      <c r="C91" t="inlineStr">
        <is>
          <t>Amazon.com</t>
        </is>
      </c>
      <c r="D91" t="inlineStr">
        <is>
          <t>indeed</t>
        </is>
      </c>
      <c r="E91">
        <f>HYPERLINK("https://www.indeed.com/viewjob?jk=e12b194145ae6f03", "https://www.indeed.com/viewjob?jk=e12b194145ae6f03")</f>
        <v/>
      </c>
      <c r="F91">
        <f>HYPERLINK("https://www.amazon.jobs/jobs/3106501/applied-scientist?cmpid=DA_INAD200785B", "https://www.amazon.jobs/jobs/3106501/applied-scientist?cmpid=DA_INAD200785B")</f>
        <v/>
      </c>
      <c r="G91" t="inlineStr">
        <is>
          <t>Seattle, WA, US</t>
        </is>
      </c>
      <c r="H91" s="3" t="n">
        <v>45939</v>
      </c>
      <c r="I91"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2">
      <c r="A92" t="inlineStr">
        <is>
          <t>in-8ccfe25d9be7dca8</t>
        </is>
      </c>
      <c r="B92" t="inlineStr">
        <is>
          <t>Applied Scientist</t>
        </is>
      </c>
      <c r="C92" t="inlineStr">
        <is>
          <t>Amazon.com</t>
        </is>
      </c>
      <c r="D92" t="inlineStr">
        <is>
          <t>indeed</t>
        </is>
      </c>
      <c r="E92">
        <f>HYPERLINK("https://www.indeed.com/viewjob?jk=8ccfe25d9be7dca8", "https://www.indeed.com/viewjob?jk=8ccfe25d9be7dca8")</f>
        <v/>
      </c>
      <c r="F92">
        <f>HYPERLINK("https://www.amazon.jobs/jobs/3106501/applied-scientist?cmpid=DA_INAD200785B", "https://www.amazon.jobs/jobs/3106501/applied-scientist?cmpid=DA_INAD200785B")</f>
        <v/>
      </c>
      <c r="G92" t="inlineStr">
        <is>
          <t>New York, NY, US</t>
        </is>
      </c>
      <c r="H92" s="3" t="n">
        <v>45939</v>
      </c>
      <c r="I92"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3">
      <c r="A93" t="inlineStr">
        <is>
          <t>in-0747799d27729df4</t>
        </is>
      </c>
      <c r="B93" t="inlineStr">
        <is>
          <t>Sr. Applied Scientist, SPB Advertiser Guidance</t>
        </is>
      </c>
      <c r="C93" t="inlineStr">
        <is>
          <t>Amazon.com</t>
        </is>
      </c>
      <c r="D93" t="inlineStr">
        <is>
          <t>indeed</t>
        </is>
      </c>
      <c r="E93">
        <f>HYPERLINK("https://www.indeed.com/viewjob?jk=0747799d27729df4", "https://www.indeed.com/viewjob?jk=0747799d27729df4")</f>
        <v/>
      </c>
      <c r="F93">
        <f>HYPERLINK("https://www.amazon.jobs/jobs/3106497/sr-applied-scientist-spb-advertiser-guidance?cmpid=DA_INAD200785B", "https://www.amazon.jobs/jobs/3106497/sr-applied-scientist-spb-advertiser-guidance?cmpid=DA_INAD200785B")</f>
        <v/>
      </c>
      <c r="G93" t="inlineStr">
        <is>
          <t>Seattle, WA, US</t>
        </is>
      </c>
      <c r="H93" s="3" t="n">
        <v>45939</v>
      </c>
      <c r="I93"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4">
      <c r="A94" t="inlineStr">
        <is>
          <t>in-fa77bcf0062b4f05</t>
        </is>
      </c>
      <c r="B94" t="inlineStr">
        <is>
          <t>Principal Applied Scientist, Amazon - Sponsored Products</t>
        </is>
      </c>
      <c r="C94" t="inlineStr">
        <is>
          <t>Amazon.com</t>
        </is>
      </c>
      <c r="D94" t="inlineStr">
        <is>
          <t>indeed</t>
        </is>
      </c>
      <c r="E94">
        <f>HYPERLINK("https://www.indeed.com/viewjob?jk=fa77bcf0062b4f05", "https://www.indeed.com/viewjob?jk=fa77bcf0062b4f05")</f>
        <v/>
      </c>
      <c r="F94">
        <f>HYPERLINK("https://www.amazon.jobs/jobs/3094885/principal-applied-scientist-amazon--sponsored-products-?cmpid=DA_INAD200785B", "https://www.amazon.jobs/jobs/3094885/principal-applied-scientist-amazon--sponsored-products-?cmpid=DA_INAD200785B")</f>
        <v/>
      </c>
      <c r="G94" t="inlineStr">
        <is>
          <t>Seattle, WA, US</t>
        </is>
      </c>
      <c r="H94" s="3" t="n">
        <v>45924</v>
      </c>
      <c r="I94" t="inlineStr">
        <is>
          <t>**DESCRIPTION**
---------------
The Sponsored Products and Brands team at Amazon Ads is re\-imagining the advertising landscape through advanced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principal scientist in this position will focus on designing, developing and launching innovative ad experiences delivered to shoppers in conversational contexts. Our team utilizes leading\-edge science and engineering technologies in generative AI to help shoppers discover new products and brands through intuitive, conversational interfaces. We also empower advertisers to reach shoppers, using their own voice to explain how their products meet shoppers' needs. We collaborate with various teams across multiple Amazon organizations to push the boundary of what's possible in these fields.  
Key job responsibilities  
As a Principal Applied Scientist for the team, you will drive appropriate technology choices for the customers and the business, lead the way for continuous innovation, and shape the future of e\-commerce. You will have opportunity to apply your deep subject matter expertise in the area of large language models and generative AI across various modalities. You will work with multiple teams of scientists and engineers to translate business and functional requirements into concrete deliverables. You will invent new product experiences that enable our shoppers to easily navigate our vast inventory either via search queries, multi\-turn conversations, or other modes of input. You will liaise with internal Amazon partners and work on bringing state\-of\-the\-art GenAI models to production to power novel conversational experiences. You will stay abreast of the latest developments in the space of GenAI and identify opportunities to improve the efficiency and productivity of the team. You will contribute to defining a long\-term science vision for our advertising business in the area of conversational shopping and beyond.
**BASIC QUALIFICATIONS**
------------------------
* PhD in Computer Science, Statistics or related field.
* 10\+ years of applied ML experience in building complex, real\-time systems involving AI, ML, and NLP with successful delivery to customers.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 Experience with advertising systems and applications.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5">
      <c r="A95" t="inlineStr">
        <is>
          <t>in-70f249a8108ce984</t>
        </is>
      </c>
      <c r="B95" t="inlineStr">
        <is>
          <t>Principal Applied Scientist, Amazon - Sponsored Products</t>
        </is>
      </c>
      <c r="C95" t="inlineStr">
        <is>
          <t>Amazon.com</t>
        </is>
      </c>
      <c r="D95" t="inlineStr">
        <is>
          <t>indeed</t>
        </is>
      </c>
      <c r="E95">
        <f>HYPERLINK("https://www.indeed.com/viewjob?jk=70f249a8108ce984", "https://www.indeed.com/viewjob?jk=70f249a8108ce984")</f>
        <v/>
      </c>
      <c r="F95">
        <f>HYPERLINK("https://www.amazon.jobs/jobs/3094885/principal-applied-scientist-amazon--sponsored-products-?cmpid=DA_INAD200785B", "https://www.amazon.jobs/jobs/3094885/principal-applied-scientist-amazon--sponsored-products-?cmpid=DA_INAD200785B")</f>
        <v/>
      </c>
      <c r="G95" t="inlineStr">
        <is>
          <t>New York, NY, US</t>
        </is>
      </c>
      <c r="H95" s="3" t="n">
        <v>45924</v>
      </c>
      <c r="I95" t="inlineStr">
        <is>
          <t>**DESCRIPTION**
---------------
The Sponsored Products and Brands team at Amazon Ads is re\-imagining the advertising landscape through advanced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principal scientist in this position will focus on designing, developing and launching innovative ad experiences delivered to shoppers in conversational contexts. Our team utilizes leading\-edge science and engineering technologies in generative AI to help shoppers discover new products and brands through intuitive, conversational interfaces. We also empower advertisers to reach shoppers, using their own voice to explain how their products meet shoppers' needs. We collaborate with various teams across multiple Amazon organizations to push the boundary of what's possible in these fields.  
Key job responsibilities  
As a Principal Applied Scientist for the team, you will drive appropriate technology choices for the customers and the business, lead the way for continuous innovation, and shape the future of e\-commerce. You will have opportunity to apply your deep subject matter expertise in the area of large language models and generative AI across various modalities. You will work with multiple teams of scientists and engineers to translate business and functional requirements into concrete deliverables. You will invent new product experiences that enable our shoppers to easily navigate our vast inventory either via search queries, multi\-turn conversations, or other modes of input. You will liaise with internal Amazon partners and work on bringing state\-of\-the\-art GenAI models to production to power novel conversational experiences. You will stay abreast of the latest developments in the space of GenAI and identify opportunities to improve the efficiency and productivity of the team. You will contribute to defining a long\-term science vision for our advertising business in the area of conversational shopping and beyond.
**BASIC QUALIFICATIONS**
------------------------
* PhD in Computer Science, Statistics or related field.
* 10\+ years of applied ML experience in building complex, real\-time systems involving AI, ML, and NLP with successful delivery to customers.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 Experience with advertising systems and applications.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6">
      <c r="A96" t="inlineStr">
        <is>
          <t>in-c747577052b07685</t>
        </is>
      </c>
      <c r="B96" t="inlineStr">
        <is>
          <t>Principal Applied Scientist, Amazon - Sponsored Products</t>
        </is>
      </c>
      <c r="C96" t="inlineStr">
        <is>
          <t>Amazon.com</t>
        </is>
      </c>
      <c r="D96" t="inlineStr">
        <is>
          <t>indeed</t>
        </is>
      </c>
      <c r="E96">
        <f>HYPERLINK("https://www.indeed.com/viewjob?jk=c747577052b07685", "https://www.indeed.com/viewjob?jk=c747577052b07685")</f>
        <v/>
      </c>
      <c r="F96">
        <f>HYPERLINK("https://www.amazon.jobs/jobs/3094885/principal-applied-scientist-amazon--sponsored-products-?cmpid=DA_INAD200785B", "https://www.amazon.jobs/jobs/3094885/principal-applied-scientist-amazon--sponsored-products-?cmpid=DA_INAD200785B")</f>
        <v/>
      </c>
      <c r="G96" t="inlineStr">
        <is>
          <t>Palo Alto, CA, US</t>
        </is>
      </c>
      <c r="H96" s="3" t="n">
        <v>45924</v>
      </c>
      <c r="I96" t="inlineStr">
        <is>
          <t>**DESCRIPTION**
---------------
The Sponsored Products and Brands team at Amazon Ads is re\-imagining the advertising landscape through advanced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principal scientist in this position will focus on designing, developing and launching innovative ad experiences delivered to shoppers in conversational contexts. Our team utilizes leading\-edge science and engineering technologies in generative AI to help shoppers discover new products and brands through intuitive, conversational interfaces. We also empower advertisers to reach shoppers, using their own voice to explain how their products meet shoppers' needs. We collaborate with various teams across multiple Amazon organizations to push the boundary of what's possible in these fields.  
Key job responsibilities  
As a Principal Applied Scientist for the team, you will drive appropriate technology choices for the customers and the business, lead the way for continuous innovation, and shape the future of e\-commerce. You will have opportunity to apply your deep subject matter expertise in the area of large language models and generative AI across various modalities. You will work with multiple teams of scientists and engineers to translate business and functional requirements into concrete deliverables. You will invent new product experiences that enable our shoppers to easily navigate our vast inventory either via search queries, multi\-turn conversations, or other modes of input. You will liaise with internal Amazon partners and work on bringing state\-of\-the\-art GenAI models to production to power novel conversational experiences. You will stay abreast of the latest developments in the space of GenAI and identify opportunities to improve the efficiency and productivity of the team. You will contribute to defining a long\-term science vision for our advertising business in the area of conversational shopping and beyond.
**BASIC QUALIFICATIONS**
------------------------
* PhD in Computer Science, Statistics or related field.
* 10\+ years of applied ML experience in building complex, real\-time systems involving AI, ML, and NLP with successful delivery to customers.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 Experience with advertising systems and applications.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7">
      <c r="A97" t="inlineStr">
        <is>
          <t>in-ab43dd6128423035</t>
        </is>
      </c>
      <c r="B97" t="inlineStr">
        <is>
          <t>Senior Applied Scientist, Sponsored Products and Brands</t>
        </is>
      </c>
      <c r="C97" t="inlineStr">
        <is>
          <t>Amazon.com</t>
        </is>
      </c>
      <c r="D97" t="inlineStr">
        <is>
          <t>indeed</t>
        </is>
      </c>
      <c r="E97">
        <f>HYPERLINK("https://www.indeed.com/viewjob?jk=ab43dd6128423035", "https://www.indeed.com/viewjob?jk=ab43dd6128423035")</f>
        <v/>
      </c>
      <c r="F97">
        <f>HYPERLINK("https://www.amazon.jobs/jobs/3094886/senior-applied-scientist-sponsored-products-and-brands?cmpid=DA_INAD200785B", "https://www.amazon.jobs/jobs/3094886/senior-applied-scientist-sponsored-products-and-brands?cmpid=DA_INAD200785B")</f>
        <v/>
      </c>
      <c r="G97" t="inlineStr">
        <is>
          <t>Seattle, WA, US</t>
        </is>
      </c>
      <c r="H97" s="3" t="n">
        <v>45922</v>
      </c>
      <c r="I97"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We are on a mission to make Amazon the best in class destination for shoppers to discover, engage, and purchase relevant products, from brands that are relevant to them. In this role, you will design and implement Gen AI solutions that help millions of advertisers create more effective ad campaigns with intelligent recommendations, while improving the overall experience at Amazon's global scale.  
Our team invents, defines, and delivers advertising products that drive brand discovery and sales. Our solutions generate billions in revenue and drive long\-term growth for Amazon Store businesses. We deliver billions of ad impressions, millions of clicks daily, and break fresh ground to create world\-class products. We are a highly motivated, fast\-paced, and collaborative team with an entrepreneurial spirit.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8">
      <c r="A98" t="inlineStr">
        <is>
          <t>in-1eac04649e9afdda</t>
        </is>
      </c>
      <c r="B98" t="inlineStr">
        <is>
          <t>Senior Applied Scientist, Sponsored Products and Brands</t>
        </is>
      </c>
      <c r="C98" t="inlineStr">
        <is>
          <t>Amazon.com</t>
        </is>
      </c>
      <c r="D98" t="inlineStr">
        <is>
          <t>indeed</t>
        </is>
      </c>
      <c r="E98">
        <f>HYPERLINK("https://www.indeed.com/viewjob?jk=1eac04649e9afdda", "https://www.indeed.com/viewjob?jk=1eac04649e9afdda")</f>
        <v/>
      </c>
      <c r="F98">
        <f>HYPERLINK("https://www.amazon.jobs/jobs/3094886/senior-applied-scientist-sponsored-products-and-brands?cmpid=DA_INAD200785B", "https://www.amazon.jobs/jobs/3094886/senior-applied-scientist-sponsored-products-and-brands?cmpid=DA_INAD200785B")</f>
        <v/>
      </c>
      <c r="G98" t="inlineStr">
        <is>
          <t>New York, NY, US</t>
        </is>
      </c>
      <c r="H98" s="3" t="n">
        <v>45922</v>
      </c>
      <c r="I98"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We are on a mission to make Amazon the best in class destination for shoppers to discover, engage, and purchase relevant products, from brands that are relevant to them. In this role, you will design and implement Gen AI solutions that help millions of advertisers create more effective ad campaigns with intelligent recommendations, while improving the overall experience at Amazon's global scale.  
Our team invents, defines, and delivers advertising products that drive brand discovery and sales. Our solutions generate billions in revenue and drive long\-term growth for Amazon Store businesses. We deliver billions of ad impressions, millions of clicks daily, and break fresh ground to create world\-class products. We are a highly motivated, fast\-paced, and collaborative team with an entrepreneurial spirit.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9">
      <c r="A99" t="inlineStr">
        <is>
          <t>in-337a2fe23a649de4</t>
        </is>
      </c>
      <c r="B99" t="inlineStr">
        <is>
          <t>Applied Scientist, Workplace Health &amp; Safety</t>
        </is>
      </c>
      <c r="C99" t="inlineStr">
        <is>
          <t>Amazon.com</t>
        </is>
      </c>
      <c r="D99" t="inlineStr">
        <is>
          <t>indeed</t>
        </is>
      </c>
      <c r="E99">
        <f>HYPERLINK("https://www.indeed.com/viewjob?jk=337a2fe23a649de4", "https://www.indeed.com/viewjob?jk=337a2fe23a649de4")</f>
        <v/>
      </c>
      <c r="F99">
        <f>HYPERLINK("https://www.amazon.jobs/jobs/3144886/applied-scientist-workplace-health--safety-?cmpid=DA_INAD200785B", "https://www.amazon.jobs/jobs/3144886/applied-scientist-workplace-health--safety-?cmpid=DA_INAD200785B")</f>
        <v/>
      </c>
      <c r="G99" t="inlineStr">
        <is>
          <t>Nashville, TN, US</t>
        </is>
      </c>
      <c r="H99" s="3" t="n">
        <v>45917</v>
      </c>
      <c r="I99"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0">
      <c r="A100" t="inlineStr">
        <is>
          <t>in-c2d64fb867fe209c</t>
        </is>
      </c>
      <c r="B100" t="inlineStr">
        <is>
          <t>Applied Scientist, Workplace Health &amp; Safety</t>
        </is>
      </c>
      <c r="C100" t="inlineStr">
        <is>
          <t>Amazon.com</t>
        </is>
      </c>
      <c r="D100" t="inlineStr">
        <is>
          <t>indeed</t>
        </is>
      </c>
      <c r="E100">
        <f>HYPERLINK("https://www.indeed.com/viewjob?jk=c2d64fb867fe209c", "https://www.indeed.com/viewjob?jk=c2d64fb867fe209c")</f>
        <v/>
      </c>
      <c r="F100">
        <f>HYPERLINK("https://www.amazon.jobs/jobs/3144886/applied-scientist-workplace-health--safety-?cmpid=DA_INAD200785B", "https://www.amazon.jobs/jobs/3144886/applied-scientist-workplace-health--safety-?cmpid=DA_INAD200785B")</f>
        <v/>
      </c>
      <c r="G100" t="inlineStr">
        <is>
          <t>Bellevue, WA, US</t>
        </is>
      </c>
      <c r="H100" s="3" t="n">
        <v>45917</v>
      </c>
      <c r="I100"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1">
      <c r="A101" t="inlineStr">
        <is>
          <t>in-88fd221c22b5abee</t>
        </is>
      </c>
      <c r="B101" t="inlineStr">
        <is>
          <t>Applied Scientist II, Creative X - RAPID</t>
        </is>
      </c>
      <c r="C101" t="inlineStr">
        <is>
          <t>Amazon.com</t>
        </is>
      </c>
      <c r="D101" t="inlineStr">
        <is>
          <t>indeed</t>
        </is>
      </c>
      <c r="E101">
        <f>HYPERLINK("https://www.indeed.com/viewjob?jk=88fd221c22b5abee", "https://www.indeed.com/viewjob?jk=88fd221c22b5abee")</f>
        <v/>
      </c>
      <c r="F101">
        <f>HYPERLINK("https://www.amazon.jobs/jobs/3083576/applied-scientist-ii-creative-x--rapid?cmpid=DA_INAD200785B", "https://www.amazon.jobs/jobs/3083576/applied-scientist-ii-creative-x--rapid?cmpid=DA_INAD200785B")</f>
        <v/>
      </c>
      <c r="G101" t="inlineStr">
        <is>
          <t>New York, NY, US</t>
        </is>
      </c>
      <c r="H101" s="3" t="n">
        <v>45908</v>
      </c>
      <c r="I101" t="inlineStr">
        <is>
          <t>**DESCRIPTION**
---------------
About Amazon Advertising:  
Amazon Advertising operates at the intersection of eCommerce and advertising, offering a rich array of digital display advertising solutions with the goal of helping our customers find and discover anything they want to buy. We help advertisers of all types to reach Amazon customers on Amazon.com, across our other owned and operated sites, on other high quality sites across the web, and on millions of mobile devices. We start with the customer and work backwards in everything we do, including advertising. If you’re interested in joining a rapidly growing team working to build a unique, world\-class advertising group with a relentless focus on the customer, you’ve come to the right place.  
About our team:  
Our team, CreativeX optimizations, is responsible for tailoring the visual experience of ads to each context in real time. To accomplish this, we are investing in latent\-diffusion models, large language models (LLM), reinforced learning (RL), Computer Vision, and related methods.  
Key job responsibilities  
We are looking for talented Applied Scientists who are adept at a variety of skills, especially with reinforcement learning and recommendations, and familiarity with LLMs, latent diffusion, or related foundational models that will accelerate our plans to dynamically optimize ad creatives on behalf of advertisers. Every member of the team is expected to build customer (advertiser) facing features, contribute to the collaborative spirit within the team, publish, patent, and bring state\-of\-the\-art research to raise the bar within the team.
**BASIC QUALIFICATIONS**
------------------------
* PhD, or Master's degree and 3\+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 Experience building machine learning models or developing algorithms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2">
      <c r="A102" t="inlineStr">
        <is>
          <t>in-c7bf11f2fe31581d</t>
        </is>
      </c>
      <c r="B102" t="inlineStr">
        <is>
          <t>Applied Scientist II, Creative X - RAPID</t>
        </is>
      </c>
      <c r="C102" t="inlineStr">
        <is>
          <t>Amazon.com</t>
        </is>
      </c>
      <c r="D102" t="inlineStr">
        <is>
          <t>indeed</t>
        </is>
      </c>
      <c r="E102">
        <f>HYPERLINK("https://www.indeed.com/viewjob?jk=c7bf11f2fe31581d", "https://www.indeed.com/viewjob?jk=c7bf11f2fe31581d")</f>
        <v/>
      </c>
      <c r="F102">
        <f>HYPERLINK("https://www.amazon.jobs/jobs/3083576/applied-scientist-ii-creative-x--rapid?cmpid=DA_INAD200785B", "https://www.amazon.jobs/jobs/3083576/applied-scientist-ii-creative-x--rapid?cmpid=DA_INAD200785B")</f>
        <v/>
      </c>
      <c r="G102" t="inlineStr">
        <is>
          <t>Seattle, WA, US</t>
        </is>
      </c>
      <c r="H102" s="3" t="n">
        <v>45908</v>
      </c>
      <c r="I102" t="inlineStr">
        <is>
          <t>**DESCRIPTION**
---------------
About Amazon Advertising:  
Amazon Advertising operates at the intersection of eCommerce and advertising, offering a rich array of digital display advertising solutions with the goal of helping our customers find and discover anything they want to buy. We help advertisers of all types to reach Amazon customers on Amazon.com, across our other owned and operated sites, on other high quality sites across the web, and on millions of mobile devices. We start with the customer and work backwards in everything we do, including advertising. If you’re interested in joining a rapidly growing team working to build a unique, world\-class advertising group with a relentless focus on the customer, you’ve come to the right place.  
About our team:  
Our team, CreativeX optimizations, is responsible for tailoring the visual experience of ads to each context in real time. To accomplish this, we are investing in latent\-diffusion models, large language models (LLM), reinforced learning (RL), Computer Vision, and related methods.  
Key job responsibilities  
We are looking for talented Applied Scientists who are adept at a variety of skills, especially with reinforcement learning and recommendations, and familiarity with LLMs, latent diffusion, or related foundational models that will accelerate our plans to dynamically optimize ad creatives on behalf of advertisers. Every member of the team is expected to build customer (advertiser) facing features, contribute to the collaborative spirit within the team, publish, patent, and bring state\-of\-the\-art research to raise the bar within the team.
**BASIC QUALIFICATIONS**
------------------------
* PhD, or Master's degree and 3\+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 Experience building machine learning models or developing algorithms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3">
      <c r="A103" t="inlineStr">
        <is>
          <t>in-532578c5984439e2</t>
        </is>
      </c>
      <c r="B103" t="inlineStr">
        <is>
          <t>Senior Applied Scientist, Agentic AI for Data Analytics and Science, Speed Analytics and Science</t>
        </is>
      </c>
      <c r="C103" t="inlineStr">
        <is>
          <t>Amazon.com</t>
        </is>
      </c>
      <c r="D103" t="inlineStr">
        <is>
          <t>indeed</t>
        </is>
      </c>
      <c r="E103">
        <f>HYPERLINK("https://www.indeed.com/viewjob?jk=532578c5984439e2", "https://www.indeed.com/viewjob?jk=532578c5984439e2")</f>
        <v/>
      </c>
      <c r="F103">
        <f>HYPERLINK("https://www.amazon.jobs/jobs/3068727/senior-applied-scientist-agentic-ai-for-data-analytics-and-science-speed-analytics-and-science?cmpid=DA_INAD200785B", "https://www.amazon.jobs/jobs/3068727/senior-applied-scientist-agentic-ai-for-data-analytics-and-science-speed-analytics-and-science?cmpid=DA_INAD200785B")</f>
        <v/>
      </c>
      <c r="G103" t="inlineStr">
        <is>
          <t>Bellevue, WA, US</t>
        </is>
      </c>
      <c r="H103" s="3" t="n">
        <v>45880</v>
      </c>
      <c r="I103" t="inlineStr">
        <is>
          <t>**DESCRIPTION**
---------------
Are you passionate about building intelligent AI systems that deliver insights and shape strategic decisions at scale? Do you want to redefine how analytics is done by leveraging generative AI and autonomous agents?  
Amazon’s North American Transportation Data Science \&amp; Analytics team is looking for an exceptional Applied Scientist to lead the development of agentic AI solutions that simulate, reason, and deliver insights across our complex transportation network. You will build intelligent agents that act as data analysts—identifying patterns, generating hypotheses, and accelerating decision\-making for high\-impact logistics and delivery challenges.  
This is a high\-impact role that combines deep scientific thinking with practical system building. You'll work closely with product, engineering, and science teams across domains—including planning, forecasting, supply chain, and operations—to shape the future of how Amazon analyzes and improves delivery speed to customers. Delivery speed is one of Amazon’s key differentiators and a critical driver of customer satisfaction. This is a fast\-moving, customer\-obsessed space where the work you do will have direct and measurable impact on the customer experience across North America.  
Key job responsibilities  
* Design, build, and deploy autonomous AI agents that support advanced analytics and experimentation workflows in transportation.
* Develop agents that can interact with APIs, query internal data/knowledge sources, and reason over structured and unstructured data.
* Collaborate with Data Scientists, BIEs, and Engineers to integrate agentic systems into existing analytical pipelines and business tools.
* Use agentic AI to simulate customer or system behavior and define new performance and quality metrics for delivery experience.
* Develop evaluation frameworks to measure agent performance, scalability, and business impact.
* Contribute to the development of shared infrastructure for agent development—such as reusable APIs, prompt libraries, and model registries.
* Partner with internal AWS teams to stay aligned with best\-in\-class tools and infrastructure for generative and agentic AI.
* Stay current on emerging AI/ML technologies and act as an evangelist within the team—driving adoption of new approaches and ensuring scalable, modern solutions are leveraged where appropriate.
* Guide quality improvement programs through data\-driven insights generated by agentic systems.
About the team  
We enable data\-driven decision\-making for Amazon’s North American Transportation network by combining deep analytics, causal modeling, and experimentation. Our team supports business and tech stakeholders across planning, delivery, and customer experience by developing scalable tools, dashboards, and metrics. As we evolve toward agentic and generative AI, we are reimagining how insights are produced—moving from static reports to intelligent, autonomous systems that proactively surface opportunities and drive operational excellence.**BASIC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4">
      <c r="A104" t="inlineStr">
        <is>
          <t>in-8b7f6ed7b32da586</t>
        </is>
      </c>
      <c r="B104" t="inlineStr">
        <is>
          <t>Senior Applied Scientist, Agentic AI for Data Analytics and Science, Speed Analytics and Science</t>
        </is>
      </c>
      <c r="C104" t="inlineStr">
        <is>
          <t>Amazon.com</t>
        </is>
      </c>
      <c r="D104" t="inlineStr">
        <is>
          <t>indeed</t>
        </is>
      </c>
      <c r="E104">
        <f>HYPERLINK("https://www.indeed.com/viewjob?jk=8b7f6ed7b32da586", "https://www.indeed.com/viewjob?jk=8b7f6ed7b32da586")</f>
        <v/>
      </c>
      <c r="F104">
        <f>HYPERLINK("https://www.amazon.jobs/jobs/3068727/senior-applied-scientist-agentic-ai-for-data-analytics-and-science-speed-analytics-and-science?cmpid=DA_INAD200785B", "https://www.amazon.jobs/jobs/3068727/senior-applied-scientist-agentic-ai-for-data-analytics-and-science-speed-analytics-and-science?cmpid=DA_INAD200785B")</f>
        <v/>
      </c>
      <c r="G104" t="inlineStr">
        <is>
          <t>Tempe, AZ, US</t>
        </is>
      </c>
      <c r="H104" s="3" t="n">
        <v>45880</v>
      </c>
      <c r="I104" t="inlineStr">
        <is>
          <t>**DESCRIPTION**
---------------
Are you passionate about building intelligent AI systems that deliver insights and shape strategic decisions at scale? Do you want to redefine how analytics is done by leveraging generative AI and autonomous agents?  
Amazon’s North American Transportation Data Science \&amp; Analytics team is looking for an exceptional Applied Scientist to lead the development of agentic AI solutions that simulate, reason, and deliver insights across our complex transportation network. You will build intelligent agents that act as data analysts—identifying patterns, generating hypotheses, and accelerating decision\-making for high\-impact logistics and delivery challenges.  
This is a high\-impact role that combines deep scientific thinking with practical system building. You'll work closely with product, engineering, and science teams across domains—including planning, forecasting, supply chain, and operations—to shape the future of how Amazon analyzes and improves delivery speed to customers. Delivery speed is one of Amazon’s key differentiators and a critical driver of customer satisfaction. This is a fast\-moving, customer\-obsessed space where the work you do will have direct and measurable impact on the customer experience across North America.  
Key job responsibilities  
* Design, build, and deploy autonomous AI agents that support advanced analytics and experimentation workflows in transportation.
* Develop agents that can interact with APIs, query internal data/knowledge sources, and reason over structured and unstructured data.
* Collaborate with Data Scientists, BIEs, and Engineers to integrate agentic systems into existing analytical pipelines and business tools.
* Use agentic AI to simulate customer or system behavior and define new performance and quality metrics for delivery experience.
* Develop evaluation frameworks to measure agent performance, scalability, and business impact.
* Contribute to the development of shared infrastructure for agent development—such as reusable APIs, prompt libraries, and model registries.
* Partner with internal AWS teams to stay aligned with best\-in\-class tools and infrastructure for generative and agentic AI.
* Stay current on emerging AI/ML technologies and act as an evangelist within the team—driving adoption of new approaches and ensuring scalable, modern solutions are leveraged where appropriate.
* Guide quality improvement programs through data\-driven insights generated by agentic systems.
About the team  
We enable data\-driven decision\-making for Amazon’s North American Transportation network by combining deep analytics, causal modeling, and experimentation. Our team supports business and tech stakeholders across planning, delivery, and customer experience by developing scalable tools, dashboards, and metrics. As we evolve toward agentic and generative AI, we are reimagining how insights are produced—moving from static reports to intelligent, autonomous systems that proactively surface opportunities and drive operational excellence.**BASIC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5">
      <c r="A105" t="inlineStr">
        <is>
          <t>in-639e8081a097da74</t>
        </is>
      </c>
      <c r="B105" t="inlineStr">
        <is>
          <t>Sr. Applied Scientist, Amazon Advertising</t>
        </is>
      </c>
      <c r="C105" t="inlineStr">
        <is>
          <t>Amazon.com</t>
        </is>
      </c>
      <c r="D105" t="inlineStr">
        <is>
          <t>indeed</t>
        </is>
      </c>
      <c r="E105">
        <f>HYPERLINK("https://www.indeed.com/viewjob?jk=639e8081a097da74", "https://www.indeed.com/viewjob?jk=639e8081a097da74")</f>
        <v/>
      </c>
      <c r="F105">
        <f>HYPERLINK("https://www.amazon.jobs/jobs/3035686/sr-applied-scientist-amazon-advertising?cmpid=DA_INAD200785B", "https://www.amazon.jobs/jobs/3035686/sr-applied-scientist-amazon-advertising?cmpid=DA_INAD200785B")</f>
        <v/>
      </c>
      <c r="G105" t="inlineStr">
        <is>
          <t>Seattle, WA, US</t>
        </is>
      </c>
      <c r="H105" s="3" t="n">
        <v>45851</v>
      </c>
      <c r="I105"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6">
      <c r="A106" t="inlineStr">
        <is>
          <t>in-e46048ed0aea925b</t>
        </is>
      </c>
      <c r="B106" t="inlineStr">
        <is>
          <t>Sr. Applied Scientist, Amazon Advertising</t>
        </is>
      </c>
      <c r="C106" t="inlineStr">
        <is>
          <t>Amazon.com</t>
        </is>
      </c>
      <c r="D106" t="inlineStr">
        <is>
          <t>indeed</t>
        </is>
      </c>
      <c r="E106">
        <f>HYPERLINK("https://www.indeed.com/viewjob?jk=e46048ed0aea925b", "https://www.indeed.com/viewjob?jk=e46048ed0aea925b")</f>
        <v/>
      </c>
      <c r="F106">
        <f>HYPERLINK("https://www.amazon.jobs/jobs/3035686/sr-applied-scientist-amazon-advertising?cmpid=DA_INAD200785B", "https://www.amazon.jobs/jobs/3035686/sr-applied-scientist-amazon-advertising?cmpid=DA_INAD200785B")</f>
        <v/>
      </c>
      <c r="G106" t="inlineStr">
        <is>
          <t>Palo Alto, CA, US</t>
        </is>
      </c>
      <c r="H106" s="3" t="n">
        <v>45851</v>
      </c>
      <c r="I106"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7">
      <c r="A107" t="inlineStr">
        <is>
          <t>in-ec3a4a7a6afdad6b</t>
        </is>
      </c>
      <c r="B107" t="inlineStr">
        <is>
          <t>Sr. Applied Scientist, Amazon Advertising</t>
        </is>
      </c>
      <c r="C107" t="inlineStr">
        <is>
          <t>Amazon.com</t>
        </is>
      </c>
      <c r="D107" t="inlineStr">
        <is>
          <t>indeed</t>
        </is>
      </c>
      <c r="E107">
        <f>HYPERLINK("https://www.indeed.com/viewjob?jk=ec3a4a7a6afdad6b", "https://www.indeed.com/viewjob?jk=ec3a4a7a6afdad6b")</f>
        <v/>
      </c>
      <c r="F107">
        <f>HYPERLINK("https://www.amazon.jobs/jobs/3035686/sr-applied-scientist-amazon-advertising?cmpid=DA_INAD200785B", "https://www.amazon.jobs/jobs/3035686/sr-applied-scientist-amazon-advertising?cmpid=DA_INAD200785B")</f>
        <v/>
      </c>
      <c r="G107" t="inlineStr">
        <is>
          <t>Simi Valley, CA, US</t>
        </is>
      </c>
      <c r="H107" s="3" t="n">
        <v>45851</v>
      </c>
      <c r="I107"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8">
      <c r="A108" t="inlineStr">
        <is>
          <t>in-0a1612949e7fe922</t>
        </is>
      </c>
      <c r="B108" t="inlineStr">
        <is>
          <t>Sr. Applied Scientist, Amazon Advertising</t>
        </is>
      </c>
      <c r="C108" t="inlineStr">
        <is>
          <t>Amazon.com</t>
        </is>
      </c>
      <c r="D108" t="inlineStr">
        <is>
          <t>indeed</t>
        </is>
      </c>
      <c r="E108">
        <f>HYPERLINK("https://www.indeed.com/viewjob?jk=0a1612949e7fe922", "https://www.indeed.com/viewjob?jk=0a1612949e7fe922")</f>
        <v/>
      </c>
      <c r="F108">
        <f>HYPERLINK("https://www.amazon.jobs/jobs/3035686/sr-applied-scientist-amazon-advertising?cmpid=DA_INAD200785B", "https://www.amazon.jobs/jobs/3035686/sr-applied-scientist-amazon-advertising?cmpid=DA_INAD200785B")</f>
        <v/>
      </c>
      <c r="G108" t="inlineStr">
        <is>
          <t>New York, NY, US</t>
        </is>
      </c>
      <c r="H108" s="3" t="n">
        <v>45851</v>
      </c>
      <c r="I108"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9">
      <c r="A109" t="inlineStr">
        <is>
          <t>in-a412af1937e532c1</t>
        </is>
      </c>
      <c r="B109" t="inlineStr">
        <is>
          <t>Sr. Applied Scientist, Amazon Advertising</t>
        </is>
      </c>
      <c r="C109" t="inlineStr">
        <is>
          <t>Amazon.com</t>
        </is>
      </c>
      <c r="D109" t="inlineStr">
        <is>
          <t>indeed</t>
        </is>
      </c>
      <c r="E109">
        <f>HYPERLINK("https://www.indeed.com/viewjob?jk=a412af1937e532c1", "https://www.indeed.com/viewjob?jk=a412af1937e532c1")</f>
        <v/>
      </c>
      <c r="F109">
        <f>HYPERLINK("https://www.amazon.jobs/jobs/3035686/sr-applied-scientist-amazon-advertising?cmpid=DA_INAD200785B", "https://www.amazon.jobs/jobs/3035686/sr-applied-scientist-amazon-advertising?cmpid=DA_INAD200785B")</f>
        <v/>
      </c>
      <c r="G109" t="inlineStr">
        <is>
          <t>Los Angeles, CA, US</t>
        </is>
      </c>
      <c r="H109" s="3" t="n">
        <v>45851</v>
      </c>
      <c r="I109"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0">
      <c r="A110" t="inlineStr">
        <is>
          <t>in-313ee93182f41d0b</t>
        </is>
      </c>
      <c r="B110" t="inlineStr">
        <is>
          <t>Sr. Applied Scientist, Amazon Advertising</t>
        </is>
      </c>
      <c r="C110" t="inlineStr">
        <is>
          <t>Amazon.com</t>
        </is>
      </c>
      <c r="D110" t="inlineStr">
        <is>
          <t>indeed</t>
        </is>
      </c>
      <c r="E110">
        <f>HYPERLINK("https://www.indeed.com/viewjob?jk=313ee93182f41d0b", "https://www.indeed.com/viewjob?jk=313ee93182f41d0b")</f>
        <v/>
      </c>
      <c r="F110">
        <f>HYPERLINK("https://www.amazon.jobs/jobs/3035686/sr-applied-scientist-amazon-advertising?cmpid=DA_INAD200785B", "https://www.amazon.jobs/jobs/3035686/sr-applied-scientist-amazon-advertising?cmpid=DA_INAD200785B")</f>
        <v/>
      </c>
      <c r="G110" t="inlineStr">
        <is>
          <t>West Hollywood, CA, US</t>
        </is>
      </c>
      <c r="H110" s="3" t="n">
        <v>45851</v>
      </c>
      <c r="I110"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1">
      <c r="A111" t="inlineStr">
        <is>
          <t>in-16ea76ebf298b129</t>
        </is>
      </c>
      <c r="B111" t="inlineStr">
        <is>
          <t>Sr. Applied Scientist, Amazon Advertising</t>
        </is>
      </c>
      <c r="C111" t="inlineStr">
        <is>
          <t>Amazon.com</t>
        </is>
      </c>
      <c r="D111" t="inlineStr">
        <is>
          <t>indeed</t>
        </is>
      </c>
      <c r="E111">
        <f>HYPERLINK("https://www.indeed.com/viewjob?jk=16ea76ebf298b129", "https://www.indeed.com/viewjob?jk=16ea76ebf298b129")</f>
        <v/>
      </c>
      <c r="F111">
        <f>HYPERLINK("https://www.amazon.jobs/jobs/3035686/sr-applied-scientist-amazon-advertising?cmpid=DA_INAD200785B", "https://www.amazon.jobs/jobs/3035686/sr-applied-scientist-amazon-advertising?cmpid=DA_INAD200785B")</f>
        <v/>
      </c>
      <c r="G111" t="inlineStr">
        <is>
          <t>Austin, TX, US</t>
        </is>
      </c>
      <c r="H111" s="3" t="n">
        <v>45851</v>
      </c>
      <c r="I111"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2">
      <c r="A112" t="inlineStr">
        <is>
          <t>in-47204aac83a13168</t>
        </is>
      </c>
      <c r="B112" t="inlineStr">
        <is>
          <t>Sr. Applied Scientist, Amazon Advertising</t>
        </is>
      </c>
      <c r="C112" t="inlineStr">
        <is>
          <t>Amazon.com</t>
        </is>
      </c>
      <c r="D112" t="inlineStr">
        <is>
          <t>indeed</t>
        </is>
      </c>
      <c r="E112">
        <f>HYPERLINK("https://www.indeed.com/viewjob?jk=47204aac83a13168", "https://www.indeed.com/viewjob?jk=47204aac83a13168")</f>
        <v/>
      </c>
      <c r="F112">
        <f>HYPERLINK("https://www.amazon.jobs/jobs/3035686/sr-applied-scientist-amazon-advertising?cmpid=DA_INAD200785B", "https://www.amazon.jobs/jobs/3035686/sr-applied-scientist-amazon-advertising?cmpid=DA_INAD200785B")</f>
        <v/>
      </c>
      <c r="G112" t="inlineStr">
        <is>
          <t>Arlington, VA, US</t>
        </is>
      </c>
      <c r="H112" s="3" t="n">
        <v>45851</v>
      </c>
      <c r="I112"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3">
      <c r="A113" t="inlineStr">
        <is>
          <t>in-a8e87f96e0f7bcb5</t>
        </is>
      </c>
      <c r="B113" t="inlineStr">
        <is>
          <t>Senior Applied Scientist, Artificial General Intelligence</t>
        </is>
      </c>
      <c r="C113" t="inlineStr">
        <is>
          <t>Amazon.com</t>
        </is>
      </c>
      <c r="D113" t="inlineStr">
        <is>
          <t>indeed</t>
        </is>
      </c>
      <c r="E113">
        <f>HYPERLINK("https://www.indeed.com/viewjob?jk=a8e87f96e0f7bcb5", "https://www.indeed.com/viewjob?jk=a8e87f96e0f7bcb5")</f>
        <v/>
      </c>
      <c r="F113">
        <f>HYPERLINK("https://www.amazon.jobs/jobs/3032183/senior-applied-scientist-artificial-general-intelligence?cmpid=DA_INAD200785B", "https://www.amazon.jobs/jobs/3032183/senior-applied-scientist-artificial-general-intelligence?cmpid=DA_INAD200785B")</f>
        <v/>
      </c>
      <c r="G113" t="inlineStr">
        <is>
          <t>Sunnyvale, CA, US</t>
        </is>
      </c>
      <c r="H113" s="3" t="n">
        <v>45838</v>
      </c>
      <c r="I113"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4">
      <c r="A114" t="inlineStr">
        <is>
          <t>in-77d75291345a8b84</t>
        </is>
      </c>
      <c r="B114" t="inlineStr">
        <is>
          <t>Senior Applied Scientist, Artificial General Intelligence</t>
        </is>
      </c>
      <c r="C114" t="inlineStr">
        <is>
          <t>Amazon.com</t>
        </is>
      </c>
      <c r="D114" t="inlineStr">
        <is>
          <t>indeed</t>
        </is>
      </c>
      <c r="E114">
        <f>HYPERLINK("https://www.indeed.com/viewjob?jk=77d75291345a8b84", "https://www.indeed.com/viewjob?jk=77d75291345a8b84")</f>
        <v/>
      </c>
      <c r="F114">
        <f>HYPERLINK("https://www.amazon.jobs/jobs/3032183/senior-applied-scientist-artificial-general-intelligence?cmpid=DA_INAD200785B", "https://www.amazon.jobs/jobs/3032183/senior-applied-scientist-artificial-general-intelligence?cmpid=DA_INAD200785B")</f>
        <v/>
      </c>
      <c r="G114" t="inlineStr">
        <is>
          <t>Boston, MA, US</t>
        </is>
      </c>
      <c r="H114" s="3" t="n">
        <v>45838</v>
      </c>
      <c r="I114"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5">
      <c r="A115" t="inlineStr">
        <is>
          <t>in-13694ebb0a0542c8</t>
        </is>
      </c>
      <c r="B115" t="inlineStr">
        <is>
          <t>Senior Applied Scientist, Artificial General Intelligence</t>
        </is>
      </c>
      <c r="C115" t="inlineStr">
        <is>
          <t>Amazon.com</t>
        </is>
      </c>
      <c r="D115" t="inlineStr">
        <is>
          <t>indeed</t>
        </is>
      </c>
      <c r="E115">
        <f>HYPERLINK("https://www.indeed.com/viewjob?jk=13694ebb0a0542c8", "https://www.indeed.com/viewjob?jk=13694ebb0a0542c8")</f>
        <v/>
      </c>
      <c r="F115">
        <f>HYPERLINK("https://www.amazon.jobs/jobs/3032183/senior-applied-scientist-artificial-general-intelligence?cmpid=DA_INAD200785B", "https://www.amazon.jobs/jobs/3032183/senior-applied-scientist-artificial-general-intelligence?cmpid=DA_INAD200785B")</f>
        <v/>
      </c>
      <c r="G115" t="inlineStr">
        <is>
          <t>New York, NY, US</t>
        </is>
      </c>
      <c r="H115" s="3" t="n">
        <v>45838</v>
      </c>
      <c r="I115"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6">
      <c r="A116" t="inlineStr">
        <is>
          <t>in-2e23f6e6e15ac149</t>
        </is>
      </c>
      <c r="B116" t="inlineStr">
        <is>
          <t>Sr. Applied Scientist, Sales AI</t>
        </is>
      </c>
      <c r="C116" t="inlineStr">
        <is>
          <t>Amazon.com</t>
        </is>
      </c>
      <c r="D116" t="inlineStr">
        <is>
          <t>indeed</t>
        </is>
      </c>
      <c r="E116">
        <f>HYPERLINK("https://www.indeed.com/viewjob?jk=2e23f6e6e15ac149", "https://www.indeed.com/viewjob?jk=2e23f6e6e15ac149")</f>
        <v/>
      </c>
      <c r="F116">
        <f>HYPERLINK("https://www.amazon.jobs/jobs/3020528/sr-applied-scientist-sales-ai?cmpid=DA_INAD200785B", "https://www.amazon.jobs/jobs/3020528/sr-applied-scientist-sales-ai?cmpid=DA_INAD200785B")</f>
        <v/>
      </c>
      <c r="G116" t="inlineStr">
        <is>
          <t>New York, NY, US</t>
        </is>
      </c>
      <c r="H116" s="3" t="n">
        <v>45830</v>
      </c>
      <c r="I116"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7">
      <c r="A117" t="inlineStr">
        <is>
          <t>in-d6e0ebb2fea1d4e8</t>
        </is>
      </c>
      <c r="B117" t="inlineStr">
        <is>
          <t>Sr. Applied Scientist, Sales AI</t>
        </is>
      </c>
      <c r="C117" t="inlineStr">
        <is>
          <t>Amazon.com</t>
        </is>
      </c>
      <c r="D117" t="inlineStr">
        <is>
          <t>indeed</t>
        </is>
      </c>
      <c r="E117">
        <f>HYPERLINK("https://www.indeed.com/viewjob?jk=d6e0ebb2fea1d4e8", "https://www.indeed.com/viewjob?jk=d6e0ebb2fea1d4e8")</f>
        <v/>
      </c>
      <c r="F117">
        <f>HYPERLINK("https://www.amazon.jobs/jobs/3020528/sr-applied-scientist-sales-ai?cmpid=DA_INAD200785B", "https://www.amazon.jobs/jobs/3020528/sr-applied-scientist-sales-ai?cmpid=DA_INAD200785B")</f>
        <v/>
      </c>
      <c r="G117" t="inlineStr">
        <is>
          <t>Sunnyvale, CA, US</t>
        </is>
      </c>
      <c r="H117" s="3" t="n">
        <v>45830</v>
      </c>
      <c r="I117"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8">
      <c r="A118" t="inlineStr">
        <is>
          <t>in-f3705708b2c58353</t>
        </is>
      </c>
      <c r="B118" t="inlineStr">
        <is>
          <t>Sr. Applied Scientist, Sales AI</t>
        </is>
      </c>
      <c r="C118" t="inlineStr">
        <is>
          <t>Amazon.com</t>
        </is>
      </c>
      <c r="D118" t="inlineStr">
        <is>
          <t>indeed</t>
        </is>
      </c>
      <c r="E118">
        <f>HYPERLINK("https://www.indeed.com/viewjob?jk=f3705708b2c58353", "https://www.indeed.com/viewjob?jk=f3705708b2c58353")</f>
        <v/>
      </c>
      <c r="F118">
        <f>HYPERLINK("https://www.amazon.jobs/jobs/3020528/sr-applied-scientist-sales-ai?cmpid=DA_INAD200785B", "https://www.amazon.jobs/jobs/3020528/sr-applied-scientist-sales-ai?cmpid=DA_INAD200785B")</f>
        <v/>
      </c>
      <c r="G118" t="inlineStr">
        <is>
          <t>Seattle, WA, US</t>
        </is>
      </c>
      <c r="H118" s="3" t="n">
        <v>45830</v>
      </c>
      <c r="I118"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9">
      <c r="A119" t="inlineStr">
        <is>
          <t>in-7ff3ebbbab111319</t>
        </is>
      </c>
      <c r="B119" t="inlineStr">
        <is>
          <t>Sr. Applied Scientist, AGI Info</t>
        </is>
      </c>
      <c r="C119" t="inlineStr">
        <is>
          <t>Amazon.com</t>
        </is>
      </c>
      <c r="D119" t="inlineStr">
        <is>
          <t>indeed</t>
        </is>
      </c>
      <c r="E119">
        <f>HYPERLINK("https://www.indeed.com/viewjob?jk=7ff3ebbbab111319", "https://www.indeed.com/viewjob?jk=7ff3ebbbab111319")</f>
        <v/>
      </c>
      <c r="F119">
        <f>HYPERLINK("https://www.amazon.jobs/jobs/2999351/sr-applied-scientist-agi-info?cmpid=DA_INAD200785B", "https://www.amazon.jobs/jobs/2999351/sr-applied-scientist-agi-info?cmpid=DA_INAD200785B")</f>
        <v/>
      </c>
      <c r="G119" t="inlineStr">
        <is>
          <t>Bellevue, WA, US</t>
        </is>
      </c>
      <c r="H119" s="3" t="n">
        <v>45811</v>
      </c>
      <c r="I119" t="inlineStr">
        <is>
          <t>**DESCRIPTION**
---------------
Amazon’s Artificial General Intelligence (AGI) organization is developing a next\-generation web\-scale information retrieval system to support RAG applications across Amazon. We are looking for a Sr. Applied Scientist with expertise in information retrieval (IR) and ranking to join the team!  
If you are looking for an opportunity to develop innovative solutions to deep technical problems in web\-scale IR, having a massive customer impact, this might be the role for you! As a Sr. Applied Scientist, you will work with smart, passionate colleagues in a fast\-paced environment. You will invent, develop, and help deploy novel, scalable algorithms to advance the state\-of\-the\-art in our IR stack. You will keep up with relevant research in the field of IR and publish your work in top\-tier conferences. You will develop and help lead the execution of multi\-year research roadmaps, enabling the team to focus on the right technical challenges to delight our customers.  
Key job responsibilities  
You will lead a team of scientists to improve our RAG applications. You will be responsible for: (i) developing novel retrieval and ranking models and partnering closely with engineering to improve model performance; (ii) improve content and query understanding models to deliver improved signal to retrieval and ranking models; (iii) partner closely with content acquisition and client teams to ensure our dependencies are met and we’re delivering value to the end customers, enhancing information grounding for LLMs; (iv) develop science roadmaps for critical web search components; (v) publish your work and remain active in the academic communities; (vi) coach and develop junior scientists.  
A day in the life  
A mix of (i) technical deep dives: working with the team to develop the right models, setup good experiments, debug models, etc. (ii) coaching and development: providing feedback, setting up mechanisms to ensure the team’s success, and (iii) working with customers and dependency teams to ensure delivery.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Experience with conducting research in a corporate setting
* Experience with large scale machine learning systems such as profiling and debugging and understanding of system performance and scalability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0">
      <c r="A120" t="inlineStr">
        <is>
          <t>in-3f6ad0ee30ed75c5</t>
        </is>
      </c>
      <c r="B120" t="inlineStr">
        <is>
          <t>Sr. Applied Scientist, AGI Info</t>
        </is>
      </c>
      <c r="C120" t="inlineStr">
        <is>
          <t>Amazon.com</t>
        </is>
      </c>
      <c r="D120" t="inlineStr">
        <is>
          <t>indeed</t>
        </is>
      </c>
      <c r="E120">
        <f>HYPERLINK("https://www.indeed.com/viewjob?jk=3f6ad0ee30ed75c5", "https://www.indeed.com/viewjob?jk=3f6ad0ee30ed75c5")</f>
        <v/>
      </c>
      <c r="F120">
        <f>HYPERLINK("https://www.amazon.jobs/jobs/2999351/sr-applied-scientist-agi-info?cmpid=DA_INAD200785B", "https://www.amazon.jobs/jobs/2999351/sr-applied-scientist-agi-info?cmpid=DA_INAD200785B")</f>
        <v/>
      </c>
      <c r="G120" t="inlineStr">
        <is>
          <t>Sunnyvale, CA, US</t>
        </is>
      </c>
      <c r="H120" s="3" t="n">
        <v>45811</v>
      </c>
      <c r="I120" t="inlineStr">
        <is>
          <t>**DESCRIPTION**
---------------
Amazon’s Artificial General Intelligence (AGI) organization is developing a next\-generation web\-scale information retrieval system to support RAG applications across Amazon. We are looking for a Sr. Applied Scientist with expertise in information retrieval (IR) and ranking to join the team!  
If you are looking for an opportunity to develop innovative solutions to deep technical problems in web\-scale IR, having a massive customer impact, this might be the role for you! As a Sr. Applied Scientist, you will work with smart, passionate colleagues in a fast\-paced environment. You will invent, develop, and help deploy novel, scalable algorithms to advance the state\-of\-the\-art in our IR stack. You will keep up with relevant research in the field of IR and publish your work in top\-tier conferences. You will develop and help lead the execution of multi\-year research roadmaps, enabling the team to focus on the right technical challenges to delight our customers.  
Key job responsibilities  
You will lead a team of scientists to improve our RAG applications. You will be responsible for: (i) developing novel retrieval and ranking models and partnering closely with engineering to improve model performance; (ii) improve content and query understanding models to deliver improved signal to retrieval and ranking models; (iii) partner closely with content acquisition and client teams to ensure our dependencies are met and we’re delivering value to the end customers, enhancing information grounding for LLMs; (iv) develop science roadmaps for critical web search components; (v) publish your work and remain active in the academic communities; (vi) coach and develop junior scientists.  
A day in the life  
A mix of (i) technical deep dives: working with the team to develop the right models, setup good experiments, debug models, etc. (ii) coaching and development: providing feedback, setting up mechanisms to ensure the team’s success, and (iii) working with customers and dependency teams to ensure delivery.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Experience with conducting research in a corporate setting
* Experience with large scale machine learning systems such as profiling and debugging and understanding of system performance and scalability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1">
      <c r="A121" t="inlineStr">
        <is>
          <t>in-6bbd4cd9bb521375</t>
        </is>
      </c>
      <c r="B121" t="inlineStr">
        <is>
          <t>Principal Applied Scientist, Delivery Foundation Model</t>
        </is>
      </c>
      <c r="C121" t="inlineStr">
        <is>
          <t>Amazon.com</t>
        </is>
      </c>
      <c r="D121" t="inlineStr">
        <is>
          <t>indeed</t>
        </is>
      </c>
      <c r="E121">
        <f>HYPERLINK("https://www.indeed.com/viewjob?jk=6bbd4cd9bb521375", "https://www.indeed.com/viewjob?jk=6bbd4cd9bb521375")</f>
        <v/>
      </c>
      <c r="F121">
        <f>HYPERLINK("https://www.amazon.jobs/jobs/3006938/principal-applied-scientist-delivery-foundation-model-?cmpid=DA_INAD200785B", "https://www.amazon.jobs/jobs/3006938/principal-applied-scientist-delivery-foundation-model-?cmpid=DA_INAD200785B")</f>
        <v/>
      </c>
      <c r="G121" t="inlineStr">
        <is>
          <t>New York, NY, US</t>
        </is>
      </c>
      <c r="H121" s="3" t="n">
        <v>45810</v>
      </c>
      <c r="I121"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2">
      <c r="A122" t="inlineStr">
        <is>
          <t>in-7d05c015648be882</t>
        </is>
      </c>
      <c r="B122" t="inlineStr">
        <is>
          <t>Principal Applied Scientist, Delivery Foundation Model</t>
        </is>
      </c>
      <c r="C122" t="inlineStr">
        <is>
          <t>Amazon.com</t>
        </is>
      </c>
      <c r="D122" t="inlineStr">
        <is>
          <t>indeed</t>
        </is>
      </c>
      <c r="E122">
        <f>HYPERLINK("https://www.indeed.com/viewjob?jk=7d05c015648be882", "https://www.indeed.com/viewjob?jk=7d05c015648be882")</f>
        <v/>
      </c>
      <c r="F122">
        <f>HYPERLINK("https://www.amazon.jobs/jobs/3006938/principal-applied-scientist-delivery-foundation-model-?cmpid=DA_INAD200785B", "https://www.amazon.jobs/jobs/3006938/principal-applied-scientist-delivery-foundation-model-?cmpid=DA_INAD200785B")</f>
        <v/>
      </c>
      <c r="G122" t="inlineStr">
        <is>
          <t>Bellevue, WA, US</t>
        </is>
      </c>
      <c r="H122" s="3" t="n">
        <v>45810</v>
      </c>
      <c r="I122"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3">
      <c r="A123" t="inlineStr">
        <is>
          <t>in-53ae0315f3fb28a0</t>
        </is>
      </c>
      <c r="B123" t="inlineStr">
        <is>
          <t>Principal Applied Scientist, Delivery Foundation Model</t>
        </is>
      </c>
      <c r="C123" t="inlineStr">
        <is>
          <t>Amazon.com</t>
        </is>
      </c>
      <c r="D123" t="inlineStr">
        <is>
          <t>indeed</t>
        </is>
      </c>
      <c r="E123">
        <f>HYPERLINK("https://www.indeed.com/viewjob?jk=53ae0315f3fb28a0", "https://www.indeed.com/viewjob?jk=53ae0315f3fb28a0")</f>
        <v/>
      </c>
      <c r="F123">
        <f>HYPERLINK("https://www.amazon.jobs/jobs/3006938/principal-applied-scientist-delivery-foundation-model-?cmpid=DA_INAD200785B", "https://www.amazon.jobs/jobs/3006938/principal-applied-scientist-delivery-foundation-model-?cmpid=DA_INAD200785B")</f>
        <v/>
      </c>
      <c r="G123" t="inlineStr">
        <is>
          <t>Santa Clara, CA, US</t>
        </is>
      </c>
      <c r="H123" s="3" t="n">
        <v>45810</v>
      </c>
      <c r="I123"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4">
      <c r="A124" t="inlineStr">
        <is>
          <t>in-5058b82542acc4ed</t>
        </is>
      </c>
      <c r="B124" t="inlineStr">
        <is>
          <t>Principal Applied Scientist, Delivery Foundation Model</t>
        </is>
      </c>
      <c r="C124" t="inlineStr">
        <is>
          <t>Amazon.com</t>
        </is>
      </c>
      <c r="D124" t="inlineStr">
        <is>
          <t>indeed</t>
        </is>
      </c>
      <c r="E124">
        <f>HYPERLINK("https://www.indeed.com/viewjob?jk=5058b82542acc4ed", "https://www.indeed.com/viewjob?jk=5058b82542acc4ed")</f>
        <v/>
      </c>
      <c r="F124">
        <f>HYPERLINK("https://www.amazon.jobs/jobs/3006938/principal-applied-scientist-delivery-foundation-model-?cmpid=DA_INAD200785B", "https://www.amazon.jobs/jobs/3006938/principal-applied-scientist-delivery-foundation-model-?cmpid=DA_INAD200785B")</f>
        <v/>
      </c>
      <c r="G124" t="inlineStr">
        <is>
          <t>Austin, TX, US</t>
        </is>
      </c>
      <c r="H124" s="3" t="n">
        <v>45810</v>
      </c>
      <c r="I124"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5">
      <c r="A125" t="inlineStr">
        <is>
          <t>in-04a95cef39b72186</t>
        </is>
      </c>
      <c r="B125" t="inlineStr">
        <is>
          <t>Principal Applied Scientist, Delivery Foundation Model</t>
        </is>
      </c>
      <c r="C125" t="inlineStr">
        <is>
          <t>Amazon.com</t>
        </is>
      </c>
      <c r="D125" t="inlineStr">
        <is>
          <t>indeed</t>
        </is>
      </c>
      <c r="E125">
        <f>HYPERLINK("https://www.indeed.com/viewjob?jk=04a95cef39b72186", "https://www.indeed.com/viewjob?jk=04a95cef39b72186")</f>
        <v/>
      </c>
      <c r="F125">
        <f>HYPERLINK("https://www.amazon.jobs/jobs/2998635/principal-applied-scientist-delivery-foundation-model-?cmpid=DA_INAD200785B", "https://www.amazon.jobs/jobs/2998635/principal-applied-scientist-delivery-foundation-model-?cmpid=DA_INAD200785B")</f>
        <v/>
      </c>
      <c r="G125" t="inlineStr">
        <is>
          <t>Bellevue, WA, US</t>
        </is>
      </c>
      <c r="H125" s="3" t="n">
        <v>45757</v>
      </c>
      <c r="I125"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6">
      <c r="A126" t="inlineStr">
        <is>
          <t>in-b4918be544a00626</t>
        </is>
      </c>
      <c r="B126" t="inlineStr">
        <is>
          <t>Principal Applied Scientist, Delivery Foundation Model</t>
        </is>
      </c>
      <c r="C126" t="inlineStr">
        <is>
          <t>Amazon.com</t>
        </is>
      </c>
      <c r="D126" t="inlineStr">
        <is>
          <t>indeed</t>
        </is>
      </c>
      <c r="E126">
        <f>HYPERLINK("https://www.indeed.com/viewjob?jk=b4918be544a00626", "https://www.indeed.com/viewjob?jk=b4918be544a00626")</f>
        <v/>
      </c>
      <c r="F126">
        <f>HYPERLINK("https://www.amazon.jobs/jobs/2998635/principal-applied-scientist-delivery-foundation-model-?cmpid=DA_INAD200785B", "https://www.amazon.jobs/jobs/2998635/principal-applied-scientist-delivery-foundation-model-?cmpid=DA_INAD200785B")</f>
        <v/>
      </c>
      <c r="G126" t="inlineStr">
        <is>
          <t>Santa Clara, CA, US</t>
        </is>
      </c>
      <c r="H126" s="3" t="n">
        <v>45757</v>
      </c>
      <c r="I126"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7">
      <c r="A127" t="inlineStr">
        <is>
          <t>in-397d5d997ac6a8bd</t>
        </is>
      </c>
      <c r="B127" t="inlineStr">
        <is>
          <t>Principal Applied Scientist, Delivery Foundation Model</t>
        </is>
      </c>
      <c r="C127" t="inlineStr">
        <is>
          <t>Amazon.com</t>
        </is>
      </c>
      <c r="D127" t="inlineStr">
        <is>
          <t>indeed</t>
        </is>
      </c>
      <c r="E127">
        <f>HYPERLINK("https://www.indeed.com/viewjob?jk=397d5d997ac6a8bd", "https://www.indeed.com/viewjob?jk=397d5d997ac6a8bd")</f>
        <v/>
      </c>
      <c r="F127">
        <f>HYPERLINK("https://www.amazon.jobs/jobs/2998635/principal-applied-scientist-delivery-foundation-model-?cmpid=DA_INAD200785B", "https://www.amazon.jobs/jobs/2998635/principal-applied-scientist-delivery-foundation-model-?cmpid=DA_INAD200785B")</f>
        <v/>
      </c>
      <c r="G127" t="inlineStr">
        <is>
          <t>New York, NY, US</t>
        </is>
      </c>
      <c r="H127" s="3" t="n">
        <v>45757</v>
      </c>
      <c r="I127"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8">
      <c r="A128" t="inlineStr">
        <is>
          <t>in-ba3211b8492a9639</t>
        </is>
      </c>
      <c r="B128" t="inlineStr">
        <is>
          <t>Principal Applied Scientist, FAR (Frontier AI &amp; Robotics)</t>
        </is>
      </c>
      <c r="C128" t="inlineStr">
        <is>
          <t>Amazon.com</t>
        </is>
      </c>
      <c r="D128" t="inlineStr">
        <is>
          <t>indeed</t>
        </is>
      </c>
      <c r="E128">
        <f>HYPERLINK("https://www.indeed.com/viewjob?jk=ba3211b8492a9639", "https://www.indeed.com/viewjob?jk=ba3211b8492a9639")</f>
        <v/>
      </c>
      <c r="F128">
        <f>HYPERLINK("https://www.amazon.jobs/jobs/2938625/principal-applied-scientist-far-frontier-ai--robotics?cmpid=DA_INAD200785B", "https://www.amazon.jobs/jobs/2938625/principal-applied-scientist-far-frontier-ai--robotics?cmpid=DA_INAD200785B")</f>
        <v/>
      </c>
      <c r="G128" t="inlineStr">
        <is>
          <t>Seattle, WA, US</t>
        </is>
      </c>
      <c r="H128" s="3" t="n">
        <v>45740</v>
      </c>
      <c r="I128"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9">
      <c r="A129" t="inlineStr">
        <is>
          <t>in-9210c802d6cf3331</t>
        </is>
      </c>
      <c r="B129" t="inlineStr">
        <is>
          <t>Principal Applied Scientist, FAR (Frontier AI &amp; Robotics)</t>
        </is>
      </c>
      <c r="C129" t="inlineStr">
        <is>
          <t>Amazon.com</t>
        </is>
      </c>
      <c r="D129" t="inlineStr">
        <is>
          <t>indeed</t>
        </is>
      </c>
      <c r="E129">
        <f>HYPERLINK("https://www.indeed.com/viewjob?jk=9210c802d6cf3331", "https://www.indeed.com/viewjob?jk=9210c802d6cf3331")</f>
        <v/>
      </c>
      <c r="F129">
        <f>HYPERLINK("https://www.amazon.jobs/jobs/2938625/principal-applied-scientist-far-frontier-ai--robotics?cmpid=DA_INAD200785B", "https://www.amazon.jobs/jobs/2938625/principal-applied-scientist-far-frontier-ai--robotics?cmpid=DA_INAD200785B")</f>
        <v/>
      </c>
      <c r="G129" t="inlineStr">
        <is>
          <t>San Francisco, CA, US</t>
        </is>
      </c>
      <c r="H129" s="3" t="n">
        <v>45740</v>
      </c>
      <c r="I129"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3"/>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li-4364027000</t>
        </is>
      </c>
      <c r="B2" t="inlineStr">
        <is>
          <t>Data Scientist</t>
        </is>
      </c>
      <c r="C2" t="inlineStr">
        <is>
          <t>Atlassian</t>
        </is>
      </c>
      <c r="D2" t="inlineStr">
        <is>
          <t>linkedin</t>
        </is>
      </c>
      <c r="E2" t="inlineStr"/>
      <c r="F2" t="inlineStr"/>
      <c r="G2" t="inlineStr"/>
      <c r="H2" t="inlineStr"/>
      <c r="I2" t="inlineStr">
        <is>
          <t>**About The Company**
 Atlassian is a global leader in collaboration and productivity software, dedicated to helping teams unleash their full potential. With a focus on innovation, inclusivity, and customer\-centric solutions, Atlassian develops tools that facilitate seamless teamwork, communication, and project management across diverse industries and organizational sizes. As a distributed\-first company, Atlassian values flexibility and empowers its employees to work from anywhere, fostering a culture of trust, transparency, and continuous improvement. The company's commitment to diversity and equal opportunity ensures an inclusive environment where all employees can thrive and contribute meaningfully to the company's mission of making teamwork better worldwide.
**About The Role**
 We are seeking a highly skilled and experienced Data Scientist specializing in Analytics \&amp; Data Science to join our team remotely from San Francisco or other locations where we operate. In this role, you will collaborate with cross\-functional teams to tackle complex product and business challenges through advanced data analysis, experimentation, and strategic insights.
 Your primary focus will be to develop hypotheses, test them through rigorous analytical methods, and translate findings into actionable recommendations that influence product roadmaps and business strategies. You will serve as a trusted strategic partner, leveraging your technical expertise to shape product development, identify new opportunities, and measure the success of initiatives through key metrics. Your storytelling skills will be vital in communicating insights effectively to leadership and stakeholders, ensuring data\-driven decision\-making across the organization.
**Qualifications**
* 8\+ years of experience in Data Science or related fields
* Proficiency in SQL and at least one data manipulation programming language (e.g., Python, R)
* Expertise in data visualization tools such as Tableau, R\-Shiny, Microstrategy, SAP Business Objects, Looker, etc.
* Strong knowledge of statistical concepts including regressions, A/B testing, clustering, and probability
* Experience in driving impactful projects that influence business strategy and performance
* Proven ability to craft analysis into persuasive and well\-structured narratives
* Experience advising and presenting to senior executives as a thought partner
**Desirable Qualifications Include**
* 10\+ years of experience in Data Science or related fields
* Understanding of SaaS business models and key performance metrics
* Experience in developing insights for chat, search, or large language model\-based products
**Responsibilities**
* Collaborate with cross\-functional teams to address product and business challenges through data analysis and experimentation
* Build and maintain analytical models to develop strategies and solve complex problems
* Develop hypotheses using various methodologies, frameworks, and technical approaches, then test and validate them
* Identify opportunities for product and business improvements, influencing roadmaps through insights and recommendations
* Partner with teams to inform, influence, and execute strategic decisions based on data insights
* Forecast and monitor key product metrics to evaluate the success of initiatives and understand trends
* Utilize data to shape product development, quantify new opportunities, and anticipate upcoming challenges
* Communicate insights effectively through storytelling techniques to leadership and stakeholders
**Benefits**
* Comprehensive health coverage and wellness resources
* Paid volunteer days and community engagement opportunities
* Flexible work arrangements supporting remote work
* Competitive compensation packages aligned with market standards
* Opportunities for professional development and career growth
* Equity options and performance\-based bonuses
 Equal Opportunity
 At Atlassian, we are committed to fostering an inclusive environment where all employees are valued and respected. We provide equal employment opportunities regardless of race, religion, national origin, gender identity or expression, sexual orientation, age, veteran status, disability, or any other protected characteristic. We support accommodations and adjustments at any stage of the recruitment process to ensure fair access for all candidates.</t>
        </is>
      </c>
    </row>
    <row r="3">
      <c r="A3" t="inlineStr">
        <is>
          <t>li-4353810154</t>
        </is>
      </c>
      <c r="B3" t="inlineStr">
        <is>
          <t>Data Scientist</t>
        </is>
      </c>
      <c r="C3" t="inlineStr">
        <is>
          <t>SoTalent</t>
        </is>
      </c>
      <c r="D3" t="inlineStr">
        <is>
          <t>linkedin</t>
        </is>
      </c>
      <c r="E3" t="inlineStr"/>
      <c r="F3" t="inlineStr"/>
      <c r="G3" t="inlineStr"/>
      <c r="H3" t="inlineStr"/>
      <c r="I3" t="inlineStr">
        <is>
          <t>**Associate Director, AI Data Scientist** 
 💰
 **Estimated Salary:** 
 $130,000 – $156,000 per year
**Job Description** 
 The
 **Associate Director, AI Data Scientist** 
 will lead the design and implementation of advanced AI/ML/Generative AI solutions to support
 **clinical trial execution and digital healthcare initiatives** 
 . This role will focus on patient recruitment, retention, real\-time monitoring, automated documentation, and digital engagement tools, collaborating closely with cross\-functional R\&amp;D teams and external partners.
**Key Responsibilities** 
* Develop and implement AI/ML/GenAI solutions to optimize clinical trial operations (e.g., recruitment, retention, real\-time monitoring, automated data systems).
* Lead the creation of generative AI tools for automated clinical documentation (medical reports, study protocols, patient narratives).
* Drive digital healthcare applications for real\-world evidence (RWE), patient engagement, and medical/scientific tools.
* Design predictive models and AI solutions using diverse healthcare data (clinical trials, EHR, wearables, patient\-reported outcomes, HEOR, Phase IV studies).
* Collaborate with clinical operations, data science, medical affairs, and RWE groups to deliver AI\-driven solutions.
* Build and maintain relationships with healthcare providers, researchers, regulators, and AI technology partners.
* Ensure compliance with regulatory and data privacy requirements.
* Facilitate knowledge sharing across data science and R\&amp;D teams.
**Required Knowledge, Skills \&amp; Abilities** 
* Strong programming in
 **Python, R** 
 or similar, with expertise in ML frameworks (PyTorch, TensorFlow).
* Hands\-on experience with
 **Generative AI/LLM architectures** 
 and
 **NLP** 
 for medical text analysis.
* Familiarity with
 **cloud platforms** 
 (AWS preferred), version control, and MLOps deployment.
* Strong stakeholder collaboration and adaptability to healthcare\-specific AI challenges.
**Education \&amp; Experience** 
* Advanced degree (MS or PhD) in Data Science, Computer Science, Biostatistics, or related field.
* 7–10 years of professional experience, including
 **3\+ years applying AI/ML in healthcare or clinical research** 
 .
* Experience in digital healthcare tool design/development strongly preferred.
**Compensation \&amp; Benefits** 
* Salary: $130,000 – $156,000 per year
* Eligible for bonus and equity incentives
* Comprehensive benefits package including medical, dental, vision, retirement savings plan, paid vacation, parental leave, and wellness programs</t>
        </is>
      </c>
    </row>
    <row r="4">
      <c r="A4" t="inlineStr">
        <is>
          <t>li-4360150620</t>
        </is>
      </c>
      <c r="B4" t="inlineStr">
        <is>
          <t>Data Scientist</t>
        </is>
      </c>
      <c r="C4" t="inlineStr">
        <is>
          <t>Imprint</t>
        </is>
      </c>
      <c r="D4" t="inlineStr">
        <is>
          <t>linkedin</t>
        </is>
      </c>
      <c r="E4" t="inlineStr"/>
      <c r="F4" t="inlineStr"/>
      <c r="G4" t="inlineStr"/>
      <c r="H4" t="inlineStr"/>
      <c r="I4" t="inlineStr">
        <is>
          <t>**Who We Are**
 Imprint is reimagining co\-branded credit cards \&amp; financial products to be smarter, more rewarding, and truly brand\-first. We partner with companies like Crate \&amp; Barrel, Rakuten, Booking.com, H\-E\-B, Fetch, and Brooks Brothers to launch modern credit programs that deepen loyalty, unlock savings, and drive growth. Our platform combines advanced payments infrastructure, intelligent underwriting, and seamless UX to help brands offer powerful financial products—without becoming a bank.
 Co\-branded cards account for over $300 billion in U.S. annual spend—but most are still powered by legacy banks. Imprint is the modern alternative: flexible, tech\-forward, and built for today’s consumer. Backed by Kleiner Perkins, Thrive Capital, and Khosla Ventures, we’re building a world\-class team to redefine how people pay—and how brands grow. If you want to work fast, solve hard problems, and make a real impact, we’d love to meet you.
**The Team**
 The Data Analytics team at Imprint builds the data foundation that powers smarter, faster decision\-making. We develop infrastructure and analytics systems that support both daily operations and long\-term strategy, enabling high\-quality insights into customer behavior, product performance, and business growth. Our work helps teams across Imprint make informed, data\-driven decisions at scale.
 You’ll be part of a high\-trust, high\-impact team where your work won’t just be seen—it’ll shape how we grow.
**What You’ll Do**
* Apply statistical inference, experimentation, and behavioral analytics to improve LTV/CAC and accelerate feedback loops.
* Be a champion of A/B testing. Partner with cross\-functional teams to design, analyze, and interpret A/B tests correctly, rigorously measuring impact with scalable frameworks and data tooling.
* Build segmentation frameworks and predictive models to drive targeting and personalization.
* Translate data into clear narratives that influence product decisions, marketing campaigns, and executive strategy.
* Support Automation projects as needed—e.g. anomaly detection, partner data reporting, or internal self\-serve tools/dashboards.
**What We Look For**
* 6\+ years of experience in data science, analytics, or a related field—ideally at a high\-growth startup or fintech company.
* Proven expertise in statistical inference, causal analysis, and experimentation design.
* Experience with marketing or product analytics (e.g., user segmentation, campaign attribution, experimentation).
* Strong SQL and Python skills. You are comfortable transforming raw data to build your own data sets if the measure you need doesn't exist yet.
* A highly analytical mindset with a bias toward action.
* Ability to clearly communicate complex findings to technical and non\-technical audiences alike.
* Comfortable owning projects end\-to\-end and collaborating cross\-functionally to drive impact.
**Nice to Have**
* Experience building or scaling experimentation infrastructure.
* Familiarity with dashboarding tools (e.g., Sigma, Looker).
* Experience in credit, lending, or card products.
* Exposure to lifecycle marketing or prescreen modeling.
**Perks \&amp; Benefits**
* Competitive compensation and equity packages
* Leading configured work computers of your choice
* Flexible paid time off
* Fully covered, high\-quality healthcare, including fully covered dependent coverage
* Additional health coverage includes access to One Medical and the option to enroll in an FSA
* 16 weeks of paid parental leave for the primary caregiver and 8 weeks for all new parents
* Access to industry\-leading technology across all of our business units, stemming from our philosophy that we should invest in resources for our team that foster innovation, optimization, and productivity
*Imprint is committed to a diverse and inclusive workplace. Imprint is an equal opportunity employer and does not discriminate on the basis of race, national origin, gender, gender identity, sexual orientation, protected veteran status, disability, age, or other legally protected status. Imprint welcomes talented individuals from all backgrounds who want to build the future of payments and rewards. If you are passionate about FinTech and eager to grow, let’s move the world forward, together.*</t>
        </is>
      </c>
    </row>
    <row r="5">
      <c r="A5" t="inlineStr">
        <is>
          <t>li-4286980133</t>
        </is>
      </c>
      <c r="B5" t="inlineStr">
        <is>
          <t>Data Scientist</t>
        </is>
      </c>
      <c r="C5" t="inlineStr">
        <is>
          <t>Agentio</t>
        </is>
      </c>
      <c r="D5" t="inlineStr">
        <is>
          <t>linkedin</t>
        </is>
      </c>
      <c r="E5" t="inlineStr"/>
      <c r="F5" t="inlineStr"/>
      <c r="G5" t="inlineStr">
        <is>
          <t>New York, NY</t>
        </is>
      </c>
      <c r="H5" t="inlineStr"/>
      <c r="I5" t="inlineStr">
        <is>
          <t>**About Agentio**
 Agentio enables marketers to buy creator led ads as easily and scalably as Meta or Google ads—automating sourcing, pricing, contracting, delivery, and measurement with AI—so work that took months now happens in minutes.
 We’re on a mission to transform a $800B digital ad ecosystem by shifting digital ad spend into the hands of creators. That means better outcomes for marketers and enabling creators to live off their work—finally being paid in proportion to the value they create. That shift is accelerating: Unilever’s CEO has said the company will move roughly half of its ad budget into social and creators—Unilever is among the world’s largest advertisers, spending around $9–10B annually. As these dollars move, they need performance\-grade pipes; Agentio is how those dollars flow to creators with the speed, control, and measurement marketers expect. We enable brands like Uber, DoorDash, and Bombas to run creator campaigns with the same rigor, control, and accountability as their core performance channels.
 Agentio has raised
 **$56M to date** 
 at a
 **$340M valuation** 
 , including a recent
 **Series B led by Forerunner** 
**,** 
 which followed our Series A within a calendar year. Our investors also include
 **Benchmark, Craft, and AlleyCorp** 
 . Agentio has been named to
 **Forbes’ Next Billion Dollar Startups, 2025** 
 , and our platform is already used and loved by the world’s leading marketers and creators. We are just getting started!
 Data is Our Growth Engine
 Our platform routes budgets to the right creators, at the right price, with clear attribution. We ingest rich first\-party signals across creative briefs, audiences, content, and outcomes; link them to conversions; and train LLM\-driven ranking and pricing models that guide every step—from discovery and acceptance likelihood to pacing and scale. Each campaign feeds back new data, creating a compounding learning loop that makes matching, forecasting, and measurement more efficient with every use.
 We’re expanding our data practice and hiring foundational teammates. Whether you analyze behavior, model outcomes, run experiments, or build robust data and ML tooling, you’ll have an immediate impact—shaping product decisions, improving measurement, and delivering the pipelines and services that power the platform.
 At Agentio, data drives decisions—what we build, how we price, and where we scale—so creators and brands win together. If you’re curious, collaborative, and excited to own outcomes in a fast\-moving environment, let’s talk.
 You
* Nimble, hungry, humble, and adaptive to change
* Excited to learn and grow in a fast\-paced environment
* Proven track record of applying analytical/statistical methods to tackle real\-world problems using big data.
* A true problem\-solver and self\-starter, with incredible ambition and drive
* Competitive and highly motivated to exceed expectations
* Ready to roll up your sleeves, get things done, and work harder than you’ve likely ever worked before — with far greater reward
* A positive, honest, empathetic, and curious teammate
* You understand that Agentio is building in\-person, and is in\-office 5 days/week
 What You'll Get
* The opportunity to build a first\-of\-its kind business as an early team\-member and make a meaningful impact in the way brands share their stories and creators live off their work.
* Crash\-course in what it takes to scale a start\-up with first\-hand exposure to the different foundational business drivers and needs.
* The chance to work with an exceptional team and help build our engineering culture
* A collaborative, transparent, and engaging work environment.
 Benefits \&amp; Perks
* Flexible PTO – Take the time you need to recharge
* Comprehensive Health Coverage – Top medical plan through Aetna
* Dental \&amp; Vision Plans – Protect your smile and your sight with coverage from Guardian
* 401(k) Retirement Plan – Invest in your future while you build your career
* $100 Monthly Lifestyle Credit – Use it to shop with our amazing Agentio Brand Partners
* Free Lunch 3x a week! – We order lunch as a team on Mondays, Wednesdays, and Fridays
* Gym in the building! – Your workout, right downstairs
*The estimated base compensation for this role is between $225,000 \&amp; $350,000\. Individual compensation is determined by skills, qualifications, and experience. In addition, this role is eligible for equity and competitive benefits.*</t>
        </is>
      </c>
    </row>
    <row r="6">
      <c r="A6" t="inlineStr">
        <is>
          <t>li-4363807309</t>
        </is>
      </c>
      <c r="B6" t="inlineStr">
        <is>
          <t>Data Scientist Level 2</t>
        </is>
      </c>
      <c r="C6" t="inlineStr">
        <is>
          <t>Weeghman &amp; Briggs, LLC</t>
        </is>
      </c>
      <c r="D6" t="inlineStr">
        <is>
          <t>linkedin</t>
        </is>
      </c>
      <c r="E6" t="inlineStr"/>
      <c r="F6" t="inlineStr"/>
      <c r="G6" t="inlineStr">
        <is>
          <t>Wahiawa, HI</t>
        </is>
      </c>
      <c r="H6" t="inlineStr"/>
      <c r="I6" t="inlineStr">
        <is>
          <t>Weeghman \&amp; Briggs is seeking Data Scientists to join our growing team.
**Location:** 
 Annapolis Junction \-
 **Currently Hiring for Level 2 in HI**
**Clearance Required:** 
 TS/SCI w/ Polygraph
**Job Description**
 We're searching for Data Scientists to contribute to an important mission within the Federal Government.
**Data Scientists Shall Possess The Following Capabilities**
 Candidates should be proficient in 2 or more of the following skill areas:
* Foundations: (Mathematical, Computational, Statistical)
* Data Processing: (Data management and curation, data description and visualization, workflow and reproducibility)
* Modeling, Inference, and Prediction: (Data modeling and assessment, domain\-specific considerations)
* Devise strategies for extracting meaning and value from large datasets. Make and communicate principled conclusions from data using elements of mathematics, statistics, computer science, and application specific knowledge.
* Through analytic modeling, statistical analysis, programming, and/or another appropriate scientific method, develop and implement qualitative and quantitative methods for characterizing, exploring, and assessing large datasets in various states of organization, cleanliness, and structure that account for the unique features and limitations inherent in Government data holdings. Translate practical mission needs and analytic questions related to large datasets into technical requirements and, conversely, assist others with drawing appropriate conclusions from the analysis of such data.
* Effectively communicate complex technical information to non\-technical audiences.
* Make informed recommendations regarding competing technical solutions by maintaining awareness of the constantly shifting Government collection, processing, storage and analytic capabilities and limitations.
**Data Scientist Level 2
 Salary:** 
 $112,000 – $124,000
**Qualifications**
* Bachelor's Degree with 3 years of relevant experience
* Associates degree with 5 years of relevant experience
* Bachelor's Degree must be in Mathematics, Applied Mathematics Statistics, Applied Statistics, Machine learning, Data Science, Operations Research, or Computer Science or a degree in a related field (Computer Information Systems, Engineering), a degree in the physical/hard sciences (e.g. physics, chemistry, biology, astronomy), or other science disciplines with a substantial computational component (i.e. behavioral, social, or life) may be considered if it included a concentration of coursework (5 or more courses) in advanced Mathematics (typically 300 level or higher, such as linear algebra, probability and statistics, machine learning) and/or computer science (e.g. algorithms, programming, data structures, data mining, artificial intelligence). College\-level requirement, or upper\-level math courses designated as elementary or basic do not count. Note: A broader range of degrees will be considered if accompanied by a Certificate in Data Science from an accredited college/university.
* Relevant experience must be in designing/implementing machine learning, data science, advanced analytical algorithms, programming (skill in at least one high\-level language (e.g. Python)), statistical analysis (e.g. variability, sampling error, inference, hypothesis testing, EDA, application of linear models), data management (e.g. data cleaning and transformation), data mining, data modeling and assessment, artificial intelligence, and/or software engineering. Experience in more than one area is strongly preferred.
**Benefits:** 
 https://weeghmanandbriggs.com/summary\-of\-employee\-benefits\-2024/
 Weeghman \&amp; Briggs was established in 2016\. We are a team of like\-minded people who do business, generate ideas and realize them. Consulting and Cyber Security are our main directions and we know how to deal with many current issues and provide the best services in offering resolutions.
 Weeghman \&amp; Briggs is an Equal Employment Opportunity Employer. All qualified applicants will receive consideration for employment regardless of race, color, religion, sex, national origin, disability, veteran status, or any other characteristic protected by federal, state, or local laws.</t>
        </is>
      </c>
    </row>
    <row r="7">
      <c r="A7" t="inlineStr">
        <is>
          <t>li-4364037163</t>
        </is>
      </c>
      <c r="B7" t="inlineStr">
        <is>
          <t>Data Scientist, Marketing</t>
        </is>
      </c>
      <c r="C7" t="inlineStr">
        <is>
          <t>Thumbtack</t>
        </is>
      </c>
      <c r="D7" t="inlineStr">
        <is>
          <t>linkedin</t>
        </is>
      </c>
      <c r="E7" t="inlineStr"/>
      <c r="F7" t="inlineStr"/>
      <c r="G7" t="inlineStr"/>
      <c r="H7" t="inlineStr"/>
      <c r="I7" t="inlineStr">
        <is>
          <t>**About The Company**
 Thumbtack is a leading platform dedicated to helping millions of homeowners and service providers connect confidently and efficiently. The company offers a comprehensive app that provides personalized guidance, AI tools, and a seamless hiring experience, enabling users to manage and improve their homes effectively. Every day,
 Thumbtack serves customers across every county in the United States, assisting with urgent repairs, seasonal maintenance, and larger renovation projects. The platform supports a community of over 300,000 local service businesses, helping homeowners identify which projects to undertake, when to do them, and who to hire. With a mission to make home care accessible and reliable, Thumbtack continues to innovate and expand its services, fostering a trusted environment for both homeowners and service professionals.
**About The Role**
 As a Staff Marketing Data Scientist at Thumbtack, you will be an integral part of the Data Science team, which empowers the company to leverage data for strategic decision\-making. Your role will focus on advancing measurement methodologies to evaluate marketing effectiveness across various channels. You will serve as a technical leader, setting standards for analytical excellence and innovation.
 Your primary responsibility will be to design scalable frameworks, tools, and models that enable the Marketing and Data Science teams to operate with agility, precision, and confidence. This position offers an exciting opportunity to influence growth strategies, optimize marketing spend, and contribute to the company’s long\-term success through cutting\-edge data science practices.
**Qualifications**
* 4\+ years of experience in data science, analytics, or economics
* Bachelor’s, Master’s, or Doctoral degree in Statistics, Engineering, Analytics, Math, Computer Science, Economics, or a related technical field
* Minimum of 0\-5 years of professional experience in industry, consulting, government, or academic research; candidates with more experience are encouraged to apply
* Proficiency in analytical tools such as Python and SQL
* Strong ability to work in a fast\-paced, dynamic business environment
* Excellent communication skills with the ability to build cross\-functional relationships and influence decision\-making
**Responsibilities**
* Lead the development and enhancement of measurement methodologies to evaluate marketing effectiveness beyond conventional approaches
* Create and improve frameworks, tools, and processes to make marketing measurement systematic, scalable, and reliable across multiple channels
* Refine existing modeling approaches to produce robust, actionable insights for marketing strategies
* Iterate on measurement techniques for key marketing problems such as channel incrementality and return on ad spend optimization
* Collaborate with cross\-functional teams to translate measurement insights into strategic business decisions and growth initiatives
* Mentor junior team members, elevate analytical standards, and shape the future direction of measurement practices at Thumbtack
* Identify new opportunities where advanced analytics or innovative methodologies can create significant impact
**Benefits**
* Competitive salary range based on location and experience
* Comprehensive health, dental, and vision insurance plans
* Flexible work arrangements, including remote work options
* Generous paid time off and holidays
* Opportunities for professional development and continuous learning
* Inclusive and diverse workplace culture that values innovation and collaboration
 Equal Opportunity
 Thumbtack is an equal opportunity employer committed to fostering an inclusive environment for all employees. We do not discriminate based on sex, race, color, age, pregnancy, sexual orientation, gender identity or expression, religion, national origin, ancestry, citizenship, marital status, military or veteran status, genetic information, disability, or any other characteristic protected by applicable law.</t>
        </is>
      </c>
    </row>
    <row r="8">
      <c r="A8" t="inlineStr">
        <is>
          <t>li-4363837722</t>
        </is>
      </c>
      <c r="B8" t="inlineStr">
        <is>
          <t>Data Scientist Level 2</t>
        </is>
      </c>
      <c r="C8" t="inlineStr">
        <is>
          <t>Weeghman &amp; Briggs, LLC</t>
        </is>
      </c>
      <c r="D8" t="inlineStr">
        <is>
          <t>linkedin</t>
        </is>
      </c>
      <c r="E8" t="inlineStr"/>
      <c r="F8" t="inlineStr"/>
      <c r="G8" t="inlineStr">
        <is>
          <t>Fort George G. Meade, MD</t>
        </is>
      </c>
      <c r="H8" t="inlineStr"/>
      <c r="I8" t="inlineStr">
        <is>
          <t>Weeghman \&amp; Briggs is seeking Data Scientists to join our growing team.
**Location:** 
 Annapolis Junction
**Clearance Required:** 
 TS/SCI w/ Polygraph
**Job Description**
 We're searching for Data Scientists to contribute to an important mission within the Federal Government.
**Data Scientists Shall Possess The Following Capabilities**
 Candidates should be proficient in 2 or more of the following skill areas:
* Foundations: (Mathematical, Computational, Statistical)
* Data Processing: (Data management and curation, data description and visualization, workflow and reproducibility)
* Modeling, Inference, and Prediction: (Data modeling and assessment, domain\-specific considerations)
* Devise strategies for extracting meaning and value from large datasets. Make and communicate principled conclusions from data using elements of mathematics, statistics, computer science, and application specific knowledge.
* Through analytic modeling, statistical analysis, programming, and/or another appropriate scientific method, develop and implement qualitative and quantitative methods for characterizing, exploring, and assessing large datasets in various states of organization, cleanliness, and structure that account for the unique features and limitations inherent in Government data holdings. Translate practical mission needs and analytic questions related to large datasets into technical requirements and, conversely, assist others with drawing appropriate conclusions from the analysis of such data.
* Effectively communicate complex technical information to non\-technical audiences.
* Make informed recommendations regarding competing technical solutions by maintaining awareness of the constantly shifting Government collection, processing, storage and analytic capabilities and limitations.
**Data Scientist Level 2**
**Salary:** 
 $132,000 – $147,100
**Qualifications**
* Bachelor's Degree with 3 years of relevant experience
* Associates degree with 5 years of relevant experience
* Bachelor's Degree must be in Mathematics, Applied Mathematics Statistics, Applied Statistics, Machine learning, Data Science, Operations Research, or Computer Science or a degree in a related field (Computer Information Systems, Engineering), a degree in the physical/hard sciences (e.g. physics, chemistry, biology, astronomy), or other science disciplines with a substantial computational component (i.e. behavioral, social, or life) may be considered if it included a concentration of coursework (5 or more courses) in advanced Mathematics (typically 300 level or higher, such as linear algebra, probability and statistics, machine learning) and/or computer science (e.g. algorithms, programming, data structures, data mining, artificial intelligence). College\-level requirement, or upper\-level math courses designated as elementary or basic do not count. Note: A broader range of degrees will be considered if accompanied by a Certificate in Data Science from an accredited college/university.
* Relevant experience must be in designing/implementing machine learning, data science, advanced analytical algorithms, programming (skill in at least one high\-level language (e.g. Python)), statistical analysis (e.g. variability, sampling error, inference, hypothesis testing, EDA, application of linear models), data management (e.g. data cleaning and transformation), data mining, data modeling and assessment, artificial intelligence, and/or software engineering. Experience in more than one area is strongly preferred.
**Benefits:** 
 https://weeghmanandbriggs.com/summary\-of\-employee\-benefits\-2024/
 Weeghman \&amp; Briggs was established in 2016\. We are a team of like\-minded people who do business, generate ideas and realize them. Consulting and Cyber Security are our main directions and we know how to deal with many current issues and provide the best services in offering resolutions.
 Weeghman \&amp; Briggs is an Equal Employment Opportunity Employer. All qualified applicants will receive consideration for employment regardless of race, color, religion, sex, national origin, disability, veteran status, or any other characteristic protected by federal, state, or local laws.</t>
        </is>
      </c>
    </row>
    <row r="9">
      <c r="A9" t="inlineStr">
        <is>
          <t>li-4360140592</t>
        </is>
      </c>
      <c r="B9" t="inlineStr">
        <is>
          <t>Data Scientist</t>
        </is>
      </c>
      <c r="C9" t="inlineStr">
        <is>
          <t>RemoteHunter</t>
        </is>
      </c>
      <c r="D9" t="inlineStr">
        <is>
          <t>linkedin</t>
        </is>
      </c>
      <c r="E9" t="inlineStr"/>
      <c r="F9" t="inlineStr"/>
      <c r="G9" t="inlineStr"/>
      <c r="H9" t="inlineStr"/>
      <c r="I9" t="inlineStr">
        <is>
          <t>About the Opportunity:
 This team is focused on revolutionizing healthcare by leveraging data to uncover key insights, shape product development, and promote a culture of data\-informed decision\-making. The Product Data Scientist role involves working cross\-functionally to guide product creation and ensure solutions deliver real\-world impact in telehealth.
 Responsibilities:
 • Uncover actionable insights through data analysis
 • Challenge assumptions and reveal stories hidden in data to guide decisions
 • Apply analytical, statistical, and technical expertise to influence product and business strategy
 • Utilize regression analysis, segmentation, and A/B testing for product optimization and improvement
 • Collaborate across teams to shape innovative telehealth solutions
 Requirements:
 • Bachelor’s degree in Data Science, Computer Science, Statistics, Mathematics, or related field; advanced degrees preferred
 • 3\+ years of experience in data analysis or data science with a proven impact on product decisions
 • Experience working with cross\-functional teams including product managers, engineers, and designers
 • Healthcare or telehealth industry experience is desirable but not required
 • Proficiency in Python and SQL for data manipulation and analysis
 • Strong experience with data visualization tools such as Tableau or Looker
 • At least 1 year of experience with Alteryx
 • Skilled in statistical techniques including regression analysis, hypothesis testing, clustering, and segmentation
 • Experience designing and analyzing A/B tests
 • Familiarity with data tools like Segment and Snowflake, ETL processes, and cloud platforms such as AWS or Google Cloud is a plus
 • Ability to extract actionable insights from complex datasets
 • Strong problem\-solving skills and curiosity
 • Experience with machine learning techniques is a plus
 • Excellent communication skills to convey complex data insights to non\-technical stakeholders
 • Strong project management skills and ability to prioritize tasks and meet deadlines
 • Collaborative and proactive mindset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10">
      <c r="A10" t="inlineStr">
        <is>
          <t>li-4360160547</t>
        </is>
      </c>
      <c r="B10" t="inlineStr">
        <is>
          <t>Data Scientist, Payment Analytics - USDS</t>
        </is>
      </c>
      <c r="C10" t="inlineStr">
        <is>
          <t>TikTok</t>
        </is>
      </c>
      <c r="D10" t="inlineStr">
        <is>
          <t>linkedin</t>
        </is>
      </c>
      <c r="E10" t="inlineStr"/>
      <c r="F10" t="inlineStr"/>
      <c r="G10" t="inlineStr">
        <is>
          <t>San Jose, CA</t>
        </is>
      </c>
      <c r="H10" t="inlineStr"/>
      <c r="I10" t="inlineStr">
        <is>
          <t>**Responsibilities**
 Team Intro:
 The Payment team of U.S. Data Security department of TikTok provides payment solutions \- including payment acquisitions, disbursements, transaction monitoring, payment method management, foreign exchange conversion, accounting, reconciliations, and so on \- to ensure that users have a smooth and secure payment experience on TikTok platform.
 Responsibilities:
 This role is responsible for developing and executing on analytics and reporting initiatives which deliver data\-driven insights to internal and external stakeholders, including strategy, operations, business, engineering, and R\&amp;D teams in both US and globally. You are playing a key role in empowering TikTok platform to achieve overall payment success by way of payment security. You will contribute to the development of industry\-leading capabilities to protect TikTok and our users from emerging payment threats and ensure secure payment growth. You must be able to work both independently and as part of a team to deliver on a dynamic set of needs in a fast\-paced environment. Specific responsibilities include:
 \- Work with large datasets to solve problems that could be ambiguous and nuanced using a variety of analytical and statistical approaches.
 \- Conduct quantitative analysis using statistical regression, machine learning, as well as hypothesis testing and present analysis and recommendations in a user friendly manner to propel business growth and customer satisfaction.
 \- Develop a scientific approach to measure KPI fluctuation, impact of business initiatives, and customer experience and design indexes for continuous monitoring.
 \- Design and implement foundational tests including backtesting for measuring the effectiveness of credit risk strategy and segmenting user profile.
 \- Create documentation articulating the sampling process, underlying assumptions, design of test, success metrics, and conclusion.
 \- Have familiarity with best practices and pragmatic approaches for addressing common issues including data quality, seasonality, insufficient training dataset, etc.
 \- Perform predictive analysis and support business partners with revenue and loss forecasts, budgeting, risk and incident management to proactively address foreseeable challenges.
 \- Conduct deep dive analysis and diagnosis to identify patterns, concentrations, correlations, root causes to provide transparency into business and product performance.
 \- Partner with Product, Strategy, Operations and cross\-functional teams to inform, influence, support, and execute strategy and decisions.
 \- Demonstrate understanding of common challenges facing TikTok business, key products, and the competitiveness of the marketplace.
**Qualifications**
 Minimum Qualifications:
 \-3\+ years of progressive success in roles of increasing responsibility.
 \-3\+ years working in data science, risk, machine learning, and A/B testing.
 \-3\+ years of coding experience in Python, Hive, SQL and familiarity with machine learning functions, options, forecasting models.
 \-5\+ years of experience with Tableau or other data visualization tools (e.g. Tableau).
 Preferred Qualifications:
 \- Knowledge of the payments industry is highly desirable.
 \- Risk analytics/operations, data science experience or similar quantitative business responsibility for financial services, eCommerce, or operational performance highly desirable.
 \- Strongly skilled at manipulating and integrating data from a variety of sources.
 \- Proficiency with test design, feature creation, model development, and documentation.
**About USDS**
 TikTok is the leading destination for short\-form mobile video. Our mission is to inspire creativity and bring joy. U.S. Data Security (“USDS”) is a subsidiary of TikTok in the U.S. This new, security\-first division was created to bring heightened focus and governance to our data protection policies and content assurance protocols to keep U.S. users safe. Our focus is on providing oversight and protection of the TikTok platform and U.S. user data, so millions of Americans can continue turning to TikTok to learn something new, earn a living, express themselves creatively, or be entertained. The teams within USDS that deliver on this commitment daily span across Trust \&amp; Safety, Security \&amp; Privacy, Engineering, User \&amp; Product Ops, Corporate Functions and more.​
 ​
 On\-site presence across teams allows the company to operate with greater speed, alignment, and agility — especially in areas like real\-time decision\-making, team development, and integrated execution. As such, the company is shifting from a hybrid work model to a fully in\-person schedule up to 5 days a week.​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
 Diversity \&amp; Inclusion​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**USDS Reasonable Accommodation**
 USDS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https://tinyurl.com/USDS\-RA​
**Job Information**
 【For Pay Transparency】Compensation Description (Annually)
 The base salary range for this position in the selected city is $144000 \- $329334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1\. Interacting and occasionally having unsupervised contact with internal/external clients and/or colleagues;​
 2\. Appropriately handling and managing confidential information including proprietary and trade secret information and access to information technology systems; and​
 3\. Exercising sound judgment.​</t>
        </is>
      </c>
    </row>
    <row r="11">
      <c r="A11" t="inlineStr">
        <is>
          <t>li-4363727285</t>
        </is>
      </c>
      <c r="B11" t="inlineStr">
        <is>
          <t>Associate Data Scientist - Gynecologic Oncology</t>
        </is>
      </c>
      <c r="C11" t="inlineStr">
        <is>
          <t>Komen Graduate Training Program UT MDACC</t>
        </is>
      </c>
      <c r="D11" t="inlineStr">
        <is>
          <t>linkedin</t>
        </is>
      </c>
      <c r="E11" t="inlineStr"/>
      <c r="F11" t="inlineStr"/>
      <c r="G11" t="inlineStr">
        <is>
          <t>Houston, TX</t>
        </is>
      </c>
      <c r="H11" t="inlineStr"/>
      <c r="I11" t="inlineStr">
        <is>
          <t>The Gynecologic Oncology and Reproductive Medicine department at MD Anderson's Cancer center is internationally renowned for research\-driven patient care, specializing in the medical and surgical treatment of all types of gynecologic cancers including ovarian, vaginal, vulvar, endometrial and cervical cancers, as well as malignant ovarian germ\-cell tumors, ovarian sex\-cord stromal tumors, borderline tumors of the ovary, cervical intraepithelial neoplasia, human papillomavirus and gestational trophoblastic disease.
 The ideal candidate experience in analyzing spatial biology datasets (proteomics, metabolomic and transcriptomics).
 Salary range: Minimum $88,000\.00 \- Midpoint $110,000\.00 \- Maximum $132,000\.00
**Key Responsibilities**
* Computational Analysis \&amp; Pipeline Development
* Assist in the analysis, design and development of pipelines, algorithms and software for the analysis, exploration, and visualization of data generated using exome/whole genome sequencing, RNA\-seq, ChIP\-seq, ATAC\-sequencing, chromatin conformation capture sequencing (e.g. Hi\-C and similar methods) and spatial transcriptomics in a timely fashion.
* Apply statistical and machine learning techniques to derive insights from complex, high\-dimensional datasets, including in\-house and public data (e.g., TCGA, CCLE, GTEx, GEO).
* Run workflows for somatic mutation calling, copy number analysis, transcriptional profiling, clonality estimation, and mutational phylogeny inference on matched tumor/normal and longitudinal samples.
* Run workflows for protein and metabolites analyses and integrate these datasets with abovementioned transcriptomics profiles.
* Independently plan and adapt novel computational approaches to support evolving research needs and emerging experimental technologies in genomics, spatial, and single\-cell omics.
* Workflow Development, Data Management \&amp; Reproducibility
* With direction, develops and maintains bioinformatics tools and infrastructure using Python, R, Docker, Conda and other tools; create well\-organized, reusable, and user\-friendly workflows to support lab\-wide analyses.
* Generate custom visualizations and perform downstream analyses including gene expression profiling, mutation analysis, gene set enrichment, pathway analysis, protein and metabolomic analyses.
* Ensure reproducibility and transparency by organizing data, documenting code, version\-controlling pipelines, and maintaining clear scientific records in notebooks and shared repositories.
* Contribute to the implementation of robust data stewardship practices and help maintain a scalable, collaborative analysis environment leveraging high\-performance computing (HPC) systems.
* Collaboration, Communication \&amp; Scientific Engagement
* Collaborate with experimental biologists, wet lab members, data scientists, and cross\-functional institutional teams to integrate omics data with biological and clinical datasets and harmonize metadata across studies.
* Assist with the preparation of manuscripts, figures, abstracts, grant proposals, and internal reports as well as for presentation at lab meetings, departmental reviews, and institutional events.
* Communicate complex analytical findings effectively to both technical and non\-technical audiences through presentations, visual summaries, and written reports.
* Conduct literature reviews and stay current with emerging tools and trends in genomics, computational biology, and biomedical data science to inform pipeline development and project planning.
* Support mentoring and onboarding of students, fellows, and research personnel by contributing to training in computational methods and analytical workflows.
* Performs other duties as assigned.
**EDUCATION**
**Education Required:** 
 Bachelor's degree in Biomedical Engineering, Electrical Engineering, Computer Engineering, Physics, Applied Mathematics, Statistics, Computer Science, Computational Biology, or related field.
**Experience**
**Experience Required:** 
 Two years experience in scientific software or industry development/analysis.
**Experience Preferred:** 
 Experience in analyzing spatial biology datasets (proteomics, metabolomic and transcriptomics).
 The University of Texas MD Anderson Cancer Center offers excellent benefits , including medical, dental, paid time off , retirement , tuition benefits, educational opportunities, and individual and team recognition.
 This position may be responsible for maintaining the security and integrity of critical infrastructure, as defined in Section 113\.001(2\) of the Texas Business and Commerce Code and therefore may require routine reviews and screening. The ability to satisfy and maintain all requirements necessary to ensure the continued security and integrity of such infrastructure is a condition of hire and continued employment.
 It is the policy of The University of Texas MD Anderson Cancer Center to provide equal employment opportunity without regard to race, color, religion, age, national origin, sex, gender, sexual orientation, gender identity/expression, disability, protected veteran status, genetic information, or any other basis protected by institutional policy or by federal, state, or local laws unless such distinction is required by law. http://www.mdanderson.org/about\-us/legal\-and\-policy/legal\-statements/eeo\-affirmative\-action.html
 Additional Information
* Requisition ID: 178221
* Employment Status: Full\-Time
* Employee Status: Regular
* Work Week: Days
* Minimum Salary: US Dollar (USD) 88,000
* Midpoint Salary: US Dollar (USD) 110,000
* Maximum Salary : US Dollar (USD) 132,000
* FLSA: exempt and not eligible for overtime pay
* Fund Type: Soft
* Work Location: Hybrid Onsite/Remote
* Pivotal Position: Yes
* Referral Bonus Available?: Yes
* Relocation Assistance Available?: Yes</t>
        </is>
      </c>
    </row>
    <row r="12">
      <c r="A12" t="inlineStr">
        <is>
          <t>li-4363887544</t>
        </is>
      </c>
      <c r="B12" t="inlineStr">
        <is>
          <t>New Job Opportunity: Data Scientist 4 : Remote/ Richmond, VA</t>
        </is>
      </c>
      <c r="C12" t="inlineStr">
        <is>
          <t>Interon IT Solutions</t>
        </is>
      </c>
      <c r="D12" t="inlineStr">
        <is>
          <t>linkedin</t>
        </is>
      </c>
      <c r="E12" t="inlineStr"/>
      <c r="F12" t="inlineStr"/>
      <c r="G12" t="inlineStr">
        <is>
          <t>Washington, DC</t>
        </is>
      </c>
      <c r="H12" t="inlineStr"/>
      <c r="I12" t="inlineStr">
        <is>
          <t>We are hiring Remote role,
**Data Scientist 4**
**Location: Remote / Richmond, VA**
**Job Description**
 VA DJJ HR has the shell of a PowerBI dashboard that may be expanded upon with improving in the build of dynamic dashboard and ensure HR data is consistent, accurate, and usable for reporting and strategic initiatives. Seeking a consultant well versed in raw HR data points, current reporting techniques and strategic development of an interactive HR Dashboard utilizing PowerBI where the raw data is automatically updated frequently and permits for ad hoc reporting. The HR dashboard should include key metrics to include but not limited to agency position count, agency headcount, demographics, turnover and retention trends, leave usage and absenteeism, time\-to\-fill, vacant positions, and more. The consultant should be able to maintain confidentiality; an eye for detail in visualization development and reporting; and the ability to train. Must be able to communicate effectively with across functional areas as it relates to the HR Dashboard and data needs.
**Required/Desired Skills**
* PowerBI
* SQL
* Python
* SaS
* Data Management and Development
**www.interonit.com**</t>
        </is>
      </c>
    </row>
    <row r="13">
      <c r="A13" t="inlineStr">
        <is>
          <t>li-4353760021</t>
        </is>
      </c>
      <c r="B13" t="inlineStr">
        <is>
          <t>Data Scientist III - (B3)</t>
        </is>
      </c>
      <c r="C13" t="inlineStr">
        <is>
          <t>Applied Materials</t>
        </is>
      </c>
      <c r="D13" t="inlineStr">
        <is>
          <t>linkedin</t>
        </is>
      </c>
      <c r="E13" t="inlineStr"/>
      <c r="F13" t="inlineStr"/>
      <c r="G13" t="inlineStr">
        <is>
          <t>Santa Clara, CA</t>
        </is>
      </c>
      <c r="H13" t="inlineStr"/>
      <c r="I13" t="inlineStr">
        <is>
          <t>**Who We Are**
 Applied Materials is a global leader in materials engineering solutions used to produce virtually every new chip and advanced display in the world. We design, build and service cutting\-edge equipment that helps our customers manufacture display and semiconductor chips – the brains of devices we use every day. As the foundation of the global electronics industry, Applied enables the exciting technologies that literally connect our world – like AI and IoT. If you want to push the boundaries of materials science and engineering to create next generation technology, join us to deliver material innovation that changes the world.
**What We Offer**
 Salary:
 $142,500\.00 \- $196,500\.00
 Location:
 Santa Clara,CA
 You’ll benefit from a supportive work culture that encourages you to learn, develop, and grow your career as you take on challenges and drive innovative solutions for our customers. We empower our team to push the boundaries of what is possible—while learning every day in a supportive leading global company. Visit our Careers website to learn more.
 At Applied Materials, we care about the health and wellbeing of our employees. We’re committed to providing programs and support that encourage personal and professional growth and care for you at work, at home, or wherever you may go. Learn more about our benefits.
**About The Role**
 We are seeking a forward‑thinking Data Scientist focused on operational optimization and intelligent automation. The ideal candidate will leverage machine learning, statistical modeling, and emerging agentic AI capabilities to transform complex data into actionable insights and autonomous workflows that drive measurable impact across business operations.
**Responsibilities**
* Optimize operational workflows by designing and deploying ML models that improve efficiency, reduce manual effort, and support data‑driven decision\-making across business units.
* Develop autonomous, agentic AI systems that can proactively monitor processes, make recommendations, trigger actions, and continuously improve through feedback loops.
* Interpret and analyze complex datasets using advanced statistical and machine learning techniques; communicate insights clearly to technical and non‑technical stakeholders.
* Build scalable data collection and analytics pipelines that enhance data quality, statistical efficiency, and real\-time decisioning.
* Develop and validate custom ML models (supervised, unsupervised, time\-series, causal inference, etc.) tailored to operational use cases.
* Implement predictive and prescriptive models to address a wide range of business challenges in manufacturing, supply chain, customer operations, finance, and more.
* Work with cross\-functional teams to define new process automation and optimization opportunities driven by machine learning and intelligent agents.
* Maintain and enhance internal data systems, ensuring ongoing data integrity, reliability, and governance.
* Participate in code reviews, model reviews, and best‑practice development, contributing to a high\-performance Data Science culture.
**Requirements**
* Strong expertise in data modeling, database design, feature engineering, and data mining with large\-scale structured and unstructured datasets.
* Proficiency with SQL, statistical programming languages (Python, R) and experience building end\-to\-end ML workflows.
* Hands\-on experience with machine learning algorithms and frameworks, including clustering, decision trees, ensemble methods, deep learning, and reinforcement learning.
* Familiarity with agentic AI frameworks, autonomous decision agents, and LLM\-based workflow orchestration (e.g., tools, function\-calling, planning agents).
* Experience with Tableau or similar BI tools, enabling clear, actionable data storytelling.
* Expertise in statistical techniques including regression, distribution properties, hypothesis testing, and experimental design.
* Strong analytical and problem‑solving skills with exceptional attention to detail, data accuracy, and model validation rigor.
* Ability to systemically identify optimization opportunities and translate them into scalable ML or AI\-driven automation solutions.
* Deep experience writing highly optimized SQL queries and working with large enterprise data systems.
**Qualifications / Experience**
 Master’s Degree in Computer Science, Data Science, Statistics, Engineering, or a related field.
 4–7 years of relevant industry experience in applied machine learning, data science, operational analytics, automation, or AI agent development.
**Additional Information**
**Time Type:**
 Full time
**Employee Type:**
 Assignee / Regular
**Travel:**
 Yes, 10% of the Time
**Relocation Eligible:**
 No
 The salary offered to a selected candidate will be based on multiple factors including location, hire grade, job\-related knowledge, skills, experience, and with consideration of internal equity of our current team members. In addition to a comprehensive benefits package, candidates may be eligible for other forms of compensation such as participation in a bonus and a stock award program, as applicable.
 For all sales roles, the posted salary range is the Target Total Cash (TTC) range for the role, which is the sum of base salary and target bonus amount at 100% goal achievement.
 Applied Materials is an Equal Opportunity Employer. Qualified applicants will receive consideration for employment without regard to race, color, national origin, citizenship, ancestry, religion, creed, sex, sexual orientation, gender identity, age, disability, veteran or military status, or any other basis prohibited by law.
 In addition, Applied endeavors to make our careers site accessible to all users. If you would like to contact us regarding accessibility of our website or need assistance completing the application process, please contact us via e\-mail at Accommodations\_Program@amat.com, or by calling our HR Direct Help Line at 877\-612\-7547, option 1, and following the prompts to speak to an HR Advisor. This contact is for accommodation requests only and cannot be used to inquire about the status of applications.</t>
        </is>
      </c>
    </row>
    <row r="14">
      <c r="A14" t="inlineStr">
        <is>
          <t>li-4363867209</t>
        </is>
      </c>
      <c r="B14" t="inlineStr">
        <is>
          <t>Associate Director, AI Data Scientist</t>
        </is>
      </c>
      <c r="C14" t="inlineStr">
        <is>
          <t>BioSpace</t>
        </is>
      </c>
      <c r="D14" t="inlineStr">
        <is>
          <t>linkedin</t>
        </is>
      </c>
      <c r="E14" t="inlineStr"/>
      <c r="F14" t="inlineStr"/>
      <c r="G14" t="inlineStr">
        <is>
          <t>Palo Alto, CA</t>
        </is>
      </c>
      <c r="H14" t="inlineStr"/>
      <c r="I14" t="inlineStr">
        <is>
          <t>**If you are a current Jazz employee please apply via the Internal Career site.**
 Jazz Pharmaceuticals is a global biopharma company whose purpose is to innovate to transform the lives of patients and their families. We are dedicated to developing life\-changing medicines for people with serious diseases — often with limited or no therapeutic options. We have a diverse portfolio of marketed medicines, including leading therapies for sleep disorders and epilepsy, and a growing portfolio of cancer treatments. Our patient\-focused and science\-driven approach powers pioneering research and development advancements across our robust pipeline of innovative therapeutics in oncology and neuroscience. Jazz is headquartered in Dublin, Ireland with research and development laboratories, manufacturing facilities and employees in multiple countries committed to serving patients worldwide. Please visit www.jazzpharmaceuticals.com for more information.
 The Associate Director, AI Data Scientist will be responsible for leading the implementation of innovative, complex and transformative AI/ML/GenAI solutions across the areas of Clinical Trial Execution and Digital Healthcare across Jazz Research and Development.
**Essential Functions**
* Lead the development and implementation of AI/ML/GenAI solutions to optimize clinical trial operations, including such areas as patient recruitment, patient retention, real\-time data monitoring and automated data collection system build.
* Lead the development and implementation of GenAI applications for automated clinical trial documentation generation including such areas medical reports, clinical study reports, protocols and patient narratives.
* Lead the development and implementation of Digital Healthcare applications for medical and scientific tools, RWE new ways of generating real data, patients’ engagement.
* Design and develop predictive models and generative AI solutions using diverse healthcare data sources, including clinical trials data, electronic health records, wearable devices, patient\-reported outcomes, HEOR data, phase IV studies.
* Collaborate with cross\-functional teams including clinical operations, clinical development, data science and global medical \&amp; scientific affairs, RWE and patients working groups to tackle business challenges and bring value of AI\-driven solutions.
* Build and maintain strategic relationships with external subject matter experts, including healthcare providers, medical researchers, regulators, and AI technology partners, to ensure alignment of AI solutions and stay current with emerging technologies and methodologies in the field.
* Ensuring compliance with regulatory requirements and data privacy standards.
* Facilitate knowledge sharing and exchange within Jazz Data Science and across Jazz Research and Development.
**Required Knowledge, Skills And Abilities**
* Strong programming skills in Python, R, or similar languages, with experience in modern ML frameworks (PyTorch, TensorFlow).
* Demonstrated experience with generative AI technologies, including LLM architectures and frameworks.
* Experience with natural language processing and generative AI for medical text analysis, generation, and interpretation.
* Demonstrated ability to build relationships with stakeholders and subject matter experts.
* Familiarity with high computer cloud\-based platforms and services, in particular AWS.
* Familiarity with code version control and MLOps deployment approaches.
* Ability to understand healthcare challenges and adapt accordingly to the AI solutions.
* Cross\-functions high adaptability to meet cross organization goals.
**Required/Preferred Education**
* Advanced degree (MS or PhD) in Data Science, Computer Science, Biostatistics, or related field
* 7 – 10 years of related professional experience, with 3\+ years of experience applying AI/ML techniques to healthcare or clinical research data.
* Experience in healthcare/AI implementation in healthcare field is a plus.
* Experience/Knowledge in digital healthcare tools design and development
**Description Of Physical Demands**
* Occasional mobility within office environment
* Routinely sitting for extended periods of time
* Constantly operating a computer, printer, telephone and other similar office machinery
*Jazz Pharmaceuticals is an equal opportunity/affirmative action employer and all qualified applicants will receive consideration for employment without regard to race, color, religion, sex, national origin, disability status, protected veteran status, or any characteristic protected by law.*
 The successful candidate will also be eligible to participate in various benefits offerings, including, but not limited to, medical, dental and vision insurance, retirement savings plan, and flexible paid vacation. For more information on our Benefits offerings please click here: https://careers.jazzpharma.com/benefits.html.</t>
        </is>
      </c>
    </row>
    <row r="15">
      <c r="A15" t="inlineStr">
        <is>
          <t>li-4353770220</t>
        </is>
      </c>
      <c r="B15" t="inlineStr">
        <is>
          <t>Applied Scientist, Safety ML</t>
        </is>
      </c>
      <c r="C15" t="inlineStr">
        <is>
          <t>myGwork - LGBTQ+ Business Community</t>
        </is>
      </c>
      <c r="D15" t="inlineStr">
        <is>
          <t>linkedin</t>
        </is>
      </c>
      <c r="E15" t="inlineStr"/>
      <c r="F15" t="inlineStr"/>
      <c r="G15" t="inlineStr">
        <is>
          <t>San Francisco, CA</t>
        </is>
      </c>
      <c r="H15" t="inlineStr"/>
      <c r="I15" t="inlineStr">
        <is>
          <t>**This job is with Amazon, an inclusive employer and a member of myGwork – the largest global platform for the LGBTQ\+ business community. Please do not contact the recruiter directly.**
**Description**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looking for applied scientists to solve challenging and open\-ended problems in the domain of user and content safety. As an applied scientist on Twitch's Community team, you will use machine learning to develop data products tackling problems such as harassment, spam, and illegal content. You will use a wide toolbox of ML tools to handle multiple types of data, including user behavior, metadata, and user generated content such as text and video. You will collaborate with a team of passionate scientists and engineers to develop these models and put them into production, where they can help Twitch's creators and viewers succeed and build communities.
 You will report to our Senior Applied Science Manager in San Francisco, CA. You can work from San Francisco, CA or Seattle, WA.
 You Will
* Build machine learning products to protect Twitch and its users from abusive behavior such as harassment, spam, and violent or illegal content.
* Work backwards from customer problems to develop the right solution for the job, whether a classical ML model or a state\-of\-the\-art one.
* Collaborate with Community Health's engineering and product management team to productionize your models into flexible data pipelines and ML\-based services.
* Continue to learn and experiment with new techniques in ML, software engineering, or safety so that we can better help communities on Twitch grow and stay safe.
 Perks
* Medical, Dental, Vision \&amp; Disability Insurance
* 401(k)
* Maternity \&amp; Parental Leave
* Flexible PTO
* Amazon Employee Discount
**Basic Qualifications**
* 2\+ years of building production software experience
* 2\+ years of hands\-on industry experience building models for NLP, deep learning, bot detection, anomaly detection or in another practical ML domain.
* PhD / MSc Degree in Computer Science, Mathematics, Statistics, Physics, Engineering, or similar quantitative field OR equivalent hands on experience.
* Expertise with: Python and SQL, modern open source ML libraries (Pytorch, Tensorflow, etc.).
* Familiarity with operating in AWS or similar cloud\-computing services.
**Preferred Qualifications**
* PhD with a specialization in Machine Learning.
* 1\+ years of experience working in the safety or fraud prevention domain (not necessarily as a scientist).
* Experience communicating with both technical and non\-technical partners and stakeholders.
* Familiarity with Twitch, its business, and its community.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
 USA, CA, San Francisco \- 171,600\.00 \- 222,200\.00 USD annually
 USA, WA, SEATTLE \- 142,800\.00 \- 193,200\.00 USD annually
 USA, WA, Seattle \- 142,800\.00 \- 193,200\.00 USD annually]]\&gt;</t>
        </is>
      </c>
    </row>
    <row r="16">
      <c r="A16" t="inlineStr">
        <is>
          <t>li-4363817359</t>
        </is>
      </c>
      <c r="B16" t="inlineStr">
        <is>
          <t>Principal Applied Scientist</t>
        </is>
      </c>
      <c r="C16" t="inlineStr">
        <is>
          <t>Microsoft</t>
        </is>
      </c>
      <c r="D16" t="inlineStr">
        <is>
          <t>linkedin</t>
        </is>
      </c>
      <c r="E16" t="inlineStr"/>
      <c r="F16" t="inlineStr"/>
      <c r="G16" t="inlineStr">
        <is>
          <t>Mountain View, CA</t>
        </is>
      </c>
      <c r="H16" t="inlineStr"/>
      <c r="I16" t="inlineStr">
        <is>
          <t>**Overview**
 We seek a Principal Applied Scientist with expertise in Machine Learning, Generative AI, Agentic Modeling, Data Science, or related areas. The ideal candidate should be passionate about generative modeling, experimental prompt tuning, and large\-scale modeling optimization. The candidate should have hands\-on experience on working with LLMs, or SLMs such as Qwen, Llama or its variants. Microsoft AI unites product, engineering, and science teams to advance Bing and Consumer Copilot, aiming to provide the best generative search experience through advanced AI/ML technologies and innovative AI features.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Starting January 26, 2026, Microsoft AI (MAI) employees who live within a 50\- mile commute of a designated Microsoft office in the U.S. or 25\-mile commute of a non\-U.S., country\-specific location are expected to work from the office at least four days per week. This expectation is subject to local law and may vary by jurisdiction.
**Responsibilities**
* Building and owning production machine learning models to improve results.
* Working hands on with SOTA generative models like Qwen, Llama, Mistral, GPT and others, to deliver big impact.
* Finding insights and forming hypothesis on large\-scale data with various machine learning, feature engineering, statistical, and data mining techniques: e.g. regression, classification, NLP, optimization.
* Professional working experience on prompt engineering with large LLMs like GPT, Gemini, Claude etc.
* Designing experiments, understanding the resulting data, and producing actionable, trustworthy conclusions from them.
* Wrangling large amounts of data (think petabytes) using various tools, including open\-source ones and your own. All programming languages are welcome, especially Python, C\#, R, C\+\+, Java, and SQL.
* Taking complex problems and the associated data and giving the answers in a concise form to assist senior executives in making key business decisions.
**Qualifications**
**Required Qualifications:**
* Bachelor's Degree in Statistics, Econometrics, Computer Science, Electrical or Computer Engineering, or related field AND 6\+ years related experience (e.g., statistics, predictive analytics, research)
+ OR Master's Degree in Statistics, Econometrics, Computer Science, Electrical or Computer Engineering, or related field AND 4\+ years related experience (e.g., statistics, predictive analytics, research)
+ OR Doctorate in Statistics, Econometrics, Computer Science, Electrical or Computer Engineering, or related field AND 3\+ years related experience (e.g., statistics, predictive analytics, research)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Master's Degree in Statistics, Econometrics, Computer Science, Electrical or Computer Engineering, or related field AND 9\+ years related experience (e.g., statistics, predictive analytics, research)
+ OR Doctorate in Statistics, Econometrics, Computer Science, Electrical or Computer Engineering, or related field AND 6\+ years related experience (e.g., statistics, predictive analytics, research)
+ OR equivalent experience.
 \#MicrosoftAI \#ML \#AI
 Applied Sciences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7">
      <c r="A17" t="inlineStr">
        <is>
          <t>li-4364037154</t>
        </is>
      </c>
      <c r="B17" t="inlineStr">
        <is>
          <t>Principal, AI Data Scientist</t>
        </is>
      </c>
      <c r="C17" t="inlineStr">
        <is>
          <t>BioSpace</t>
        </is>
      </c>
      <c r="D17" t="inlineStr">
        <is>
          <t>linkedin</t>
        </is>
      </c>
      <c r="E17" t="inlineStr"/>
      <c r="F17" t="inlineStr"/>
      <c r="G17" t="inlineStr">
        <is>
          <t>Philadelphia, PA</t>
        </is>
      </c>
      <c r="H17" t="inlineStr"/>
      <c r="I17" t="inlineStr">
        <is>
          <t>**If you are a current Jazz employee please apply via the Internal Career site.**
 Jazz Pharmaceuticals is a global biopharma company whose purpose is to innovate to transform the lives of patients and their families. We are dedicated to developing life\-changing medicines for people with serious diseases — often with limited or no therapeutic options. We have a diverse portfolio of marketed medicines, including leading therapies for sleep disorders and epilepsy, and a growing portfolio of cancer treatments. Our patient\-focused and science\-driven approach powers pioneering research and development advancements across our robust pipeline of innovative therapeutics in oncology and neuroscience. Jazz is headquartered in Dublin, Ireland with research and development laboratories, manufacturing facilities and employees in multiple countries committed to serving patients worldwide. Please visit www.jazzpharmaceuticals.com for more information.
**Brief Description**
 The Principal, AI Data Scientist will be responsible for supporting the implementation of innovative, complex and transformative AI/ML/GenAI solutions across the areas of Clinical Trial Execution and Digital Healthcare across Jazz Research and Development.
**Essential Functions**
* Support the development and implementation of AI/ML/GenAI solutions to optimize clinical trial operations, including such areas as patient recruitment, patient retention, real\-time data monitoring and automated data collection system build.
* Support the development and implementation GenAI applications for automated clinical trial documentation generation including such areas medical reports, clinical study reports, protocols and patient narratives.
* Support the development and implementation of Digital Healthcare applications for medical and scientific tools, RWE new ways of generating real data, patients’ engagement.
* Support the design and develop predictive models and generative AI solutions using diverse healthcare data sources, including clinical trials data, electronic health records, wearable devices, patient\-reported outcomes, HEOR data, phase IV studies.
* Collaborate with cross\-functional teams including clinical operations, clinical development, data science and global medical \&amp; scientific affairs, RWE and patients working groups to tackle business challenges and bring value of AI\-driven solutions.
* Ensuring compliance with regulatory requirements and data privacy standards.
* Facilitate knowledge sharing and exchange within Jazz Data Science and across Jazz Research and Development.
**Required Knowledge, Skills And Abilities**
* Strong programming skills in Python, R, or similar languages, with experience in modern ML frameworks (PyTorch, TensorFlow).
* Demonstrated experience with generative AI technologies, including LLM architectures and frameworks.
* Knowledge/experience with digital healthcare tools design and development
* Experience with natural language processing and generative AI for medical text analysis, generation, and interpretation.
* Demonstrated ability to build relationships with stakeholders and subject matter experts.
* Familiarity with high compute cloud\-based platforms and services, in particular AWS.
* Familiarity with code version control and MLOps deployment approaches.
* Ability to understand healthcare challenges and adapt accordingly the AI solutions.
* Cross\-functions high adaptability to meet cross organization goals.
**Required/Preferred Education**
* Advanced degree (MS or PhD) in Data Science, Computer Science, Biostatistics, or related field
* 3 – 5 years of related professional experience, with 1\+ years of experience applying AI/ML techniques to healthcare or clinical research data.
* Experience in healthcare/AI implementation in healthcare field is a plus.
* Knowledge in digital healthcare tools design and development
**Description Of Physical Demands**
* Occasional mobility within office environment
* Routinely sitting for extended periods of time
* Constantly operating a computer, printer, telephone and other similar office machinery
*Jazz Pharmaceuticals is an equal opportunity/affirmative action employer and all qualified applicants will receive consideration for employment without regard to race, color, religion, sex, national origin, disability status, protected veteran status, or any characteristic protected by law.*
 The successful candidate will also be eligible to participate in various benefits offerings, including, but not limited to, medical, dental and vision insurance, retirement savings plan, and flexible paid vacation. For more information on our Benefits offerings please click here: https://careers.jazzpharma.com/benefits.html.</t>
        </is>
      </c>
    </row>
    <row r="18">
      <c r="A18" t="inlineStr">
        <is>
          <t>li-4363787399</t>
        </is>
      </c>
      <c r="B18" t="inlineStr">
        <is>
          <t>Senior Applied Scientist</t>
        </is>
      </c>
      <c r="C18" t="inlineStr">
        <is>
          <t>Microsoft</t>
        </is>
      </c>
      <c r="D18" t="inlineStr">
        <is>
          <t>linkedin</t>
        </is>
      </c>
      <c r="E18" t="inlineStr"/>
      <c r="F18" t="inlineStr"/>
      <c r="G18" t="inlineStr">
        <is>
          <t>Redmond, WA</t>
        </is>
      </c>
      <c r="H18" t="inlineStr"/>
      <c r="I18" t="inlineStr">
        <is>
          <t>**Overview**
 Do you want to be part of a team which delivers innovative products and machine learning solutions across Microsoft to hundreds of millions of users every month? Does the opportunity to join a fast\-paced, high\-visibility, diverse team in a highly competitive market sound exciting to you? If so, this Senior Applied Scientist role with the Microsoft Turing team may be a great fit for you!
 The Microsoft Turing team is an innovative research and engineering team working on state\-of\-the\-art deep learning models to power end user experiences across the company. Senior Applied Scientists and software engineers in the Turing team work together to push the boundaries of large\-scale deep learning models on Turing’s world class distributed training infrastructure. The team is pioneering search and the core copilot experiences across Microsoft’s ecosystem.
 In addition to ensuring that Microsoft is pushing the state\-of\-the\-art large\-scale models, the Turing team also works on improving experiences across Microsoft’s products and services by working on high value scenarios. The Turing team has shipped capabilities across all of many Microsoft scenarios including M365 Copilots, Bing Chat,  semantic search for enterprise and knowledge management, quick reply on Outlook, Smart Compose features in Word, image enhancement models, image search models,  as well as many other features across Office, Bing, and Xbox.  Most recently, the Turing team launched Analyst Agent in M365 Copilot—one of the first reasoning\-powered agents of its kind.
 If you share our passion for building innovative products and utilizing the power of machine learning in large\-scale real\-world situations for the benefit of our customers, we would love to consider your application.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You will be proficient one or more subareas and gain expertise in a broad area of research, including applicable research techniques. You’ll also gain deep knowledge of a service, platform, or domain, and identify product needs by sharing the latest industry trends and applied technologies.
* You will review business requirements and incorporate research to meet business goals. You‘ll provide strategic direction for the kinds of data used to solve problems and apply deep subject matter knowledge to support business impact.
* You will participate in onboarding of team members and assist in developing academics to be members of multidiscipline teams. You’ll identify new research talent to join Microsoft and collaborate with the academic community to develop the recruiting pipeline.
* You will document work in progress and experimentation results and share findings to promote innovation. You’ll also use your deep understanding of fairness and bias to contribute to ethics and privacy policies related to research processes and data collection.
**Qualifications**
**Required Qualifications:**
* Bachelor's Degree in Statistics, Econometrics, Computer Science, Electrical or Computer Engineering, or related field AND 4\+ years related experience (e.g., statistics predictive analytics, research)
* OR Master's Degree in Statistics, Econometrics, Computer Science, Electrical or Computer Engineering, or related field AND 3\+ years related experience (e.g., statistics, predictive analytics, research)
* OR Doctorate in Statistics, Econometrics, Computer Science, Electrical or Computer Engineering, or related field AND 1\+ year(s) related experience (e.g., statistics, predictive analytics, research) OR equivalent experience.
* 3\+ years of experience coding in C\+\+, C\#, C, Java or Python.
* 3\+ years experience in applying deep learning techniques and drive end\-to\-end AI product development (Search, Recommendation, NLP, Document Understanding, etc).
* 3\+ years of experience with common machine learning, deep learning frameworks like Pytorch/Tensorflow.
* 3\+ years communicating technical details clearly across organizational boundaries.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Master's Degree in Statistics, Econometrics, Computer Science, Electrical or Computer Engineering, or related field AND 6\+ years related experience (e.g., statistics, predictive analytics, research) OR Doctorate in Statistics, Econometrics, Computer Science, Electrical or Computer Engineering, or related field AND 3\+ years related experience (e.g., statistics, predictive analytics, research) OR equivalent experience.
* Proficient ability and effectiveness working end\-to\-end in a challenging technical problem domain (plan, design, execution, continuous release, and service operation).
* Experience with shipping internet scale, low latency and high throughput systems AI products.
* Self\-driven, results oriented, high integrity, ability to work collaboratively, solve problems with groups, find win/win solutions and celebrate successes.
* Customer/End\-result/Metrics driven in design and development.
* Keen ability and motivation to learn, enter new domains, and manage through ambiguity.
* Proficient publication track records at top conferences like ACL, EMNLP, SIGKDD, AAAI, WSDM, COLING, WWW, NIPS, ICASSP, etc.
* 3\+ years experience creating publications (e.g., patents, libraries, peer\-reviewed academic papers).
* Experience presenting at conferences or other events in the outside research/industry community as an invited speaker.
* 3\+ years experience conducting research as part of a research program (in academic or industry settings).
* 1\+ year(s) experience developing and deploying live production systems, as part of a product team.
* 1\+ year(s) experience developing and deploying products or systems at multiple points in the product cycle from ideation to shipping.
 \#msturingjobs \#msai
 Applied Sciences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9">
      <c r="A19" t="inlineStr">
        <is>
          <t>li-4353770229</t>
        </is>
      </c>
      <c r="B19" t="inlineStr">
        <is>
          <t>Principal Applied Scientist, Kiro Science</t>
        </is>
      </c>
      <c r="C19" t="inlineStr">
        <is>
          <t>myGwork - LGBTQ+ Business Community</t>
        </is>
      </c>
      <c r="D19" t="inlineStr">
        <is>
          <t>linkedin</t>
        </is>
      </c>
      <c r="E19" t="inlineStr"/>
      <c r="F19" t="inlineStr"/>
      <c r="G19" t="inlineStr">
        <is>
          <t>Santa Clara, CA</t>
        </is>
      </c>
      <c r="H19" t="inlineStr"/>
      <c r="I19" t="inlineStr">
        <is>
          <t>**This job is with Amazon, an inclusive employer and a member of myGwork – the largest global platform for the LGBTQ\+ business community. Please do not contact the recruiter directly.**
**Description**
 AWS Agentic AI is looking for a Principal Applied Scientist who will partner with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
**Basic Qualifications**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First author publications at Tier\-1 ML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
 USA, CA, Santa Clara \- 228,700\.00 \- 309,400\.00 USD annually
 USA, NY, New York \- 218,800\.00 \- 295,900\.00 USD annually]]\&gt;</t>
        </is>
      </c>
    </row>
    <row r="20">
      <c r="A20" t="inlineStr">
        <is>
          <t>li-4353790273</t>
        </is>
      </c>
      <c r="B20" t="inlineStr">
        <is>
          <t>Applied Scientist, LLM Code Agents, Kiro Science</t>
        </is>
      </c>
      <c r="C20" t="inlineStr">
        <is>
          <t>myGwork - LGBTQ+ Business Community</t>
        </is>
      </c>
      <c r="D20" t="inlineStr">
        <is>
          <t>linkedin</t>
        </is>
      </c>
      <c r="E20" t="inlineStr"/>
      <c r="F20" t="inlineStr"/>
      <c r="G20" t="inlineStr">
        <is>
          <t>Santa Clara, CA</t>
        </is>
      </c>
      <c r="H20" t="inlineStr"/>
      <c r="I20" t="inlineStr">
        <is>
          <t>**This job is with Amazon, an inclusive employer and a member of myGwork – the largest global platform for the LGBTQ\+ business community. Please do not contact the recruiter directly.**
**Description**
 Amazon Web Services (AWS) is assembling an elite team of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
**Basic Qualifications**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
 USA, CA, Santa Clara \- 171,600\.00 \- 222,200\.00 USD annually
 USA, WA, Seattle \- 142,800\.00 \- 193,200\.00 USD annually]]\&gt;</t>
        </is>
      </c>
    </row>
    <row r="21">
      <c r="A21" t="inlineStr">
        <is>
          <t>li-4354941970</t>
        </is>
      </c>
      <c r="B21" t="inlineStr">
        <is>
          <t>Data Scientist</t>
        </is>
      </c>
      <c r="C21" t="inlineStr">
        <is>
          <t>Jobs via Dice</t>
        </is>
      </c>
      <c r="D21" t="inlineStr">
        <is>
          <t>linkedin</t>
        </is>
      </c>
      <c r="E21" t="inlineStr"/>
      <c r="F21" t="inlineStr"/>
      <c r="G21" t="inlineStr">
        <is>
          <t>Fort Meade, MD</t>
        </is>
      </c>
      <c r="H21" t="inlineStr"/>
      <c r="I21" t="inlineStr">
        <is>
          <t>**Overview**
 GovCIO is currently hiring for a Data Scientist to define the characteristics of high\-quality training data . This position will be located in Fort Meade, MD and will be an onsite position.
**Responsibilities**
 The Data Scientist defines the characteristics of high\-quality training data required to support future AI\-powered cyber models. This role focuses on feature relevance, representativeness, bias, and generalization considerations rather than model training. Early data science input during IOC ensures that data collected will be suitable for downstream AI development, reducing risk and accelerating capability maturation during follow\-on implementation
* Identify AI\-relevant features and data attributes
* Assess data diversity, bias, and generalization risks
* Advise on data suitability for future model development
* DoD 8570\.01\-M IAT Level II (Sec\+CE, SSCP, CND, CCNA Security, etc)
**Qualifications**
 High School with 10\+ years (or commensurate experience)
**Required Skills And Experience**
* Clearance Required: TS/SCI CI Poly
* 10 yrs experience in data science or applied analytics
* Understanding of AI/ML data requirements
**Company Overview**
 Preferred Skills and Experience
 GovCIO is a team of transformers\-\-people who are passionate about transforming government IT. Every day, we make a positive impact by delivering innovative IT services and solutions that improve how government agencies operate and serve our citizens.
 But we can't do it alone. We need great people to help us do great things \- for our customers, our culture, and our ability to attract other great people. We are changing the face of government IT and building a workforce that fuels this mission. Are you ready to be a transformer?
**What You Can Expect**
**Interview \&amp; Hiring Process**
 If you are selected to move forward through the process, here's what you can expect:
- During the Interview Process
* Virtual video interview conducted via video with the hiring manager and/or team
* Camera must be on
* A valid photo ID must be presented during each interview
* During the Hiring Process
+ Enhanced Biometrics ID verification screening
+ Background check, to include:
- Criminal history (past 7 years)
- Verification of your highest level of education
- Verification of your employment history (past 7 years), based on information provided in your application
**Employee Perks**
 At GovCIO, we consistently hear that meaningful work and a collaborative team environment are two of the top reasons our employees enjoy working here. In addition, our employees have access to a range of perks and benefits to support their personal and professional well\-being, beyond the standard company offered health benefits, including:
* Employee Assistance Program (EAP)
* Corporate Discounts
* Learning \&amp; Development platform, to include certification preparation content
* Training, Education and Certification Assistance\*
* Referral Bonus Program
* Internal Mobility Program
* Pet Insurance
* Flexible Work Environment
* Available to full\-time employees
 Our employees' unique talents and contributions are the driving force behind our success in supporting our customers, which ultimately fuels the success of our company. Join us and be a part of a culture that invests in its people and prioritizes continuous enhancement of the employee experience.
**We are an Equal Opportunity Employer.** 
 All qualified applicants will receive consideration for employment without regard to race, color, religion, sex, gender, gender identity or expression, sexual orientation, national origin, disability, or status as a protected veteran. EOE, including disability/vets.
**Posted Pay Range**
 The posted pay range, if referenced, reflects the range expected for this position at the commencement of employment, however, base pay offered may vary depending on multiple individualized factors, including market location, job\-related knowledge, skills, education, experience, and internal equity. The total compensation package for this position may also include other compensation elements, to be discussed during the hiring process. If hired, employee will be in an "at\-will position" and the GovCIO reserves the right to modify base salary (as well as any other discretionary payment or compensation program) at any time, including for reasons related to individual performance, GovCIO or individual department/team performance, and market factors.
**Posted Salary Range**
 USD $156,000\.00 \- USD $176,000\.00 /Yr.</t>
        </is>
      </c>
    </row>
    <row r="22">
      <c r="A22" t="inlineStr">
        <is>
          <t>li-4363757141</t>
        </is>
      </c>
      <c r="B22" t="inlineStr">
        <is>
          <t>Principal Associate, Data Scientist - Model Risk Office</t>
        </is>
      </c>
      <c r="C22" t="inlineStr">
        <is>
          <t>Capital One</t>
        </is>
      </c>
      <c r="D22" t="inlineStr">
        <is>
          <t>linkedin</t>
        </is>
      </c>
      <c r="E22" t="inlineStr"/>
      <c r="F22" t="inlineStr"/>
      <c r="G22" t="inlineStr">
        <is>
          <t>New York, NY</t>
        </is>
      </c>
      <c r="H22" t="inlineStr"/>
      <c r="I22" t="inlineStr">
        <is>
          <t>Data is at the center of everything we do. As a startup, we disrupted the credit card industry by individually personalizing every credit card offer using statistical modeling and the relational database, cutting edge technology in 1988! Fast\-forward a few years, and this little innovation and our passion for data has skyrocketed us to a Fortune 200 company and a leader in the world of data\-driven decision\-making.
 As a Data Scientist at Capital One, you’ll be part of a team that’s leading the next wave of disruption at a whole new scale, using the latest in computing and machine learning technologies and operating across billions of customer records to unlock the big opportunities that help everyday people save money, time and agony in their financial lives.
 Team Description
 In Capital One’s Model Risk Office, we defend the company against model failures and find new ways of making better decisions with models. We use our statistics, software engineering, and business expertise to drive the best outcomes in both Risk Management and the Enterprise. We understand that we can’t prepare for tomorrow by focusing on today, so we invest in the future: investing in new skills, building better tools, and maintaining a network of trusted partners. We learn from past mistakes, and develop increasingly powerful techniques to avoid their repetition.
****Role Description****
****In this role, you will:****
* Partner with a cross\-functional team of data scientists, software engineers, and product managers to deliver a product customers love
* Leverage a broad stack of technologies — Python, Conda, AWS, H2O, Spark, and more — to reveal the insights hidden within huge volumes of numeric and textual data
* Build machine learning models through all phases of development, from design through training, evaluation, validation, and implementation
* Flex your interpersonal skills to translate the complexity of your work into tangible business goals
****The Ideal Candidate is:****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Technical. You’re comfortable with open\-source languages and are passionate about developing further. You have hands\-on experience developing data science solutions using open\-source tools and cloud computing platforms.
* Statistically\-minded. You’ve built models, validated them, and backtested them. You know how to interpret a confusion matrix or a ROC curve. You have experience with clustering, classification, sentiment analysis, time series, and deep learning.
****Basic Qualifications:****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or a related quantitative field) plus 5 years of experience performing data analytics
+ A Master's Degree in a quantitative field (Statistics, Economics, Operations Research, Analytics, Mathematics, Computer Science, or a related quantitative field) or an MBA with a quantitative concentration plus 3 years of experience performing data analytics
+ A PhD in a quantitative field (Statistics, Economics, Operations Research, Analytics, Mathematics, Computer Science, or a related quantitative field)
****Preferred Qualifications:****
* Master’s Degree in “STEM” field (Science, Technology, Engineering, or Mathematics) plus 3 years of experience in data analytics, or PhD in “STEM” field (Science, Technology, Engineering, or Mathematics)
* At least 3 years’ experience in Python, Scala, or R.
* Experience with PySpark/Polars
* At least 3 years’ experience with hands\-on Machine Learning model development and deployment
* At least 3 years’ experience with SQL
* At least 1 year of experience working with AWS or other cloud computing platform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$161,800 \- $184,600 for Princ Associate, Data Science
 New York, NY: $176,500 \- $201,400 for Princ Associate, Data Science
 Wilmington, DE: $147,100 \- $167,900 for Princ Associate, Data Science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23">
      <c r="A23" t="inlineStr">
        <is>
          <t>li-4353790274</t>
        </is>
      </c>
      <c r="B23" t="inlineStr">
        <is>
          <t>Applied Scientist, LLM Code Agents, Kiro Science</t>
        </is>
      </c>
      <c r="C23" t="inlineStr">
        <is>
          <t>myGwork - LGBTQ+ Business Community</t>
        </is>
      </c>
      <c r="D23" t="inlineStr">
        <is>
          <t>linkedin</t>
        </is>
      </c>
      <c r="E23" t="inlineStr"/>
      <c r="F23" t="inlineStr"/>
      <c r="G23" t="inlineStr">
        <is>
          <t>Santa Clara, CA</t>
        </is>
      </c>
      <c r="H23" t="inlineStr"/>
      <c r="I23" t="inlineStr">
        <is>
          <t>**This job is with Amazon, an inclusive employer and a member of myGwork – the largest global platform for the LGBTQ\+ business community. Please do not contact the recruiter directly.**
**Description**
 Amazon Web Services (AWS) is assembling an elite team of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
**Basic Qualifications**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
 USA, CA, Santa Clara \- 171,600\.00 \- 222,200\.00 USD annually]]\&gt;</t>
        </is>
      </c>
    </row>
    <row r="24">
      <c r="A24" t="inlineStr">
        <is>
          <t>li-4360280600</t>
        </is>
      </c>
      <c r="B24" t="inlineStr">
        <is>
          <t>Data Scientist- NYC</t>
        </is>
      </c>
      <c r="C24" t="inlineStr">
        <is>
          <t>The Hollister Group</t>
        </is>
      </c>
      <c r="D24" t="inlineStr">
        <is>
          <t>linkedin</t>
        </is>
      </c>
      <c r="E24">
        <f>HYPERLINK("https://www.linkedin.com/jobs/view/4360280600", "https://www.linkedin.com/jobs/view/4360280600")</f>
        <v/>
      </c>
      <c r="F24" t="inlineStr"/>
      <c r="G24" t="inlineStr">
        <is>
          <t>Boston, MA</t>
        </is>
      </c>
      <c r="H24" t="inlineStr"/>
      <c r="I24" t="inlineStr">
        <is>
          <t>**Data Scientist\- NYC** 
 Our client is seeking a talented Data Scientist to join their team as an independent remote employee. Our team brings data science and machine learning to the private equity investment process, providing unparalleled access to alternative data sources and proprietary data from portfolio companies. You'll be at the forefront of high\-value tactical workflows that drive all aspects of the investment process.
 As a Data Scientist with our client, you'll have the opportunity to own due diligence processes, source efforts, or portfolio support initiatives, with your work influencing billions of dollars in investment decisions. You'll work in a collaborative, fast\-moving team in close collaboration with experienced professionals passionate about AI/ML and its impact on the private equity space.
 Responsibilities:
* Develop predictive models and proprietary analytics from large datasets using advanced queries, filters, and data visualization tools
 * Create valuable insights from datasets directly with stakeholders
 * Architect and manage analytical projects from ideation to launch
 * Leverage alternative data sets to algorithmically determine the best investments for our clients
 * Conduct competitive analysis to determine the soundness of investments using all relevant data sources
 * Use ground\-truth data from portfolio companies to improve business outcomes (automated lead generation/enrichment, forecast and churn modeling, etc.)
 Required Skills:
	+ Bachelor's degree or concentration in a highly quantitative or relevant data science field (Computer Science, Statistics, Mathematics, Finance, etc.) or equivalent professional experience
	 + Experience with machine learning or adjacent fields (natural language processing, random forests, linear regression, predictive modeling, and entry\-level data science concepts)
	 + Experience writing code in Python
	 + Experience handling terabyte\-sized datasets, discovering hidden patterns, and working with managers to develop models
	 + Excitement for the venture capital and private equity space and the opportunity to make analytical and data\-driven decisionsLogistics:
		- **Location:** 
		 This role requires 3 days per week in our clients office in NYC. 
		 - **Pay Range:** 
		**$100\-$200/hr,** 
		 depending on experience and scope.
		 - We encourage qualified applicants to apply
		 **even if their compensation expectations differ** 
		 , as we value technical expertise and culture fit.
		**Our Commitment to Inclusion \&amp; Belonging** 
		 The Hollister Group is an equal opportunity employer. We welcome and encourage applications from people who are under\-represented in their respective occupation or position.
		 \#HGP</t>
        </is>
      </c>
    </row>
    <row r="25">
      <c r="A25" t="inlineStr">
        <is>
          <t>li-4364027000</t>
        </is>
      </c>
      <c r="B25" t="inlineStr">
        <is>
          <t>Data Scientist</t>
        </is>
      </c>
      <c r="C25" t="inlineStr">
        <is>
          <t>Atlassian</t>
        </is>
      </c>
      <c r="D25" t="inlineStr">
        <is>
          <t>linkedin</t>
        </is>
      </c>
      <c r="E25">
        <f>HYPERLINK("https://www.linkedin.com/jobs/view/4364027000", "https://www.linkedin.com/jobs/view/4364027000")</f>
        <v/>
      </c>
      <c r="F25" t="inlineStr"/>
      <c r="G25" t="inlineStr"/>
      <c r="H25" t="inlineStr"/>
      <c r="I25" t="inlineStr">
        <is>
          <t>**About The Company**
 Atlassian is a global leader in collaboration and productivity software, dedicated to helping teams unleash their full potential. With a focus on innovation, inclusivity, and customer\-centric solutions, Atlassian develops tools that facilitate seamless teamwork, communication, and project management across diverse industries and organizational sizes. As a distributed\-first company, Atlassian values flexibility and empowers its employees to work from anywhere, fostering a culture of trust, transparency, and continuous improvement. The company's commitment to diversity and equal opportunity ensures an inclusive environment where all employees can thrive and contribute meaningfully to the company's mission of making teamwork better worldwide.
**About The Role**
 We are seeking a highly skilled and experienced Data Scientist specializing in Analytics \&amp; Data Science to join our team remotely from San Francisco or other locations where we operate. In this role, you will collaborate with cross\-functional teams to tackle complex product and business challenges through advanced data analysis, experimentation, and strategic insights.
 Your primary focus will be to develop hypotheses, test them through rigorous analytical methods, and translate findings into actionable recommendations that influence product roadmaps and business strategies. You will serve as a trusted strategic partner, leveraging your technical expertise to shape product development, identify new opportunities, and measure the success of initiatives through key metrics. Your storytelling skills will be vital in communicating insights effectively to leadership and stakeholders, ensuring data\-driven decision\-making across the organization.
**Qualifications**
* 8\+ years of experience in Data Science or related fields
* Proficiency in SQL and at least one data manipulation programming language (e.g., Python, R)
* Expertise in data visualization tools such as Tableau, R\-Shiny, Microstrategy, SAP Business Objects, Looker, etc.
* Strong knowledge of statistical concepts including regressions, A/B testing, clustering, and probability
* Experience in driving impactful projects that influence business strategy and performance
* Proven ability to craft analysis into persuasive and well\-structured narratives
* Experience advising and presenting to senior executives as a thought partner
**Desirable Qualifications Include**
* 10\+ years of experience in Data Science or related fields
* Understanding of SaaS business models and key performance metrics
* Experience in developing insights for chat, search, or large language model\-based products
**Responsibilities**
* Collaborate with cross\-functional teams to address product and business challenges through data analysis and experimentation
* Build and maintain analytical models to develop strategies and solve complex problems
* Develop hypotheses using various methodologies, frameworks, and technical approaches, then test and validate them
* Identify opportunities for product and business improvements, influencing roadmaps through insights and recommendations
* Partner with teams to inform, influence, and execute strategic decisions based on data insights
* Forecast and monitor key product metrics to evaluate the success of initiatives and understand trends
* Utilize data to shape product development, quantify new opportunities, and anticipate upcoming challenges
* Communicate insights effectively through storytelling techniques to leadership and stakeholders
**Benefits**
* Comprehensive health coverage and wellness resources
* Paid volunteer days and community engagement opportunities
* Flexible work arrangements supporting remote work
* Competitive compensation packages aligned with market standards
* Opportunities for professional development and career growth
* Equity options and performance\-based bonuses
 Equal Opportunity
 At Atlassian, we are committed to fostering an inclusive environment where all employees are valued and respected. We provide equal employment opportunities regardless of race, religion, national origin, gender identity or expression, sexual orientation, age, veteran status, disability, or any other protected characteristic. We support accommodations and adjustments at any stage of the recruitment process to ensure fair access for all candidates.</t>
        </is>
      </c>
    </row>
    <row r="26">
      <c r="A26" t="inlineStr">
        <is>
          <t>li-4363728208</t>
        </is>
      </c>
      <c r="B26" t="inlineStr">
        <is>
          <t>Applied AI Data Scientist</t>
        </is>
      </c>
      <c r="C26" t="inlineStr">
        <is>
          <t>Flatiron Health</t>
        </is>
      </c>
      <c r="D26" t="inlineStr">
        <is>
          <t>linkedin</t>
        </is>
      </c>
      <c r="E26">
        <f>HYPERLINK("https://www.linkedin.com/jobs/view/4363728208", "https://www.linkedin.com/jobs/view/4363728208")</f>
        <v/>
      </c>
      <c r="F26" t="inlineStr"/>
      <c r="G26" t="inlineStr">
        <is>
          <t>New York, NY</t>
        </is>
      </c>
      <c r="H26" t="inlineStr"/>
      <c r="I26" t="inlineStr">
        <is>
          <t>Reimagine the infrastructure of cancer care within a community that values integrity, inspires growth, and is uniquely positioned to create a more modern, connected oncology ecosystem. We’re looking for an Applied Data Scientist to help us accomplish our mission to improve and extend lives by learning from the experience of every person with cancer. Are you ready to be the next changemaker in cancer care?
**What You'll Do**
 At Flatiron, we’re advancing the use of machine learning and generative AI to extract clinically relevant information from unstructured medical notes to create de\-identified oncology research datasets. The Discovery team is helping to build these next generation research data products, developing and applying ML \&amp; LLMs to capture a complete picture of the patient journey. The Discovery has team members spanning many different fields, from ML engineers and data scientists, to product management and oncologists.
 As part of our team, you will apply existing internal and off\-the\-shelf external AI systems and validate AI generated data sets that are used by clinicians and researchers to evolve cancer research, generate clinical insights, and learn from the experience of millions of people living with cancer. Engaging with a cross\-functional group of stakeholders both within Discovery and across the company, you will contribute to the build out of our data sets from scoping through to validation, productionization and delivery.
 In addition, you'll also:
* Work with our clinical stakeholders to apply existing AI systems to turn raw clinical data into high quality research data
* Become a subject matter expert on our data and its capabilities and collaborate closely across the team to understand data needs and provide analytical support that enhances model development and deployment.
* Work with research scientists and oncologists to validate that our team’s models can be used to generate sound scientific insights, including full dataset performance analyses
* Work closely with subject matter experts \&amp; ML researchers to define requirements for training and evaluation datasets, and maintain software pipelines for the generation of these sets.
* Provide analytic support and create custom data outputs for cross\-functional teams such as our team of clinical experts.
* Interface with internal scientific \&amp; clinical stakeholders to understand what data they need to conduct high quality research.
* Work cross\-functionally with software engineers to productionize, scale, and monitor our team’s models.
**Who You Are**
 You're a product\-focused data scientist, with creative analytical problem\-solving skills ready to tackle the problems of measuring the performance of complex datasets \&amp; the systems that build them. You’re excited to learn about oncology from our clinical stakeholders and work with them to apply AI to extract nuanced clinical concepts from the medical record and validate the fitness\-for\-use of that data for oncology research. You’re a kind, passionate and collaborative problem\-solver who seeks and gives candid feedback, and values the chance to make an important impact.
* You have 3\+ years of relevant working experience as an applied data scientist or similar technical data\-oriented role, including relevant applied work in a graduate program. Some prior experience with ML or LLMs is preferred.
* You understand how machine learning and AI systems are measured and can analyze an existing system to understand the quality of its output, assess where improvements are needed, and communicate the impact of those improvements to stakeholders
* You have collaborated with other technical team members in a production development environment using formal version control, Python (including data manipulation in pandas, polars or a similar framework), and SQL.
* You’re impact\-oriented, and care deeply about creating real change for customers, users, and ultimately patients. You choose the right, rather than the flashiest, method available to reach your goals.
* You are a clear and confident communicator who can break down complex data analyses to tell a compelling story.
* You have led cross\-functional initiatives and excel at influencing decision\-making without authority.
*Extra Credit*
* You have experience working with data in a healthcare setting.
* You have experience with the risks of bias in machine learning, health equity research/analysis or have worked with underrepresented groups in a clinical research setting.
* You have experience working in dbt or other ETL frameworks
* You have experience with deep learning and traditional NLP methods.
**Where You’ll Work**
 In this hybrid role, you’ll have a defined work location that includes work from home and 3 office days set by you and your team. For more information on our approach to hybrid work, please visit the how we work website.
**Life at Flatiron**
 At Flatiron Health, we offer a full range of benefits to support you and your loved ones so you can focus your working hours on improving cancer care and accelerating cancer research, and your non\-working hours on everything else life has to offer:
* Work/life autonomy via flexible work hours and flexible paid time off
* Comprehensive compensation package
* 401(k) contribution to help you reach your retirement planning goals
* Financial health resources including 1:1 financial advice
* Mental well\-being tools and services
* Parental benefits and policies including family\-building care and generous leave
* Path to parenthood programs supporting fertility, adoption and surrogacy
* Travel support for safe healthcare services
 In addition to our robust benefit offerings, visit our Life at Flatiron page to learn how we support continuous learning and celebrate inclusion and belonging in the workplace.
 Salary Range: $139200 \- $191400
**An Important Note On Compensation**
 The pay range for this position is based on the preferred primary location of the role which is listed above. If you are applying to this role at a location that is not the preferred primary location, please keep in mind the salary range will vary and may fall outside of what is listed. Base pay offered may vary depending on job\-related knowledge, skills, and experience. An annual bonus and equity may be provided as part of the compensation package, in addition to a full range of medical, financial, and/or other benefits, depending on the position offered.
 Flatiron Health is proud to be an Equal Employment Opportunity employer.
 We do not discriminate based upon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t>
        </is>
      </c>
    </row>
    <row r="27">
      <c r="A27" t="inlineStr">
        <is>
          <t>li-4360160547</t>
        </is>
      </c>
      <c r="B27" t="inlineStr">
        <is>
          <t>Data Scientist, Payment Analytics - USDS</t>
        </is>
      </c>
      <c r="C27" t="inlineStr">
        <is>
          <t>TikTok</t>
        </is>
      </c>
      <c r="D27" t="inlineStr">
        <is>
          <t>linkedin</t>
        </is>
      </c>
      <c r="E27">
        <f>HYPERLINK("https://www.linkedin.com/jobs/view/4360160547", "https://www.linkedin.com/jobs/view/4360160547")</f>
        <v/>
      </c>
      <c r="F27" t="inlineStr"/>
      <c r="G27" t="inlineStr">
        <is>
          <t>San Jose, CA</t>
        </is>
      </c>
      <c r="H27" t="inlineStr"/>
      <c r="I27" t="inlineStr">
        <is>
          <t>**Responsibilities**
 Team Intro:
 The Payment team of U.S. Data Security department of TikTok provides payment solutions \- including payment acquisitions, disbursements, transaction monitoring, payment method management, foreign exchange conversion, accounting, reconciliations, and so on \- to ensure that users have a smooth and secure payment experience on TikTok platform.
 Responsibilities:
 This role is responsible for developing and executing on analytics and reporting initiatives which deliver data\-driven insights to internal and external stakeholders, including strategy, operations, business, engineering, and R\&amp;D teams in both US and globally. You are playing a key role in empowering TikTok platform to achieve overall payment success by way of payment security. You will contribute to the development of industry\-leading capabilities to protect TikTok and our users from emerging payment threats and ensure secure payment growth. You must be able to work both independently and as part of a team to deliver on a dynamic set of needs in a fast\-paced environment. Specific responsibilities include:
 \- Work with large datasets to solve problems that could be ambiguous and nuanced using a variety of analytical and statistical approaches.
 \- Conduct quantitative analysis using statistical regression, machine learning, as well as hypothesis testing and present analysis and recommendations in a user friendly manner to propel business growth and customer satisfaction.
 \- Develop a scientific approach to measure KPI fluctuation, impact of business initiatives, and customer experience and design indexes for continuous monitoring.
 \- Design and implement foundational tests including backtesting for measuring the effectiveness of credit risk strategy and segmenting user profile.
 \- Create documentation articulating the sampling process, underlying assumptions, design of test, success metrics, and conclusion.
 \- Have familiarity with best practices and pragmatic approaches for addressing common issues including data quality, seasonality, insufficient training dataset, etc.
 \- Perform predictive analysis and support business partners with revenue and loss forecasts, budgeting, risk and incident management to proactively address foreseeable challenges.
 \- Conduct deep dive analysis and diagnosis to identify patterns, concentrations, correlations, root causes to provide transparency into business and product performance.
 \- Partner with Product, Strategy, Operations and cross\-functional teams to inform, influence, support, and execute strategy and decisions.
 \- Demonstrate understanding of common challenges facing TikTok business, key products, and the competitiveness of the marketplace.
**Qualifications**
 Minimum Qualifications:
 \-3\+ years of progressive success in roles of increasing responsibility.
 \-3\+ years working in data science, risk, machine learning, and A/B testing.
 \-3\+ years of coding experience in Python, Hive, SQL and familiarity with machine learning functions, options, forecasting models.
 \-5\+ years of experience with Tableau or other data visualization tools (e.g. Tableau).
 Preferred Qualifications:
 \- Knowledge of the payments industry is highly desirable.
 \- Risk analytics/operations, data science experience or similar quantitative business responsibility for financial services, eCommerce, or operational performance highly desirable.
 \- Strongly skilled at manipulating and integrating data from a variety of sources.
 \- Proficiency with test design, feature creation, model development, and documentation.
**About USDS**
 TikTok is the leading destination for short\-form mobile video. Our mission is to inspire creativity and bring joy. U.S. Data Security (“USDS”) is a subsidiary of TikTok in the U.S. This new, security\-first division was created to bring heightened focus and governance to our data protection policies and content assurance protocols to keep U.S. users safe. Our focus is on providing oversight and protection of the TikTok platform and U.S. user data, so millions of Americans can continue turning to TikTok to learn something new, earn a living, express themselves creatively, or be entertained. The teams within USDS that deliver on this commitment daily span across Trust \&amp; Safety, Security \&amp; Privacy, Engineering, User \&amp; Product Ops, Corporate Functions and more.​
 ​
 On\-site presence across teams allows the company to operate with greater speed, alignment, and agility — especially in areas like real\-time decision\-making, team development, and integrated execution. As such, the company is shifting from a hybrid work model to a fully in\-person schedule up to 5 days a week.​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
 Diversity \&amp; Inclusion​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**USDS Reasonable Accommodation**
 USDS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https://tinyurl.com/USDS\-RA​
**Job Information**
 【For Pay Transparency】Compensation Description (Annually)
 The base salary range for this position in the selected city is $144000 \- $329334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1\. Interacting and occasionally having unsupervised contact with internal/external clients and/or colleagues;​
 2\. Appropriately handling and managing confidential information including proprietary and trade secret information and access to information technology systems; and​
 3\. Exercising sound judgment.​</t>
        </is>
      </c>
    </row>
    <row r="28">
      <c r="A28" t="inlineStr">
        <is>
          <t>li-4363888139</t>
        </is>
      </c>
      <c r="B28" t="inlineStr">
        <is>
          <t>Data Scientist</t>
        </is>
      </c>
      <c r="C28" t="inlineStr">
        <is>
          <t>Lensa</t>
        </is>
      </c>
      <c r="D28" t="inlineStr">
        <is>
          <t>linkedin</t>
        </is>
      </c>
      <c r="E28">
        <f>HYPERLINK("https://www.linkedin.com/jobs/view/4363888139", "https://www.linkedin.com/jobs/view/4363888139")</f>
        <v/>
      </c>
      <c r="F28">
        <f>HYPERLINK("https://lensa.com/cgw/6d12fd98dc6944afb608ccab2bc4590btjo1?jpsi=directemployers&amp;publisher_preference=easier_apply&amp;utm_campaign=Computer%20Occupations&amp;utm_medium=slot&amp;utm_source=linkedin&amp;utm_term=jse&amp;urlHash=Q3RI", "https://lensa.com/cgw/6d12fd98dc6944afb608ccab2bc4590btjo1?jpsi=directemployers&amp;publisher_preference=easier_apply&amp;utm_campaign=Computer%20Occupations&amp;utm_medium=slot&amp;utm_source=linkedin&amp;utm_term=jse&amp;urlHash=Q3RI")</f>
        <v/>
      </c>
      <c r="G28" t="inlineStr">
        <is>
          <t>Miami, FL</t>
        </is>
      </c>
      <c r="H28" t="inlineStr"/>
      <c r="I28"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Insight Global. Clicking "Apply Now" or "Read more" on Lensa redirects you to the job board/employer site. Any information collected there is subject to their terms and privacy notice.
**Job Description**
 This person will be joining the Data Science organization and will be supporting revenue management and pricing. This person will be focused on dynamic pricing; building optimization structures, working with machine learning models, conducting forecasting and operational research. This person will be working across teams and should have experience gathering requirements and providing reporting as it relates to pricing.
 We are a company committed to creating diverse and inclusive environments where people can bring their full, authentic selves to work every day. We are an equal opportunity/affirmative action employer that believes everyone matters. Qualified candidates will receive consideration for employment regardless of their race, color, ethnicity, religion, sex (including pregnancy), sexual orientation, gender identity and expression, marital status, national origin, ancestry, genetic factors, age, disability, protected veteran status, military or uniformed service member status, or any other status or characteristic protected by applicable laws, regulations, and ordinances. If you need assistance and/or a reasonable accommodation due to a disability during the application or recruiting process, please send a request to HR@insightglobal.com.To learn more about how we collect, keep, and process your private information, please review Insight Global's Workforce Privacy Policy: https://insightglobal.com/workforce\-privacy\-policy/.
**Skills And Requirements**
 3\+ years of experience building and deploying ML models in enterprise environments
 Proficiency in PySpark, Python, and ML frameworks (e.g., scikit\-learn, TensorFlow, PyTorch).
 Strong background in machine learning; building optimization structures, creating and assessing models
 Strong coding skills and experience with scalable data workflows and model deployment and experience working with recommendation modeling
 Experience collaborating with stakeholders\- gathering requirements and reporting on data
 If you have questions about this posting, please contact support@lensa.com</t>
        </is>
      </c>
    </row>
    <row r="29">
      <c r="A29" t="inlineStr">
        <is>
          <t>li-4364037163</t>
        </is>
      </c>
      <c r="B29" t="inlineStr">
        <is>
          <t>Data Scientist, Marketing</t>
        </is>
      </c>
      <c r="C29" t="inlineStr">
        <is>
          <t>Thumbtack</t>
        </is>
      </c>
      <c r="D29" t="inlineStr">
        <is>
          <t>linkedin</t>
        </is>
      </c>
      <c r="E29">
        <f>HYPERLINK("https://www.linkedin.com/jobs/view/4364037163", "https://www.linkedin.com/jobs/view/4364037163")</f>
        <v/>
      </c>
      <c r="F29">
        <f>HYPERLINK("https://www.wiraa.com/job-description/us0450C75A95FA1053B1B856D71867A9CC?source=Linkedin&amp;urlHash=8co3", "https://www.wiraa.com/job-description/us0450C75A95FA1053B1B856D71867A9CC?source=Linkedin&amp;urlHash=8co3")</f>
        <v/>
      </c>
      <c r="G29" t="inlineStr"/>
      <c r="H29" t="inlineStr"/>
      <c r="I29" t="inlineStr">
        <is>
          <t>**About The Company**
 Thumbtack is a leading platform dedicated to helping millions of homeowners and service providers connect confidently and efficiently. The company offers a comprehensive app that provides personalized guidance, AI tools, and a seamless hiring experience, enabling users to manage and improve their homes effectively. Every day,
 Thumbtack serves customers across every county in the United States, assisting with urgent repairs, seasonal maintenance, and larger renovation projects. The platform supports a community of over 300,000 local service businesses, helping homeowners identify which projects to undertake, when to do them, and who to hire. With a mission to make home care accessible and reliable, Thumbtack continues to innovate and expand its services, fostering a trusted environment for both homeowners and service professionals.
**About The Role**
 As a Staff Marketing Data Scientist at Thumbtack, you will be an integral part of the Data Science team, which empowers the company to leverage data for strategic decision\-making. Your role will focus on advancing measurement methodologies to evaluate marketing effectiveness across various channels. You will serve as a technical leader, setting standards for analytical excellence and innovation.
 Your primary responsibility will be to design scalable frameworks, tools, and models that enable the Marketing and Data Science teams to operate with agility, precision, and confidence. This position offers an exciting opportunity to influence growth strategies, optimize marketing spend, and contribute to the company’s long\-term success through cutting\-edge data science practices.
**Qualifications**
* 4\+ years of experience in data science, analytics, or economics
* Bachelor’s, Master’s, or Doctoral degree in Statistics, Engineering, Analytics, Math, Computer Science, Economics, or a related technical field
* Minimum of 0\-5 years of professional experience in industry, consulting, government, or academic research; candidates with more experience are encouraged to apply
* Proficiency in analytical tools such as Python and SQL
* Strong ability to work in a fast\-paced, dynamic business environment
* Excellent communication skills with the ability to build cross\-functional relationships and influence decision\-making
**Responsibilities**
* Lead the development and enhancement of measurement methodologies to evaluate marketing effectiveness beyond conventional approaches
* Create and improve frameworks, tools, and processes to make marketing measurement systematic, scalable, and reliable across multiple channels
* Refine existing modeling approaches to produce robust, actionable insights for marketing strategies
* Iterate on measurement techniques for key marketing problems such as channel incrementality and return on ad spend optimization
* Collaborate with cross\-functional teams to translate measurement insights into strategic business decisions and growth initiatives
* Mentor junior team members, elevate analytical standards, and shape the future direction of measurement practices at Thumbtack
* Identify new opportunities where advanced analytics or innovative methodologies can create significant impact
**Benefits**
* Competitive salary range based on location and experience
* Comprehensive health, dental, and vision insurance plans
* Flexible work arrangements, including remote work options
* Generous paid time off and holidays
* Opportunities for professional development and continuous learning
* Inclusive and diverse workplace culture that values innovation and collaboration
 Equal Opportunity
 Thumbtack is an equal opportunity employer committed to fostering an inclusive environment for all employees. We do not discriminate based on sex, race, color, age, pregnancy, sexual orientation, gender identity or expression, religion, national origin, ancestry, citizenship, marital status, military or veteran status, genetic information, disability, or any other characteristic protected by applicable law.</t>
        </is>
      </c>
    </row>
    <row r="30">
      <c r="A30" t="inlineStr">
        <is>
          <t>li-4363757612</t>
        </is>
      </c>
      <c r="B30" t="inlineStr">
        <is>
          <t>AI/ML &amp; Data Scientist SME w/ Active Top Secret or DHS Clearance. Paying Signing Bonuses</t>
        </is>
      </c>
      <c r="C30" t="inlineStr">
        <is>
          <t>InDev</t>
        </is>
      </c>
      <c r="D30" t="inlineStr">
        <is>
          <t>linkedin</t>
        </is>
      </c>
      <c r="E30">
        <f>HYPERLINK("https://www.linkedin.com/jobs/view/4363757612", "https://www.linkedin.com/jobs/view/4363757612")</f>
        <v/>
      </c>
      <c r="F30" t="inlineStr"/>
      <c r="G30" t="inlineStr">
        <is>
          <t>Springfield, VA</t>
        </is>
      </c>
      <c r="H30" t="inlineStr"/>
      <c r="I30" t="inlineStr">
        <is>
          <t>**Job Type:** 
 Remote
**Job Location:** 
 Washington D.C.
 InDev is seeking a Data Scientist with 6\+ years of experience to support our AI/ML, advanced analytics, and data visualization initiatives. This role will be instrumental in analyzing, visualizing, and communicating data insights that drive key business decisions. The ideal candidate will have strong technical skills in Python, SQL, Tableau, and AWS Cloud, as well as excellent communication and presentation abilities.
 This is a direct\-hire, full\-time position with salary and benefits. InDev provides a comprehensive benefits package, including Medical, Dental, Vision, 401k with match, Flexible Spending Account, and Paid Time Off (PTO)—including vacation and holiday pay.
**YOUR FUTURE DUTIES AND RESPONSIBILITIES** 
**Data Analytics and Business Intelligence:** 
* Analyze large and complex data sets to uncover insights and support decision\-making.
* Partner with stakeholders to define analytical needs and deliver actionable solutions.
* Develop and maintain data models to support advanced analytics initiatives, AI/ML, Generative AI, and predictive analytics.
**Data Visualization and Reporting:** 
* Design and create interactive dashboards and reports using Tableau and Power BI.
* Present findings in a clear, concise manner tailored to both technical and non\-technical audiences.
* Support data storytelling through compelling visualizations that communicate trends and patterns.
**Data Extraction and Management:** 
* Write complex SQL queries for data extraction, transformation, and loading (ETL) tasks.
* Work with relational databases (e.g., Oracle, PostgreSQL, MySQL) to support data integrity and consistency.
* Use data governance software and best practices to ensure data quality, lineage, and integrity across the lifecycle.
**Cloud Technology Utilization and Automation:** 
* Leverage AWS Cloud services (e.g., S3, EC2, RDS, Lambda) for data processing, storage, and retrieval.
* Ability to guide and support cloud modernization of data processes
* Use the Microsoft Power Platform, including Power Automate, to automate workflows and processes.
**Collaboration and Communication:** 
* Collaborate with cross\-functional teams, including engineers, analysts, and business stakeholders.
* Clearly articulate analytical concepts and results to a wide range of audiences.
* Contribute to client\-facing presentations and written reports.
- 
**QUALIFICATIONS** 
* Bachelor’s Degree in Technology, Business, Mathematics, Computer Science, Information Systems, or other related discipline from an accredited college, university, or academic institution in the United States. (Master’s preferred)
* 6\+ years of professional experience in AI/ML, data analysis, visualization, and reporting.
* Proficiency in Python for data manipulation and automation.
* Strong experience with SQL and relational databases (e.g., Oracle, PostgreSQL, MySQL).
* Proficiency with Tableau and/or Power BI for creating dashboards and visual reports.
* Experience creating automated data workflows, analytics processes, and processing pipelines using Python, Power Automate, and SQL.
* Advanced knowledge of data visualization and reporting using a variety of software and tools.
* Familiarity with AWS Cloud environments and services for data processing and storage.
* Familiarity with Collibra Data Governance.
* Excellent oral and written communication skills, with the ability to present complex information clearly.
* Strong problem\-solving and analytical thinking skills.
* Existing and active DHS EOD/clearance.
**Clearance:** 
 Must have an a
 ctive DoD Top Secret or DHS Clearance
 .
**ABOUT US** 
 At InDev, we’re not just a company; we’re a trailblazing force transforming the way data shapes the future. As a dynamic player in the federal government sector, we’re on a mission to empower agencies with cutting\-edge data solutions that drive innovation, efficiency, and progress. Our team thrives on collaboration, innovation, and embracing challenges head\-on to create a meaningful impact on the world around us.
**WHY INDEV** 
* **Innovative Environment:** 
 Join a team that thrives on creativity and innovation, where your ideas are not only heard but encouraged.
* **Meaningful Impact:** 
 Contribute to projects that directly impact federal agencies, driving positive change on a national scale.
* **Dynamic Collaboration:** 
 Work alongside diverse experts who are passionate about pushing boundaries and making a difference.
* **Agile Mindset:** 
 Embrace Agile methodologies that encourage flexibility, adaptability, and rapid growth.
* **Learning Culture:** 
 Enjoy ongoing learning opportunities and professional development to expand your skill set.
* **Cutting\-edge Tech:** 
 Engage with the latest technologies and tools in the data integration landscape.
 If you’re ready to embark on a journey of innovation, collaboration, and impact, InDev welcomes you to join our team. Let’s shape the future together.</t>
        </is>
      </c>
    </row>
    <row r="31">
      <c r="A31" t="inlineStr">
        <is>
          <t>li-4360300107</t>
        </is>
      </c>
      <c r="B31" t="inlineStr">
        <is>
          <t>Data Scientist</t>
        </is>
      </c>
      <c r="C31" t="inlineStr">
        <is>
          <t>Energy Job Search</t>
        </is>
      </c>
      <c r="D31" t="inlineStr">
        <is>
          <t>linkedin</t>
        </is>
      </c>
      <c r="E31">
        <f>HYPERLINK("https://www.linkedin.com/jobs/view/4360300107", "https://www.linkedin.com/jobs/view/4360300107")</f>
        <v/>
      </c>
      <c r="F31">
        <f>HYPERLINK("https://energyjobsearch.com/jobs/other-jobs/1272085?medium=job_slots_linkedin&amp;urlHash=0AnG", "https://energyjobsearch.com/jobs/other-jobs/1272085?medium=job_slots_linkedin&amp;urlHash=0AnG")</f>
        <v/>
      </c>
      <c r="G31" t="inlineStr">
        <is>
          <t>Menlo Park, CA</t>
        </is>
      </c>
      <c r="H31" t="inlineStr"/>
      <c r="I31" t="inlineStr">
        <is>
          <t>The Data Scientist is responsible for conducting undirected research and tackle open\-ended data problems and questions. Drawing on an advanced degree in a quantitative field such as computer science, physics, statistics or applied mathematics, the Data Scientist demonstrates the knowledge to invent new algorithms to solve data problems.
* Research and assess next\-generation technologies for machinery diagnostics and prognostics and data\-driven modeling and optimization of complex systems. Demonstrate advanced working knowledge and experience with machine learning algorithms and population\-based meta\-heuristic optimization methods.
* Generate innovative ideas, establish new research directions, and shape and execute on technical projects.
* Maintain state\-of\-the\-art knowledge and contribute to technical discussions and reviews as an expert in related areas of responsibility.
* Apply theoretical knowledge to solve industrial problems.
* Apply engineering knowledge in developing data\-driven algorithms for anomaly detection, failure prediction and optimization.
* Collaborate with field and product engineers to identify key health monitoring parameters of a system.
* Process large multivariate data sets collected from equipment operations, manufacturing tests and diagnostic routines.
* Communicate ideas, plans and results effectively via oral and written reports.
 The compensation and benefits for this role are listed in compliance with applicable law. We are committed to offering fair and competitive pay aligned with each candidate's skills, experience, and qualifications, within the designated salary range for the role. Please note that the listed compensation and benefits apply only to successful candidates hired onto a local United States payroll. The anticipated annual salary range for this position is $ 173,600\- $240,000\.</t>
        </is>
      </c>
    </row>
    <row r="32">
      <c r="A32" t="inlineStr">
        <is>
          <t>li-4343151219</t>
        </is>
      </c>
      <c r="B32" t="inlineStr">
        <is>
          <t>Sr Data Scientist, Behavioral &amp; Qualitative Insights</t>
        </is>
      </c>
      <c r="C32" t="inlineStr">
        <is>
          <t>Dexcom</t>
        </is>
      </c>
      <c r="D32" t="inlineStr">
        <is>
          <t>linkedin</t>
        </is>
      </c>
      <c r="E32">
        <f>HYPERLINK("https://www.linkedin.com/jobs/view/4343151219", "https://www.linkedin.com/jobs/view/4343151219")</f>
        <v/>
      </c>
      <c r="F32" t="inlineStr"/>
      <c r="G32" t="inlineStr">
        <is>
          <t>San Diego, CA</t>
        </is>
      </c>
      <c r="H32" t="inlineStr"/>
      <c r="I32" t="inlineStr">
        <is>
          <t>**The Company**
 Dexcom Corporation (NASDAQ DXCM) is a pioneer and global leader in continuous glucose monitoring (CGM). Dexcom began as a small company with a big dream: To forever change how diabetes is managed. To unlock information and insights that drive better health outcomes. Here we are 25 years later, having pioneered an industry. And we're just getting started. We are broadening our vision beyond diabetes to empower people to take control of health. That means personalized, actionable insights aimed at solving important health challenges. To continue what we've started: Improving human health.
 We are driven by thousands of ambitious, passionate people worldwide who are willing to fight like warriors to earn the trust of our customers by listening, serving with integrity, thinking big, and being dependable. We've already changed millions of lives and we're ready to change millions more. Our future ambition is to become a leading consumer health technology company while continuing to develop solutions for serious health conditions. We'll get there by constantly reinventing unique biosensing\-technology experiences. Though we've come a long way from our small company days, our dreams are bigger than ever. The opportunity to improve health on a global scale stands before us.
**Meet The Team**
 Welcome to Dexcom’s Behavioral Science team — a multidisciplinary group applying behavioral science, qualitative research, and data\-driven insights to shape product strategy, clinical evidence, and patient\-centered innovation. Within Behavioral Science, the Qualitative Workstream focuses on understanding lived experience, decision\-making, motivation, and behavior change across people with diabetes and metabolic conditions. As a Senior Data Scientist, Human Behavior \&amp; Qualitative Insights, you will play a leadership role in designing and executing high\-impact qualitative and mixed\-methods research and translating those insights into clear, actionable guidance for Product, R\&amp;D, Clinical Affairs, Medical Affairs, and Marketing.
**Where You Come In**
* Lead the design, execution, and interpretation of qualitative and mixed\-methods research to address complex behavioral, clinical, and product questions across Dexcom’s portfolio
* You will be responsible for conducting qualitative research activities, such as moderating focus groups, conducting interviews, and observing participant behavior, ensuring the collection of rich and meaningful data.
* Apply models of health behavior change (e.g., COM\-B, Self\-Determination Theory, Social Cognitive Theory, Health Belief Model, habit formation frameworks) to guide study design, analysis, and interpretation.
* Analyze qualitative data using advanced approaches and integrate findings with quantitative and digital\-health data where appropriate.
* Translate rich qualitative findings into clear, actionable insights and recommendations that inform product development, digital experiences, clinical evidence strategy, and patient engagement initiatives.
* Serve as a strategic thought partner to cross\-functional teams (Product, R\&amp;D, Clinical Affairs, Medical Affairs, Marketing), helping teams understand behavioral drivers, barriers, and opportunities.
* You will be responsible for preparing comprehensive research reports and presentations, effectively communicating findings, insights, and recommendations to stakeholders at all levels of the organization.
* You will be expected to stay updated on industry trends, methodologies, and best practices in qualitative research, continuously refining skills, and approaches to deliver high\-quality insights.
**What Makes You Successful**
* Advanced academic training in behavioral science, psychology, public health, sociology or a related field, with strong grounding in qualitative and mixed\-methods research.
* Demonstrated experience applying health behavior change models to real\-world health, clinical, or digital\-health contexts.
* Significant hands\-on experience leading qualitative research programs from study design through analysis and stakeholder readout.
* Ability to synthesize complex qualitative findings and translate them into strategic insights that influence product, clinical, and business decisions.
* Strong communication and storytelling skills, with experience presenting to senior and cross\-functional audiences.
* Proficiency with relevant tools (e.g., NVivo, ATLAS.ti, Qualtrics, and statistical software to support mixed\-methods integration).
**What You’ll Get**
* A front row seat to life changing CGM technology. Learn about our brave \#dexcomwarriors community.
* A full and comprehensive benefits program.
* Growth opportunities on a global scale.
* Access to career development through in\-house learning programs and/or qualified tuition reimbursement.
* An exciting and innovative, industry\-leading organization committed to our employees, customers, and the communities we serve.
**Travel Required**
* 5\-15%
**Experience And Education Requirements**
* Typically requires a Bachelor’s degree in a technical discipline, and a minimum of 5 – 8 years related experience or Master’s degree and 2 \-5 years equivalent industry experience or a PhD and0 2 years experience.
**Remote Workplace:** 
 Your location will be a home office; you are not required to live within commuting distance of your assigned Dexcom site (typically 75 miles/120km).
 *If you reside within commuting distance of a Dexcom site (typically 75 miles/120km) a hybrid working environment may be available. Ask about our Flex workplace option.*
 Please note: The information contained herein is not intended to be an all\-inclusive list of the duties and responsibilities of the job, nor are they intended to be an all\-inclusive list of the skills and abilities required to do the job. Management may, at its discretion, assign or reassign duties and responsibilities to this job at any time. The duties and responsibilities in this job description may be subject to change at any time due to reasonable accommodation or other reasons. Reasonable accommodations may be made to enable individuals with disabilities to perform essential functions.
 An Equal Opportunity Employer. All qualified applicants will receive consideration for employment without regard to race, color, religion, sex, sexual orientation, gender identity, age, national origin, or protected veteran status and will not be discriminated against on the basis of disability. Dexcom’s AAP may be viewed upon request by contacting Talent Acquisition at talentacquisition@dexcom.com.
 If you are an individual with a disability and would like to request a reasonable accommodation as part of the employment selection process, please contact Dexcom Talent Acquisition at talentacquisition@dexcom.com.
 Meritain, an Aetna Company, creates and publishes the Machine\-Readable Files on behalf of Dexcom. To link to the Machine\-Readable Files, please click on the URL provided: https://health1\.meritain.com/app/public/\#/one/insurerCode\=MERITAIN\_I\&amp;brandCode\=MERITAINOVER/machine\-readable\-transparency\-in\-coverage?reportingEntityType\=TPA\_19874\&amp;lock\=true
 To all Staffing and Recruiting Agencies: Our Careers Site is only for individuals seeking a job at Dexcom. Only authorized staffing and recruiting agencies may use this site or to submit profiles, applications or resumes on specific requisitions. Dexcom does not accept unsolicited resumes or applications from agencies. Please do not forward resumes to the Talent Acquisition team, Dexcom employees or any other company location. Dexcom is not responsible for any fees related to unsolicited resumes/applications.
**Salary**
 $116,600\.00 \- $194,400\.00</t>
        </is>
      </c>
    </row>
    <row r="33">
      <c r="A33" t="inlineStr">
        <is>
          <t>li-4364048099</t>
        </is>
      </c>
      <c r="B33" t="inlineStr">
        <is>
          <t>AWM Risk Analytics Group – Data Scientist - Vice President</t>
        </is>
      </c>
      <c r="C33" t="inlineStr">
        <is>
          <t>JPMorganChase</t>
        </is>
      </c>
      <c r="D33" t="inlineStr">
        <is>
          <t>linkedin</t>
        </is>
      </c>
      <c r="E33">
        <f>HYPERLINK("https://www.linkedin.com/jobs/view/4364048099", "https://www.linkedin.com/jobs/view/4364048099")</f>
        <v/>
      </c>
      <c r="F33" t="inlineStr"/>
      <c r="G33" t="inlineStr">
        <is>
          <t>New York, NY</t>
        </is>
      </c>
      <c r="H33" t="inlineStr"/>
      <c r="I33" t="inlineStr">
        <is>
          <t>**Job Description**
 Join JPMorgan’s Asset \&amp; Wealth Management Risk Analytics Group and help shape the future of risk management through data science and AI. As a Vice President Data Scientist, you’ll collaborate with top quantitative and market risk professionals to deliver transformative analytics solutions. Your expertise will directly impact our risk methodologies and the Newton platform, enhancing decision\-making and operational efficiency. Be part of a team that values innovation, technical excellence, and continuous learning. Make a difference in a dynamic environment where your work drives real business outcomes.
 As a Data Scientist \- Vice President in the AWM Risk Analytics Group, you will partner with senior team members to identify, design, and implement data\-driven risk analytics solutions. You’ll leverage your quantitative and technical skills to develop, fine\-tune, and deploy advanced machine learning models, supporting the evolution of our risk management systems and methodologies. This is a unique opportunity to work at the intersection of financial markets, AI, and big data, driving innovation and efficiency across our Asset \&amp; Wealth Management business.
**Job Responsibilities**
* Identify and evaluate use cases for data science to enhance risk analytics and create business value.
* Lead the development and continuous improvement of AI/ML and statistical techniques for data validation and analytics.
* Design, pre\-train, and fine\-tune production\-grade language models for hierarchical classification, summarization, and QA.
* Collaborate with stakeholders to deliver scalable, flexible solutions using approved AI and LLM technologies.
* Perform prompt engineering, quantization, and evaluation to optimize large language model robustness and performance.
* Analyze and onboard new, large data sets, ensuring alignment with best practice data models and architecture.
* Partner with Technology teams to optimize model performance and deployment using customized training frameworks.
* Design and implement sophisticated model serving systems leveraging distributed systems and AWS cloud.
* Contribute to the research and enhancement of risk methodologies, including sensitivity, stress, VaR, factor modeling, and Lending Value pricing.
* Support the full product development lifecycle, from defining objectives to delivering key data\-driven solutions.
* Communicate complex technical concepts clearly to both technical and non\-technical stakeholders.
**Required Qualifications, Capabilities, And Skills**
* Minimum 4 years’ experience as a Data Scientist or in an applied AI/quantitative role, developing and deploying NLP and predictive models.
* Strong foundation in statistics, applied AI/ML techniques, and advanced problem\-solving.
* Hands\-on experience with distributed computing, NLP (entity recognition, text classification, summarization, QA), and LLM optimization.
* Proficiency in Python, SQL, R, PyTorch or TensorFlow, and AWS.
* Experience with frameworks such as LangChain, LangGraph, or AutoGen.
* Demonstrated ability to improve model robustness and conduct advanced statistical modeling and A/B testing.
* Detail\-oriented, able to multi\-task, and work independently in a fast\-paced environment.
* Excellent communication and collaboration skills.
* Experience in modular programming and big data platforms.
* Bachelor’s degree in a quantitative or technology field (AI, Mathematics, Statistics, Engineering, Computer Science, or equivalent).
* Proven track record of delivering data\-driven solutions in a business context.
**Preferred Qualifications, Capabilities, And Skills**
* Experience in financial markets in a quantitative analysis, research, or risk management role.
* Knowledge of asset pricing, VaR backtesting, and model performance testing.
* Advanced degree (Master’s or PhD) in a quantitative or technology discipline.
* Experience with model serving systems and distributed architectures.
* Familiarity with citizen developer platforms and process automation.
* Exposure to Front Office or equivalent financial roles.
* Demonstrated ability to drive innovation and efficiency in risk analytics.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J.P. Morgan Asset \&amp; Wealth Management delivers industry\-leading investment management and private banking solutions. Asset Management provides individuals, advisors and institutions with strategies and expertise that span the full spectrum of asset classes through our global network of investment professionals. Wealth Management helps individuals, families and foundations take a more intentional approach to their wealth or finances to better define, focus and realize their goals.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2026-01-18T03:03:24Z</dcterms:created>
  <dcterms:modified xsi:type="dcterms:W3CDTF">2026-01-18T03:03:24Z</dcterms:modified>
</cp:coreProperties>
</file>