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in-2c17d73beb85d0c4</t>
        </is>
      </c>
      <c r="B2" t="inlineStr">
        <is>
          <t>Software Engineer</t>
        </is>
      </c>
      <c r="C2" t="inlineStr">
        <is>
          <t>Cisco</t>
        </is>
      </c>
      <c r="D2" t="inlineStr">
        <is>
          <t>indeed</t>
        </is>
      </c>
      <c r="E2" t="inlineStr"/>
      <c r="F2" t="inlineStr"/>
      <c r="G2" t="inlineStr">
        <is>
          <t>Research Triangle Park, NC, US</t>
        </is>
      </c>
      <c r="H2" s="2" t="n">
        <v>46038</v>
      </c>
      <c r="I2" t="inlineStr">
        <is>
          <t>The application is expected to close by 2/15/2026
**Meet the Team:**  
You will join Cisco's IT Supply Chain team, dedicated to delivering exceptional services, tools, platforms, and data to power a world\-class Supply Chain. Our focus is on innovation, optimizing business processes, leveraging cloud services, and developing in\-house solutions. You'll collaborate with Product Owners, Architects, Tech Leads, Analysts, and global delivery teams, contributing to a dynamic, diverse, and inclusive environment focused on building and enhancing an end\-to\-end Orchestrator system.
**Your Impact:**  
The Data\&amp; AI Engineer is responsible for building the data foundations and production\-grade AI solutions that power analytics, automation, and intelligent applications. The role combines modern data engineering, MLOps, and software engineering practices to deliver reliable, scalable AI capabilities. Join our diverse and inclusive Supply Chain team and be a part of one of the top Supply Chains in the world! You'll have the incredible opportunity to join us in Supply Chain IT and play a key role in designing and developing next\-generation capabilities. You will interface with the Supply Chain Business operations teams, design and develop data foundations, GenAI capabilities and deliver them.
**Responsibilities:**  
* Design, build, and maintain or support scalable data pipelines and batch/streaming workflows to power analytics and AI/ML use cases.
* Develop and operationalize machine learning and GenAI solutions, including feature pipelines, model training, evaluation, and deployment into production.
* Implement and manage data and AI infrastructure (e.g., data lakes/warehouses, feature stores, model registries, vector stores, orchestration) following best practices for reliability and security.
* Partner with Business Teams to translate business problems into data and AI solutions with clear success metrics.
* Ensure data quality, lineage, observability, and governance across AI workloads, including monitoring for data drift and model performance degradation.
* Automate CI/CD and MLOps workflows for data pipelines and models, including testing, versioning, and rollout/rollback strategies.
* Optimize data and model performance and cost across cloud platforms and storage/compute layers.
* Contribute to standards, documentation, and best practices for data and AI engineering across the organization.
* Stay current with emerging data and AI technologies (LLMs, vector databases, orchestration tools, etc.) and recommend practical adoption paths.
**Minimum Qualifications:**  
* Bachelor’s or Master’s degree in Computer Science, Engineering, Data Science, or related field, or equivalent with 8\+ years of practical experience.
* Strong experience with data engineering tools and concepts: SQL, data warehousing, ETL/ELT, batch and streaming data processing.
* Proficiency in Python (preferred) or similar languages for building data and ML/AI solutions.
* Hands\-on experience with cloud platforms (AWS, Azure, or GCP) and modern data platforms (e.g., Snowflake, BigQuery, Databricks, or similar).
* Experience building, deploying, and maintaining ML/AI solutions using frameworks such as TensorFlow, PyTorch, scikit\-learn, or cloud ML services.
**Preferred Qualifications:**  
* Familiarity with MLOps practices and tools (e.g., MLflow, Kubeflow, SageMaker, Vertex AI, CI/CD pipelines, containers).
* Experience with large language models (LLMs), prompt engineering, RAG pipelines, and vector databases.
* Background in statistics or ML (feature engineering, model evaluation, A/B testing).
* Experience implementing data governance, security, and privacy controls for analytical and AI workloads.
* Exposure to domain\-specific data (e.g., Supply Chain) and associated regulatory environments.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$137,000\.00 to $200,500\.00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
      <c r="A3" t="inlineStr">
        <is>
          <t>in-dd61b02501cee62e</t>
        </is>
      </c>
      <c r="B3" t="inlineStr">
        <is>
          <t>Principal Software Engineer</t>
        </is>
      </c>
      <c r="C3" t="inlineStr">
        <is>
          <t>HCA Healthcare</t>
        </is>
      </c>
      <c r="D3" t="inlineStr">
        <is>
          <t>indeed</t>
        </is>
      </c>
      <c r="E3" t="inlineStr"/>
      <c r="F3" t="inlineStr"/>
      <c r="G3" t="inlineStr">
        <is>
          <t>Nashville, TN, US</t>
        </is>
      </c>
      <c r="H3" s="2" t="n">
        <v>46038</v>
      </c>
      <c r="I3" t="inlineStr">
        <is>
          <t>##### **Introduction**
Are you passionate about the patient experience? At HCA Healthcare, we are committed to caring for patients with purpose and integrity. We care like family! Jump\-start your career as a Principal Software Engineer today with 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Come join our team as a Principal Software Engineer. We care for our community! Just last year, HCA Healthcare and our colleagues donated $13\.8 million dollars to charitable organizations. Apply Today!
##### **Job Summary and Qualifications**
Position Summary
The principal software engineer is responsible for providing engineering leadership across all facets of system and application design and implementation. This role will actively develop software solutions both independently and in a team.
The principal software engineer provides leadership and technical mentorship to foster a collaborative and effective working relationship between business, analysts, developers, and other teams within the organization. The role requires excellent communication, proposal, and presentation skills to inform senior management and development staff of status and direction.
This position works within an innovation team that operates on multiple initiatives across the enterprise. The principal software engineer must be comfortable in moving to different technical ecosystems from project to project that will require discovery and adaptation to systems, teams, and business stakeholders.
Major Responsibilities:
* Promote a collaborative team environment and work closely with colleagues to achieve business objectives.
* Collaborate with stakeholders (e.g. business stakeholders, product owners, project managers, and end users) to understand functional and non\-functional requirements.
* Lead Investigations and solution proposals to development and design problems.
* Guide team members in scope of work estimation and forecasting.
* Performing proof\-of\-concept or proof\-technology tasks to get buy\-in from cohorts and stakeholders.
* Collaborates with team members to successfully execute development initiatives using Agile practices and principles
* Gather requirements, designs, constructs and deliver solutions either individually or with a team
* Serve as a leader to the team’s continuous integration and continuous delivery automation pipeline
* Participates in large\-scale development projects involving multiple areas outside of core team
* Designs fit\-for\-purpose products to ensure products align to the customer's strategic plans and technology road maps
* Formulate unit and integration tests and conduct functional and performance testing where appropriate.
* Adhere to and influence established development practices and processes.
* Practices and adheres to the “Code of Conduct” philosophy and “Mission and Value Statement.”
* Training and mentoring of peers and other staff
* Performs other duties as assigned
Education \&amp; Experience:
* Bachelor's degree in Computer Science or related field required
* 12\+ years of experience a Software development or engineering roles required
Knowledge, Skills, Abilities, Behaviors:
* Growth mindset and a willingness to learn new skills, technologies, and frameworks required
* Full\-stack experience working with various languages, platforms, and other tools, systems including, but not limited to some combination of: SQL or noSQL databases (e.g. SQL Server, DB2, Teradata, CosmosDB, MongoDB), ETL and data\-pipeline type tools (e.g. SSIS, GCP DataFlow, Azure DataFactory), message queue type systems (e.g. Azure EventHub, GCP PubSub, Kafka, RabbitMQ), microservice environments (e.g. Docker/Kubernetes, C\#, Java, Python, NodeJS), and APIs (e.g. REST, OpenAPI) required
* Experience interfacing with or working within CRM, ERP, eCommerce, or EMR/EHR solutions and common integration patterns preferred
* Experience with DevOps tooling (e.g. GitHub, Azure DevOps) required
* Experience with diagramming tools (e.g. Visio) required
* Strong Experience in cloud native, deploying within cloud environments, serverless development and/or container\-based solutions required
* Strong understanding of best practices in the design of REST\-based APIs required
* Strong Understanding of agile methodology and software development lifecycles required
* Demonstrated ability to communicate complex technical information in a condensed manner to various stakeholders verbally and in writing required
* Ability to lead community events with a focus on software development or delivery required
* Excellent problem solving and analytical skills required
* Troubleshooting skills including experience working with utilities for log analysis and load testing required
* Ability to work independently and lead a team to specific outcomes required
* Strong ability to understand context for code, the codebase, and its relation to business objectives required
* Understanding of IT contracting and purchasing practices preferred
* Ability to lead technical interviews of potential candidates of vary levels preferred
* Ability to sit for long periods of time required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 great hospitals will always put the patient and the patient's family first, and the really great institutions will provide care with warmth, compassion, and dignity for the individual."\- Dr. Thomas Frist, Sr.  
HCA Healthcare Co\-Founder
If you are looking for an opportunity that provides satisfaction and personal growth, we encourage you to apply for our Principal Software Engineer opening. We promptly review all applications. Highly qualified candidates will be contacted for interviews. **Unlock the possibilities and apply today!**
*We are an equal opportunity employer. We do not discriminate on the basis of race, religion, color, national origin, gender, sexual orientation, age, marital status, veteran status, or disability status.*</t>
        </is>
      </c>
    </row>
    <row r="4">
      <c r="A4" t="inlineStr">
        <is>
          <t>in-cd86e99f68d1d5f5</t>
        </is>
      </c>
      <c r="B4" t="inlineStr">
        <is>
          <t>Full Stack Engineer - Maps Data Platform Workflow Team</t>
        </is>
      </c>
      <c r="C4" t="inlineStr">
        <is>
          <t>Apple</t>
        </is>
      </c>
      <c r="D4" t="inlineStr">
        <is>
          <t>indeed</t>
        </is>
      </c>
      <c r="E4" t="inlineStr"/>
      <c r="F4" t="inlineStr"/>
      <c r="G4" t="inlineStr">
        <is>
          <t>Cupertino, CA, US</t>
        </is>
      </c>
      <c r="H4" s="2" t="n">
        <v>46038</v>
      </c>
      <c r="I4" t="inlineStr">
        <is>
          <t>The Maps Data Platform Workflows Team oversees the processing and management of data and workflows at the core of Apple Maps. We build and maintain the systems that enable processing and workflow management of petabytes of map data that powers the Apple Maps experience used by millions of people every day!  
As a Maps Data Platform engineer, youʼll design and help implement systems which empower teams across engineering and operations to build our future Apple Maps experiences!  
**Description**  
The Maps Data Platform Workflows Team builds and maintains the foundation that powers Apple Maps. We are responsible for providing scalable and extensible workflows that handles petabytes of map data, enabling various aspects of Map building including but not limited to data ingest, map updates, review process, and traceability.  
As a full\-stack engineer on the team, you will primarily be responsible to build user experiences that powers various workflows involved in Map building life cycle. This position is ideal for innovative engineers who are passionate and excited to work in complex, fast\-paced and ambiguous environments to deliver tangible results keeping in mind our end users and their experiences.","responsibilities":"Build user experiences that powers various workflows involved in Map building life cycle.  
Implement foundational platform components to support Generative\-AI based multi agent systems.  
Work closely with multi functional teams to enhance and improve our workflow solutions.  
Design and implement scalable and extensible platform components to support the user experiences across a dynamic range of use cases.  
Implement foundational platform components to to support Generative\-AI based multi agent systems.  
Partner with a wide array of cross functional partner teams and stakeholders to understand the requirements to help build the best\-in\-class user experiences.  
Drive end\-to\-end delivery of the software projects and enable platform users across the Maps organization.  
Support and improve new and existing user experiences that power Apple Maps.  
**Preferred Qualifications**  
Experience with platform based approach to building user experiences with integration with REST and/or GraphQL APIs to enable scalability and reusability.  
Experience with Geospatial applications or mapping libraries (Mapbox, Leaflet or similar)  
Understanding of authentication and authorization mechanisms, including JWT and OAuth.  
Proven success applying Generative AI to production systems beyond prompt engineering.  
**Minimum Qualifications**  
Bachelor’s degree and 4\+ years of experience building and maintaining production systems.  
Strong hands\-on experience with React, including hooks, context, and performance optimization techniques. Proficiency in TypeScript for building scalable and maintainable frontend applications.  
Experience with modern state management solutions such as Redux Toolkit, React Query, or Apollo.  
Familiarity with data visualization and charting libraries such as Highcharts, Recharts, Chart.js, or D3\.  
Solid understanding of component\-based architecture and reusable UI patterns.  
Experience in building scalable and low latency JVM\-based web services using Scala or Java.  
Strong understanding of distributed data storage systems (both databases and indexes).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
      <c r="A5" t="inlineStr">
        <is>
          <t>in-51f07ec08c37b0cf</t>
        </is>
      </c>
      <c r="B5" t="inlineStr">
        <is>
          <t>2026 Full-time - Software Engineer 1 - Onsite (CA)</t>
        </is>
      </c>
      <c r="C5" t="inlineStr">
        <is>
          <t>Raytheon</t>
        </is>
      </c>
      <c r="D5" t="inlineStr">
        <is>
          <t>indeed</t>
        </is>
      </c>
      <c r="E5" t="inlineStr"/>
      <c r="F5" t="inlineStr"/>
      <c r="G5" t="inlineStr">
        <is>
          <t>Fullerton, CA, US</t>
        </is>
      </c>
      <c r="H5" s="2" t="n">
        <v>46037</v>
      </c>
      <c r="I5" t="inlineStr">
        <is>
          <t>**Date Posted:**
2026\-01\-16**Country:**
United States of America**Location:**
US\-CA\-FULLERTON\-675 \~ 1801 Hughes Dr \~ BLDG 675**Position Role Type:**
Onsite**U.S. Citizen, U.S. Person, or Immigration Status Requirements:**
U.S. citizenship is required, as only U.S. citizens are authorized to access information under this program/contract.**Security Clearance:**
None/Not Required
About Us: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**What You Will Do**:
Design, implement, and maintain software applications using Python, SQL, JavaScript, and CSS.
Develop and integrate back\-end data services and RESTful APIs to support real\-time and historical data analytics.
Contribute to data pipeline development, ML Ops, and Data Ops workflows that improve automation, traceability, and scalability of deployed solutions.
Support development of intuitive front\-end user interfaces for user operations and data visualization.
Participate in code reviews, configuration management, and automated testing as part of a continuous integration/continuous delivery (CI/CD) environment.
Collaborate with systems, test, and data engineers to ensure software components align with overall system objectives.
Author and maintain technical documentation and contribute to design reviews.
**What You Will Learn:**
How to develop software for distributed mission systems, gaining exposure to complex data integration and visualization pipelines.
Modern DevSecOps, CI/CD, and containerization practices used across enterprise and mission environments.
Techniques for building and maintaining data engineering and machine learning pipelines, including MLOps and DataOps workflows.
Best practices in secure coding, automated testing, and software quality assurance for safety\- and mission\-critical applications.
How multidisciplinary teams integrate software, systems, and test engineering to deliver high\-reliability solutions.
How to operate in an Agile environment, collaborating across disciplines while meeting technical and programmatic objectives.
Professional skills in documentation, technical communication, and presentation within a defense\-grade engineering culture.
**Qualifications You Must Have:**
Bachelor’s degree in Computer Science, Software Engineering, Computer Engineering, Data Science, or a related STEM field.
This position requires 12 months or less of relevant professional work experience (excluding Internships).
Proficiency in Python for application development, data processing, or automation.
Foundational knowledge of SQL and relational database design principles.
Familiarity with JavaScript, HTML, and CSS for UI development.
Experience working in Linux or cross\-platform development environments.
Understanding of software version control tools (e.g., Git).
The ability to obtain and maintain a U.S. government issued clearance. U.S. citizenship is required as only U.S. citizens are eligible for a security clearance.
**Qualifications We Prefer:**
Experience with ML Ops or Data Ops frameworks (e.g., Airflow, MLflow, Kubeflow, or similar).
Familiarity with web application architecture and tools (e.g., REST, GraphQL, PostgreSQL MongoDB, Redis).
Exposure to real\-time systems, distributed architectures, or mission\-support software (e.g., visualization dashboards, situational awareness, telemetry).
Internship or project experience involving data pipelines, AI/ML integration, or cross\-domain systems.
Understanding of cloud\-based services (AWS, Azure, or GCP).
Knowledge of containerization and deployment technologies (e.g., Docker, Kubernetes).
Experience with test automation, CI/CD tools (e.g., Jenkins, GitLab CI), or Infrastructure as Code (IaC) tools.
Excellent communication, documentation, and problem\-solving skills.
**What We Offer:**
Whether you’re just starting out on your career journey or are an experienced professional, we offer a robust total rewards package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**Learn More \&amp; Apply Now!**
Onsite: Employees who are working in Onsite roles will work primarily onsite. This includes all production and maintenance employees, as they are essential to the development of our products.
Additional Details:
* Please upload a copy of your most recent resume when applying to this requisition. Include your cumulative GPA and projected graduation date on your resume.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62,900 USD \- 119,700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6">
      <c r="A6" t="inlineStr">
        <is>
          <t>in-c0826f937c5e760e</t>
        </is>
      </c>
      <c r="B6" t="inlineStr">
        <is>
          <t>Software Engineer (AML), AI &amp; Data Platforms (AiDP)</t>
        </is>
      </c>
      <c r="C6" t="inlineStr">
        <is>
          <t>Apple</t>
        </is>
      </c>
      <c r="D6" t="inlineStr">
        <is>
          <t>indeed</t>
        </is>
      </c>
      <c r="E6" t="inlineStr"/>
      <c r="F6" t="inlineStr"/>
      <c r="G6" t="inlineStr">
        <is>
          <t>Austin, TX, US</t>
        </is>
      </c>
      <c r="H6" s="2" t="n">
        <v>46038</v>
      </c>
      <c r="I6" t="inlineStr">
        <is>
          <t>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 Imagine what you could do here! At Apple, new ideas have a way of becoming extraordinary products, services, and customer experiences very quickly. Bring passion and dedication to your job and there's no telling what you could accomplish. A passion for product ownership and track record will prove critical to success on our team. Be ready to make something extraordinary when here. Multifaceted, encouraging people and innovative, industry\-defining technologies are the norm at Apple. Would you like to work in a fast\-paced environment where your technical abilities will be challenged on a day to day basis? If so, Apple’s AI \&amp; Data Platform (AiDP) team is seeking a Software Engineer to work on building and scaling best in class data and reporting apps presenting metrics \&amp; performance indicators with the least latency and outstanding user experience.. You will engage directly with key business partners to understand the business strategies and solution needs. You will drive and lead functional \&amp; technical discussions with development teams and expected to design and own end to end applications. You will enjoy the benefits of working in a fast growing business where you are inspired to "Think Different" and where your efforts play a key role in the success of Apple's business. This position is an extraordinary opportunity for a competent, experienced, and results\-oriented machine learning engineer to define and build some of the best\-in\-class machine learning solutions and tools for Apple.  
**Description**  
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 There are massive opportunities for you deliver impactful influences to Apple.  
**Preferred Qualifications**  
Experience in Anomaly detection and forecasting \&amp; related methodologies  
Experience and proficiency in python \&amp; writing efficient SQLs.  
Strong coding and software engineering skills, and familiarity with software engineering principles around testing, code reviews and deployment.  
Proven experience with transformer models such as BERT, GPT etc., and a proven understanding of their underlying principles is a plus  
Data Visualization Tools: Proficient in data visualization, with experience in software such as Superset, Streamlit, Tableau, Business Objects, and Looker  
**Minimum Qualifications**  
BS in Computer Science or related field or equivalent.  
3\+ years of machine learning engineering experience in feature engineering, model training, model serving, model monitoring and model refresh management.  
Experience developing AI/ML systems at scale in production or in high\-impact research environments.  
Passionate about computer vision, natural language processing, especially in LLMs and Generative AI systems.  
Knowledge with the common frameworks and tools such as PyTorch or TensorFlow.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
      <c r="A7" t="inlineStr">
        <is>
          <t>in-13285c797841a94f</t>
        </is>
      </c>
      <c r="B7" t="inlineStr">
        <is>
          <t>Software Engineer (AML), AI &amp; Data Platforms (AiDP)</t>
        </is>
      </c>
      <c r="C7" t="inlineStr">
        <is>
          <t>Apple</t>
        </is>
      </c>
      <c r="D7" t="inlineStr">
        <is>
          <t>indeed</t>
        </is>
      </c>
      <c r="E7" t="inlineStr"/>
      <c r="F7" t="inlineStr"/>
      <c r="G7" t="inlineStr">
        <is>
          <t>Austin, TX, US</t>
        </is>
      </c>
      <c r="H7" s="2" t="n">
        <v>46038</v>
      </c>
      <c r="I7" t="inlineStr">
        <is>
          <t>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 Imagine what you could do here! At Apple, new ideas have a way of becoming extraordinary products, services, and customer experiences very quickly. Bring passion and dedication to your job and there's no telling what you could accomplish. A passion for product ownership and track record will prove critical to success on our team. Be ready to make something extraordinary when here. Multifaceted, encouraging people and innovative, industry\-defining technologies are the norm at Apple. Would you like to work in a fast\-paced environment where your technical abilities will be challenged on a day to day basis? If so, Apple’s AI \&amp; Data Platform (AiDP) team is seeking a Software Engineer to work on building and scaling best in class data and reporting apps presenting metrics \&amp; performance indicators with the least latency and outstanding user experience.. You will engage directly with key business partners to understand the business strategies and solution needs. You will drive and lead functional \&amp; technical discussions with development teams and expected to design and own end to end applications. You will enjoy the benefits of working in a fast growing business where you are inspired to "Think Different" and where your efforts play a key role in the success of Apple's business. This position is an extraordinary opportunity for a competent, experienced, and results\-oriented machine learning engineer to define and build some of the best\-in\-class machine learning solutions and tools for Apple.  
**Description**  
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 There are massive opportunities for you deliver impactful influences to Apple.  
**Preferred Qualifications**  
Experience in Anomaly detection and forecasting \&amp; related methodologies  
Experience and proficiency in python \&amp; writing efficient SQLs.  
Strong coding and software engineering skills, and familiarity with software engineering principles around testing, code reviews and deployment.  
Proven experience with transformer models such as BERT, GPT etc., and a proven understanding of their underlying principles is a plus  
Data Visualization Tools: Proficient in data visualization, with experience in software such as Superset, Streamlit, Tableau, Business Objects, and Looker  
**Minimum Qualifications**  
BS in Computer Science or related field or equivalent.  
3\+ years of machine learning engineering experience in feature engineering, model training, model serving, model monitoring and model refresh management.  
Experience developing AI/ML systems at scale in production or in high\-impact research environments.  
Passionate about computer vision, natural language processing, especially in LLMs and Generative AI systems.  
Knowledge with the common frameworks and tools such as PyTorch or TensorFlow.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
      <c r="A8" t="inlineStr">
        <is>
          <t>in-23cbf3121b88c0c2</t>
        </is>
      </c>
      <c r="B8" t="inlineStr">
        <is>
          <t>Senior Software Engineer II, Agentic AI Platform</t>
        </is>
      </c>
      <c r="C8" t="inlineStr">
        <is>
          <t>Moveworks</t>
        </is>
      </c>
      <c r="D8" t="inlineStr">
        <is>
          <t>indeed</t>
        </is>
      </c>
      <c r="E8" t="inlineStr"/>
      <c r="F8" t="inlineStr"/>
      <c r="G8" t="inlineStr">
        <is>
          <t>Mountain View, CA, US</t>
        </is>
      </c>
      <c r="H8" s="2" t="n">
        <v>46038</v>
      </c>
      <c r="I8" t="inlineStr">
        <is>
          <t>Machine Learning Mountain View, CA Full Time
**What You Will Do**
Are you up for an exciting challenge? Picture yourself scaling and optimizing a cutting\-edge Generative AI product that offers instant assistance to enterprise users. Ever wondered how to apply abstraction, scalability, and optimization to a dynamic, probabilistic, and generative conversational system? If so, we invite you to join our Conversation Engine team. At our company, you'll have the unique opportunity to work at the core of Moveworks Generative AI product. Your main focus will be scaling and optimizing it to meet the growing demands of the enterprise solution space. Take a look at our recent posts (Moveworks Live, Creator Studio) on Moveworks’s groundbreaking solutions for enterprise AI. As pioneers in enterprise AI, we don't follow a set formula for building the next solution. Instead, we encourage you to bring your innovative ideas and imagination to solve unsolved problems. You'll collaborate closely with machine learning experts and cross\-functional teams, rapidly iterating over new ideas, and leveraging user behavior data to make informed decisions. Your challenge will be to scale and optimize our conversation engine to support hundreds of millions of users, across multiple chat channels and use cases, and enhance our end\-to\-end product infrastructure with the utmost engineering quality and robustness.
* Construct an extensive product infrastructure, complete with user\-friendly interfaces that empower engineers and configurators to effortlessly customize and optimize generative AI models. This includes collecting data and feedback, adapting to diverse enterprise use cases and business contexts, and delivering domain\-specific conversational experiences.
* Design scalable API abstractions for our conversation platform, which supports all popular chat clients (for example, MSTeams, Slack, and Web) and offers a neutral API for developing other parts of the engineering system.
* Optimize the dialog engine to accommodate a wide range of conversational features, leveraging private domain knowledge unique to each enterprise customer in the cloud, and enable real\-time multilingual translation. You will achieve this with minimal memory footprint, low latency, and streamlined development process for application engineers.
* Champion the best practices for coding patterns, API design, scalability, robustness, and optimization. Foster a culture of excellence and continuous improvements among fellow engineers.
* Provide comprehensive insights and visibility into the performance of our conversational AI product. This involves implementing a robust logging and tracing framework, user\-friendly debugging and triaging tools, and automated metrics for efficient monitoring and analysis.
* Collaborate closely with ML engineers, application engineers, product teams, and customer support teams to drive the development of new features and scalability initiatives.
**What You Bring To The Table**
* A strong foundation in computer science and software engineering, coupled with expertise in building scalable systems.
* A deep understanding of clean, modular, and scalable API design. You have the ability to champion best coding practices and influence fellow engineers to uphold high standards of code quality and craftsmanship.
* A passion for optimizing systems and improving performance. You are well\-versed in tracing, logging, and metrics frameworks, and possess a systematic approach to quickly identify and resolve latency bottlenecks, race conditions, and throughput limitations.
* The ability to independently research new requirements and develop innovative solutions. You thrive in an environment of fast\-paced coding and execution, embracing rapid iterations to deliver results.
* Strong communication skills to effectively articulate rationales and design approaches. You have a cross\-functional awareness that enables you to collaborate seamlessly with various teams.
* A bachelor's degree or higher in computer science or a related field, demonstrating your academic foundation in the field.
* 5\+ years of professional development experience, specifically in building systems at scale.
**Nice To Have**
* Experience with scaling ML systems
* Experience with Agentic AI product or LLMs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9">
      <c r="A9" t="inlineStr">
        <is>
          <t>in-bcdbcaab57f5e501</t>
        </is>
      </c>
      <c r="B9" t="inlineStr">
        <is>
          <t>Backend Engineer</t>
        </is>
      </c>
      <c r="C9" t="inlineStr">
        <is>
          <t>zennith ai labs llc</t>
        </is>
      </c>
      <c r="D9" t="inlineStr">
        <is>
          <t>indeed</t>
        </is>
      </c>
      <c r="E9" t="inlineStr"/>
      <c r="F9" t="inlineStr"/>
      <c r="G9" t="inlineStr">
        <is>
          <t>Palo Alto, CA, US</t>
        </is>
      </c>
      <c r="H9" s="2" t="n">
        <v>46039</v>
      </c>
      <c r="I9" t="inlineStr">
        <is>
          <t>**Overview**
We're seeking an experienced Backend Engineer to join our early\-stage engineering team and help build the foundation of our next\-generation AI platform for SaaS. This is a unique opportunity to shape the core architecture and services that will power cutting\-edge generative AI solutions, working in a collaborative environment where your contributions will have immediate and lasting impact.
**What You'll Do**
**Core Platform Development**
* Design, develop, and maintain core platform services that form the backbone of our Gen AI infrastructure
* Build scalable, efficient microservices that integrate seamlessly with our overall architecture
* Write clean, maintainable code following industry best practices and modern software engineering principles
**Infrastructure \&amp; Operations**
* Implement and optimize infrastructure automation
* Develop comprehensive monitoring, alerting, and observability strategies
* Troubleshoot and resolve production issues, ensuring high availability and performance
**Collaboration \&amp; Quality**
* Participate actively in code reviews, providing constructive feedback to elevate team standards
* Create and maintain clear technical documentation for platform services and processes
* Work closely with cross\-functional teams to define project milestones and deliver on roadmap commitments
* Contribute to the evolution of our engineering practices and DevOps culture
**What We're Looking For**
**Required Experience \&amp; Skills**
* **4\+ years** of professional software engineering experience
* **Expert\-level Python skills** for backend services and AI/ML integration
* **Microservices expertise** \- deep understanding of distributed systems, RESTful API design, and service\-oriented architecture
* **Cloud infrastructure proficiency** with major cloud providers
* **DevOps fundamentals** including CI/CD pipelines and containerization
* **Communication skills** \- ability to articulate technical concepts clearly and collaborate effectively
* **Bachelor's degree** in Computer Science, Engineering, or related field (Master's degree strongly preferred)
Pay: $120,000\.00 per year
Work Location: In person</t>
        </is>
      </c>
    </row>
    <row r="10">
      <c r="A10" t="inlineStr">
        <is>
          <t>in-82fdba94027150bc</t>
        </is>
      </c>
      <c r="B10" t="inlineStr">
        <is>
          <t>Software Developer</t>
        </is>
      </c>
      <c r="C10" t="inlineStr">
        <is>
          <t>2HB Incorporated</t>
        </is>
      </c>
      <c r="D10" t="inlineStr">
        <is>
          <t>indeed</t>
        </is>
      </c>
      <c r="E10" t="inlineStr"/>
      <c r="F10" t="inlineStr"/>
      <c r="G10" t="inlineStr">
        <is>
          <t>Chantilly, VA, US</t>
        </is>
      </c>
      <c r="H10" s="2" t="n">
        <v>46038</v>
      </c>
      <c r="I10" t="inlineStr">
        <is>
          <t>**This is a full\-time position, and requires a TS/SCI/Full Scope Polygraph Clearance.**
**2HB Incorporated is seeking a** **Software Developer** **to support its government customer in Chantilly, VA.**
**The applicant MUST have web development experience with Typescript, JavaScript, HTML, CSS, Bootstrap, and React**.
**Desired skills for a candidate include** experience with Java / Python, software development best practices to include Agile methodology. Demonstrated experience leading a small team, mentoring junior team members, and providing technical direction.
**This is a full\-time position, and requires a TS/SCI/Full Scope Polygraph Clearance.**</t>
        </is>
      </c>
    </row>
    <row r="11">
      <c r="A11" t="inlineStr">
        <is>
          <t>in-aa689b7559e6bb36</t>
        </is>
      </c>
      <c r="B11" t="inlineStr">
        <is>
          <t>Senior Software Engineer - Games | Full Stack</t>
        </is>
      </c>
      <c r="C11" t="inlineStr">
        <is>
          <t>Trivelta</t>
        </is>
      </c>
      <c r="D11" t="inlineStr">
        <is>
          <t>indeed</t>
        </is>
      </c>
      <c r="E11" t="inlineStr"/>
      <c r="F11" t="inlineStr"/>
      <c r="G11" t="inlineStr">
        <is>
          <t>Boston, MA, US</t>
        </is>
      </c>
      <c r="H11" s="2" t="n">
        <v>46038</v>
      </c>
      <c r="I11" t="inlineStr">
        <is>
          <t>Trivelta builds the technology that powers modern, social\-first gaming experiences. Through our proprietary sportsbook and casino engine, we enable partners to launch their own fully branded, legally compliant gaming products. The power of the Trivelta platform combines real social interactions, predictive gameplay, and casino entertainment in one unified experience.
Headquartered in Boston with operations in Monterrey, Barcelona, and Atlanta, we're scaling rapidly and building a team passionate about redefining how people play, bet, and connect online.
We are seeking a **Full Stack Senior Software Engineer (Games)** to play a critical role in the design, development, and stewardship of our web\-based games and gaming platforms. This role is ideal for an experienced engineer who is deeply comfortable across the stack—from frontend experiences to backend services and infrastructure—and who takes equal pride in writing high\-quality code and raising the bar for the entire engineering team.
You will serve as a technical leader and mentor, ensuring that junior and mid\-level engineers produce maintainable, performant, and secure code aligned with our standards and best practices.
Responsibilities:
Full\-Stack Development
* Build and maintain backend services using TypeScript and Python
* Develop modern frontend applications using contemporary JavaScript/TypeScript frameworks
* Design and consume RESTful and real\-time APIs, with a strong understanding of HTTP, WebSockets, and related web protocols
* Implement efficient algorithms and data structures to solve performance\-critical problems
* Identify and proactively address technical debt
Code Quality \&amp; Best Practices
* Establish and enforce coding standards, testing practices, and review processes
* Perform thorough code reviews with an emphasis on clarity, correctness, performance, and maintainability
* Advocate for and implement best practices around:
* Version control and branching strategies
* Automated testing (unit, integration, and end\-to\-end)
* Documentation and knowledge sharing
Infrastructure \&amp; Systems Thinking
* Contribute to and review Infrastructure as Code (IaC) using Terraform
* Collaborate on cloud\-based architectures, CI/CD pipelines, and deployment workflows
* Ensure systems are observable, reliable, and operable in production environment
Mentorship \&amp; Team Enablement
* Act as a senior technical resource for the engineering team
* Mentor junior and mid\-level engineers through pairing, reviews, and technical guidance
* Help engineers grow their skills in system design, debugging, and professional software practices
* Model strong engineering judgment, communication, and ownership
Qualifications:
* 5\+ years of professional software engineering experience, including senior\-level responsibilities
* Strong proficiency in TypeScript and Python
* Deep understanding of:
* + Web application architectures
	+ Client\-server communication and web protocols
	+ Data structures and algorithms
* Experience building and maintaining production\-grade frontend and backend systems
* Solid knowledge of software design patterns and architectural principles
* Experience with Infrastructure as Code and cloud\-based systems
* Proven ability to lead by influence, mentor others, and uphold engineering standards
* Preferred Qualifications
* Experience working in fast\-moving or scaling engineering teams
* Experience with containerized workloads and orchestration platforms
* Strong written and verbal communication skills
This position is onsite at our Boston HQ located next to South Station.</t>
        </is>
      </c>
    </row>
    <row r="12">
      <c r="A12" t="inlineStr">
        <is>
          <t>in-d51375f712982213</t>
        </is>
      </c>
      <c r="B12" t="inlineStr">
        <is>
          <t>Senior Software Engineer - Growth</t>
        </is>
      </c>
      <c r="C12" t="inlineStr">
        <is>
          <t>Volley</t>
        </is>
      </c>
      <c r="D12" t="inlineStr">
        <is>
          <t>indeed</t>
        </is>
      </c>
      <c r="E12" t="inlineStr"/>
      <c r="F12" t="inlineStr"/>
      <c r="G12" t="inlineStr">
        <is>
          <t>San Francisco, CA, US</t>
        </is>
      </c>
      <c r="H12" s="2" t="n">
        <v>46038</v>
      </c>
      <c r="I12" t="inlineStr">
        <is>
          <t>**About Us**
------------
Volley is the leading developer of AI\-powered games for Amazon Alexa, Samsung, LG, Roku, Fire TV, and mobile devices. Our games attract millions of users every month. Popular Volley games include *Song Quiz*, *Jeopardy!*, *CoComelon: Sing and Play with JJ*,and *The Price Is Right*.
We believe voice interfaces will become the main way people access entertainment in their living rooms, kitchens, bedrooms, and cars. We’re building a bundled subscription product similar to Netflix or Spotify for the emerging category of “AI\-powered games.”
Volley was founded by Max Child and James Wilsterman in 2016\. We're headquartered in downtown San Francisco in the historic Phelan Building! We’re a quickly growing team that truly enjoys working together.  
**Role Summary**
----------------
Volley is seeking a Senior Software Engineer to join our Hub Team, where you'll drive revenue growth through experimentation and data\-driven optimization and own the funnel for acquisition, adoption and retention. This is a high\-impact role for someone who thrives at the intersection of engineering, product, and analytics \- and wants to see their work directly translate to business outcomes.
**What You’ll Do at Volley**
----------------------------
* Lead growth experiments across our conversion funnel \- from making client\-side changes to enable tests, to analyzing results and implementing winning variants.
* Work closely with Growth, Product, Data, and Design teams to identify, prioritize, and execute high\-impact experiments that move revenue metrics.
* Design and implement ad attribution improvements to help Growth and Design understand which campaigns and creatives perform best.
* Lead cross\-functional projects that unlock new growth capabilities \- whether that's adding to our MarTech stack, improving tracking infrastructure in our platform API, or enabling new features in the Hub or Games.
* Evaluate tools, data, and infrastructure changes needed to scale our growth engineering capabilities.
* Contribute to key technical decisions, balancing long\-term architectural health with the need for rapid iteration.
**We're Excited About You Because You Have**
--------------------------------------------
* 4\+ years of software engineering experience with strong full\-stack development skills (TypeScript, React, Node.js/Bun).
* Proven track record of scaling users and/or revenue in products, conducting experiments and implementing features based on experimental data.
* Experience with growth\-focused tools (like Amplitude or similar experimentation platforms, Segment, Snowflake, Tableau) and marketing attribution tools (Meta and Tiktok pixels, AppsFlyer, Branch, or similar).
* Strong data\-driven mindset \- comfortable diving into analytics, forming hypotheses, and using metrics to guide decisions.
* Excellent cross\-functional collaboration skills \- you know how to work and communicate effectively with other engineers, Product, Growth, Data, and Design.
* User\-first mentality \- you deeply understand the user journey and optimize for conversion and engagement.
**Bonus Points**
----------------
* Experience in gaming, entertainment, or consumer subscription products
* Understanding of subscription business models and monetization
* Experience integrating marketing tools like Meta/Tiktok pixels, AppsFlyer, Branch, Klaviyo, or Signal
* Experience with front\-end profiling, optimization, and performance measurement
**Our Stack**
-------------
* Typescript \&amp; Node.js
* React
* Kubernetes, Github Actions
* DynamoDB, PostgreSQL
**The Hiring Process**
----------------------
* **Stage 1 (Preliminary Video Call):** with a member of our recruitment team
* **Stage 2 (Engineering Panel):** with various members of our engineering team
* **Stage 3 (Onsite Interview):** with various partners and team members
* **Stage 4** **(Founder Chat)** with our Founders
As an AI company, we’re a huge believer in the value of AI tools. That being said, the interview process is intended as a conversation \- we want to get to know you and your experience. Please refrain from using AI tools during all Volley interviews unless otherwise specified
**What’s in it for You**
------------------------
* Your medical, dental, and vision insurance is 100% covered by Volley, for yourself and all dependents and we match 401k!
* We offer a flexible, hybrid work\-from\-home and in\-office work model.
* We offer 4 weeks of paid time off (enforced 2\-week minimum), 16 paid holidays, 40 hours of bereavement leave, and unlimited sick days.
* Our generous parental leave policy includes 24 weeks at 100% pay for birthing parents and 12 weeks at 100% pay for non\-birthing parents.
* We offer visa support for eligible candidates, making relocating for the job smoother and more streamlined.
* A full breakdown of our benefits is here!
*For Pay Transparency: The final offer amount may depend on experience, education, skills, and location. Base pay is one part of the total package that is provided to compensate and recognize employees for their work.*
*Volley is committed to the full inclusion of all qualified individuals. As part of this commitment, Volley will ensure that persons are provided reasonable accommodations throughout the hiring process. If any reasonable accommodation is needed, please reach out to your hiring contact.*
Compensation Range: $165\.8K \- $228K</t>
        </is>
      </c>
    </row>
    <row r="13">
      <c r="A13" t="inlineStr">
        <is>
          <t>in-43e291b686103a3c</t>
        </is>
      </c>
      <c r="B13" t="inlineStr">
        <is>
          <t>Rules &amp; Backend Engineer</t>
        </is>
      </c>
      <c r="C13" t="inlineStr">
        <is>
          <t>Network Designs</t>
        </is>
      </c>
      <c r="D13" t="inlineStr">
        <is>
          <t>indeed</t>
        </is>
      </c>
      <c r="E13" t="inlineStr"/>
      <c r="F13" t="inlineStr"/>
      <c r="G13" t="inlineStr">
        <is>
          <t>McLean, VA, US</t>
        </is>
      </c>
      <c r="H13" s="2" t="n">
        <v>46038</v>
      </c>
      <c r="I13" t="inlineStr">
        <is>
          <t>**About NDi:**
Network Designs, Inc. (NDi) is a leading Federal contractor that specializes in designing, developing, and delivering information technology and network solutions for government customers. Founded in 1985, NDi's firmly defined core values have driven all aspects of the business, which have been paramount to our company's success and the establishment of an enjoyable workplace atmosphere. At NDi, we believe that our people are the cornerstone of our success, and we value collaboration, career growth, and winning ideas. **Military Veterans Encouraged to Apply.**
**Job Description:**
The RulesBackend Engineer will be responsible for designing, implementing, and maintaining rules processing logic that supports eligibility and enrollment determinations within legacy enterprise platforms. This role focuses on translating statutes, regulations, and policy into executable system logic using established rules engines and application servers. The candidate will work closely with policy staff, business analysts, and system engineers to ensure rules are implemented accurately, consistently, and in compliance with system and regulatory constraints.
**Requirements:**
* U.S Citizenship required.
* Must be able to obtain and maintain a Public Trust clearance
* This position is remote but may require occasional onsite meetings in McLean, VA.
* You can be based out of following states: AZ, DC, FL, GA, OH, ME, MD, SC, TX, UT, VA, NC, OK, WV.
**Qualifications and Experience:**
* Bachelor's Degree in Computer Science, Information Technology, or a related field.
* At least 7 years of experience in backend development or rules engineering within enterprise systems.
* Strong experience implementing and maintaining rules using IBM ODM.
* Proficiency with Java\-based development using Spring and JSP.
* Hands\-on experience supporting applications deployed on Oracle WebLogic.
* Familiarity with HL7 interfaces or healthcare\-related data exchange standards.
* Experience validating complex business rules and decision logic.
* Strong analytical and problem\-solving skills.
* Strong attention to detail and accuracy.
* Excellent communication skills and the ability to work collaboratively with policy, business, and technical teams.
* Ability to work independently and manage multiple priorities.
**Preferred Qualifications:**
* Experience supporting eligibility or enrollment systems.
* Experience working in regulated or government environments.
* Experience maintaining and enhancing legacy enterprise application platforms
**Responsibilities**
**Rules Logic Implementation:**
* Design, implement, and maintain rules processing logic for eligibility and enrollment determinations using IBM ODM.
* Configure and manage rule artifacts to ensure correctness, traceability, and maintainability.
 **Policy\-to\-System Translation:**
* Collaborate with policy experts and business analysts to interpret statutes, regulations, and policy guidance.
* Translate policy intent into executable rules and backend decision logic.
**Backend Application Development:**
* Develop and maintain backend components using Java, Spring, and JSP.
* Support rules execution and system workflows hosted on Oracle WebLogic.
**Legacy Platform Integration:**
* Integrate rules logic with legacy applications and services deployed on Oracle WebLogic.
* Support HL7\-driven interfaces and message\-based integrations where applicable.
**Validation and Testing:**
* Validate rule behavior through defined test scenarios and rule execution results.
* Support functional and regression testing of rules logic in coordination with QA teams.
**Troubleshooting and Maintenance:**
* Diagnose and resolve issues related to rules execution, data inputs, and system behavior.
* Support defect resolution and production issue analysis related to eligibility and enrollment rules.
**Collaboration and Documentation:**
* Work closely with system engineers, analysts, and stakeholders to ensure shared understanding of rules logic and impacts.
* Document rules behavior, assumptions, dependencies, and system interactions.
**Continuous Improvement:**
* Support ongoing refinement of rules logic to address policy changes, defect corrections, and system enhancements.
* Identify opportunities to improve rule clarity, performance, and maintainability within the existing platform.
**Compensation and Benefits:**
At NDi, we value our team and are committed to retaining top talent by offering competitive benefits and compensation packages. Our employee benefits package includes comprehensive health, dental, vision, pet, and legal insurance. Our corporate benefits include 401(k) retirement matching, paid leave, paid holidays, and health and wellness programs. In addition, we provide employer\-paid life and disability insurance, professional development, education benefits, and much more to ensure our team has the resources they need to thrive on and off the job.
***Veterans First*** **Commitment:**
As a Service\-Disabled Veteran\-Owned Small Business (SDVOSB), NDi is dedicated to hiring veterans and providing a supportive work environment that honors their service while recognizing the unique skills and experiences they bring to our organization.
**Commitment to Diversity:**
NDi is an Equal Opportunity Employer. We are committed to creating a diverse environment and are proud to be an equal\-opportunity employer. All qualified applicants will receive consideration for employment without regard to race, color, religion, sex, sexual orientation, gender identity, national origin, age, disability, veteran or military status, citizenship, national origin, or any other basis prohibited by law in all phases of the employment process and compliance with applicable federal, state, and local laws and regulations. As a federal government contractor, NDi complies with all applicable affirmative action requirements.
**Apply Now:**
Take advantage of this unique opportunity to join one of the fastest\-growing companies in Federal contracting!</t>
        </is>
      </c>
    </row>
    <row r="14">
      <c r="A14" t="inlineStr">
        <is>
          <t>in-9cc995b0e524e6f4</t>
        </is>
      </c>
      <c r="B14" t="inlineStr">
        <is>
          <t>Software Engineer (UI Solutions), AI &amp; Data Platforms (AiDP)</t>
        </is>
      </c>
      <c r="C14" t="inlineStr">
        <is>
          <t>Apple</t>
        </is>
      </c>
      <c r="D14" t="inlineStr">
        <is>
          <t>indeed</t>
        </is>
      </c>
      <c r="E14" t="inlineStr"/>
      <c r="F14" t="inlineStr"/>
      <c r="G14" t="inlineStr">
        <is>
          <t>Austin, TX, US</t>
        </is>
      </c>
      <c r="H14" s="2" t="n">
        <v>46038</v>
      </c>
      <c r="I14"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Would you like to work in a fast\-paced environment where your technical abilities will be challenged on a day to day basis? If so, Apple's Global Business Intelligence (GBI) team is seeking a UI Software Engineer to work on building and scaling best in class data and reporting apps presenting metrics \&amp; performance indicators with the least latency and outstanding user experience. We are looking for a team member will be able think outside of the box and should have real passion for building highly scalable data apps with end users in focus. You will engage directly with key business partners to understand the business strategies and solution needs. You will drive and lead functional \&amp; technical discussions with development teams and expected to design and own end to end applications.  
**Description**  
We are seeking a highly motivated and creative UI Software Engineer to join our global team spanning the US, Singapore, India and Europe. As a key player in our organization, you will be responsible for building high\-performance, user\-friendly, and outstanding web and native solutions.  
You will thrive in a collaborative environment, working independently and as part of cross\-functional teams to tackle complex problems with imaginative solutions. The ideal candidate is a self\-starter who can produce high\-quality software under tight constraints, interact optimally with internal teams, and lead the delivery of products that have a significant impact on Apple’s business in an exciting and constantly evolving environment.  
**Preferred Qualifications**  
5\+ years of experience in application development with an in\-depth understanding of data structures and algorithms  
Experience or understanding of iOS frameworks and related technologies, including SwiftUI OR React Native, UIKit, Core Data, etc.  
Collaboration \&amp; Communication: Strong written and verbal communication skills, with experience collaborating with UX Designers and cross\-functional teams.  
Database Proficiency: Understanding of working with various databases including Oracle, Snowflake, SinglesStore, Cassandra, and Redis  
Application Development \&amp; Testing: Experience in building unit tests using JavaScript testing frameworks, and testing browser\-based applications for cross\-browser compatibility  
Full\-Stack \&amp; DevOps Experience: Deep understanding of the full software development lifecycle, version control (Git), virtualization techniques (Kubernetes, Docker), and exposure to cloud methodologies (AWS preferred).  
Mobile App Development: Hands\-on experience with Xcode, App Store submission, review processes, and post\-launch support.  
Technical Adaptability: Excellent problem\-solving, critical thinking abilities, and a solid capacity to evaluate and apply new technologies quickly.  
**Minimum Qualifications**  
Strong expertise in ReactJS, along with other JavaScript frameworks such as AngularJS, Vue.js, etc.  
Experience working with Node.js, Redux, TypeScript, Webpack, npm, etc.  
Experience in developing rich user interfaces using HTML5 and CSS3\.  
Proven experience developing RESTful service layer components using Java OR Python OR GraphQL  
Bachelors or equivalent degree in Computer Science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5">
      <c r="A15" t="inlineStr">
        <is>
          <t>in-9d798facab577c7f</t>
        </is>
      </c>
      <c r="B15" t="inlineStr">
        <is>
          <t>AR/VR Software Engineer - Capture, Vision Products Software</t>
        </is>
      </c>
      <c r="C15" t="inlineStr">
        <is>
          <t>Apple</t>
        </is>
      </c>
      <c r="D15" t="inlineStr">
        <is>
          <t>indeed</t>
        </is>
      </c>
      <c r="E15" t="inlineStr"/>
      <c r="F15" t="inlineStr"/>
      <c r="G15" t="inlineStr">
        <is>
          <t>Sunnyvale, CA, US</t>
        </is>
      </c>
      <c r="H15" s="2" t="n">
        <v>46038</v>
      </c>
      <c r="I15" t="inlineStr">
        <is>
          <t>Apple is where individual imaginations gather together, committing to the values that lead to great work. Every new product we build, service we create, or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The Vision Products Group (VPG) is looking for a software engineer to work on exciting new capture and photography experiences. This team is working with some of Apple's most advanced technologies including augmented reality (AR), machine learning (ML) and computer vision (CV). As a member of our organization you will drive exploration of future products that will delight, inspire and empower millions of people.  
**Description**  
As part of visionOS Capture and Photos team, you will define the overall experience of our platforms; ultimately impacting the way our customers use our products.  
You will work closely with Apple's framework teams and Human Interface designers \- pushing you to think outside\-the\-box, and solve incredibly challenging and interesting problems in the AR/VR space.  
You will have access to a wide variety of internal frameworks and services that will allow you to create an application that is deeply integrated into our operating systems.  
**Preferred Qualifications**  
Experience with building capture oriented applications  
Familiarity with computer vision techniques and algorithms  
Attention to detail, creativity, and a passion for AR/VR technologies and photography  
Proof of concept development expertise  
Experience building complex applications that are functional, beautiful and delightful.  
Proficiency in iOS development practices  
**Minimum Qualifications**  
1\+ years experience in software development  
Proficiency in an application programming language, such as C/C\+\+, Objective\-C, Swift, etc.  
Experience using Apple development tools and APIs  
BS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6">
      <c r="A16" t="inlineStr">
        <is>
          <t>in-81f9e0760f73cfc3</t>
        </is>
      </c>
      <c r="B16" t="inlineStr">
        <is>
          <t>visionOS, Systems Framework Software Engineer</t>
        </is>
      </c>
      <c r="C16" t="inlineStr">
        <is>
          <t>Apple</t>
        </is>
      </c>
      <c r="D16" t="inlineStr">
        <is>
          <t>indeed</t>
        </is>
      </c>
      <c r="E16" t="inlineStr"/>
      <c r="F16" t="inlineStr"/>
      <c r="G16" t="inlineStr">
        <is>
          <t>Sunnyvale, CA, US</t>
        </is>
      </c>
      <c r="H16" s="2" t="n">
        <v>46038</v>
      </c>
      <c r="I16"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The Vision Products Group is seeking a senior engineer to help architect and implement cross\-device frameworks and APIs for our platforms. This engineer will enhance the capabilities and performance of these platforms through the development of edge computing, distributed systems, and a broad range of applications, including AIML, computer vision, and multimedia processing.  
**Description**  
We are a team of architects and specialists who are looking for an individual to help build frameworks to enable a new class of networked services and applications. The ideal candidate will have strong programming skills in addition to an interest in creating foundational frameworks and APIs. You should be comfortable participating in architecture discussions, taking ownership, articulating design choices, and delivering highly optimized code in performance\-critical environments.  
Networking, distributed systems, and developing with system power and performance in mind will be central to this role. You should be capable of balancing system tradeoffs such as power, latency, and compute, while ensuring maximum privacy, security, and user experience.  
In addition to work on framework development, this role also offers the unique opportunity to prototype new services and applications, as well as deep collaboration with other teams throughout Apple.","responsibilities":"Architect, implement, and scale frameworks and daemons that enable devices to work collectively in order to enable a range of new experiences  
Leverage skills in networking and distributed computing to realize new cross device capabilities  
Demonstrate a high bar for code quality and attention to detail  
Build projects from the ground up, define and manage scope, and experiment to determine and deliver the best technical solutions  
Explore uncharted domains, champion new ideas, and build rapid prototypes that help influence the product and feature roadmap  
Act as a technical leader, fostering technical growth and innovation on the team  
**Preferred Qualifications**  
Experience or interest in AR/VR applications  
Experience or interest in AIML, computer vision, or multimedia  
Experience with iOS / macOS development  
**Minimum Qualifications**  
6\+ years of developing software frameworks and APIs  
Solid understanding of distributed systems and code that spans beyond one device  
Track record of mobile device and embedded development  
Experience writing daemons and/or multi\-threaded software  
Knowledgable about network protocols and frameworks (e.g. TCP/IP, UDP, QUIC)  
Knowledgable about system level programming concepts  
Strong command of object\-oriented programming (Swift / C\+\+ preferred)  
Strong analytical and problem\-solving skills with a track record of data\-driven architectural decisions  
Excellent communication and presentation skills  
BS or equivalent experience in Computer Science, Computer Engineering,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7">
      <c r="A17" t="inlineStr">
        <is>
          <t>in-b4b40cbabdf6be96</t>
        </is>
      </c>
      <c r="B17" t="inlineStr">
        <is>
          <t>Senior Software Engineer, Control/Data Plane</t>
        </is>
      </c>
      <c r="C17" t="inlineStr">
        <is>
          <t>Apple</t>
        </is>
      </c>
      <c r="D17" t="inlineStr">
        <is>
          <t>indeed</t>
        </is>
      </c>
      <c r="E17" t="inlineStr"/>
      <c r="F17" t="inlineStr"/>
      <c r="G17" t="inlineStr">
        <is>
          <t>Sunnyvale, CA, US</t>
        </is>
      </c>
      <c r="H17" s="2" t="n">
        <v>46038</v>
      </c>
      <c r="I17"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The Apple Cloud Networking team constructs software\-defined network infrastructure as an integral component of Apple Cloud. Our infrastructure serves as a pivotal foundation for delivering Apple’s services, including iCloud, iTunes, Siri, and Maps, to a global customer base of billions. We are a dynamic and collaborative organization where drive and teamwork are essential for success. Teams across Apple rely on our infrastructure to build scalable, highly available, and reliable services that operate seamlessly. We actively listen to diverse perspectives, foster the emergence of innovative ideas, and make decisions that propel our progress.  
As a member of the Apple Cloud Network team, you will contribute to the development and operationalization of cutting\-edge products and solutions that will shape the future of our highly scalable network infrastructure.  
**Description**  
We’re looking for passionate folks who love building super\-scalable, reliable, and user\-friendly systems to support one of the world’s biggest cloud infrastructures. You’ll be designing, building, and running new services that help lead virtualized networks, computing, and storage. Working at our global scale brings some unique and tough challenges that require us to come up with radical innovations. These services are built using skills from different areas, like distributed systems, user experience, and modular and resilient programming. If you’re excited about innovating and building systems from scratch for the massive scale of our infrastructure, then our team might be the perfect place for you!  
**Preferred Qualifications**  
BS and MS or equivalent experience in Computer Science  
**Minimum Qualifications**  
Technical Skills: Proficiency in Java, C\+\+, Go, scripting languages, Git, and configuration management systems.  
Architectural Expertise: Experience in building scalable services, architectural design, data structures, algorithms, microservice architectures, and APIs.  
Problem\-Solving and Communication: Strong organizational and communication skills, the ability to prioritize tasks, deliver on bold deadlines, and drive closures, and the ability to prioritize and debug production issues.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8">
      <c r="A18" t="inlineStr">
        <is>
          <t>in-4ed7f8bcb7380af3</t>
        </is>
      </c>
      <c r="B18" t="inlineStr">
        <is>
          <t>iOS Software Engineer, Customer Systems</t>
        </is>
      </c>
      <c r="C18" t="inlineStr">
        <is>
          <t>Apple</t>
        </is>
      </c>
      <c r="D18" t="inlineStr">
        <is>
          <t>indeed</t>
        </is>
      </c>
      <c r="E18" t="inlineStr"/>
      <c r="F18" t="inlineStr"/>
      <c r="G18" t="inlineStr">
        <is>
          <t>Sunnyvale, CA, US</t>
        </is>
      </c>
      <c r="H18" s="2" t="n">
        <v>46038</v>
      </c>
      <c r="I18" t="inlineStr">
        <is>
          <t>Are you passionate about crafting exceptional mobile experiences that delight millions of users? At Apple, we are reimagining the next generation of Support. By joining our team, you’ll help us evolve and expand the experiences we offer in the Apple Support app, such as Support Assistant, our latest Generative AI feature.  
As an iOS Software Engineer on our team, you will be responsible for shipping high\-quality features to our customers and championing your ideas with peers, management, and business partners. You will benefit from working in a fast\-growing organization where you're encouraged to "Think Different" and where your efforts play a key role in the success of Apple.  
If you are excited about building innovative experiences, join our team to make a difference!  
**Description**  
We build the Support app, Apple’s on\-device, native solution for support available in the App Store.  
We are looking for a Software Engineer with experience developing consumer\-facing applications for iOS. You will be responsible for building and maintaining highly scalable features, helping millions of Apple customers get the support they need.  
You are highly motivated, adept at creating intuitive user experiences, passionate about quality, and have a keen eye for the details that surprise and delight our customers.  
Your responsibilities include:  
Design, develop, and maintain engineering solutions using Xcode, Swift, SwiftUI, Async/Await, and the iOS SDK.  
Collaborate with backend engineers to define API contracts.  
Work closely with your peers, cross\-functional partners, and stakeholders to define, develop, and release innovative features to our customers.  
Prototype new ideas to validate technical approaches and effectively communicate concepts across teams.  
Actively participate in architecture discussions and code reviews to ensure high\-quality, performant features.  
Write comprehensive unit tests to maintain high code quality.  
Create internal tools to automate building, validating, and shipping processes.  
**Preferred Qualifications**  
visionOS: Experience developing and maintaining visionOS applications using Swift, SwiftUI, and Swift Concurrency.  
Objective\-C: Working experience with Objective\-C, particularly for maintaining existing codebases.  
Generative AI Knowledge: Familiarity with GenAI concepts, models, and their potential applications within a development environment.  
CI/CD Expertise: Hands\-on experience with CI/CD practices and tools for iOS development pipelines.  
Performance \&amp; Quality: Experience with performance optimization, profiling tools (Instruments), and understanding of accessibility standards and inclusive design principles.  
BS in Computer Science, Engineering, or equivalent industry experience.  
**Minimum Qualifications**  
Core Platform Development: 4\+ years of experience developing iOS applications using Swift, with proficiency in object\-oriented design and programming, including a deep understanding and practical experience with modern Swift features like Concurrency and Swift Testing.  
Native Frameworks: Deep familiarity with UIKit, SwiftUI, Core Animation, AVFoundation, and Async/Await.  
Platform Acumen: Up\-to\-date with the latest iOS version changes, features, architectural patterns, sandboxing, security, privacy, code signing, and deployment best practices.  
Web Services \&amp; APIs: Understanding of Protobuf, JSON, REST, and similar web service communication protocols.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9">
      <c r="A19" t="inlineStr">
        <is>
          <t>in-3400c61b826a3ded</t>
        </is>
      </c>
      <c r="B19" t="inlineStr">
        <is>
          <t>Specialist, Software Engineer - .NET</t>
        </is>
      </c>
      <c r="C19" t="inlineStr">
        <is>
          <t>Nationwide Mutual Insurance Company</t>
        </is>
      </c>
      <c r="D19" t="inlineStr">
        <is>
          <t>indeed</t>
        </is>
      </c>
      <c r="E19" t="inlineStr"/>
      <c r="F19" t="inlineStr"/>
      <c r="G19" t="inlineStr">
        <is>
          <t>Scottsdale, AZ, US</t>
        </is>
      </c>
      <c r="H19" s="2" t="n">
        <v>46038</v>
      </c>
      <c r="I19" t="inlineStr">
        <is>
          <t>If you’re passionate about innovation and love working in an environment where you can constantly improve and adopt new technologies to drive business results, then Nationwide’s Technology team could be the place for you! At Nationwide®, “on your side” goes beyond just words. Our customers are at the center of everything we do and we’re looking for associates who are passionate about delivering extraordinary care.**Nationwide Group Benefits serves small and mid\-sized employers to provide affordable healthcare coverage options to businesses and their employees.**
**Group Benefits Technology provides services and support to the business. Our solutions cover pre\-sales support for pricing options, post\-sale support for policy management activities including self\-service features for agents and employers.**
**Ideal Candidate Profile:**
**Core Expertise**
* **.NET Core**
* **Angular**
* **REACT**
* **EF Core**
* **C\#**
* **JScript**
* **SQL Server Developer**
* **Oracle Developer**
* **Agile SDLC**
* **Micro\-service / API (REST)**
* **Unit testing**
* **Problem Solving**
* **Debugging**
* **Production Support**
**Experience with the following is a plus:**
* **Dynatrace / performance tuning**
* **Azure DevOps**
* **GIT**
* **Swagger**
* **Messaging System (e.g., RabbitMQ)**
* **Azure Pipelines**
* **Azure Cloud**
**Preferred Skills**
* **Exposure to AI tools for development such as CoPilot or others**
* **Health Insurance experience is helpful for general concepts (Health Benefits)**
* **Focus on reliability, scalability**
* **Disaster Recover / Business Continuity**
**It is our intention to fill this role in Columbus, Ohio, Scottsdale, Arizona or Des Moines, Iowa. However, on occasion, applications from internal candidates working remotely who bring critical industry skills and relevant experience may be considered.**
\#LI\-AZ1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Software Engineer, you will focus primarily on providing high quality, efficient technology solutions to business partners by crafting new software applications or modifying and/or supporting existing packaged or custom\-built applications. In this capacity, you’ll analyze, code, configure, test, debug, document and maintain applications.**Job Description**
**Key Responsibilities:**
* Analyzes, solutions, develops, tests, debugs, documents and deploys software according to standards in an agile environment.
* Applies secure software and systems engineering practices throughout the delivery lifecycle to ensure our data and technology solutions are protected from threats and vulnerabilities.
* Uses DevSecOps practices, tooling and techniques.
* Drives continuous improvement and learning through ongoing training, practice and innovation.
* Manages medium to large project priorities, deadlines and deliverables proactively.
May perform other responsibilities as assigned.
**Reporting Relationships:** Reports to a Technology Manager/Director.
**Typical Skills and Experiences:**
**Education:** Completion of undergraduate studies in computer science, management information systems, or other related degree. Technology experience or non\-traditional technology certificates can be substituted for an undergraduate degree.
**Experience:** Four or more years of analysis and technology experience.
**Knowledge, Abilities and Skills:** Proficiency in one or more programming language such as Java, C\+\+, Python, JavaScript. Strong knowledge of software development lifecycle. Proven ability to tackle complex business and development problems. Ability to thrive in a team environment. Insurance/financial services industry knowledge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Office environment may vary based on team and/or location.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Smoke\-Free Iowa Statement: Nationwide Mutual Insurance Company, its affiliates and subsidiaries comply with the Iowa Smokefree Air Act. Smoking is prohibited in all enclosed areas on or around company premises as well as company issued vehicles. The company offers designated smoking areas in which smoking is permitted at each individual location. The Act prohibits retaliation for reporting complaints or violations. For more information on the Iowa Smokefree Air Act, individuals may contact the Smokefree Air Act Helpline at 888\-944\-2247\.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Specialist, Software Engineer : $95,500\.00\-$177,500\.00
The expected starting salary range for Specialist, Software Engineer : $95,500\.00 \- $143,500\.00</t>
        </is>
      </c>
    </row>
    <row r="20">
      <c r="A20" t="inlineStr">
        <is>
          <t>in-7f7d77939d519a21</t>
        </is>
      </c>
      <c r="B20" t="inlineStr">
        <is>
          <t>Specialist, Software Engineer - .NET</t>
        </is>
      </c>
      <c r="C20" t="inlineStr">
        <is>
          <t>Nationwide Mutual Insurance Company</t>
        </is>
      </c>
      <c r="D20" t="inlineStr">
        <is>
          <t>indeed</t>
        </is>
      </c>
      <c r="E20" t="inlineStr"/>
      <c r="F20" t="inlineStr"/>
      <c r="G20" t="inlineStr">
        <is>
          <t>Des Moines, IA, US</t>
        </is>
      </c>
      <c r="H20" s="2" t="n">
        <v>46038</v>
      </c>
      <c r="I20" t="inlineStr">
        <is>
          <t>If you’re passionate about innovation and love working in an environment where you can constantly improve and adopt new technologies to drive business results, then Nationwide’s Technology team could be the place for you! At Nationwide®, “on your side” goes beyond just words. Our customers are at the center of everything we do and we’re looking for associates who are passionate about delivering extraordinary care.**Nationwide Group Benefits serves small and mid\-sized employers to provide affordable healthcare coverage options to businesses and their employees.**
**Group Benefits Technology provides services and support to the business. Our solutions cover pre\-sales support for pricing options, post\-sale support for policy management activities including self\-service features for agents and employers.**
**Ideal Candidate Profile:**
**Core Expertise**
* **.NET Core**
* **Angular**
* **REACT**
* **EF Core**
* **C\#**
* **JScript**
* **SQL Server Developer**
* **Oracle Developer**
* **Agile SDLC**
* **Micro\-service / API (REST)**
* **Unit testing**
* **Problem Solving**
* **Debugging**
* **Production Support**
**Experience with the following is a plus:**
* **Dynatrace / performance tuning**
* **Azure DevOps**
* **GIT**
* **Swagger**
* **Messaging System (e.g., RabbitMQ)**
* **Azure Pipelines**
* **Azure Cloud**
**Preferred Skills**
* **Exposure to AI tools for development such as CoPilot or others**
* **Health Insurance experience is helpful for general concepts (Health Benefits)**
* **Focus on reliability, scalability**
* **Disaster Recover / Business Continuity**
**It is our intention to fill this role in Columbus, Ohio, Scottsdale, Arizona or Des Moines, Iowa. However, on occasion, applications from internal candidates working remotely who bring critical industry skills and relevant experience may be considered.**
\#LI\-AZ1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Software Engineer, you will focus primarily on providing high quality, efficient technology solutions to business partners by crafting new software applications or modifying and/or supporting existing packaged or custom\-built applications. In this capacity, you’ll analyze, code, configure, test, debug, document and maintain applications.**Job Description**
**Key Responsibilities:**
* Analyzes, solutions, develops, tests, debugs, documents and deploys software according to standards in an agile environment.
* Applies secure software and systems engineering practices throughout the delivery lifecycle to ensure our data and technology solutions are protected from threats and vulnerabilities.
* Uses DevSecOps practices, tooling and techniques.
* Drives continuous improvement and learning through ongoing training, practice and innovation.
* Manages medium to large project priorities, deadlines and deliverables proactively.
May perform other responsibilities as assigned.
**Reporting Relationships:** Reports to a Technology Manager/Director.
**Typical Skills and Experiences:**
**Education:** Completion of undergraduate studies in computer science, management information systems, or other related degree. Technology experience or non\-traditional technology certificates can be substituted for an undergraduate degree.
**Experience:** Four or more years of analysis and technology experience.
**Knowledge, Abilities and Skills:** Proficiency in one or more programming language such as Java, C\+\+, Python, JavaScript. Strong knowledge of software development lifecycle. Proven ability to tackle complex business and development problems. Ability to thrive in a team environment. Insurance/financial services industry knowledge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Office environment may vary based on team and/or location.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Smoke\-Free Iowa Statement: Nationwide Mutual Insurance Company, its affiliates and subsidiaries comply with the Iowa Smokefree Air Act. Smoking is prohibited in all enclosed areas on or around company premises as well as company issued vehicles. The company offers designated smoking areas in which smoking is permitted at each individual location. The Act prohibits retaliation for reporting complaints or violations. For more information on the Iowa Smokefree Air Act, individuals may contact the Smokefree Air Act Helpline at 888\-944\-2247\.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Specialist, Software Engineer : $95,500\.00\-$177,500\.00
The expected starting salary range for Specialist, Software Engineer : $95,500\.00 \- $143,500\.00</t>
        </is>
      </c>
    </row>
    <row r="21">
      <c r="A21" t="inlineStr">
        <is>
          <t>in-a109c4b3522644d4</t>
        </is>
      </c>
      <c r="B21" t="inlineStr">
        <is>
          <t>Specialist, Software Engineer - .NET</t>
        </is>
      </c>
      <c r="C21" t="inlineStr">
        <is>
          <t>Nationwide Mutual Insurance Company</t>
        </is>
      </c>
      <c r="D21" t="inlineStr">
        <is>
          <t>indeed</t>
        </is>
      </c>
      <c r="E21" t="inlineStr"/>
      <c r="F21" t="inlineStr"/>
      <c r="G21" t="inlineStr">
        <is>
          <t>Columbus, OH, US</t>
        </is>
      </c>
      <c r="H21" s="2" t="n">
        <v>46038</v>
      </c>
      <c r="I21" t="inlineStr">
        <is>
          <t>If you’re passionate about innovation and love working in an environment where you can constantly improve and adopt new technologies to drive business results, then Nationwide’s Technology team could be the place for you! At Nationwide®, “on your side” goes beyond just words. Our customers are at the center of everything we do and we’re looking for associates who are passionate about delivering extraordinary care.**Nationwide Group Benefits serves small and mid\-sized employers to provide affordable healthcare coverage options to businesses and their employees.**
**Group Benefits Technology provides services and support to the business. Our solutions cover pre\-sales support for pricing options, post\-sale support for policy management activities including self\-service features for agents and employers.**
**Ideal Candidate Profile:**
**Core Expertise**
* **.NET Core**
* **Angular**
* **REACT**
* **EF Core**
* **C\#**
* **JScript**
* **SQL Server Developer**
* **Oracle Developer**
* **Agile SDLC**
* **Micro\-service / API (REST)**
* **Unit testing**
* **Problem Solving**
* **Debugging**
* **Production Support**
**Experience with the following is a plus:**
* **Dynatrace / performance tuning**
* **Azure DevOps**
* **GIT**
* **Swagger**
* **Messaging System (e.g., RabbitMQ)**
* **Azure Pipelines**
* **Azure Cloud**
**Preferred Skills**
* **Exposure to AI tools for development such as CoPilot or others**
* **Health Insurance experience is helpful for general concepts (Health Benefits)**
* **Focus on reliability, scalability**
* **Disaster Recover / Business Continuity**
**It is our intention to fill this role in Columbus, Ohio, Scottsdale, Arizona or Des Moines, Iowa. However, on occasion, applications from internal candidates working remotely who bring critical industry skills and relevant experience may be considered.**
\#LI\-AZ1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Software Engineer, you will focus primarily on providing high quality, efficient technology solutions to business partners by crafting new software applications or modifying and/or supporting existing packaged or custom\-built applications. In this capacity, you’ll analyze, code, configure, test, debug, document and maintain applications.**Job Description**
**Key Responsibilities:**
* Analyzes, solutions, develops, tests, debugs, documents and deploys software according to standards in an agile environment.
* Applies secure software and systems engineering practices throughout the delivery lifecycle to ensure our data and technology solutions are protected from threats and vulnerabilities.
* Uses DevSecOps practices, tooling and techniques.
* Drives continuous improvement and learning through ongoing training, practice and innovation.
* Manages medium to large project priorities, deadlines and deliverables proactively.
May perform other responsibilities as assigned.
**Reporting Relationships:** Reports to a Technology Manager/Director.
**Typical Skills and Experiences:**
**Education:** Completion of undergraduate studies in computer science, management information systems, or other related degree. Technology experience or non\-traditional technology certificates can be substituted for an undergraduate degree.
**Experience:** Four or more years of analysis and technology experience.
**Knowledge, Abilities and Skills:** Proficiency in one or more programming language such as Java, C\+\+, Python, JavaScript. Strong knowledge of software development lifecycle. Proven ability to tackle complex business and development problems. Ability to thrive in a team environment. Insurance/financial services industry knowledge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Office environment may vary based on team and/or location.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Smoke\-Free Iowa Statement: Nationwide Mutual Insurance Company, its affiliates and subsidiaries comply with the Iowa Smokefree Air Act. Smoking is prohibited in all enclosed areas on or around company premises as well as company issued vehicles. The company offers designated smoking areas in which smoking is permitted at each individual location. The Act prohibits retaliation for reporting complaints or violations. For more information on the Iowa Smokefree Air Act, individuals may contact the Smokefree Air Act Helpline at 888\-944\-2247\.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Specialist, Software Engineer : $95,500\.00\-$177,500\.00
The expected starting salary range for Specialist, Software Engineer : $95,500\.00 \- $143,500\.00</t>
        </is>
      </c>
    </row>
    <row r="22">
      <c r="A22" t="inlineStr">
        <is>
          <t>in-4120c67c9aacefa0</t>
        </is>
      </c>
      <c r="B22" t="inlineStr">
        <is>
          <t>2026 Full-time - Software Engineer I - Onsite (AZ)</t>
        </is>
      </c>
      <c r="C22" t="inlineStr">
        <is>
          <t>Raytheon</t>
        </is>
      </c>
      <c r="D22" t="inlineStr">
        <is>
          <t>indeed</t>
        </is>
      </c>
      <c r="E22" t="inlineStr"/>
      <c r="F22" t="inlineStr"/>
      <c r="G22" t="inlineStr">
        <is>
          <t>Tucson, AZ, US</t>
        </is>
      </c>
      <c r="H22" s="2" t="n">
        <v>46037</v>
      </c>
      <c r="I22" t="inlineStr">
        <is>
          <t>**Date Posted:**
2026\-01\-16**Country:**
United States of America**Location:**
US\-AZ\-TUCSON\-802 \~ 1151 E Hermans Rd \~ BLDG 802**Position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Software organization develops software applications, including integration and test on missiles, launchers, radars, naval systems, fire control and other complex systems. Our precision software and firmware integrate operating systems, device drivers, networking, and control software to bring together sensors, guidance, and flight control processing features to complete the mission. The Software org is made up of several Centers located across the country, responsible for all aspects of the software development lifecycle. Our 4000\+ software engineers design, develop, and build innovative solutions for our customers. Join our fast\-paced agile teams on the leading edge of technology.
As part of the Software Engineering Directorate’s (SWE) Effectors Center (EC) team, you will be an integral part of helping Raytheon further our vision to be the global leader in core and next\-generation weapon and security solutions. By any measure, Raytheon is an exciting and rewarding place to work. We pride ourselves on developing mission\-driven, world\-class talent. The result is a workforce that takes pride in the company and consistently delivers superior solutions.
Our engineers design, develop, and build innovative solutions for the U.S. Government. Experience all aspects of a software development life cycle as a member of a fast\-paced agile team on the leading edge of:
Real\-time systems design
Digital signal processing
Machine Learning and Autonomous Systems
Cyber Security
DevOps technologies and methods
We encourage curious, creative problem solvers to join our team of bright, dedicated software craftspeople in designing and implementing highly innovative systems. You will learn advanced software engineering practices and apply new technologies to develop next generation capabilities and help keep our country safe.
This position is within the Effectors Center of the Software organization, and is an onsite role located in Tucson, AZ.
**What You Will Do:**
Assist and participate in the requirements, design, development and testing of real\-time embedded software, application software, and tools, to include development of new work products or enhancement of existing applications and systems.
Design, code, test, integrate, and document software solutions.
Participate in internal review of software components and systems.
Collaborate with project managers and other professionals within Engineering.
Work on problems with defined scope, schedule, and expectations.
Follow established development practices and processes to maintain the configuration management of software products.
**What You Will Learn:**
Use new tools that will keep you state\-of\-the\-art.
Stay updated with the latest advancements in software development and missile technology to drive innovation.
**Qualifications You Must Have:**
Bachelor’s degree in Science, Technology, Engineering, or Mathematics (STEM).
This position requires 12 months or less of relevant professional work experience (excluding Internships).
Experience with C, C\+\+, or Java.
The ability to obtain and maintain a U.S. government issued clearance. U.S. citizenship is required as only U.S. citizens are eligible for a security clearance.
**Qualifications We Prefer:**
Bachelor’s degree in Computer Engineering, Computer Science, or Software Engineering, and prior Internship experience.
1 year or more of Calculus, Physics and Computer Science studies that include assembly level programming, plus coursework covering modern software languages (such as C, C\+\+ or Java).
Knowledge of data structures and algorithms, systems software design, operating systems and architectures.
Knowledge of assembly, C/C\+\+ programming, structured programming concepts.
Knowledge of object\-oriented design and Unified Model Language.
Knowledge of statistical and numerical methods.
Interpersonal and communication skills, both verbal and written.
ABET is the preferred, although not required, accreditation standard. 3\.0 cumulative GPA desired.
Demonstrated ability to work effectively with colleagues and leaders in a team environment.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Onsite role in Tucson, AZ
Employees who are working in Onsite roles will work primarily onsite. This includes all production employees, as they are essential to the development of our products. This position involves direct support of manufacturing activities and requires spending significant amounts of time in and around factory areas.
Additional Details:
Please upload a copy of your most recent resume when applying to this requisition. Include your cumulative GPA and projected graduation date on your resume.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57,200 USD \- 108,800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3">
      <c r="A23" t="inlineStr">
        <is>
          <t>in-d876dbd9ffde2919</t>
        </is>
      </c>
      <c r="B23" t="inlineStr">
        <is>
          <t>Software Engineer (lead) – level 4</t>
        </is>
      </c>
      <c r="C23" t="inlineStr">
        <is>
          <t>Northrop Grumman</t>
        </is>
      </c>
      <c r="D23" t="inlineStr">
        <is>
          <t>indeed</t>
        </is>
      </c>
      <c r="E23" t="inlineStr"/>
      <c r="F23" t="inlineStr"/>
      <c r="G23" t="inlineStr">
        <is>
          <t>Fairfax, VA, US</t>
        </is>
      </c>
      <c r="H23" s="2" t="n">
        <v>46036</v>
      </c>
      <c r="I23" t="inlineStr">
        <is>
          <t>RELOCATION ASSISTANCE: Relocation assistance may be available
CLEARANCE TYPE: SCI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Expand your horizons, advance your career, and contribute to a secure future for generations. Northrop Grumman’s Space Sector invites you to bring your pioneering spirit to our collaborative teams.
This *Software Engineer (lead)* *– Level 4* role at our **Fairfax, VA location.**
**This position is 100% onsite and cannot accommodate telecommute work****.** This position will work a 9/80 schedule, with every other Friday off.
This role will lead a small team of software developers to advance a new tool that simulates data flow through a network of satellites and ground stations. This role will work with large datasets from various sources to develop software that characterizes and predicts the impacts of the atmosphere on various missions and integrates communications network traffic solutions to optimize data flow through the system. The work will include complex algorithm development for software that contains logical and mathematical solutions to quantify and optimize operational decision\-making and mission performance.
The ideal candidate will possess strong object\-oriented python programming skills and attributes that include collaboration, creativity, curiosity, and critical thinking. The candidate should place a high value on rigorous testing, comprehensive documentation, and the maintainability of the software solutions. The ideal candidate will also have experience with satellite systems and networking.
**Key Responsibilities**
* Contribute to architecture decisions by evaluating the pros and cons of approaches and technologies, and how they align with the project's goals and requirements.
* Design and implement new software or modify existing software to add new features
* Identify and fix bugs in the code, while considering greater impact on the software application as a whole
* Develop tests that verify the correctness of the code and ensure it meets system requirements
* Design, develop, and modify software pipelines and deployment methods to automate the software development process, ensuring consistency and efficiency.
* Collaborate with other teams, such as network specialists, to ensure that the simulation software properly models relevant parameters.
* Lead, mentor, and task less experienced software developers to create software capability
* Support and deliver technical updates to Government customer.
* Leads effort to transfer existing software tools and datasets from an Unclassified to a Classified environment
*This position is contingent upon clearance verification and transfer to the NG sponsored program as well as continued ability to maintain required clearance level. US Citizenship is required.*
**Basic Qualifications (***must have to be considered***)**
* Requires an **active** DoD Top\-Secret **(TS)** with Sensitive Compartmented Information **(SCI)** **clearance** **\[TS/SCI] at time of application.**
* **Level 4**: (Senior Principal level)
	+ Bachelor’s degree with 8 years of software development experience
		- *An additional 4 years of experience may be considered in lieu of a completed Bachelor’s*
	+ Master’s degree with 6 years of software development experience
	+ PhD with 4 years of software development experience
* 3\+ years of non\-internship professional software development experience in Python.
* Experience in software architecture design patterns.
* Experience with Version Control practices (*Gitlab Preferred).*
* A basic understanding of the network stack and associated network protocols.
* Strong software engineering fundamentals.
**Preferred Qualifications (***not required but preferred***)**
* STEM degree
* Experience with developing or using containerized software
* Experience with DevOps fundamentals and the maintenance of software pipelines
* Experience with productizing software solutions
* Experience leading junior software developers
* Experience with satellite network management and traffic topology
**Curious about all the exciting developments with the Northrop Grumman Space Sector? Click the link below:**
https://www.northropgrumman.com/space
Working at Northrop Grumman is more than just a paycheck. We offer a comprehensive Total Rewards and benefits package designed to help you thrive at work and in life. For more information on our Total Rewards package, please visit our Total Rewards site.
**Northrop Grumman Total Rewards**
Primary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4">
      <c r="A24" t="inlineStr">
        <is>
          <t>in-052d3278396d9e72</t>
        </is>
      </c>
      <c r="B24" t="inlineStr">
        <is>
          <t>Software Engineer (AHT)</t>
        </is>
      </c>
      <c r="C24" t="inlineStr">
        <is>
          <t>Northrop Grumman</t>
        </is>
      </c>
      <c r="D24" t="inlineStr">
        <is>
          <t>indeed</t>
        </is>
      </c>
      <c r="E24" t="inlineStr"/>
      <c r="F24" t="inlineStr"/>
      <c r="G24" t="inlineStr">
        <is>
          <t>Beavercreek, OH, US</t>
        </is>
      </c>
      <c r="H24" s="2" t="n">
        <v>46036</v>
      </c>
      <c r="I24" t="inlineStr">
        <is>
          <t>RELOCATION ASSISTANCE: No relocation assistance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(NGDS), Beavercreek Ohio, is seeking a Full Stack Web Developer. The successful candidates will demonstrate a broad skill set balanced between interpersonal and technical capabilities achieving sustainable quality products. They will have a track record as an effective communicator and problem solver who is able to develop and maintain good working relationships with internal and external stakeholders. The selected candidates will participate in the entire software development lifecycle with a concentration in software engineering. They will implement solutions in a web\-based environment and integrate them into a microservice cloud\-based architecture. The candidates will work closely with other software developers accomplishing the following:
* Support team in completing necessary software on schedule
* Complete work independently and as a part of an Agile team
* Solve complex problems through innovative and creative solutions
* Collaborate with software designers and/or software engineers in the planning, design, development, and utilization of software systems
* Regularly demonstrate progress to customers
**Basic Qualifications:**
* 2\+ years with Bachelor’s degree in Computer Science or related STEM degree from an accredited institution
* Experience with HTML, CSS, JQuery, JavaScript, TypeScript
* Experience with Relational, Graph, or Document database.
* Exposure / experience with frameworks such as React or Angular
* Exposure / experience with microservices, swagger and API definitions
* Working knowledge of the Agile development processes
* Experience with modern IDE tools and testing mechanisms
* Strong interpersonal skills to communicate effectively with small technical teams.
* Ability to prioritize and adjust tasks to accomplish project results.
* Ability to comprehend and analyze complex problems and develop solutions.
* Must have an active Top Secret security clearance
**Preferred Qualifications:**
* Experience with:
	+ Angular
	+ TypeScript
	+ Java
	+ Python
	+ Docker
	+ Kubernetes
	+ Jira
	+ Gitlab Pipelines
* Experience developing microservices using the Spring Framework
* Demonstrated use of Integrated Development Environments (IDEs) and configuration management (Git, Bitbucket)
* Experience working with Jira and Gitlab
* Experience working in Agile software development environment
Primary Level Salary Range: $83,400\.00 \- $125,200\.00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5">
      <c r="A25" t="inlineStr">
        <is>
          <t>in-50f31a64abb2c014</t>
        </is>
      </c>
      <c r="B25" t="inlineStr">
        <is>
          <t>Software Engineer / Principal Software Engineer</t>
        </is>
      </c>
      <c r="C25" t="inlineStr">
        <is>
          <t>Northrop Grumman</t>
        </is>
      </c>
      <c r="D25" t="inlineStr">
        <is>
          <t>indeed</t>
        </is>
      </c>
      <c r="E25" t="inlineStr"/>
      <c r="F25" t="inlineStr"/>
      <c r="G25" t="inlineStr">
        <is>
          <t>Robins AFB, GA, US</t>
        </is>
      </c>
      <c r="H25" s="2" t="n">
        <v>46036</v>
      </c>
      <c r="I25" t="inlineStr">
        <is>
          <t>RELOCATION ASSISTANCE: No relocation assistance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Put your skills to the test by pushing the boundaries of what’s possible. From global defense to sustainment and modernization to mission readiness, your experience and ability will make it a reality. Our programs are built on equal parts of curiosity and collaboration. Our combined effort means our customers can connect and defend millions of people around the world. With Northrop Grumman, you’ll have the opportunity to be an essential part of projects that will define your career, now and in the future.
Northrop Grumman Defense Sector has a need for a Software Engineer / Principal Software Engineer at its Integrated Mission Solutions (IMS) organization in Warner Robins, GA. This engineering position is for a role on our Software Engineering Team. In this role you will be supporting our AN/ALR\-56M/56C Integrated Support Station Engineering Services Program at Robins Air Force Base. You will support upgrades to the AN/ALR\-56M and AN/ALR\-56C Integrated Support Stations and associated software applications. This candidate will develop, integrate, test, document and deliver software upgrades in support of system integration testing. The candidate will have the opportunity to take ownership of difficult problems and drive to a solution while working in a supportive team environment. This position is located in Warner Robins, GA.
 **Your responsibilities will include:**
* Develop, modify, maintain, and test embedded software using software engineering best practices and standards
* Participate in the full life cycle of software development, to include requirements development, application development, modular testing, integration, formal system testing, release, installation, and upgrades
* Apply technical expertise in solving complex integration problems
* Frequent opportunities to interact with Program Management, external suppliers and/or government customers, therefore excellent verbal, written and interpersonal skills are essential to succeeding in this role.
\*\*This position may be field at either Software Engineer or Principal Software Engineer level.
**Basic Qualifications:**
* **For Software Engineer Level:** A High School Diploma/GED and 6 years of systems or software engineering experience is required. A Bachelor’s Degree in Computer Science, Software Engineering, Electrical Engineering, or Computer Engineering from an accredited university with at least 2\-years of systems or software engineering experience OR a master’s degree OR a PhD in one of the above listed majors; will also be considered
* **For Principal Software Engineer Level:** A High School Diploma/GED and 9 years of systems or software engineering experience is required. A Bachelor’s Degree in Computer Science, Software Engineering, Electrical Engineering, or Computer Engineering from an accredited university with at least 5 years of systems or software engineering experience OR a master’s degree and 2 years related systems or software engineering experience OR a PhD in one of the above listed majors; will also be considered
* Proficient in C/C\+\+ software development
* Experience with Red Hat Enterprise Linux
* Experience with Qt Integrated Development Environment
* Ability to efficiently operate in a fast\-paced team in a customer\-driven environment
* Must currently hold or be able to obtain and maintain a U.S Department of Defense (DoD) Secret level security clearance within a reasonable amount of time as determined by the company to meet its business needs
**Preferred Qualifications:**
* Bachelor’s Degree in Computer Science, Software Engineering, Electrical Engineering, or Computer Engineering from an accredited university with at least 5\-years of systems or software engineering experience OR a master’s degree in one of the above listed majors with at least 3\-years of systems or software engineering experience
* Experience with development in the VxWorks environment
* Experience developing custom displays and user interfaces
* Experience with embedded software development, integration and testing
* Experience developing and deploying software on FPGA platforms with embedded ARM cores
* Familiarity with containerization applications
* Familiarity with emulation of embedded processor systems
* Familiarity with Electronic Warfare (EW) and radar principles
* Familiarity with software configuration management tools (JIRA, GitLab.)
* Familiarity with integration of avionics interfaces (Ethernet, MIL\-STD\-1553B, ARINC\-429, etc.)
* Active Secret Security Clearance
NGSkills
Primary Level Salary Range: $79,300\.00 \- $118,900\.00
Secondary Level Salary Range: $98,400\.00 \- $147,600\.00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6">
      <c r="A26" t="inlineStr">
        <is>
          <t>in-060cb5e37fe5f4a1</t>
        </is>
      </c>
      <c r="B26" t="inlineStr">
        <is>
          <t>Python Software Engineer - Level 3</t>
        </is>
      </c>
      <c r="C26" t="inlineStr">
        <is>
          <t>Northrop Grumman</t>
        </is>
      </c>
      <c r="D26" t="inlineStr">
        <is>
          <t>indeed</t>
        </is>
      </c>
      <c r="E26" t="inlineStr"/>
      <c r="F26" t="inlineStr"/>
      <c r="G26" t="inlineStr">
        <is>
          <t>Salt Lake City, UT, US</t>
        </is>
      </c>
      <c r="H26" s="2" t="n">
        <v>46035</v>
      </c>
      <c r="I26" t="inlineStr">
        <is>
          <t>RELOCATION ASSISTANCE: No relocation assistance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Expand your horizons, advance your career, and contribute to a secure future for generations. Northrop Grumman’s Space Sector invites you to bring your pioneering spirit to our collaborative teams. As a ***Python Software Engineer*** ***– Level 3*** supporting a team located in **Fairfax, VA**, you’ll be a linchpin in missions of paramount importance, defining the art of the possible from day one. **This position is 100% virtual and can be performed anywhere within the continental United States.** *This could change due to business conditions. Occasional travel may be required.*
The candidate will work on expanding proof of concept network simulation software to a more feature rich software product. The work will include complex algorithm development for software that contains logical and mathematical solutions to quantify and optimize operational decision\-making and mission performance. The ideal candidate will possess strong skills in analytic and scientific programming, and attributes that include collaboration, creativity, curiosity, and critical thinking. The candidate should place a high value on rigorous testing, comprehensive documentation, and the maintainability of the software solutions. The candidate should expect to work in office in a collaborative environment with a team that includes atmospheric scientists and systems engineers.  
The selected candidate’s tasks encompass the following: Designs, develops, documents, tests and debugs software and systems that contain logical and mathematical solutions; Collaborates with systems engineers and/or hardware engineers in planning, design, and development; Determines mission and user needs; Analyzes system capabilities to resolve problems on program intent, output requirements, input data acquisition, programming techniques and controls; Regularly tests and revises software to ensure software alignment with strategic goals and customer expectations.
This position will work a 9/80 schedule, with every other Friday off. **This position is 100% virtual and can be performed anywhere within the continental United States.** *This could change due to business conditions. Occasional travel may be required.*
Job responsibilities include, but are not limited to, the following:
* Contribute to architecture decisions by evaluating the pros and cons of approaches and technologies, and how they align with the project's goals and requirements.
* Design and implement new software or modify existing software to add new features
* Identify and fix bugs in the code, while considering the impact greater impact on the software application as a whole
* Develop tests that verify the correctness of the code and ensure it meets system requirements
* Design, develop, and modify software pipelines and deployment methods to automate the software development process, ensuring consistency and efficiency.
* Collaborate with other teams, such as network specialists, to ensure that the simulation software properly models relevant parameters.
* Other duties as assigned
If this job description reads like it was written specifically for you, consider joining our team!
This position is contingent upon the candidate obtaining final clearances and program access(es) within a reasonable period of time as determined by the company.
**Basic Qualifications:**
* Requires an **active** U.S. Government DoD **Secret** security clearance at time of application, current and within scope, with the ability to obtain a U.S. Government DoD Top\-Secret security clearance and SCI approval/access within a reasonable period of time as determined by the company.
* Bachelor’s degree in Computer Science with 5 years of relevant software engineering experience – OR – Master’s degree in Computer Science with 3 years of relevant software engineering experience – OR – PhD in Computer Science with 1 year of relevant software engineering experience.
	+ *May consider an additional 4\+ years of experience in lieu of degree.*
* 3\+ years of recent non\-internship professional software development experience in Python
* Experience in software architecture design patterns
* A basic understanding of the network stack and associated network protocols
* Strong software engineering fundamentals
**Preferred** **Qualifications:**
* Active TS/SCI or TS with SCI eligibility security clearance
* Experience with developing or using containerized software
* Experience with DevOps fundamentals and the maintenance of software pipelines
* Experience with productizing software solutions
**Curious about all the exciting developments with the Northrop Grumman Space Sector? Click the link below:**
https://www.northropgrumman.com/space
Working at Northrop Grumman is more than just a paycheck. We offer a comprehensive Total Rewards and benefits package designed to help you thrive at work and in life. For more information on our Total Rewards package, please visit our Total Rewards site.
Northrop Grumman Total Rewards
Primary Level Salary Range: $103,600\.00 \- $171,000\.00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7">
      <c r="A27" t="inlineStr">
        <is>
          <t>in-a31d24afa763096d</t>
        </is>
      </c>
      <c r="B27" t="inlineStr">
        <is>
          <t>Python Software Engineer - Level 3</t>
        </is>
      </c>
      <c r="C27" t="inlineStr">
        <is>
          <t>Northrop Grumman</t>
        </is>
      </c>
      <c r="D27" t="inlineStr">
        <is>
          <t>indeed</t>
        </is>
      </c>
      <c r="E27" t="inlineStr"/>
      <c r="F27" t="inlineStr"/>
      <c r="G27" t="inlineStr">
        <is>
          <t>Fairfax, VA, US</t>
        </is>
      </c>
      <c r="H27" s="2" t="n">
        <v>46035</v>
      </c>
      <c r="I27" t="inlineStr">
        <is>
          <t>RELOCATION ASSISTANCE: No relocation assistance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Expand your horizons, advance your career, and contribute to a secure future for generations. Northrop Grumman’s Space Sector invites you to bring your pioneering spirit to our collaborative teams. As a ***Python Software Engineer*** ***– Level 3*** supporting a team located in **Fairfax, VA**, you’ll be a linchpin in missions of paramount importance, defining the art of the possible from day one. **This position is 100% virtual and can be performed anywhere within the continental United States.** *This could change due to business conditions. Occasional travel may be required.*
The candidate will work on expanding proof of concept network simulation software to a more feature rich software product. The work will include complex algorithm development for software that contains logical and mathematical solutions to quantify and optimize operational decision\-making and mission performance. The ideal candidate will possess strong skills in analytic and scientific programming, and attributes that include collaboration, creativity, curiosity, and critical thinking. The candidate should place a high value on rigorous testing, comprehensive documentation, and the maintainability of the software solutions. The candidate should expect to work in office in a collaborative environment with a team that includes atmospheric scientists and systems engineers.  
The selected candidate’s tasks encompass the following: Designs, develops, documents, tests and debugs software and systems that contain logical and mathematical solutions; Collaborates with systems engineers and/or hardware engineers in planning, design, and development; Determines mission and user needs; Analyzes system capabilities to resolve problems on program intent, output requirements, input data acquisition, programming techniques and controls; Regularly tests and revises software to ensure software alignment with strategic goals and customer expectations.
This position will work a 9/80 schedule, with every other Friday off. **This position is 100% virtual and can be performed anywhere within the continental United States.** *This could change due to business conditions. Occasional travel may be required.*
Job responsibilities include, but are not limited to, the following:
* Contribute to architecture decisions by evaluating the pros and cons of approaches and technologies, and how they align with the project's goals and requirements.
* Design and implement new software or modify existing software to add new features
* Identify and fix bugs in the code, while considering the impact greater impact on the software application as a whole
* Develop tests that verify the correctness of the code and ensure it meets system requirements
* Design, develop, and modify software pipelines and deployment methods to automate the software development process, ensuring consistency and efficiency.
* Collaborate with other teams, such as network specialists, to ensure that the simulation software properly models relevant parameters.
* Other duties as assigned
If this job description reads like it was written specifically for you, consider joining our team!
This position is contingent upon the candidate obtaining final clearances and program access(es) within a reasonable period of time as determined by the company.
**Basic Qualifications:**
* Requires an **active** U.S. Government DoD **Secret** security clearance at time of application, current and within scope, with the ability to obtain a U.S. Government DoD Top\-Secret security clearance and SCI approval/access within a reasonable period of time as determined by the company.
* Bachelor’s degree in Computer Science with 5 years of relevant software engineering experience – OR – Master’s degree in Computer Science with 3 years of relevant software engineering experience – OR – PhD in Computer Science with 1 year of relevant software engineering experience.
	+ *May consider an additional 4\+ years of experience in lieu of degree.*
* 3\+ years of recent non\-internship professional software development experience in Python
* Experience in software architecture design patterns
* A basic understanding of the network stack and associated network protocols
* Strong software engineering fundamentals
**Preferred** **Qualifications:**
* Active TS/SCI or TS with SCI eligibility security clearance
* Experience with developing or using containerized software
* Experience with DevOps fundamentals and the maintenance of software pipelines
* Experience with productizing software solutions
**Curious about all the exciting developments with the Northrop Grumman Space Sector? Click the link below:**
https://www.northropgrumman.com/space
Working at Northrop Grumman is more than just a paycheck. We offer a comprehensive Total Rewards and benefits package designed to help you thrive at work and in life. For more information on our Total Rewards package, please visit our Total Rewards site.
Northrop Grumman Total Rewards
Primary Level Salary Range: $103,600\.00 \- $171,000\.00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8">
      <c r="A28" t="inlineStr">
        <is>
          <t>in-bd7a9f6e1393ec66</t>
        </is>
      </c>
      <c r="B28" t="inlineStr">
        <is>
          <t>Software Engineer II</t>
        </is>
      </c>
      <c r="C28" t="inlineStr">
        <is>
          <t>Amazon.com</t>
        </is>
      </c>
      <c r="D28" t="inlineStr">
        <is>
          <t>indeed</t>
        </is>
      </c>
      <c r="E28">
        <f>HYPERLINK("https://www.indeed.com/viewjob?jk=bd7a9f6e1393ec66", "https://www.indeed.com/viewjob?jk=bd7a9f6e1393ec66")</f>
        <v/>
      </c>
      <c r="F28">
        <f>HYPERLINK("https://www.amazon.jobs/jobs/3104730/software-engineer-ii?cmpid=DA_INAD200785B", "https://www.amazon.jobs/jobs/3104730/software-engineer-ii?cmpid=DA_INAD200785B")</f>
        <v/>
      </c>
      <c r="G28" t="inlineStr">
        <is>
          <t>San Francisco, CA, US</t>
        </is>
      </c>
      <c r="H28" s="3" t="n">
        <v>45938</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in-2360b178bac91dde</t>
        </is>
      </c>
      <c r="B29" t="inlineStr">
        <is>
          <t>Software Engineer II</t>
        </is>
      </c>
      <c r="C29" t="inlineStr">
        <is>
          <t>Amazon.com</t>
        </is>
      </c>
      <c r="D29" t="inlineStr">
        <is>
          <t>indeed</t>
        </is>
      </c>
      <c r="E29">
        <f>HYPERLINK("https://www.indeed.com/viewjob?jk=2360b178bac91dde", "https://www.indeed.com/viewjob?jk=2360b178bac91dde")</f>
        <v/>
      </c>
      <c r="F29">
        <f>HYPERLINK("https://www.amazon.jobs/jobs/3104730/software-engineer-ii?cmpid=DA_INAD200785B", "https://www.amazon.jobs/jobs/3104730/software-engineer-ii?cmpid=DA_INAD200785B")</f>
        <v/>
      </c>
      <c r="G29" t="inlineStr">
        <is>
          <t>Irvine, CA, US</t>
        </is>
      </c>
      <c r="H29" s="3" t="n">
        <v>45938</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in-09e665d9c102883f</t>
        </is>
      </c>
      <c r="B30" t="inlineStr">
        <is>
          <t>Software Engineer II</t>
        </is>
      </c>
      <c r="C30" t="inlineStr">
        <is>
          <t>Amazon.com</t>
        </is>
      </c>
      <c r="D30" t="inlineStr">
        <is>
          <t>indeed</t>
        </is>
      </c>
      <c r="E30">
        <f>HYPERLINK("https://www.indeed.com/viewjob?jk=09e665d9c102883f", "https://www.indeed.com/viewjob?jk=09e665d9c102883f")</f>
        <v/>
      </c>
      <c r="F30">
        <f>HYPERLINK("https://www.amazon.jobs/jobs/3104734/software-engineer-ii?cmpid=DA_INAD200785B", "https://www.amazon.jobs/jobs/3104734/software-engineer-ii?cmpid=DA_INAD200785B")</f>
        <v/>
      </c>
      <c r="G30" t="inlineStr">
        <is>
          <t>Culver City, CA, US</t>
        </is>
      </c>
      <c r="H30" s="3" t="n">
        <v>45938</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in-e82a42c750f36de9</t>
        </is>
      </c>
      <c r="B31" t="inlineStr">
        <is>
          <t>Software Engineer II</t>
        </is>
      </c>
      <c r="C31" t="inlineStr">
        <is>
          <t>Amazon.com</t>
        </is>
      </c>
      <c r="D31" t="inlineStr">
        <is>
          <t>indeed</t>
        </is>
      </c>
      <c r="E31">
        <f>HYPERLINK("https://www.indeed.com/viewjob?jk=e82a42c750f36de9", "https://www.indeed.com/viewjob?jk=e82a42c750f36de9")</f>
        <v/>
      </c>
      <c r="F31">
        <f>HYPERLINK("https://www.amazon.jobs/jobs/3104734/software-engineer-ii?cmpid=DA_INAD200785B", "https://www.amazon.jobs/jobs/3104734/software-engineer-ii?cmpid=DA_INAD200785B")</f>
        <v/>
      </c>
      <c r="G31" t="inlineStr">
        <is>
          <t>San Francisco, CA, US</t>
        </is>
      </c>
      <c r="H31" s="3" t="n">
        <v>45938</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in-f4ba1c17e10063b4</t>
        </is>
      </c>
      <c r="B32" t="inlineStr">
        <is>
          <t>Software Engineer II</t>
        </is>
      </c>
      <c r="C32" t="inlineStr">
        <is>
          <t>Amazon.com</t>
        </is>
      </c>
      <c r="D32" t="inlineStr">
        <is>
          <t>indeed</t>
        </is>
      </c>
      <c r="E32">
        <f>HYPERLINK("https://www.indeed.com/viewjob?jk=f4ba1c17e10063b4", "https://www.indeed.com/viewjob?jk=f4ba1c17e10063b4")</f>
        <v/>
      </c>
      <c r="F32">
        <f>HYPERLINK("https://www.amazon.jobs/jobs/3104734/software-engineer-ii?cmpid=DA_INAD200785B", "https://www.amazon.jobs/jobs/3104734/software-engineer-ii?cmpid=DA_INAD200785B")</f>
        <v/>
      </c>
      <c r="G32" t="inlineStr">
        <is>
          <t>Irvine, CA, US</t>
        </is>
      </c>
      <c r="H32" s="3" t="n">
        <v>45938</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in-924b7738442ad4b3</t>
        </is>
      </c>
      <c r="B33" t="inlineStr">
        <is>
          <t>Senior Software Engineer, Twitch</t>
        </is>
      </c>
      <c r="C33" t="inlineStr">
        <is>
          <t>Amazon.com</t>
        </is>
      </c>
      <c r="D33" t="inlineStr">
        <is>
          <t>indeed</t>
        </is>
      </c>
      <c r="E33">
        <f>HYPERLINK("https://www.indeed.com/viewjob?jk=924b7738442ad4b3", "https://www.indeed.com/viewjob?jk=924b7738442ad4b3")</f>
        <v/>
      </c>
      <c r="F33">
        <f>HYPERLINK("https://www.amazon.jobs/jobs/3138042/senior-software-engineer-twitch?cmpid=DA_INAD200785B", "https://www.amazon.jobs/jobs/3138042/senior-software-engineer-twitch?cmpid=DA_INAD200785B")</f>
        <v/>
      </c>
      <c r="G33" t="inlineStr">
        <is>
          <t>San Francisco, CA, US</t>
        </is>
      </c>
      <c r="H33" s="3" t="n">
        <v>45995</v>
      </c>
      <c r="I3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in-77b9ff58b8aa7b57</t>
        </is>
      </c>
      <c r="B34" t="inlineStr">
        <is>
          <t>Senior Software Engineer, Twitch</t>
        </is>
      </c>
      <c r="C34" t="inlineStr">
        <is>
          <t>Amazon.com</t>
        </is>
      </c>
      <c r="D34" t="inlineStr">
        <is>
          <t>indeed</t>
        </is>
      </c>
      <c r="E34">
        <f>HYPERLINK("https://www.indeed.com/viewjob?jk=77b9ff58b8aa7b57", "https://www.indeed.com/viewjob?jk=77b9ff58b8aa7b57")</f>
        <v/>
      </c>
      <c r="F34">
        <f>HYPERLINK("https://www.amazon.jobs/jobs/3138042/senior-software-engineer-twitch?cmpid=DA_INAD200785B", "https://www.amazon.jobs/jobs/3138042/senior-software-engineer-twitch?cmpid=DA_INAD200785B")</f>
        <v/>
      </c>
      <c r="G34" t="inlineStr">
        <is>
          <t>Seattle, WA, US</t>
        </is>
      </c>
      <c r="H34" s="3" t="n">
        <v>45995</v>
      </c>
      <c r="I3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in-54f1cfbf127bbfa8</t>
        </is>
      </c>
      <c r="B35" t="inlineStr">
        <is>
          <t>Sr. Software Engineer (ML), AGI Customization</t>
        </is>
      </c>
      <c r="C35" t="inlineStr">
        <is>
          <t>Amazon.com</t>
        </is>
      </c>
      <c r="D35" t="inlineStr">
        <is>
          <t>indeed</t>
        </is>
      </c>
      <c r="E35">
        <f>HYPERLINK("https://www.indeed.com/viewjob?jk=54f1cfbf127bbfa8", "https://www.indeed.com/viewjob?jk=54f1cfbf127bbfa8")</f>
        <v/>
      </c>
      <c r="F35">
        <f>HYPERLINK("https://www.amazon.jobs/jobs/3127625/sr-software-engineer-ml-agi-customization?cmpid=DA_INAD200785B", "https://www.amazon.jobs/jobs/3127625/sr-software-engineer-ml-agi-customization?cmpid=DA_INAD200785B")</f>
        <v/>
      </c>
      <c r="G35" t="inlineStr">
        <is>
          <t>Boston, MA, US</t>
        </is>
      </c>
      <c r="H35" s="3" t="n">
        <v>45964</v>
      </c>
      <c r="I35"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in-fc0beb6b97c080ee</t>
        </is>
      </c>
      <c r="B36" t="inlineStr">
        <is>
          <t>Sr. Software Engineer (ML), AGI Customization</t>
        </is>
      </c>
      <c r="C36" t="inlineStr">
        <is>
          <t>Amazon.com</t>
        </is>
      </c>
      <c r="D36" t="inlineStr">
        <is>
          <t>indeed</t>
        </is>
      </c>
      <c r="E36">
        <f>HYPERLINK("https://www.indeed.com/viewjob?jk=fc0beb6b97c080ee", "https://www.indeed.com/viewjob?jk=fc0beb6b97c080ee")</f>
        <v/>
      </c>
      <c r="F36">
        <f>HYPERLINK("https://www.amazon.jobs/jobs/3127625/sr-software-engineer-ml-agi-customization?cmpid=DA_INAD200785B", "https://www.amazon.jobs/jobs/3127625/sr-software-engineer-ml-agi-customization?cmpid=DA_INAD200785B")</f>
        <v/>
      </c>
      <c r="G36" t="inlineStr">
        <is>
          <t>Sunnyvale, CA, US</t>
        </is>
      </c>
      <c r="H36" s="3" t="n">
        <v>45964</v>
      </c>
      <c r="I36"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in-14ae14ea31d242ee</t>
        </is>
      </c>
      <c r="B37" t="inlineStr">
        <is>
          <t>Software Engineer- AI/ML, AWS Neuron Distributed Training</t>
        </is>
      </c>
      <c r="C37" t="inlineStr">
        <is>
          <t>Amazon Web Services</t>
        </is>
      </c>
      <c r="D37" t="inlineStr">
        <is>
          <t>indeed</t>
        </is>
      </c>
      <c r="E37">
        <f>HYPERLINK("https://www.indeed.com/viewjob?jk=14ae14ea31d242ee", "https://www.indeed.com/viewjob?jk=14ae14ea31d242ee")</f>
        <v/>
      </c>
      <c r="F37">
        <f>HYPERLINK("https://www.amazon.jobs/jobs/2937757/software-engineer-aiml-aws-neuron-distributed-training?cmpid=DA_INAD200785B", "https://www.amazon.jobs/jobs/2937757/software-engineer-aiml-aws-neuron-distributed-training?cmpid=DA_INAD200785B")</f>
        <v/>
      </c>
      <c r="G37" t="inlineStr">
        <is>
          <t>Cupertino, CA, US</t>
        </is>
      </c>
      <c r="H37" s="3" t="n">
        <v>45727</v>
      </c>
      <c r="I3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in-d30b5ef78b0ed160</t>
        </is>
      </c>
      <c r="B38" t="inlineStr">
        <is>
          <t>Software Engineer- AI/ML, AWS Neuron Distributed Training</t>
        </is>
      </c>
      <c r="C38" t="inlineStr">
        <is>
          <t>Amazon Web Services</t>
        </is>
      </c>
      <c r="D38" t="inlineStr">
        <is>
          <t>indeed</t>
        </is>
      </c>
      <c r="E38">
        <f>HYPERLINK("https://www.indeed.com/viewjob?jk=d30b5ef78b0ed160", "https://www.indeed.com/viewjob?jk=d30b5ef78b0ed160")</f>
        <v/>
      </c>
      <c r="F38">
        <f>HYPERLINK("https://www.amazon.jobs/jobs/2937757/software-engineer-aiml-aws-neuron-distributed-training?cmpid=DA_INAD200785B", "https://www.amazon.jobs/jobs/2937757/software-engineer-aiml-aws-neuron-distributed-training?cmpid=DA_INAD200785B")</f>
        <v/>
      </c>
      <c r="G38" t="inlineStr">
        <is>
          <t>Seattle, WA, US</t>
        </is>
      </c>
      <c r="H38" s="3" t="n">
        <v>45727</v>
      </c>
      <c r="I3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in-7c20ef2e9dd2693e</t>
        </is>
      </c>
      <c r="B39" t="inlineStr">
        <is>
          <t>Sr. Software Engineer- AI/ML, AWS Neuron Distributed Training</t>
        </is>
      </c>
      <c r="C39" t="inlineStr">
        <is>
          <t>Amazon Web Services</t>
        </is>
      </c>
      <c r="D39" t="inlineStr">
        <is>
          <t>indeed</t>
        </is>
      </c>
      <c r="E39">
        <f>HYPERLINK("https://www.indeed.com/viewjob?jk=7c20ef2e9dd2693e", "https://www.indeed.com/viewjob?jk=7c20ef2e9dd2693e")</f>
        <v/>
      </c>
      <c r="F39">
        <f>HYPERLINK("https://www.amazon.jobs/jobs/2912412/sr-software-engineer-aiml-aws-neuron-distributed-training?cmpid=DA_INAD200785B", "https://www.amazon.jobs/jobs/2912412/sr-software-engineer-aiml-aws-neuron-distributed-training?cmpid=DA_INAD200785B")</f>
        <v/>
      </c>
      <c r="G39" t="inlineStr">
        <is>
          <t>Seattle, WA, US</t>
        </is>
      </c>
      <c r="H39" s="3" t="n">
        <v>45713</v>
      </c>
      <c r="I3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in-51f04f6f98442570</t>
        </is>
      </c>
      <c r="B40" t="inlineStr">
        <is>
          <t>Sr. Software Engineer- AI/ML, AWS Neuron Distributed Training</t>
        </is>
      </c>
      <c r="C40" t="inlineStr">
        <is>
          <t>Amazon Web Services</t>
        </is>
      </c>
      <c r="D40" t="inlineStr">
        <is>
          <t>indeed</t>
        </is>
      </c>
      <c r="E40">
        <f>HYPERLINK("https://www.indeed.com/viewjob?jk=51f04f6f98442570", "https://www.indeed.com/viewjob?jk=51f04f6f98442570")</f>
        <v/>
      </c>
      <c r="F40">
        <f>HYPERLINK("https://www.amazon.jobs/jobs/2912412/sr-software-engineer-aiml-aws-neuron-distributed-training?cmpid=DA_INAD200785B", "https://www.amazon.jobs/jobs/2912412/sr-software-engineer-aiml-aws-neuron-distributed-training?cmpid=DA_INAD200785B")</f>
        <v/>
      </c>
      <c r="G40" t="inlineStr">
        <is>
          <t>Cupertino, CA, US</t>
        </is>
      </c>
      <c r="H40" s="3" t="n">
        <v>45713</v>
      </c>
      <c r="I4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in-e3b16473b5f2b30b</t>
        </is>
      </c>
      <c r="B41" t="inlineStr">
        <is>
          <t>Software Engineer</t>
        </is>
      </c>
      <c r="C41" t="inlineStr">
        <is>
          <t>Accurate</t>
        </is>
      </c>
      <c r="D41" t="inlineStr">
        <is>
          <t>indeed</t>
        </is>
      </c>
      <c r="E41">
        <f>HYPERLINK("https://www.indeed.com/viewjob?jk=e3b16473b5f2b30b", "https://www.indeed.com/viewjob?jk=e3b16473b5f2b30b")</f>
        <v/>
      </c>
      <c r="F41">
        <f>HYPERLINK("http://www.indeed.com/job/software-engineer-e3b16473b5f2b30b", "http://www.indeed.com/job/software-engineer-e3b16473b5f2b30b")</f>
        <v/>
      </c>
      <c r="G41" t="inlineStr">
        <is>
          <t>Remote, US</t>
        </is>
      </c>
      <c r="H41" s="3" t="n">
        <v>46039</v>
      </c>
      <c r="I41" t="inlineStr">
        <is>
          <t>**\&lt;Overview\&gt;**  
Join our innovative team as a Software Engineer and become a vital contributor to developing cutting\-edge applications and systems. In this role, you will leverage your expertise in software development, web technologies, and cloud infrastructure to create scalable, efficient solutions that drive our business forward. Your passion for coding, problem\-solving, and continuous learning will help shape the future of our digital products and services.
**\&lt;Responsibilities\&gt;**
* Design, develop, and maintain robust software applications using languages such as Java, C\#, Python, C\+\+, and JavaScript.
* Build and optimize RESTful APIs to ensure seamless communication between front\-end interfaces and back\-end services.
* Collaborate within Agile teams to plan sprints, review code, and deliver high\-quality features on time.
* Manage cloud\-based infrastructure deployments on AWS and Azure, ensuring security with role\-based access control (RBAC) and best practices.
* Develop web applications utilizing frameworks like React Express, Ruby on Rails, and .NET to enhance user experience.
* Maintain version control using GitHub, SVN, or Git to track changes efficiently across projects.
* Contribute to application development across Linux and Windows environments while adhering to security standards.
* Integrate third\-party APIs and develop custom RESTful APIs for various internal and external systems.
* Participate in code reviews, testing, debugging, and documentation to uphold quality standards in all deliverables.
**\&lt;Experience\&gt;**
* Proven experience in software development with a strong understanding of IT infrastructure components.
* Hands\-on expertise with programming languages including Python, Java, C\#, C\+\+, VBA, and C.
* Familiarity with cloud platforms like AWS and Azure for deploying scalable applications.
* Experience working within Agile methodologies to deliver iterative improvements efficiently.
* Strong understanding of database management using MySQL or SQL Server along with SQL query optimization skills.
* Knowledge of RESTful API design principles for building reliable integrations across systems.
* Experience with application development in Linux environments and familiarity with Linux security practices.
Job Types: Full\-time, Contract
Pay: $95,000\.00 \- $145,000\.00 per year
Work Location: Remote</t>
        </is>
      </c>
    </row>
    <row r="42">
      <c r="A42" t="inlineStr">
        <is>
          <t>in-881dd37ea5b1d7b4</t>
        </is>
      </c>
      <c r="B42" t="inlineStr">
        <is>
          <t>DelmiaWorks ERP Experienced Software Engineers</t>
        </is>
      </c>
      <c r="C42" t="inlineStr">
        <is>
          <t>PCC-IT International</t>
        </is>
      </c>
      <c r="D42" t="inlineStr">
        <is>
          <t>indeed</t>
        </is>
      </c>
      <c r="E42">
        <f>HYPERLINK("https://www.indeed.com/viewjob?jk=881dd37ea5b1d7b4", "https://www.indeed.com/viewjob?jk=881dd37ea5b1d7b4")</f>
        <v/>
      </c>
      <c r="F42">
        <f>HYPERLINK("http://www.indeed.com/job/delmiaworks-erp-experienced-software-engineers-881dd37ea5b1d7b4", "http://www.indeed.com/job/delmiaworks-erp-experienced-software-engineers-881dd37ea5b1d7b4")</f>
        <v/>
      </c>
      <c r="G42" t="inlineStr">
        <is>
          <t>US</t>
        </is>
      </c>
      <c r="H42" s="3" t="n">
        <v>46039</v>
      </c>
      <c r="I42" t="inlineStr">
        <is>
          <t>**Company Overview**
PCC\-IT International is a leading nationwide provider of IT consulting expertise and services, dedicated to enthusiastically serving our clients. With 30 years of experience, we specialize in AI, ERP, Data Fabric, and Low\-Code programming among a number of additional Core Competencies (https://itpccit.com/services\-and\-solutions/).
**Summary**
We are seeking Delmiaworks experts to join our dynamic team at PCC\-IT International. In this role, you will leverage your expertise to enhance our clients' marketplace functionality and visibility by offering them insightful, innovative, and responsive strategies in addressing their specific issues and dynamic goals.
**Responsibilities**
* Utilize Delmiaworks platform to develop and implement innovative solutions.
* Collaborate with cross\-functional teams to identify specific needs and design effective strategies.
* Conduct thorough assessments of apps and systems to ensure goal\-oriented outcomes along with industry standards compliance.
* Provide training and support for client teams on Delmiaworks based systems.
* Incorporate the latest ERP trends and technologies in enhancing service offerings.
**Requirements**
* Proven specific experience with DelmiaWorks project utilization.
* Strong analytical skills with the ability to assess complex systems and craft effective goal\-directed resolutions.
* Excellent communication skills for effective collaboration with team members and clients.
* Ability to work independently as well as part of a team in a fast\-paced environment.
* High\-level security clearance is a big plus, but not required for most of our projects.
If you are passionate about cutting\-edge innovation using state\-of\-the\-art tools and have the expertise to craft responsive solutions, we invite you to apply today and help us expand our clients' horizons as part of team PCC\-IT International!
Job Type: Contract
Pay: $15\.00 \- $35\.00 per hour
Application Question(s):
* What types of DelmiaWorks projects have you worked on?
* Tell us about your experience in the ERP area.
Experience:
* DelmiaWorks: 1 year (Preferred)
Work Location: Remote</t>
        </is>
      </c>
    </row>
    <row r="43">
      <c r="A43" t="inlineStr">
        <is>
          <t>in-c748538f17775ca3</t>
        </is>
      </c>
      <c r="B43" t="inlineStr">
        <is>
          <t>Blockchain Software Engineer</t>
        </is>
      </c>
      <c r="C43" t="inlineStr">
        <is>
          <t>Craftner INC</t>
        </is>
      </c>
      <c r="D43" t="inlineStr">
        <is>
          <t>indeed</t>
        </is>
      </c>
      <c r="E43">
        <f>HYPERLINK("https://www.indeed.com/viewjob?jk=c748538f17775ca3", "https://www.indeed.com/viewjob?jk=c748538f17775ca3")</f>
        <v/>
      </c>
      <c r="F43">
        <f>HYPERLINK("https://careers.craftner.com/job-detail/eyJpdiI6IkloUUdnM2VLVE5JRkx4bUtzazdSMWc9PSIsInZhbHVlIjoiSk9qU2JpVFByOXpPQXdHNE1rdlN0QT09IiwibWFjIjoiMWJiODk4M2YzZGJhMjcwMTQ0NmMzYmEyNjJhYTJmMmI0YjdiNWI4NWU3MGIyNmFmYTY3N2I0YzlkODIwM2E2ZSIsInRhZyI6IiJ9", "https://careers.craftner.com/job-detail/eyJpdiI6IkloUUdnM2VLVE5JRkx4bUtzazdSMWc9PSIsInZhbHVlIjoiSk9qU2JpVFByOXpPQXdHNE1rdlN0QT09IiwibWFjIjoiMWJiODk4M2YzZGJhMjcwMTQ0NmMzYmEyNjJhYTJmMmI0YjdiNWI4NWU3MGIyNmFmYTY3N2I0YzlkODIwM2E2ZSIsInRhZyI6IiJ9")</f>
        <v/>
      </c>
      <c r="G43" t="inlineStr">
        <is>
          <t>Charlotte, NC, US</t>
        </is>
      </c>
      <c r="H43" s="3" t="n">
        <v>46038</v>
      </c>
      <c r="I43"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44">
      <c r="A44" t="inlineStr">
        <is>
          <t>in-038b99eaca60950a</t>
        </is>
      </c>
      <c r="B44" t="inlineStr">
        <is>
          <t>Software Engineer</t>
        </is>
      </c>
      <c r="C44" t="inlineStr">
        <is>
          <t>Wood Consulting Services</t>
        </is>
      </c>
      <c r="D44" t="inlineStr">
        <is>
          <t>indeed</t>
        </is>
      </c>
      <c r="E44">
        <f>HYPERLINK("https://www.indeed.com/viewjob?jk=038b99eaca60950a", "https://www.indeed.com/viewjob?jk=038b99eaca60950a")</f>
        <v/>
      </c>
      <c r="F44">
        <f>HYPERLINK("https://jobs-woodcons.icims.com/jobs/14743/job?utm_source=indeed_integration&amp;iis=Job%20Board&amp;iisn=Indeed&amp;indeed-apply-token=73a2d2b2a8d6d5c0a62696875eaebd669103652d3f0c2cd5445d3e66b1592b0f", "https://jobs-woodcons.icims.com/jobs/14743/job?utm_source=indeed_integration&amp;iis=Job%20Board&amp;iisn=Indeed&amp;indeed-apply-token=73a2d2b2a8d6d5c0a62696875eaebd669103652d3f0c2cd5445d3e66b1592b0f")</f>
        <v/>
      </c>
      <c r="G44" t="inlineStr">
        <is>
          <t>Annapolis Junction, MD, US</t>
        </is>
      </c>
      <c r="H44" s="3" t="n">
        <v>46038</v>
      </c>
      <c r="I44" t="inlineStr">
        <is>
          <t>Overview:
**Software Engineer****woodcons.com** **Location:** Annapolis Junction, Maryland, USA**Job Type:** Full\-Time**Shift:** Day**Telework:** None**Salary Range: \*\***$100,000 to $200,000 per year**\*\* Starting salary is based on minimum education and years of experience and increases based on education and/or experience.** **Overview:** WOOD is seeking Software Engineers of all levels (with a focus on mid\-to\-senior) to join an Agile development team building a large, complex enterprise system supporting critical mission needs. Developers will contribute across the full Software Development Lifecycle (SDLC), from conceptualizing user stories to developing, testing, integrating, and deploying new capabilities.  
You will work in a collaborative, SAFe‑aligned Agile environment and leverage Behavior‑Driven Development (BDD), DevOps automation, and modern tools to deliver high‑quality, resilient, and reusable software. Opportunities exist for server‑side logic, UI development, embedded programming, cryptographic frameworks, and specialized device development. Deep, hands‑on Java experience is essential. **All Levels Considered — Mid‑Level and Senior SWE Strongly Preferred** **Application Process:** Interested candidates should submit their resume detailing their qualifications and experience. **Security Clearance Requirements:**
This position requires all candidates to be **U.S. Citizens** and **possess an active TS/SCI Security Clearance with a Polygraph.**
Responsibilities:
* Perform full‑lifecycle software development activities within an Agile team environment.
* Participate in daily scrums, sprint planning, PI planning, and Agile ceremonies.
* Analyze complex system requirements and create designs using industry‑standard tools and formal methodologies.
* Develop code that is efficient, maintainable, reliable, fault‑tolerant, and reusable.
* Promote cross‑team collaboration and reduce maintenance overhead through shared functions and reusable components.
* Develop, tune, and document automation scripts; deploy them into test and production environments.
* Implement robust test strategies following BDD principles and leverage DevOps automation and commercial test tools.
* Contribute to both server‑side logic and client‑side UI development depending on project needs.
**Core Technologies Used:*** **Languages:** Java (required), Python, C/C\+\+, Groovy, SQL, JavaScript
* **Frameworks:** Spring (Boot \&amp; Data), JEE (JPA, EJB, JTA), Jackson, Jersey, Swing, JavaFX
* **UI/Web:** Angular, JavaScript, CSS, HTML, JSON, XML, XSLT
* **Tools/IDEs:** Eclipse, VS Code, Visual Studio, WebStorm, Rhapsody
* **Databases:** Oracle, PostgreSQL, MongoDB, SQL Server
* **DevOps \&amp; Testing:** BDD, DevOps automation tools, commercial test automation tools
* **Operating Systems:** Windows (required), Linux (preferred)
Qualifications:
**Required Skills \&amp; Experience:*** **Demonstrated, in‑depth Java experience is required.**
* Experience or familiarity with multiple Java frameworks:
	+ Spring Boot \&amp; Spring Data
	+ JEE (JPA, EJB, JTA, Servlet)
	+ Jackson, Jersey, Swing, JavaFX
* Experience with multiple languages: JavaScript, Python, C/C\+\+, Groovy, SQL.
* Experience using IDEs such as Eclipse, Visual Studio Code, Visual Studio, WebStorm, or Rhapsody.
* Experience with databases (Oracle, PostgreSQL, MongoDB, SQL Server).
* Experience in Web UI development (AngularJS, JSON, HTML, XML, XSLT).
* Experience with software configuration management and source control tools.
* Experience developing on Windows operating systems.
* Documented professional experience with web services.
* Strong understanding of software engineering principles and best practices.
* Ability to communicate effectively and prioritize tasks independently.
* Ability to work both independently and as part of a fast‑moving team.
**Preferred Qualifications:*** Bachelor’s degree in Computer Science or related field adn 14 years experience.
* Experience with:
	+ JEE technologies (EJB, JPA, JTA, JAX‑B, JAX‑RS, JAX‑WS)
	+ Application servers (Tomcat, WebLogic, JBoss)
	+ Spring framework and scripting languages
	+ XML/XSD/SOAP/WSDL/XSLT, REST, JSON, YAML
	+ Containers: Docker, Podman, Kubernetes, OpenShift
	+ JavaScript frameworks: AngularJS, Bootstrap, jQuery
	+ Testing \&amp; mocking: JUnit, Mockito, Jasmine, Karma, Cucumber, UFT, Selenium, FITNesse
	+ Build tools: Maven, CMake, RPM, Jenkins, Nexus
	+ Linux development
	+ Technologies supporting cryptographic systems (digital signatures, ASN.1, XML canonicalization)
* Experience with requirements decomposition, trade‑off analysis, secure systems engineering.
* Experience with Agile practices including Pair Programming, TDD, ATDD, BDD.
* Experience with Scrum or SAFe; SAFe certification is a plus.
About WOOD:
**Fringe Benefits:*** **Health Insurance:** Comprehensive medical, dental, and vision plans.
* **Retirement Plan:** 401(k) with company match.
* **Paid Time Off:** Generous PTO policy including vacation, sick leave, and holidays.
* **Professional Development:** Opportunities for training, certifications, and career advancement.
* **Work\-Life Balance:** Flexible work schedules and remote work options.
* **Wellness Programs:** Employee assistance programs, wellness initiatives, and gym membership discounts.
**Why Join Us?*** **Career Growth:** Take advantage of professional development opportunities and career advancement. As a vital part of impactful projects, you will have the chance to drive innovation and shape the future of government systems engineering.
* **Supportive Environment:** Work in a collaborative and flexible environment that values work\-life balance. Join a team of top\-tier professionals and engage in dynamic, cross\-functional collaboration. Your strategic mindset and proactive approach will be highly valued and supported.
* **Competitive Compensation:** Enjoy a competitive salary and comprehensive benefits package. We recognize and reward your expertise and dedication to excellence.
*WOOD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row>
    <row r="45">
      <c r="A45" t="inlineStr">
        <is>
          <t>in-cb9a393c80935df6</t>
        </is>
      </c>
      <c r="B45" t="inlineStr">
        <is>
          <t>SOFTWARE DEVELOPERS</t>
        </is>
      </c>
      <c r="C45" t="inlineStr">
        <is>
          <t>Stacklogy</t>
        </is>
      </c>
      <c r="D45" t="inlineStr">
        <is>
          <t>indeed</t>
        </is>
      </c>
      <c r="E45">
        <f>HYPERLINK("https://www.indeed.com/viewjob?jk=cb9a393c80935df6", "https://www.indeed.com/viewjob?jk=cb9a393c80935df6")</f>
        <v/>
      </c>
      <c r="F45">
        <f>HYPERLINK("https://stacklogy.com/career/", "https://stacklogy.com/career/")</f>
        <v/>
      </c>
      <c r="G45" t="inlineStr">
        <is>
          <t>Temple, TX, US</t>
        </is>
      </c>
      <c r="H45" s="3" t="n">
        <v>46038</v>
      </c>
      <c r="I45"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46">
      <c r="A46" t="inlineStr">
        <is>
          <t>in-6dbcfaa73335a46b</t>
        </is>
      </c>
      <c r="B46" t="inlineStr">
        <is>
          <t>SOFTWARE ENGINEERS</t>
        </is>
      </c>
      <c r="C46" t="inlineStr">
        <is>
          <t>Stacklogy</t>
        </is>
      </c>
      <c r="D46" t="inlineStr">
        <is>
          <t>indeed</t>
        </is>
      </c>
      <c r="E46">
        <f>HYPERLINK("https://www.indeed.com/viewjob?jk=6dbcfaa73335a46b", "https://www.indeed.com/viewjob?jk=6dbcfaa73335a46b")</f>
        <v/>
      </c>
      <c r="F46">
        <f>HYPERLINK("https://stacklogy.com/career/", "https://stacklogy.com/career/")</f>
        <v/>
      </c>
      <c r="G46" t="inlineStr">
        <is>
          <t>Temple, TX, US</t>
        </is>
      </c>
      <c r="H46" s="3" t="n">
        <v>46038</v>
      </c>
      <c r="I46"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47">
      <c r="A47" t="inlineStr">
        <is>
          <t>in-af69fbaf796b4bd9</t>
        </is>
      </c>
      <c r="B47" t="inlineStr">
        <is>
          <t>Founding Senior Software Engineer</t>
        </is>
      </c>
      <c r="C47" t="inlineStr">
        <is>
          <t>ZANIA</t>
        </is>
      </c>
      <c r="D47" t="inlineStr">
        <is>
          <t>indeed</t>
        </is>
      </c>
      <c r="E47">
        <f>HYPERLINK("https://www.indeed.com/viewjob?jk=af69fbaf796b4bd9", "https://www.indeed.com/viewjob?jk=af69fbaf796b4bd9")</f>
        <v/>
      </c>
      <c r="F47">
        <f>HYPERLINK("https://jobs.ashbyhq.com/Zania/edb64a5f-a342-4cfc-90b6-f526a28e9e09?utm_source=8JpLakNR6z", "https://jobs.ashbyhq.com/Zania/edb64a5f-a342-4cfc-90b6-f526a28e9e09?utm_source=8JpLakNR6z")</f>
        <v/>
      </c>
      <c r="G47" t="inlineStr">
        <is>
          <t>San Francisco, CA, US</t>
        </is>
      </c>
      <c r="H47" s="3" t="n">
        <v>46038</v>
      </c>
      <c r="I47" t="inlineStr">
        <is>
          <t>**Founding Software Engineer (Mid–Senior Level)**
-------------------------------------------------
**Why Zania**
Every enterprise spends millions of dollars on Governance, Risk, and Compliance (GRC). It's one of the most critical, yet universally painful, parts of running a business. For decades, this industry has been dominated by legacy systems with notoriously low NPS scores, making it totally ripe for disruption.
Zania is building **agentic AI for Governance, Risk, and Compliance (GRC)** to solve this massive problem. We are on a **rocketship trajectory**, creating intelligent agents that automate and augment the most complex risk and compliance workflows. We have found exceptional product\-market fit and are scaling our team very quickly. Some reasons to join Zania are:
* **Dream Customers:** Our customers are the most notable enterprises in the world, including FAANG, Big 4 firms and a portfolio of top customers.
* **Tier 1 Backing:** Funded by a leading Tier 1 venture capital fund, giving us the resources to build a generational company.
* **World\-Class Team:** Zania is hiring the best. Our team includes AI and Security leaders from Airbnb, Microsoft, Bain \&amp; Company, Deloitte, PwC, Brex, and Instacart.
* **Pioneering Technology:** Our engineers and GRC experts work at the absolute forefront of applied AI, building the next generation of agentic systems that will define the future of compliance.
* **Hyper\-Growth:** We have seen **10x ARR growth** in the last year and are rapidly expanding.
* **Competitive Compensation \&amp; Equity.**
**The Role:**
As a Software Engineer, you will be a core member of our engineering team, building the backend systems that power both our core product and our agentic AI platform. This is a backend\-focused role for engineers who thrive on solving challenges at a massive scale; full\-stack experience is a strong plus. You will design, build, and deploy the critical infrastructure and services that handle everything from petabyte\-scale data retrieval to running thousand\-step AI agents. This is a unique opportunity to tackle some of the most demanding problems in computing today and build systems with government\-level security and reliability.
**What You'll Do:**
* Engineer Core Product Features: Take ownership of building and delivering scalable, secure backend services that directly power our user\-facing product.
* Build Petabyte\-Scale AI Pipelines: Design and implement robust systems for retrieval over petabyte\-scale document troves and engineer pipelines for large\-scale data collection.
* Develop Advanced Agentic Systems: Build the backend infrastructure for complex, 1000\-step planning agents that help companies with critical processes, and create organizational\-level interfaces for human\-AI collaboration.
* Contribute to the architecture and management of our cloud infrastructure, ensuring high availability and performance.
* Engineer systems with the highest standards of security and reliability to protect the world's most sensitive data.
**What We're Looking For:**
* **Experience:** 5\+ years of professional software engineering experience *(not intended for recent graduates).*
* **Proven Technical Impact:** A demonstrated track record of delivering complex, high\-quality backend systems.
* **Product Building Experience:** You have a history of building and launching robust products or platforms, ideally in a hyper\-growth or 0\-to\-1 startup environment.
* **Deep Technical Expertise:** You are a hands\-on, highly technical backend engineer with proficiency in:
* **Python:** For building robust backend services and AI pipelines.
* **Large\-Scale Systems:** Experience with distributed systems, large\-scale data processing (e.g., Spark), and cloud platforms (Azure, AWS, GCP).
* **TypeScript and React:** Experience is a plus for contributing across the stack but is not required.
* **Ownership and Drive:** You take full ownership of your projects, demonstrating a strong bias for action and the ability to manage complex priorities in a fast\-paced environment.
* **Pragmatic Problem\-Solving:** You are a proactive and resourceful problem\-solver who is comfortable with ambiguity and sees immense challenges as opportunities for growth.
* **Clear Communication:** You can articulate complex technical ideas clearly and persuasively to stakeholders across the organization.
**Compensation and benefits**
* Flexible PTO policy.
* Medical, dental, and vision insurance
* Meals and snacks in the office
* Relocation and immigration support
Zania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Compensation Range: $120K \- $230K</t>
        </is>
      </c>
    </row>
    <row r="48">
      <c r="A48" t="inlineStr">
        <is>
          <t>in-83de726e8947775e</t>
        </is>
      </c>
      <c r="B48" t="inlineStr">
        <is>
          <t>Backend Software Engineer</t>
        </is>
      </c>
      <c r="C48" t="inlineStr">
        <is>
          <t>Onyx Games</t>
        </is>
      </c>
      <c r="D48" t="inlineStr">
        <is>
          <t>indeed</t>
        </is>
      </c>
      <c r="E48">
        <f>HYPERLINK("https://www.indeed.com/viewjob?jk=83de726e8947775e", "https://www.indeed.com/viewjob?jk=83de726e8947775e")</f>
        <v/>
      </c>
      <c r="F48">
        <f>HYPERLINK("https://jobs.ashbyhq.com/Onyx%20Games%20LLC/aedc88f3-8a00-4c87-bf85-9450f802f591?utm_source=KVVG9EvlXn", "https://jobs.ashbyhq.com/Onyx%20Games%20LLC/aedc88f3-8a00-4c87-bf85-9450f802f591?utm_source=KVVG9EvlXn")</f>
        <v/>
      </c>
      <c r="G48" t="inlineStr">
        <is>
          <t>New York, NY, US</t>
        </is>
      </c>
      <c r="H48" s="3" t="n">
        <v>46038</v>
      </c>
      <c r="I48" t="inlineStr">
        <is>
          <t>**Compensation**: $170k – $250k \+ meaningful equity
**Company Overview**
Onyx Odds is a social sports prediction platform poised to shake up the world of sports. Onyx has seen immense growth in user activity and positive feedback resulting in an expansion of the team.
Onyx is a venture backed startup, having raised millions in VC funding. The founder is a Harvard grad with a background at Jane Street.
Onyx Odds is based in New York City with its offices in downtown Manhattan.
**Job Description**
We’re looking to add a key engineering hire to our very lean team. We are looking for someone who’s excited to work directly with the founding team to build, own, and scale the core product. As a Software Engineer, you’ll have end\-to\-end responsibility across the stack, significant product input, and the opportunity to shape both the technical architecture and company from day one.
* Own projects from inception to production, including architecture decisions, implementation, and observability
* Collaborate directly with cross business functions and leadership on product direction, roadmap, and prioritization
**Background**
* Computer Science degree from a top university
* Strong backend skill set: Node, Typescript
* Familiarity with frontend frameworks for web and mobile (React and React Native)
* **3–6\+ years of experience** as a software engineer
* A background developing low\-latency systems or performance sensitive applications is a plus
* Thrive in startup environments — you’re entrepreneurial, resourceful, and get energy from building things that users love
* A background or interest in sports, trading, predictions, or crypto is a plus
* **Visa Sponsorship:** We are unable to offer employment visa sponsorship for this position
**What You'll Get**
* Very competitive compensation bands with regular growth in payscales
* Robust health, dental, and vision plans, covering 100% of health, dental, and vision premiums
* Meaningful equity
* HSA account with significant company contributions
* Free in office lunch daily
**Location**
We are based in FiDi in New York City. The team member can work in\-person or hybrid.
* *Please note: We do not offer employment visa sponsorship for this position.*</t>
        </is>
      </c>
    </row>
    <row r="49">
      <c r="A49" t="inlineStr">
        <is>
          <t>in-5ddc44753086d2f8</t>
        </is>
      </c>
      <c r="B49" t="inlineStr">
        <is>
          <t>Lead, Software Engineer (LMES)</t>
        </is>
      </c>
      <c r="C49" t="inlineStr">
        <is>
          <t>Dhara Consulting Group</t>
        </is>
      </c>
      <c r="D49" t="inlineStr">
        <is>
          <t>indeed</t>
        </is>
      </c>
      <c r="E49">
        <f>HYPERLINK("https://www.indeed.com/viewjob?jk=5ddc44753086d2f8", "https://www.indeed.com/viewjob?jk=5ddc44753086d2f8")</f>
        <v/>
      </c>
      <c r="F49">
        <f>HYPERLINK("https://www.clearancejobs.com/jobs/8712467/lead-software-engineer-lmes", "https://www.clearancejobs.com/jobs/8712467/lead-software-engineer-lmes")</f>
        <v/>
      </c>
      <c r="G49" t="inlineStr">
        <is>
          <t>Camden, NJ, US</t>
        </is>
      </c>
      <c r="H49" s="3" t="n">
        <v>46038</v>
      </c>
      <c r="I49" t="inlineStr">
        <is>
          <t>Posted today
Secret
$125,000 \- $205,000
Unspecified
IT \- Software
Camden, NJ (On\-Site/Office)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Technical Lead Software Engineer \- LMES Level
Job Code: 32962  
Job Location: Camden, NJ  
Schedule: 9/80
Are you ready to take your engineering career to the next level and be a part of something truly extraordinary? Join our trailblazing team in the Philadelphia metro area, where you'll dive into the thrilling world of high\-assurance encryption products and programs that are pivotal to national defense. Our rapidly expanding business is not just growing\-it's exploding with opportunities for innovation and impact in network and tactical encryption products and systems.Apply now and embark on this exhilarating journey with us, shaping the future of defense technology!  
Job Description:
L3Harris Integrated Mission Systems is seeking a Technical Lead Software Engineer. Responsibilities include leading a software development team, analyzing requirements and the translation of requirements into working and maintainable solutions, planning the development, assigning budgets and tasks, tracking teams' status, measuring teams work performed utilizing EVMS techniques and enforcing process across the entire SDLC.  
Essential Functions  
* Experience leading a Software Team / Project, strong project management skills
* Project planning, task definition and assignment; performance monitoring
* Object\-oriented design and implementation experience, with exposure to software modeling and UML tools such as IBM Rhapsody or MagicDraw/Cameo
* Developing Software utilizing Modern C\+\+ tools and standards
* Support the engineering team members as a subject matter expert in embedded software application development, through guidance and direction to one or more software engineers
* Investigate root cause of complex issues, and implement solutions, working independently or with a multi\-discipline team
* Apply computer science, engineering, and mathematical analysis concepts and principles in the development of software for the target hardware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hardware\-software integration, and formal test
* Develop software test plans and procedures, and other relevant technical documentation
Qualifications  
* U.S. citizenship with an Active Department of Defense (DoD) Secret clearance
* Bachelor's or master's degree in computer engineering, Electrical Engineering, Computer Science, or related field
* 10\+ years of experience debugging applications on simulated and target hardware
* Usage of a Real\-Time Operating System (RTOS), such as Green Hills Integrity, VxWorks, or similar
* Excellent oral and written communication skills
Preferred Additional Skills
* Experience with EVMS
* Project planning, task definition and assignment; performance monitoring
* Experience developing device drivers and Board Support Packages for real time embedded systems
* Experience with Information Assurance and/or cryptographyExperience with NSA Type 1 certification or other SW certification such as DO\-178
* Prior RUST experience
In compliance with pay transparency requirements, the salary range for this role is $125,000 \- $205000\.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Spanish.**GROUP ID:** harrisme**R****Recruiter**
**APPLY NOW**</t>
        </is>
      </c>
    </row>
    <row r="50">
      <c r="A50" t="inlineStr">
        <is>
          <t>in-de5d874aab9d97af</t>
        </is>
      </c>
      <c r="B50" t="inlineStr">
        <is>
          <t>Software Engineer II</t>
        </is>
      </c>
      <c r="C50" t="inlineStr">
        <is>
          <t>Amentum</t>
        </is>
      </c>
      <c r="D50" t="inlineStr">
        <is>
          <t>indeed</t>
        </is>
      </c>
      <c r="E50">
        <f>HYPERLINK("https://www.indeed.com/viewjob?jk=de5d874aab9d97af", "https://www.indeed.com/viewjob?jk=de5d874aab9d97af")</f>
        <v/>
      </c>
      <c r="F50">
        <f>HYPERLINK("https://www.amentumcareers.com/jobs/software-engineer-ii-dallas-texas-united-states?source=Indeed+Feed", "https://www.amentumcareers.com/jobs/software-engineer-ii-dallas-texas-united-states?source=Indeed+Feed")</f>
        <v/>
      </c>
      <c r="G50" t="inlineStr">
        <is>
          <t>Dallas, TX, US</t>
        </is>
      </c>
      <c r="H50" s="3" t="n">
        <v>46038</v>
      </c>
      <c r="I50" t="inlineStr">
        <is>
          <t>**Job Summary:**
The Software Engineer II will perform full stack development with C\# program, MVC, Linq, and rest API development in NET Core platform.
**Essential Responsibilities:**
* Under general supervision, design, develop, troubleshoot, and analyze software programs for computer\-based systems
* Ensure automated data feeds and system interfaces are working as intended
* Participate in software requirements review, preliminary and critical design reviews, integration readiness review, and software acceptance reviews
* Design, write, test, deploy and support software code, as assigned
* Perform software upgrades in accordance with software quality procedures
* Frequent inter\-organizational and outside customer contacts on technical matters
* Support Continuous Improvement efforts intended to improve the quality of existing software
* Design and implement new or existing standard software application programs and reports according to project software standards and conventions
* Perform other duties as assigned
**Knowledge, Skills and Abilities:**
* Knowledge of relational database SQL language
* Strong knowledge of Model\-View\-Controller (MVC), Linq, and rest API development
* Ability to build robust, maintainable web applications and services
* Excellent communications and analytical skills required
* Strong Planning/organizing skills
* Ability to prioritize and adapt to dynamic changes in the environment
* Must be able to work under deadlines
* Position may require travel
**Minimum Education and Experience Required:**
* Bachelor’s degree in a related technical discipline (e.g., BSEE, BSCS) or equivalent in Computer Science or related field
* Three years of C\# program experience with .NET technology
* Experience with MVC, Linq, and rest API development
* ReactJS programming experience preferred
* Position may require the ability to pass and maintain a Security Clearance
**Compensation Details:**
$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01/17/2026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51">
      <c r="A51" t="inlineStr">
        <is>
          <t>in-f57472b361ea997f</t>
        </is>
      </c>
      <c r="B51" t="inlineStr">
        <is>
          <t>Software Engineer II</t>
        </is>
      </c>
      <c r="C51" t="inlineStr">
        <is>
          <t>Amentum</t>
        </is>
      </c>
      <c r="D51" t="inlineStr">
        <is>
          <t>indeed</t>
        </is>
      </c>
      <c r="E51">
        <f>HYPERLINK("https://www.indeed.com/viewjob?jk=f57472b361ea997f", "https://www.indeed.com/viewjob?jk=f57472b361ea997f")</f>
        <v/>
      </c>
      <c r="F51">
        <f>HYPERLINK("https://www.amentumcareers.com/jobs/software-engineer-ii-dallas-texas-united-states?source=Indeed+Feed", "https://www.amentumcareers.com/jobs/software-engineer-ii-dallas-texas-united-states?source=Indeed+Feed")</f>
        <v/>
      </c>
      <c r="G51" t="inlineStr">
        <is>
          <t>Remote, US</t>
        </is>
      </c>
      <c r="H51" s="3" t="n">
        <v>46038</v>
      </c>
      <c r="I51" t="inlineStr">
        <is>
          <t>**Job Summary:**
The Software Engineer II will perform full stack development with C\# program, MVC, Linq, and rest API development in NET Core platform.
**Essential Responsibilities:**
* Under general supervision, design, develop, troubleshoot, and analyze software programs for computer\-based systems
* Ensure automated data feeds and system interfaces are working as intended
* Participate in software requirements review, preliminary and critical design reviews, integration readiness review, and software acceptance reviews
* Design, write, test, deploy and support software code, as assigned
* Perform software upgrades in accordance with software quality procedures
* Frequent inter\-organizational and outside customer contacts on technical matters
* Support Continuous Improvement efforts intended to improve the quality of existing software
* Design and implement new or existing standard software application programs and reports according to project software standards and conventions
* Perform other duties as assigned
**Knowledge, Skills and Abilities:**
* Knowledge of relational database SQL language
* Strong knowledge of Model\-View\-Controller (MVC), Linq, and rest API development
* Ability to build robust, maintainable web applications and services
* Excellent communications and analytical skills required
* Strong Planning/organizing skills
* Ability to prioritize and adapt to dynamic changes in the environment
* Must be able to work under deadlines
* Position may require travel
**Minimum Education and Experience Required:**
* Bachelor’s degree in a related technical discipline (e.g., BSEE, BSCS) or equivalent in Computer Science or related field
* Three years of C\# program experience with .NET technology
* Experience with MVC, Linq, and rest API development
* ReactJS programming experience preferred
* Position may require the ability to pass and maintain a Security Clearance
**Compensation Details:**
$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01/17/2026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52">
      <c r="A52" t="inlineStr">
        <is>
          <t>in-04f90d8eda65ea1d</t>
        </is>
      </c>
      <c r="B52" t="inlineStr">
        <is>
          <t>Software Engineer - AI Integration - Midvale</t>
        </is>
      </c>
      <c r="C52" t="inlineStr">
        <is>
          <t>Zions Bancorporation</t>
        </is>
      </c>
      <c r="D52" t="inlineStr">
        <is>
          <t>indeed</t>
        </is>
      </c>
      <c r="E52">
        <f>HYPERLINK("https://www.indeed.com/viewjob?jk=04f90d8eda65ea1d", "https://www.indeed.com/viewjob?jk=04f90d8eda65ea1d")</f>
        <v/>
      </c>
      <c r="F52">
        <f>HYPERLINK("https://click.appcast.io/t/eI2DxOaxmIEDlMYp06eo16_B5aMczqsJ06OpZS-QOng=", "https://click.appcast.io/t/eI2DxOaxmIEDlMYp06eo16_B5aMczqsJ06OpZS-QOng=")</f>
        <v/>
      </c>
      <c r="G52" t="inlineStr">
        <is>
          <t>Midvale, UT, US</t>
        </is>
      </c>
      <c r="H52" s="3" t="n">
        <v>46037</v>
      </c>
      <c r="I52" t="inlineStr">
        <is>
          <t>Zions Bancorporation’s Enterprise Technology and Operations (ETO) team is transforming what it means to work for a financial institution. With a commitment to technology and innovation, we have been providing our community, clients and colleagues with the best experience possible for over 150 years. Help us transform our workforce of the future, today.
We are seeking a Software Engineer to join our Enterprise Architecture Governance team at Zions Bancorporation. As a Software Engineer, you will play a pivotal role in developing innovative software solutions that drive our business forward. You will guide testing and configuration management processes, collaborate with cross\-functional partners, and ensure the reliability and scalability of our systems. This position offers the opportunity to work with cutting\-edge technologies, including cloud platforms and microservices, while supporting and maintaining mission\-critical applications. Your expertise will help shape the future of our technology landscape and deliver impactful results for our organization.
As a member of the Enterprise Architecture Governance team, you will be positioned in a centralized and high\-profile group whose activities serve the entire Bancorp. We are seeking a curious and industrious self\-starter to help design and develop solutions that deliver automation and efficiency utilizing AI, systems integration, and modern programming languages and methodologies that serve the needs of the team and the department.
Responsibilities
Develop and implement innovative software solutions to meet business needs.
Guide testing and configuration management processes to ensure quality and consistency.
Collaborate with internal and external partners to deliver integrated technology solutions.
Support and maintain existing systems, troubleshooting and resolving issues as needed.
Participate in code reviews and provide constructive feedback to team members.
Design, develop, and optimize database technologies for performance and reliability.
Utilize version control systems to manage codebase and deployment processes.
Apply DevOps practices to streamline development and operational workflows.
Integrate cloud platforms and microservices architectures into software projects.
Other duties as assigned.
Qualifications
4\+ years of experience in software development, database technologies, version control systems, DevOps tools, cloud computing platforms (e.g., AWS, Azure, Google Cloud), and microservices architecture or other directly related experience (required).
Experience with AI Platform(s) (Gemini or Copilot preferred) and AI Prompt Engineering
Proven experience in software development, including proficiency in relevant programming languages (e.g., Java, C\#, Python).
Hands\-on experience with database technologies (e.g., SQL, NoSQL).
Familiarity with version control systems (e.g., Git).
Experience with SAFe or other agile frameworks
Experience with AI Platform(s) (Gemini or Copilot preferred) and AI Prompt Engineering
Bachelor’s degree in Computer Science or a related field (required).
Strong problem\-solving and analytical skills.
Excellent communication and collaboration abilities.
Financial or Banking services experience a plus.
Desired Qualifications
Experience administering, developing, or integrating with
M365 applications
Sharepoint
Confluence
ServiceNow
BizzDesign
PowerAutomate
Google Gemini Enterprise
Microsoft Copilot
A combination of education and experience may meet job requirements.
Visa Sponsorship
This Software Engineer position is currently not eligible for employment visa sponsorship (e.g., H\-1B visa). This includes, for example, situations where a candidate may have temporary work authorization while enrolled in school or upon graduation (e.g., CPT, OPT) but would need H\-1B visa sponsorship within a few years of employment in order to maintain employment eligibility.
**Work Location:**  
This position has a hybrid work from home schedule with a minimum of three days per week in the office at the new Zions Technology Center in Midvale, UT.
The Zions Technology Center is a 400,000\-square\-foot technology campus in Midvale, Utah. Located on the former Sharon Steel Mill superfund site, the sustainably built campus will be the company’s primary technology and operations center. This modern and environmentally friendly technology center will enable Zions to continue to compete for the best technology talent in the state while providing team members with an exceptional work environment with features such as:
Electric vehicle charging stations and proximity to Historic Gardner Village UTA TRAX station.
At least 75% of the building is powered by on\-site renewable solar energy.
Access to outdoor recreation, parks, trails, shareable bikes and locker rooms.
Large modern cafe with a healthy and diverse menu.
Healthy indoor environment with ample natural light and fresh air.
LEED\-certified sustainable building that features include the use of low VOC\-emitting construction materials.
**Benefits:**  
Medical, Dental and Vision Insurance \- START DAY ONE!
Life and Disability Insurance, Paid Parental Leave and Adoption Assistance
Health Savings (HSA), Flexible Spending (FSA) and dependent care accounts
Paid Training, Paid Time Off (PTO) and 11 Paid Federal Holidays
401(k) plan with company match, Profit Sharing, competitive compensation in line with work experience
Mental health benefits including coaching and therapy sessions
Tuition Reimbursement for qualifying employees
Employee Ambassador preferred banking products
Apply now if you have a passion for impactful outcomes, enjoy working collaboratively with co\-workers, and want to make a difference for the clients and communities we serve.</t>
        </is>
      </c>
    </row>
    <row r="53">
      <c r="A53" t="inlineStr">
        <is>
          <t>in-f5fb4763887036a4</t>
        </is>
      </c>
      <c r="B53" t="inlineStr">
        <is>
          <t>Software Engineer</t>
        </is>
      </c>
      <c r="C53" t="inlineStr">
        <is>
          <t>Amazon.com</t>
        </is>
      </c>
      <c r="D53" t="inlineStr">
        <is>
          <t>indeed</t>
        </is>
      </c>
      <c r="E53">
        <f>HYPERLINK("https://www.indeed.com/viewjob?jk=f5fb4763887036a4", "https://www.indeed.com/viewjob?jk=f5fb4763887036a4")</f>
        <v/>
      </c>
      <c r="F53">
        <f>HYPERLINK("https://www.amazon.jobs/jobs/3145977/software-engineer?cmpid=DA_INAD200785B", "https://www.amazon.jobs/jobs/3145977/software-engineer?cmpid=DA_INAD200785B")</f>
        <v/>
      </c>
      <c r="G53" t="inlineStr">
        <is>
          <t>San Francisco, CA, US</t>
        </is>
      </c>
      <c r="H53" s="3" t="n">
        <v>46008</v>
      </c>
      <c r="I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in-0c17f3e055ad37b7</t>
        </is>
      </c>
      <c r="B54" t="inlineStr">
        <is>
          <t>Software Engineer</t>
        </is>
      </c>
      <c r="C54" t="inlineStr">
        <is>
          <t>Amazon.com</t>
        </is>
      </c>
      <c r="D54" t="inlineStr">
        <is>
          <t>indeed</t>
        </is>
      </c>
      <c r="E54">
        <f>HYPERLINK("https://www.indeed.com/viewjob?jk=0c17f3e055ad37b7", "https://www.indeed.com/viewjob?jk=0c17f3e055ad37b7")</f>
        <v/>
      </c>
      <c r="F54">
        <f>HYPERLINK("https://www.amazon.jobs/jobs/3145977/software-engineer?cmpid=DA_INAD200785B", "https://www.amazon.jobs/jobs/3145977/software-engineer?cmpid=DA_INAD200785B")</f>
        <v/>
      </c>
      <c r="G54" t="inlineStr">
        <is>
          <t>Seattle, WA, US</t>
        </is>
      </c>
      <c r="H54" s="3" t="n">
        <v>46008</v>
      </c>
      <c r="I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in-4d61cc788c4f9e19</t>
        </is>
      </c>
      <c r="B55" t="inlineStr">
        <is>
          <t>Sr. Embedded Software Engineer - FPGA Systems, Amazon Leo's Wireless Systems</t>
        </is>
      </c>
      <c r="C55" t="inlineStr">
        <is>
          <t>Amazon.com</t>
        </is>
      </c>
      <c r="D55" t="inlineStr">
        <is>
          <t>indeed</t>
        </is>
      </c>
      <c r="E55">
        <f>HYPERLINK("https://www.indeed.com/viewjob?jk=4d61cc788c4f9e19", "https://www.indeed.com/viewjob?jk=4d61cc788c4f9e19")</f>
        <v/>
      </c>
      <c r="F55">
        <f>HYPERLINK("https://www.amazon.jobs/jobs/3146069/sr-embedded-software-engineer--fpga-systems-amazon-leos-wireless-systems-?cmpid=DA_INAD200785B", "https://www.amazon.jobs/jobs/3146069/sr-embedded-software-engineer--fpga-systems-amazon-leos-wireless-systems-?cmpid=DA_INAD200785B")</f>
        <v/>
      </c>
      <c r="G55" t="inlineStr">
        <is>
          <t>Sunnyvale, CA, US</t>
        </is>
      </c>
      <c r="H55" s="3" t="n">
        <v>46008</v>
      </c>
      <c r="I5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in-5c57efa9a45a8078</t>
        </is>
      </c>
      <c r="B56" t="inlineStr">
        <is>
          <t>Sr. Embedded Software Engineer - FPGA Systems, Amazon Leo's Wireless Systems</t>
        </is>
      </c>
      <c r="C56" t="inlineStr">
        <is>
          <t>Amazon.com</t>
        </is>
      </c>
      <c r="D56" t="inlineStr">
        <is>
          <t>indeed</t>
        </is>
      </c>
      <c r="E56">
        <f>HYPERLINK("https://www.indeed.com/viewjob?jk=5c57efa9a45a8078", "https://www.indeed.com/viewjob?jk=5c57efa9a45a8078")</f>
        <v/>
      </c>
      <c r="F56">
        <f>HYPERLINK("https://www.amazon.jobs/jobs/3146069/sr-embedded-software-engineer--fpga-systems-amazon-leos-wireless-systems-?cmpid=DA_INAD200785B", "https://www.amazon.jobs/jobs/3146069/sr-embedded-software-engineer--fpga-systems-amazon-leos-wireless-systems-?cmpid=DA_INAD200785B")</f>
        <v/>
      </c>
      <c r="G56" t="inlineStr">
        <is>
          <t>San Diego, CA, US</t>
        </is>
      </c>
      <c r="H56" s="3" t="n">
        <v>46008</v>
      </c>
      <c r="I56"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in-36bb73b1d12c82ec</t>
        </is>
      </c>
      <c r="B57" t="inlineStr">
        <is>
          <t>Sr. Embedded Software Engineer - FPGA Systems, Amazon Leo's Wireless Systems</t>
        </is>
      </c>
      <c r="C57" t="inlineStr">
        <is>
          <t>Amazon.com</t>
        </is>
      </c>
      <c r="D57" t="inlineStr">
        <is>
          <t>indeed</t>
        </is>
      </c>
      <c r="E57">
        <f>HYPERLINK("https://www.indeed.com/viewjob?jk=36bb73b1d12c82ec", "https://www.indeed.com/viewjob?jk=36bb73b1d12c82ec")</f>
        <v/>
      </c>
      <c r="F57">
        <f>HYPERLINK("https://www.amazon.jobs/jobs/3146069/sr-embedded-software-engineer--fpga-systems-amazon-leos-wireless-systems-?cmpid=DA_INAD200785B", "https://www.amazon.jobs/jobs/3146069/sr-embedded-software-engineer--fpga-systems-amazon-leos-wireless-systems-?cmpid=DA_INAD200785B")</f>
        <v/>
      </c>
      <c r="G57" t="inlineStr">
        <is>
          <t>Austin, TX, US</t>
        </is>
      </c>
      <c r="H57" s="3" t="n">
        <v>46008</v>
      </c>
      <c r="I57"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in-e2a5793d1902729a</t>
        </is>
      </c>
      <c r="B58" t="inlineStr">
        <is>
          <t>Software Engineer I</t>
        </is>
      </c>
      <c r="C58" t="inlineStr">
        <is>
          <t>Amazon.com</t>
        </is>
      </c>
      <c r="D58" t="inlineStr">
        <is>
          <t>indeed</t>
        </is>
      </c>
      <c r="E58">
        <f>HYPERLINK("https://www.indeed.com/viewjob?jk=e2a5793d1902729a", "https://www.indeed.com/viewjob?jk=e2a5793d1902729a")</f>
        <v/>
      </c>
      <c r="F58">
        <f>HYPERLINK("https://www.amazon.jobs/jobs/3144113/software-engineer-i?cmpid=DA_INAD200785B", "https://www.amazon.jobs/jobs/3144113/software-engineer-i?cmpid=DA_INAD200785B")</f>
        <v/>
      </c>
      <c r="G58" t="inlineStr">
        <is>
          <t>San Francisco, CA, US</t>
        </is>
      </c>
      <c r="H58" s="3" t="n">
        <v>46006</v>
      </c>
      <c r="I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in-11abb99003171313</t>
        </is>
      </c>
      <c r="B59" t="inlineStr">
        <is>
          <t>Software Engineer I</t>
        </is>
      </c>
      <c r="C59" t="inlineStr">
        <is>
          <t>Amazon.com</t>
        </is>
      </c>
      <c r="D59" t="inlineStr">
        <is>
          <t>indeed</t>
        </is>
      </c>
      <c r="E59">
        <f>HYPERLINK("https://www.indeed.com/viewjob?jk=11abb99003171313", "https://www.indeed.com/viewjob?jk=11abb99003171313")</f>
        <v/>
      </c>
      <c r="F59">
        <f>HYPERLINK("https://www.amazon.jobs/jobs/3144113/software-engineer-i?cmpid=DA_INAD200785B", "https://www.amazon.jobs/jobs/3144113/software-engineer-i?cmpid=DA_INAD200785B")</f>
        <v/>
      </c>
      <c r="G59" t="inlineStr">
        <is>
          <t>Irvine, CA, US</t>
        </is>
      </c>
      <c r="H59" s="3" t="n">
        <v>46006</v>
      </c>
      <c r="I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in-592cbbb12cfd9ee9</t>
        </is>
      </c>
      <c r="B60" t="inlineStr">
        <is>
          <t>Software Engineer I</t>
        </is>
      </c>
      <c r="C60" t="inlineStr">
        <is>
          <t>Amazon.com</t>
        </is>
      </c>
      <c r="D60" t="inlineStr">
        <is>
          <t>indeed</t>
        </is>
      </c>
      <c r="E60">
        <f>HYPERLINK("https://www.indeed.com/viewjob?jk=592cbbb12cfd9ee9", "https://www.indeed.com/viewjob?jk=592cbbb12cfd9ee9")</f>
        <v/>
      </c>
      <c r="F60">
        <f>HYPERLINK("https://www.amazon.jobs/jobs/3144113/software-engineer-i?cmpid=DA_INAD200785B", "https://www.amazon.jobs/jobs/3144113/software-engineer-i?cmpid=DA_INAD200785B")</f>
        <v/>
      </c>
      <c r="G60" t="inlineStr">
        <is>
          <t>Seattle, WA, US</t>
        </is>
      </c>
      <c r="H60" s="3" t="n">
        <v>46006</v>
      </c>
      <c r="I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in-38fe45cd212071be</t>
        </is>
      </c>
      <c r="B61" t="inlineStr">
        <is>
          <t>Sr Software Engineer, Amazon Ads Exchange</t>
        </is>
      </c>
      <c r="C61" t="inlineStr">
        <is>
          <t>Amazon.com</t>
        </is>
      </c>
      <c r="D61" t="inlineStr">
        <is>
          <t>indeed</t>
        </is>
      </c>
      <c r="E61">
        <f>HYPERLINK("https://www.indeed.com/viewjob?jk=38fe45cd212071be", "https://www.indeed.com/viewjob?jk=38fe45cd212071be")</f>
        <v/>
      </c>
      <c r="F61">
        <f>HYPERLINK("https://www.amazon.jobs/jobs/3146713/sr-software-engineer-amazon-ads-exchange?cmpid=DA_INAD200785B", "https://www.amazon.jobs/jobs/3146713/sr-software-engineer-amazon-ads-exchange?cmpid=DA_INAD200785B")</f>
        <v/>
      </c>
      <c r="G61" t="inlineStr">
        <is>
          <t>Arlington, VA, US</t>
        </is>
      </c>
      <c r="H61" s="3" t="n">
        <v>46002</v>
      </c>
      <c r="I6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in-2472d36c3afbca8e</t>
        </is>
      </c>
      <c r="B62" t="inlineStr">
        <is>
          <t>Sr Software Engineer, Amazon Ads Exchange</t>
        </is>
      </c>
      <c r="C62" t="inlineStr">
        <is>
          <t>Amazon.com</t>
        </is>
      </c>
      <c r="D62" t="inlineStr">
        <is>
          <t>indeed</t>
        </is>
      </c>
      <c r="E62">
        <f>HYPERLINK("https://www.indeed.com/viewjob?jk=2472d36c3afbca8e", "https://www.indeed.com/viewjob?jk=2472d36c3afbca8e")</f>
        <v/>
      </c>
      <c r="F62">
        <f>HYPERLINK("https://www.amazon.jobs/jobs/3146713/sr-software-engineer-amazon-ads-exchange?cmpid=DA_INAD200785B", "https://www.amazon.jobs/jobs/3146713/sr-software-engineer-amazon-ads-exchange?cmpid=DA_INAD200785B")</f>
        <v/>
      </c>
      <c r="G62" t="inlineStr">
        <is>
          <t>San Francisco, CA, US</t>
        </is>
      </c>
      <c r="H62" s="3" t="n">
        <v>46002</v>
      </c>
      <c r="I62"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in-d27210a2b213c4ee</t>
        </is>
      </c>
      <c r="B63" t="inlineStr">
        <is>
          <t>Sr Software Engineer, Amazon Ads Exchange</t>
        </is>
      </c>
      <c r="C63" t="inlineStr">
        <is>
          <t>Amazon.com</t>
        </is>
      </c>
      <c r="D63" t="inlineStr">
        <is>
          <t>indeed</t>
        </is>
      </c>
      <c r="E63">
        <f>HYPERLINK("https://www.indeed.com/viewjob?jk=d27210a2b213c4ee", "https://www.indeed.com/viewjob?jk=d27210a2b213c4ee")</f>
        <v/>
      </c>
      <c r="F63">
        <f>HYPERLINK("https://www.amazon.jobs/jobs/3146713/sr-software-engineer-amazon-ads-exchange?cmpid=DA_INAD200785B", "https://www.amazon.jobs/jobs/3146713/sr-software-engineer-amazon-ads-exchange?cmpid=DA_INAD200785B")</f>
        <v/>
      </c>
      <c r="G63" t="inlineStr">
        <is>
          <t>Palo Alto, CA, US</t>
        </is>
      </c>
      <c r="H63" s="3" t="n">
        <v>46002</v>
      </c>
      <c r="I63"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in-5f9df8fcaf2b9ba4</t>
        </is>
      </c>
      <c r="B64" t="inlineStr">
        <is>
          <t>Software Engineer I</t>
        </is>
      </c>
      <c r="C64" t="inlineStr">
        <is>
          <t>Amazon.com</t>
        </is>
      </c>
      <c r="D64" t="inlineStr">
        <is>
          <t>indeed</t>
        </is>
      </c>
      <c r="E64">
        <f>HYPERLINK("https://www.indeed.com/viewjob?jk=5f9df8fcaf2b9ba4", "https://www.indeed.com/viewjob?jk=5f9df8fcaf2b9ba4")</f>
        <v/>
      </c>
      <c r="F64">
        <f>HYPERLINK("https://www.amazon.jobs/jobs/3141336/software-engineer-i?cmpid=DA_INAD200785B", "https://www.amazon.jobs/jobs/3141336/software-engineer-i?cmpid=DA_INAD200785B")</f>
        <v/>
      </c>
      <c r="G64" t="inlineStr">
        <is>
          <t>San Francisco, CA, US</t>
        </is>
      </c>
      <c r="H64" s="3" t="n">
        <v>46001</v>
      </c>
      <c r="I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in-2436cb71d3911f91</t>
        </is>
      </c>
      <c r="B65" t="inlineStr">
        <is>
          <t>Software Engineer I</t>
        </is>
      </c>
      <c r="C65" t="inlineStr">
        <is>
          <t>Amazon.com</t>
        </is>
      </c>
      <c r="D65" t="inlineStr">
        <is>
          <t>indeed</t>
        </is>
      </c>
      <c r="E65">
        <f>HYPERLINK("https://www.indeed.com/viewjob?jk=2436cb71d3911f91", "https://www.indeed.com/viewjob?jk=2436cb71d3911f91")</f>
        <v/>
      </c>
      <c r="F65">
        <f>HYPERLINK("https://www.amazon.jobs/jobs/3141336/software-engineer-i?cmpid=DA_INAD200785B", "https://www.amazon.jobs/jobs/3141336/software-engineer-i?cmpid=DA_INAD200785B")</f>
        <v/>
      </c>
      <c r="G65" t="inlineStr">
        <is>
          <t>Seattle, WA, US</t>
        </is>
      </c>
      <c r="H65" s="3" t="n">
        <v>46001</v>
      </c>
      <c r="I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in-90501ee21ea6d5a9</t>
        </is>
      </c>
      <c r="B66" t="inlineStr">
        <is>
          <t>Software Engineer II, Twitch</t>
        </is>
      </c>
      <c r="C66" t="inlineStr">
        <is>
          <t>Amazon.com</t>
        </is>
      </c>
      <c r="D66" t="inlineStr">
        <is>
          <t>indeed</t>
        </is>
      </c>
      <c r="E66">
        <f>HYPERLINK("https://www.indeed.com/viewjob?jk=90501ee21ea6d5a9", "https://www.indeed.com/viewjob?jk=90501ee21ea6d5a9")</f>
        <v/>
      </c>
      <c r="F66">
        <f>HYPERLINK("https://www.amazon.jobs/jobs/3138052/software-engineer-ii-twitch?cmpid=DA_INAD200785B", "https://www.amazon.jobs/jobs/3138052/software-engineer-ii-twitch?cmpid=DA_INAD200785B")</f>
        <v/>
      </c>
      <c r="G66" t="inlineStr">
        <is>
          <t>Seattle, WA, US</t>
        </is>
      </c>
      <c r="H66" s="3" t="n">
        <v>45995</v>
      </c>
      <c r="I6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in-b9517636f0c39b2b</t>
        </is>
      </c>
      <c r="B67" t="inlineStr">
        <is>
          <t>Software Engineer II, Android</t>
        </is>
      </c>
      <c r="C67" t="inlineStr">
        <is>
          <t>Amazon.com</t>
        </is>
      </c>
      <c r="D67" t="inlineStr">
        <is>
          <t>indeed</t>
        </is>
      </c>
      <c r="E67">
        <f>HYPERLINK("https://www.indeed.com/viewjob?jk=b9517636f0c39b2b", "https://www.indeed.com/viewjob?jk=b9517636f0c39b2b")</f>
        <v/>
      </c>
      <c r="F67">
        <f>HYPERLINK("https://www.amazon.jobs/jobs/3138330/software-engineer-ii-android?cmpid=DA_INAD200785B", "https://www.amazon.jobs/jobs/3138330/software-engineer-ii-android?cmpid=DA_INAD200785B")</f>
        <v/>
      </c>
      <c r="G67" t="inlineStr">
        <is>
          <t>Irvine, CA, US</t>
        </is>
      </c>
      <c r="H67" s="3" t="n">
        <v>45995</v>
      </c>
      <c r="I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in-ad1cd8f902650867</t>
        </is>
      </c>
      <c r="B68" t="inlineStr">
        <is>
          <t>Software Engineer II, Android</t>
        </is>
      </c>
      <c r="C68" t="inlineStr">
        <is>
          <t>Amazon.com</t>
        </is>
      </c>
      <c r="D68" t="inlineStr">
        <is>
          <t>indeed</t>
        </is>
      </c>
      <c r="E68">
        <f>HYPERLINK("https://www.indeed.com/viewjob?jk=ad1cd8f902650867", "https://www.indeed.com/viewjob?jk=ad1cd8f902650867")</f>
        <v/>
      </c>
      <c r="F68">
        <f>HYPERLINK("https://www.amazon.jobs/jobs/3138330/software-engineer-ii-android?cmpid=DA_INAD200785B", "https://www.amazon.jobs/jobs/3138330/software-engineer-ii-android?cmpid=DA_INAD200785B")</f>
        <v/>
      </c>
      <c r="G68" t="inlineStr">
        <is>
          <t>Seattle, WA, US</t>
        </is>
      </c>
      <c r="H68" s="3" t="n">
        <v>45995</v>
      </c>
      <c r="I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in-2a2f9015c9129a85</t>
        </is>
      </c>
      <c r="B69" t="inlineStr">
        <is>
          <t>Software Engineer II, Twitch</t>
        </is>
      </c>
      <c r="C69" t="inlineStr">
        <is>
          <t>Amazon.com</t>
        </is>
      </c>
      <c r="D69" t="inlineStr">
        <is>
          <t>indeed</t>
        </is>
      </c>
      <c r="E69">
        <f>HYPERLINK("https://www.indeed.com/viewjob?jk=2a2f9015c9129a85", "https://www.indeed.com/viewjob?jk=2a2f9015c9129a85")</f>
        <v/>
      </c>
      <c r="F69">
        <f>HYPERLINK("https://www.amazon.jobs/jobs/3138052/software-engineer-ii-twitch?cmpid=DA_INAD200785B", "https://www.amazon.jobs/jobs/3138052/software-engineer-ii-twitch?cmpid=DA_INAD200785B")</f>
        <v/>
      </c>
      <c r="G69" t="inlineStr">
        <is>
          <t>San Francisco, CA, US</t>
        </is>
      </c>
      <c r="H69" s="3" t="n">
        <v>45995</v>
      </c>
      <c r="I6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in-67921d6edd7f6a4a</t>
        </is>
      </c>
      <c r="B70" t="inlineStr">
        <is>
          <t>Software Engineer II, Android</t>
        </is>
      </c>
      <c r="C70" t="inlineStr">
        <is>
          <t>Amazon.com</t>
        </is>
      </c>
      <c r="D70" t="inlineStr">
        <is>
          <t>indeed</t>
        </is>
      </c>
      <c r="E70">
        <f>HYPERLINK("https://www.indeed.com/viewjob?jk=67921d6edd7f6a4a", "https://www.indeed.com/viewjob?jk=67921d6edd7f6a4a")</f>
        <v/>
      </c>
      <c r="F70">
        <f>HYPERLINK("https://www.amazon.jobs/jobs/3138330/software-engineer-ii-android?cmpid=DA_INAD200785B", "https://www.amazon.jobs/jobs/3138330/software-engineer-ii-android?cmpid=DA_INAD200785B")</f>
        <v/>
      </c>
      <c r="G70" t="inlineStr">
        <is>
          <t>San Francisco, CA, US</t>
        </is>
      </c>
      <c r="H70" s="3" t="n">
        <v>45995</v>
      </c>
      <c r="I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in-a9b14f98359662e5</t>
        </is>
      </c>
      <c r="B71" t="inlineStr">
        <is>
          <t>Embedded Software Engineer, Merlin Manager</t>
        </is>
      </c>
      <c r="C71" t="inlineStr">
        <is>
          <t>Amazon.com</t>
        </is>
      </c>
      <c r="D71" t="inlineStr">
        <is>
          <t>indeed</t>
        </is>
      </c>
      <c r="E71">
        <f>HYPERLINK("https://www.indeed.com/viewjob?jk=a9b14f98359662e5", "https://www.indeed.com/viewjob?jk=a9b14f98359662e5")</f>
        <v/>
      </c>
      <c r="F71">
        <f>HYPERLINK("https://www.amazon.jobs/jobs/3136032/embedded-software-engineer-merlin-manager?cmpid=DA_INAD200785B", "https://www.amazon.jobs/jobs/3136032/embedded-software-engineer-merlin-manager?cmpid=DA_INAD200785B")</f>
        <v/>
      </c>
      <c r="G71" t="inlineStr">
        <is>
          <t>Redmond, WA, US</t>
        </is>
      </c>
      <c r="H71" s="3" t="n">
        <v>45981</v>
      </c>
      <c r="I7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in-76b1d79f2acf42ab</t>
        </is>
      </c>
      <c r="B72" t="inlineStr">
        <is>
          <t>Embedded Software Engineer, Merlin Manager</t>
        </is>
      </c>
      <c r="C72" t="inlineStr">
        <is>
          <t>Amazon.com</t>
        </is>
      </c>
      <c r="D72" t="inlineStr">
        <is>
          <t>indeed</t>
        </is>
      </c>
      <c r="E72">
        <f>HYPERLINK("https://www.indeed.com/viewjob?jk=76b1d79f2acf42ab", "https://www.indeed.com/viewjob?jk=76b1d79f2acf42ab")</f>
        <v/>
      </c>
      <c r="F72">
        <f>HYPERLINK("https://www.amazon.jobs/jobs/3136032/embedded-software-engineer-merlin-manager?cmpid=DA_INAD200785B", "https://www.amazon.jobs/jobs/3136032/embedded-software-engineer-merlin-manager?cmpid=DA_INAD200785B")</f>
        <v/>
      </c>
      <c r="G72" t="inlineStr">
        <is>
          <t>Sunnyvale, CA, US</t>
        </is>
      </c>
      <c r="H72" s="3" t="n">
        <v>45981</v>
      </c>
      <c r="I7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in-cb538092cb951611</t>
        </is>
      </c>
      <c r="B73" t="inlineStr">
        <is>
          <t>Software Engineer I</t>
        </is>
      </c>
      <c r="C73" t="inlineStr">
        <is>
          <t>Amazon.com</t>
        </is>
      </c>
      <c r="D73" t="inlineStr">
        <is>
          <t>indeed</t>
        </is>
      </c>
      <c r="E73">
        <f>HYPERLINK("https://www.indeed.com/viewjob?jk=cb538092cb951611", "https://www.indeed.com/viewjob?jk=cb538092cb951611")</f>
        <v/>
      </c>
      <c r="F73">
        <f>HYPERLINK("https://www.amazon.jobs/jobs/3111761/software-engineer-i?cmpid=DA_INAD200785B", "https://www.amazon.jobs/jobs/3111761/software-engineer-i?cmpid=DA_INAD200785B")</f>
        <v/>
      </c>
      <c r="G73" t="inlineStr">
        <is>
          <t>Irvine, CA, US</t>
        </is>
      </c>
      <c r="H73" s="3" t="n">
        <v>45946</v>
      </c>
      <c r="I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in-edfec4d21a091db0</t>
        </is>
      </c>
      <c r="B74" t="inlineStr">
        <is>
          <t>Software Engineer I</t>
        </is>
      </c>
      <c r="C74" t="inlineStr">
        <is>
          <t>Amazon.com</t>
        </is>
      </c>
      <c r="D74" t="inlineStr">
        <is>
          <t>indeed</t>
        </is>
      </c>
      <c r="E74">
        <f>HYPERLINK("https://www.indeed.com/viewjob?jk=edfec4d21a091db0", "https://www.indeed.com/viewjob?jk=edfec4d21a091db0")</f>
        <v/>
      </c>
      <c r="F74">
        <f>HYPERLINK("https://www.amazon.jobs/jobs/3111761/software-engineer-i?cmpid=DA_INAD200785B", "https://www.amazon.jobs/jobs/3111761/software-engineer-i?cmpid=DA_INAD200785B")</f>
        <v/>
      </c>
      <c r="G74" t="inlineStr">
        <is>
          <t>San Francisco, CA, US</t>
        </is>
      </c>
      <c r="H74" s="3" t="n">
        <v>45946</v>
      </c>
      <c r="I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in-29d076d6e8f7f914</t>
        </is>
      </c>
      <c r="B75" t="inlineStr">
        <is>
          <t>Senior Software Engineer, Machine Learning Accelerator Technology</t>
        </is>
      </c>
      <c r="C75" t="inlineStr">
        <is>
          <t>Amazon Web Services</t>
        </is>
      </c>
      <c r="D75" t="inlineStr">
        <is>
          <t>indeed</t>
        </is>
      </c>
      <c r="E75">
        <f>HYPERLINK("https://www.indeed.com/viewjob?jk=29d076d6e8f7f914", "https://www.indeed.com/viewjob?jk=29d076d6e8f7f914")</f>
        <v/>
      </c>
      <c r="F75">
        <f>HYPERLINK("https://www.amazon.jobs/jobs/3100161/senior-software-engineer-machine-learning-accelerator-technology?cmpid=DA_INAD200785B", "https://www.amazon.jobs/jobs/3100161/senior-software-engineer-machine-learning-accelerator-technology?cmpid=DA_INAD200785B")</f>
        <v/>
      </c>
      <c r="G75" t="inlineStr">
        <is>
          <t>Austin, TX, US</t>
        </is>
      </c>
      <c r="H75" s="3" t="n">
        <v>45930</v>
      </c>
      <c r="I75" t="inlineStr">
        <is>
          <t>**DESCRIPTION**
---------------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Annapurna Labs (our organization within AWS UC)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The MLA Technology team is looking for candidates interested in diving deep into the different hardware technologies that power our Machine Learning servers and view the software to drive these technologies as the deliverable.  
Do you like hacking memory using PCIe expansion cards? Great! Do you read data sheets like others read the news? Great! Done some embedded programming? Great! Messed with FPGAs? Great! Hacked your autonomous vacuum cleaner? Great! Let the magic smoke out once or twice? Didn't we all ... Did this make you smile? Awesome.
Our team writes software focused on hardware for the most advanced servers in the world. If that interests you, come join our team!  
Key job responsibilities  
* Members of the team are responsible for software related to machine learning hardware at all points in the hardware life cycle.
* Working with silicon design and hardware design teams across EC2
* Developing software which can be maintained, improved upon, documented, tested, and reused.
A day in the life  
The MLA Technology team was formed to focus on server software primarily for debug, testing, qualification, and manufacturing. No software is too low level for us. No software is too high level for us. At a high\-level our goal is to find ways to help the organization scale though the use of software and automation as it relates to specific hardware technologies.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 Experience writing low level drivers, or experience with general troubleshooting/debugging of hardware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in-94a014e89a56897a</t>
        </is>
      </c>
      <c r="B76" t="inlineStr">
        <is>
          <t>Sr Software Engineer</t>
        </is>
      </c>
      <c r="C76" t="inlineStr">
        <is>
          <t>Amazon.com</t>
        </is>
      </c>
      <c r="D76" t="inlineStr">
        <is>
          <t>indeed</t>
        </is>
      </c>
      <c r="E76">
        <f>HYPERLINK("https://www.indeed.com/viewjob?jk=94a014e89a56897a", "https://www.indeed.com/viewjob?jk=94a014e89a56897a")</f>
        <v/>
      </c>
      <c r="F76">
        <f>HYPERLINK("https://www.amazon.jobs/jobs/3090674/sr-software-engineer?cmpid=DA_INAD200785B", "https://www.amazon.jobs/jobs/3090674/sr-software-engineer?cmpid=DA_INAD200785B")</f>
        <v/>
      </c>
      <c r="G76" t="inlineStr">
        <is>
          <t>San Francisco, CA, US</t>
        </is>
      </c>
      <c r="H76" s="3" t="n">
        <v>45921</v>
      </c>
      <c r="I7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in-eb51a44c2d4d4efa</t>
        </is>
      </c>
      <c r="B77" t="inlineStr">
        <is>
          <t>Sr Software Engineer</t>
        </is>
      </c>
      <c r="C77" t="inlineStr">
        <is>
          <t>Amazon.com</t>
        </is>
      </c>
      <c r="D77" t="inlineStr">
        <is>
          <t>indeed</t>
        </is>
      </c>
      <c r="E77">
        <f>HYPERLINK("https://www.indeed.com/viewjob?jk=eb51a44c2d4d4efa", "https://www.indeed.com/viewjob?jk=eb51a44c2d4d4efa")</f>
        <v/>
      </c>
      <c r="F77">
        <f>HYPERLINK("https://www.amazon.jobs/jobs/3090674/sr-software-engineer?cmpid=DA_INAD200785B", "https://www.amazon.jobs/jobs/3090674/sr-software-engineer?cmpid=DA_INAD200785B")</f>
        <v/>
      </c>
      <c r="G77" t="inlineStr">
        <is>
          <t>Irvine, CA, US</t>
        </is>
      </c>
      <c r="H77" s="3" t="n">
        <v>45921</v>
      </c>
      <c r="I7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in-72c09b9621553b95</t>
        </is>
      </c>
      <c r="B78" t="inlineStr">
        <is>
          <t>Software Engineer II</t>
        </is>
      </c>
      <c r="C78" t="inlineStr">
        <is>
          <t>Amazon.com</t>
        </is>
      </c>
      <c r="D78" t="inlineStr">
        <is>
          <t>indeed</t>
        </is>
      </c>
      <c r="E78">
        <f>HYPERLINK("https://www.indeed.com/viewjob?jk=72c09b9621553b95", "https://www.indeed.com/viewjob?jk=72c09b9621553b95")</f>
        <v/>
      </c>
      <c r="F78">
        <f>HYPERLINK("https://www.amazon.jobs/jobs/3090680/software-engineer-ii?cmpid=DA_INAD200785B", "https://www.amazon.jobs/jobs/3090680/software-engineer-ii?cmpid=DA_INAD200785B")</f>
        <v/>
      </c>
      <c r="G78" t="inlineStr">
        <is>
          <t>Irvine, CA, US</t>
        </is>
      </c>
      <c r="H78" s="3" t="n">
        <v>45921</v>
      </c>
      <c r="I7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in-07a00f34410a48fe</t>
        </is>
      </c>
      <c r="B79" t="inlineStr">
        <is>
          <t>Software Engineer II</t>
        </is>
      </c>
      <c r="C79" t="inlineStr">
        <is>
          <t>Amazon.com</t>
        </is>
      </c>
      <c r="D79" t="inlineStr">
        <is>
          <t>indeed</t>
        </is>
      </c>
      <c r="E79">
        <f>HYPERLINK("https://www.indeed.com/viewjob?jk=07a00f34410a48fe", "https://www.indeed.com/viewjob?jk=07a00f34410a48fe")</f>
        <v/>
      </c>
      <c r="F79">
        <f>HYPERLINK("https://www.amazon.jobs/jobs/3090680/software-engineer-ii?cmpid=DA_INAD200785B", "https://www.amazon.jobs/jobs/3090680/software-engineer-ii?cmpid=DA_INAD200785B")</f>
        <v/>
      </c>
      <c r="G79" t="inlineStr">
        <is>
          <t>San Francisco, CA, US</t>
        </is>
      </c>
      <c r="H79" s="3" t="n">
        <v>45921</v>
      </c>
      <c r="I7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in-7ef86ef1fd43d289</t>
        </is>
      </c>
      <c r="B80" t="inlineStr">
        <is>
          <t>Sr. Device Software Engineer, Amazon Leo Government</t>
        </is>
      </c>
      <c r="C80" t="inlineStr">
        <is>
          <t>Amazon.com</t>
        </is>
      </c>
      <c r="D80" t="inlineStr">
        <is>
          <t>indeed</t>
        </is>
      </c>
      <c r="E80">
        <f>HYPERLINK("https://www.indeed.com/viewjob?jk=7ef86ef1fd43d289", "https://www.indeed.com/viewjob?jk=7ef86ef1fd43d289")</f>
        <v/>
      </c>
      <c r="F80">
        <f>HYPERLINK("https://www.amazon.jobs/jobs/3082545/sr-device-software-engineer-amazon-leo-government-?cmpid=DA_INAD200785B", "https://www.amazon.jobs/jobs/3082545/sr-device-software-engineer-amazon-leo-government-?cmpid=DA_INAD200785B")</f>
        <v/>
      </c>
      <c r="G80" t="inlineStr">
        <is>
          <t>Redmond, WA, US</t>
        </is>
      </c>
      <c r="H80" s="3" t="n">
        <v>45911</v>
      </c>
      <c r="I8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in-f4bbe3e06fd360a6</t>
        </is>
      </c>
      <c r="B81" t="inlineStr">
        <is>
          <t>Sr. Device Software Engineer, Amazon Leo Government</t>
        </is>
      </c>
      <c r="C81" t="inlineStr">
        <is>
          <t>Amazon.com</t>
        </is>
      </c>
      <c r="D81" t="inlineStr">
        <is>
          <t>indeed</t>
        </is>
      </c>
      <c r="E81">
        <f>HYPERLINK("https://www.indeed.com/viewjob?jk=f4bbe3e06fd360a6", "https://www.indeed.com/viewjob?jk=f4bbe3e06fd360a6")</f>
        <v/>
      </c>
      <c r="F81">
        <f>HYPERLINK("https://www.amazon.jobs/jobs/3082545/sr-device-software-engineer-amazon-leo-government-?cmpid=DA_INAD200785B", "https://www.amazon.jobs/jobs/3082545/sr-device-software-engineer-amazon-leo-government-?cmpid=DA_INAD200785B")</f>
        <v/>
      </c>
      <c r="G81" t="inlineStr">
        <is>
          <t>Northridge, CA, US</t>
        </is>
      </c>
      <c r="H81" s="3" t="n">
        <v>45911</v>
      </c>
      <c r="I8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in-1f3894eb2b36eafc</t>
        </is>
      </c>
      <c r="B82" t="inlineStr">
        <is>
          <t>Sr. Device Software Engineer, Amazon Leo Government</t>
        </is>
      </c>
      <c r="C82" t="inlineStr">
        <is>
          <t>Amazon.com</t>
        </is>
      </c>
      <c r="D82" t="inlineStr">
        <is>
          <t>indeed</t>
        </is>
      </c>
      <c r="E82">
        <f>HYPERLINK("https://www.indeed.com/viewjob?jk=1f3894eb2b36eafc", "https://www.indeed.com/viewjob?jk=1f3894eb2b36eafc")</f>
        <v/>
      </c>
      <c r="F82">
        <f>HYPERLINK("https://www.amazon.jobs/jobs/3082545/sr-device-software-engineer-amazon-leo-government-?cmpid=DA_INAD200785B", "https://www.amazon.jobs/jobs/3082545/sr-device-software-engineer-amazon-leo-government-?cmpid=DA_INAD200785B")</f>
        <v/>
      </c>
      <c r="G82" t="inlineStr">
        <is>
          <t>El Segundo, CA, US</t>
        </is>
      </c>
      <c r="H82" s="3" t="n">
        <v>45911</v>
      </c>
      <c r="I8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in-3857320052f3b2c8</t>
        </is>
      </c>
      <c r="B83" t="inlineStr">
        <is>
          <t>Sr. Device Software Engineer, Amazon Leo Government</t>
        </is>
      </c>
      <c r="C83" t="inlineStr">
        <is>
          <t>Amazon.com</t>
        </is>
      </c>
      <c r="D83" t="inlineStr">
        <is>
          <t>indeed</t>
        </is>
      </c>
      <c r="E83">
        <f>HYPERLINK("https://www.indeed.com/viewjob?jk=3857320052f3b2c8", "https://www.indeed.com/viewjob?jk=3857320052f3b2c8")</f>
        <v/>
      </c>
      <c r="F83">
        <f>HYPERLINK("https://www.amazon.jobs/jobs/3082545/sr-device-software-engineer-amazon-leo-government-?cmpid=DA_INAD200785B", "https://www.amazon.jobs/jobs/3082545/sr-device-software-engineer-amazon-leo-government-?cmpid=DA_INAD200785B")</f>
        <v/>
      </c>
      <c r="G83" t="inlineStr">
        <is>
          <t>Arlington, VA, US</t>
        </is>
      </c>
      <c r="H83" s="3" t="n">
        <v>45911</v>
      </c>
      <c r="I8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in-80409f1e2265adf6</t>
        </is>
      </c>
      <c r="B84" t="inlineStr">
        <is>
          <t>Device Software Engineer, Amazon Leo Government</t>
        </is>
      </c>
      <c r="C84" t="inlineStr">
        <is>
          <t>Amazon.com</t>
        </is>
      </c>
      <c r="D84" t="inlineStr">
        <is>
          <t>indeed</t>
        </is>
      </c>
      <c r="E84">
        <f>HYPERLINK("https://www.indeed.com/viewjob?jk=80409f1e2265adf6", "https://www.indeed.com/viewjob?jk=80409f1e2265adf6")</f>
        <v/>
      </c>
      <c r="F84">
        <f>HYPERLINK("https://www.amazon.jobs/jobs/3083623/device-software-engineer-amazon-leo-government-?cmpid=DA_INAD200785B", "https://www.amazon.jobs/jobs/3083623/device-software-engineer-amazon-leo-government-?cmpid=DA_INAD200785B")</f>
        <v/>
      </c>
      <c r="G84" t="inlineStr">
        <is>
          <t>Redmond, WA, US</t>
        </is>
      </c>
      <c r="H84" s="3" t="n">
        <v>45910</v>
      </c>
      <c r="I8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in-274ba729ef417295</t>
        </is>
      </c>
      <c r="B85" t="inlineStr">
        <is>
          <t>Device Software Engineer, Amazon Leo Government</t>
        </is>
      </c>
      <c r="C85" t="inlineStr">
        <is>
          <t>Amazon.com</t>
        </is>
      </c>
      <c r="D85" t="inlineStr">
        <is>
          <t>indeed</t>
        </is>
      </c>
      <c r="E85">
        <f>HYPERLINK("https://www.indeed.com/viewjob?jk=274ba729ef417295", "https://www.indeed.com/viewjob?jk=274ba729ef417295")</f>
        <v/>
      </c>
      <c r="F85">
        <f>HYPERLINK("https://www.amazon.jobs/jobs/3083623/device-software-engineer-amazon-leo-government-?cmpid=DA_INAD200785B", "https://www.amazon.jobs/jobs/3083623/device-software-engineer-amazon-leo-government-?cmpid=DA_INAD200785B")</f>
        <v/>
      </c>
      <c r="G85" t="inlineStr">
        <is>
          <t>Northridge, CA, US</t>
        </is>
      </c>
      <c r="H85" s="3" t="n">
        <v>45910</v>
      </c>
      <c r="I8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in-13cdc6bcc288eec4</t>
        </is>
      </c>
      <c r="B86" t="inlineStr">
        <is>
          <t>Device Software Engineer, Amazon Leo Government</t>
        </is>
      </c>
      <c r="C86" t="inlineStr">
        <is>
          <t>Amazon.com</t>
        </is>
      </c>
      <c r="D86" t="inlineStr">
        <is>
          <t>indeed</t>
        </is>
      </c>
      <c r="E86">
        <f>HYPERLINK("https://www.indeed.com/viewjob?jk=13cdc6bcc288eec4", "https://www.indeed.com/viewjob?jk=13cdc6bcc288eec4")</f>
        <v/>
      </c>
      <c r="F86">
        <f>HYPERLINK("https://www.amazon.jobs/jobs/3083623/device-software-engineer-amazon-leo-government-?cmpid=DA_INAD200785B", "https://www.amazon.jobs/jobs/3083623/device-software-engineer-amazon-leo-government-?cmpid=DA_INAD200785B")</f>
        <v/>
      </c>
      <c r="G86" t="inlineStr">
        <is>
          <t>El Segundo, CA, US</t>
        </is>
      </c>
      <c r="H86" s="3" t="n">
        <v>45910</v>
      </c>
      <c r="I8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in-305729c72c9434e1</t>
        </is>
      </c>
      <c r="B87" t="inlineStr">
        <is>
          <t>Device Software Engineer, Amazon Leo Government</t>
        </is>
      </c>
      <c r="C87" t="inlineStr">
        <is>
          <t>Amazon.com</t>
        </is>
      </c>
      <c r="D87" t="inlineStr">
        <is>
          <t>indeed</t>
        </is>
      </c>
      <c r="E87">
        <f>HYPERLINK("https://www.indeed.com/viewjob?jk=305729c72c9434e1", "https://www.indeed.com/viewjob?jk=305729c72c9434e1")</f>
        <v/>
      </c>
      <c r="F87">
        <f>HYPERLINK("https://www.amazon.jobs/jobs/3083623/device-software-engineer-amazon-leo-government-?cmpid=DA_INAD200785B", "https://www.amazon.jobs/jobs/3083623/device-software-engineer-amazon-leo-government-?cmpid=DA_INAD200785B")</f>
        <v/>
      </c>
      <c r="G87" t="inlineStr">
        <is>
          <t>Arlington, VA, US</t>
        </is>
      </c>
      <c r="H87" s="3" t="n">
        <v>45910</v>
      </c>
      <c r="I8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in-5d7af71876de13f0</t>
        </is>
      </c>
      <c r="B88" t="inlineStr">
        <is>
          <t>Software Engineer I- Ad Demand</t>
        </is>
      </c>
      <c r="C88" t="inlineStr">
        <is>
          <t>Amazon.com</t>
        </is>
      </c>
      <c r="D88" t="inlineStr">
        <is>
          <t>indeed</t>
        </is>
      </c>
      <c r="E88">
        <f>HYPERLINK("https://www.indeed.com/viewjob?jk=5d7af71876de13f0", "https://www.indeed.com/viewjob?jk=5d7af71876de13f0")</f>
        <v/>
      </c>
      <c r="F88">
        <f>HYPERLINK("https://www.amazon.jobs/jobs/3082168/software-engineer-i-ad-demand?cmpid=DA_INAD200785B", "https://www.amazon.jobs/jobs/3082168/software-engineer-i-ad-demand?cmpid=DA_INAD200785B")</f>
        <v/>
      </c>
      <c r="G88" t="inlineStr">
        <is>
          <t>San Francisco, CA, US</t>
        </is>
      </c>
      <c r="H88" s="3" t="n">
        <v>45908</v>
      </c>
      <c r="I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in-0d956e6f87db119e</t>
        </is>
      </c>
      <c r="B89" t="inlineStr">
        <is>
          <t>Software Engineer I- Ad Demand</t>
        </is>
      </c>
      <c r="C89" t="inlineStr">
        <is>
          <t>Amazon.com</t>
        </is>
      </c>
      <c r="D89" t="inlineStr">
        <is>
          <t>indeed</t>
        </is>
      </c>
      <c r="E89">
        <f>HYPERLINK("https://www.indeed.com/viewjob?jk=0d956e6f87db119e", "https://www.indeed.com/viewjob?jk=0d956e6f87db119e")</f>
        <v/>
      </c>
      <c r="F89">
        <f>HYPERLINK("https://www.amazon.jobs/jobs/3082168/software-engineer-i-ad-demand?cmpid=DA_INAD200785B", "https://www.amazon.jobs/jobs/3082168/software-engineer-i-ad-demand?cmpid=DA_INAD200785B")</f>
        <v/>
      </c>
      <c r="G89" t="inlineStr">
        <is>
          <t>New York, NY, US</t>
        </is>
      </c>
      <c r="H89" s="3" t="n">
        <v>45908</v>
      </c>
      <c r="I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in-35b02f58803c2009</t>
        </is>
      </c>
      <c r="B90" t="inlineStr">
        <is>
          <t>Software Developer Engineer - iOS, Ring</t>
        </is>
      </c>
      <c r="C90" t="inlineStr">
        <is>
          <t>Amazon.com</t>
        </is>
      </c>
      <c r="D90" t="inlineStr">
        <is>
          <t>indeed</t>
        </is>
      </c>
      <c r="E90">
        <f>HYPERLINK("https://www.indeed.com/viewjob?jk=35b02f58803c2009", "https://www.indeed.com/viewjob?jk=35b02f58803c2009")</f>
        <v/>
      </c>
      <c r="F90">
        <f>HYPERLINK("https://www.amazon.jobs/jobs/3011028/software-developer-engineer--ios-ring?cmpid=DA_INAD200785B", "https://www.amazon.jobs/jobs/3011028/software-developer-engineer--ios-ring?cmpid=DA_INAD200785B")</f>
        <v/>
      </c>
      <c r="G90" t="inlineStr">
        <is>
          <t>Hawthorne, CA, US</t>
        </is>
      </c>
      <c r="H90" s="3" t="n">
        <v>45812</v>
      </c>
      <c r="I90"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in-aaf2330975593386</t>
        </is>
      </c>
      <c r="B91" t="inlineStr">
        <is>
          <t>Software Developer Engineer - iOS, Ring</t>
        </is>
      </c>
      <c r="C91" t="inlineStr">
        <is>
          <t>Amazon.com</t>
        </is>
      </c>
      <c r="D91" t="inlineStr">
        <is>
          <t>indeed</t>
        </is>
      </c>
      <c r="E91">
        <f>HYPERLINK("https://www.indeed.com/viewjob?jk=aaf2330975593386", "https://www.indeed.com/viewjob?jk=aaf2330975593386")</f>
        <v/>
      </c>
      <c r="F91">
        <f>HYPERLINK("https://www.amazon.jobs/jobs/3011028/software-developer-engineer--ios-ring?cmpid=DA_INAD200785B", "https://www.amazon.jobs/jobs/3011028/software-developer-engineer--ios-ring?cmpid=DA_INAD200785B")</f>
        <v/>
      </c>
      <c r="G91" t="inlineStr">
        <is>
          <t>Irvine, CA, US</t>
        </is>
      </c>
      <c r="H91" s="3" t="n">
        <v>45812</v>
      </c>
      <c r="I91"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in-aad5e1caf70cf358</t>
        </is>
      </c>
      <c r="B92" t="inlineStr">
        <is>
          <t>Software Developer Engineer - iOS, Ring</t>
        </is>
      </c>
      <c r="C92" t="inlineStr">
        <is>
          <t>Amazon.com</t>
        </is>
      </c>
      <c r="D92" t="inlineStr">
        <is>
          <t>indeed</t>
        </is>
      </c>
      <c r="E92">
        <f>HYPERLINK("https://www.indeed.com/viewjob?jk=aad5e1caf70cf358", "https://www.indeed.com/viewjob?jk=aad5e1caf70cf358")</f>
        <v/>
      </c>
      <c r="F92">
        <f>HYPERLINK("https://www.amazon.jobs/jobs/3011028/software-developer-engineer--ios-ring?cmpid=DA_INAD200785B", "https://www.amazon.jobs/jobs/3011028/software-developer-engineer--ios-ring?cmpid=DA_INAD200785B")</f>
        <v/>
      </c>
      <c r="G92" t="inlineStr">
        <is>
          <t>Austin, TX, US</t>
        </is>
      </c>
      <c r="H92" s="3" t="n">
        <v>45812</v>
      </c>
      <c r="I92"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in-1272e0cb6cdca030</t>
        </is>
      </c>
      <c r="B93" t="inlineStr">
        <is>
          <t>Senior Software Engineer - Query Processing, Aurora DSQL</t>
        </is>
      </c>
      <c r="C93" t="inlineStr">
        <is>
          <t>Amazon Web Services</t>
        </is>
      </c>
      <c r="D93" t="inlineStr">
        <is>
          <t>indeed</t>
        </is>
      </c>
      <c r="E93">
        <f>HYPERLINK("https://www.indeed.com/viewjob?jk=1272e0cb6cdca030", "https://www.indeed.com/viewjob?jk=1272e0cb6cdca030")</f>
        <v/>
      </c>
      <c r="F93">
        <f>HYPERLINK("https://www.amazon.jobs/jobs/2987643/senior-software-engineer--query-processing-aurora-dsql?cmpid=DA_INAD200785B", "https://www.amazon.jobs/jobs/2987643/senior-software-engineer--query-processing-aurora-dsql?cmpid=DA_INAD200785B")</f>
        <v/>
      </c>
      <c r="G93" t="inlineStr">
        <is>
          <t>East Palo Alto, CA, US</t>
        </is>
      </c>
      <c r="H93" s="3" t="n">
        <v>45796</v>
      </c>
      <c r="I9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in-2ac8d6e05498098f</t>
        </is>
      </c>
      <c r="B94" t="inlineStr">
        <is>
          <t>Senior Software Engineer - Query Processing, Aurora DSQL</t>
        </is>
      </c>
      <c r="C94" t="inlineStr">
        <is>
          <t>Amazon Web Services</t>
        </is>
      </c>
      <c r="D94" t="inlineStr">
        <is>
          <t>indeed</t>
        </is>
      </c>
      <c r="E94">
        <f>HYPERLINK("https://www.indeed.com/viewjob?jk=2ac8d6e05498098f", "https://www.indeed.com/viewjob?jk=2ac8d6e05498098f")</f>
        <v/>
      </c>
      <c r="F94">
        <f>HYPERLINK("https://www.amazon.jobs/jobs/2987643/senior-software-engineer--query-processing-aurora-dsql?cmpid=DA_INAD200785B", "https://www.amazon.jobs/jobs/2987643/senior-software-engineer--query-processing-aurora-dsql?cmpid=DA_INAD200785B")</f>
        <v/>
      </c>
      <c r="G94" t="inlineStr">
        <is>
          <t>Seattle, WA, US</t>
        </is>
      </c>
      <c r="H94" s="3" t="n">
        <v>45796</v>
      </c>
      <c r="I9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in-c1fe145d8d5c6493</t>
        </is>
      </c>
      <c r="B95" t="inlineStr">
        <is>
          <t>Embedded C++ Software Engineer, Machine Learning Acceleration</t>
        </is>
      </c>
      <c r="C95" t="inlineStr">
        <is>
          <t>Amazon Web Services</t>
        </is>
      </c>
      <c r="D95" t="inlineStr">
        <is>
          <t>indeed</t>
        </is>
      </c>
      <c r="E95">
        <f>HYPERLINK("https://www.indeed.com/viewjob?jk=c1fe145d8d5c6493", "https://www.indeed.com/viewjob?jk=c1fe145d8d5c6493")</f>
        <v/>
      </c>
      <c r="F95">
        <f>HYPERLINK("https://www.amazon.jobs/jobs/2894488/embedded-c-software-engineer-machine-learning-acceleration?cmpid=DA_INAD200785B", "https://www.amazon.jobs/jobs/2894488/embedded-c-software-engineer-machine-learning-acceleration?cmpid=DA_INAD200785B")</f>
        <v/>
      </c>
      <c r="G95" t="inlineStr">
        <is>
          <t>Cupertino, CA, US</t>
        </is>
      </c>
      <c r="H95" s="3" t="n">
        <v>45691</v>
      </c>
      <c r="I95"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in-a3afefda017cec2a</t>
        </is>
      </c>
      <c r="B96" t="inlineStr">
        <is>
          <t>Embedded C++ Software Engineer, Machine Learning Acceleration</t>
        </is>
      </c>
      <c r="C96" t="inlineStr">
        <is>
          <t>Amazon Web Services</t>
        </is>
      </c>
      <c r="D96" t="inlineStr">
        <is>
          <t>indeed</t>
        </is>
      </c>
      <c r="E96">
        <f>HYPERLINK("https://www.indeed.com/viewjob?jk=a3afefda017cec2a", "https://www.indeed.com/viewjob?jk=a3afefda017cec2a")</f>
        <v/>
      </c>
      <c r="F96">
        <f>HYPERLINK("https://www.amazon.jobs/jobs/2894488/embedded-c-software-engineer-machine-learning-acceleration?cmpid=DA_INAD200785B", "https://www.amazon.jobs/jobs/2894488/embedded-c-software-engineer-machine-learning-acceleration?cmpid=DA_INAD200785B")</f>
        <v/>
      </c>
      <c r="G96" t="inlineStr">
        <is>
          <t>Austin, TX, US</t>
        </is>
      </c>
      <c r="H96" s="3" t="n">
        <v>45691</v>
      </c>
      <c r="I96"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li-4357683111</t>
        </is>
      </c>
      <c r="B2" t="inlineStr">
        <is>
          <t>Software Developer, Sr Staff / SAP MDG</t>
        </is>
      </c>
      <c r="C2" t="inlineStr">
        <is>
          <t>Jobs via Dice</t>
        </is>
      </c>
      <c r="D2" t="inlineStr">
        <is>
          <t>linkedin</t>
        </is>
      </c>
      <c r="E2" t="inlineStr"/>
      <c r="F2" t="inlineStr"/>
      <c r="G2" t="inlineStr">
        <is>
          <t>Fort Worth, TX</t>
        </is>
      </c>
      <c r="H2" t="inlineStr"/>
      <c r="I2" t="inlineStr">
        <is>
          <t>**Job Description**
**About Us:**
 Today's way of working is drastically changing due to the transition in the working environment, new competitors on the horizon, and advances in technology. The OneLM Transformation (1LMX) program, the largest internal program ever undertaken by the company, will support this future through desired transformational business outcomes by re\-engineering our business processes with a focus on commonality, interoperability, and a better stakeholder experience so our business runs like a well\-oiled machine.
**Your Mission:**
 The Software Developer, Senior Staff position in the Lockheed Martin 1LMX ERP Portfolio focuses on SAP Master Data Governance (SAP MDG). The developer will be part of the MDG implementation team, working closely with other team members to design and develop complex business solutions. These solutions will be tailored to meet the unique needs of the organization while adhering to 1LMX's data governance policies, standards, and guidelines. This approach ensures that data is treated as a valuable strategic asset.
 As an SAP MDG Technical Developer, this role will be responsible for:
 Collaborating with the implementation team: The developer will work in tandem with other team members, including business analysts, project managers, and quality assurance specialists, to create effective SAP MDG solutions.
 Designing and developing complex business solutions: The Software Developer will be instrumental in designing and building SAP MDG\-based applications and systems that cater to the specific requirements of Lockheed Martin's 1LMX ERP Portfolio. This process involves understanding business needs, translating them into technical requirements, and creating solutions that align with those requirements.
 Adhering to data governance policies, standards, and guidelines: A crucial aspect of this role is ensuring that all developed solutions comply with 1LMX's data governance policies. This commitment guarantees that data is managed, organized, and utilized in a uniform, secure, and efficient manner across the organization.
 Enabling data as a strategic asset: By creating SAP MDG solutions that adhere to data governance policies, the Software Developer will contribute to making data a valuable and actionable resource for Lockheed Martin's 1LMX ERP Portfolio.
 Lead and support end\-to\-end MDG implementations, including custom data model design, UI modeling, process modeling, and governance configuration.
 Strong hands\-on experience Developing and maintaining custom RICEFW objects, leveraging MDG\-specific BADIs, BRF\+, classes, methods, and replication techniques (DRF/DIF).
 Provide expert\-level production support, troubleshooting complex issues across MDG, SAP ERP, and integrated systems.
 This position reports to the IT Program Manager, who will provide guidance, support, and oversight throughout the software development process. The successful candidate will be an integral part of the MDG implementation team, contributing to the design and development of advanced business solutions that leverage the power of SAP MDG and support Lockheed Martin's data governance initiatives.
 This role is scoped on a 4x10 schedule, and is also a Full\-Time Telecommute (Remote) role, although preference is for candidates in close proximity to a major Lockheed Martin facility.
* In light of current internal business pressures, priority consideration will be given to qualified candidates who are currently affiliated with the Enterprise Operations' Enterprise Business \&amp; Digital Transformation (EBDT) organization. \#EBDT
**Basic Qualifications**
 Proven track record of delivering multiple MDG implementations, including custom solutions
 Strong background in SAP ERP architecture and data governance
 Solid Problem\-solving skills to troubleshoot issues and identify solutions.
 Experience with business process architecture and transformation initiatives
 Hands\-on experience with data replication setup, workflow configuration, and data modeling
 Proficient in designing and implementing Custom Data Models, UI Modeling, and Governance Processes.
 Experienced in Mass Processing, DRF/DIF integration, and leveraging BRF\+, BADIs, and Rule\-Based Workflows for enhanced functionality
 Skilled ABAP developer with expertise in Object\-Oriented programming, ABAP on HANA optimizations, and Floor Plan Manager (FPM) application development
 Experienced in data extraction, transformation, and loading (ETL) processes utilizing SAP BODS and Information Stewards for data quality and governance
 ship is required for this role
**Desired Skills**
 Advanced proficiency in HANA Stored Procedures and complex SQL logic
 Strong working knowledge of SAP BODS job creation, scheduling, and support
 Availability for immediate MDG production support and troubleshooting
 CDS Views, AMDP, Fiori, Web Dynpro ABAP
 Integration\- REST API, SOAP, OData, IDOC, RFC, XML/JSON
 Database \&amp; SQL\- HANA Stored Procedures, Performance Tunning
 Data Quality\- Profiling, Cleansing, Duplication Detection, Metrics \&amp; Dashboards
 Tools \&amp; Platforms\- Utopia EAM, Data Virtualization Platforms
 ERP Modules\- MM, FI, CO, SD, HCM, PP (ECC \&amp; S/4HANA)
 Expertise in configuring, customizing, and integrating SAP ECC and S/4HANA across key business functions, including Materials Management (MM), Financial Accounting (FI), Controlling (CO), Sales and Distribution (SD), Human Capital Management (HCM), and Production Planning (PP), to optimize end\-to\-end processes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$128,400 \- $226,435\.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$147,700 \- $255,990\.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3">
      <c r="A3" t="inlineStr">
        <is>
          <t>li-4363897350</t>
        </is>
      </c>
      <c r="B3" t="inlineStr">
        <is>
          <t>Software Engineer</t>
        </is>
      </c>
      <c r="C3" t="inlineStr">
        <is>
          <t>Cisco</t>
        </is>
      </c>
      <c r="D3" t="inlineStr">
        <is>
          <t>linkedin</t>
        </is>
      </c>
      <c r="E3" t="inlineStr"/>
      <c r="F3" t="inlineStr"/>
      <c r="G3" t="inlineStr">
        <is>
          <t>Durham, NC</t>
        </is>
      </c>
      <c r="H3" t="inlineStr"/>
      <c r="I3" t="inlineStr">
        <is>
          <t>The application window is expected to close on: 02/15/2026
**Job posting may be removed earlier if the position is filled or if a sufficient number of applications are received** 
 .
 The application is expected to close by 2/15/2026
**Meet The Team**
 You will join Cisco's IT Supply Chain team, dedicated to delivering exceptional services, tools, platforms, and data to power a world\-class Supply Chain. Our focus is on innovation, optimizing business processes, leveraging cloud services, and developing in\-house solutions. You'll collaborate with Product Owners, Architects, Tech Leads, Analysts, and global delivery teams, contributing to a dynamic, diverse, and inclusive environment focused on building and enhancing an end\-to\-end Orchestrator system.
**Your Impact**
 The Data \&amp; AI Engineer is responsible for building the data foundations and production\-grade AI solutions that power analytics, automation, and intelligent applications. The role combines modern data engineering, MLOps, and software engineering practices to deliver reliable, scalable AI capabilities. Join our diverse and inclusive Supply Chain team and be a part of one of the top Supply Chains in the world! You'll have the incredible opportunity to join us in Supply Chain IT and play a key role in designing and developing next\-generation capabilities. You will interface with the Supply Chain Business operations teams, design and develop data foundations, GenAI capabilities and deliver them.
**Responsibilities**
* Design, build, and maintain or support scalable data pipelines and batch/streaming workflows to power analytics and AI/ML use cases.
* Develop and operationalize machine learning and GenAI solutions, including feature pipelines, model training, evaluation, and deployment into production.
* Implement and manage data and AI infrastructure (e.g., data lakes/warehouses, feature stores, model registries, vector stores, orchestration) following best practices for reliability and security.
* Partner with Business Teams to translate business problems into data and AI solutions with clear success metrics.
* Ensure data quality, lineage, observability, and governance across AI workloads, including monitoring for data drift and model performance degradation.
* Automate CI/CD and MLOps workflows for data pipelines and models, including testing, versioning, and rollout/rollback strategies.
* Optimize data and model performance and cost across cloud platforms and storage/compute layers.
* Contribute to standards, documentation, and best practices for data and AI engineering across the organization.
* Stay current with emerging data and AI technologies (LLMs, vector databases, orchestration tools, etc.) and recommend practical adoption paths.
**Minimum Qualifications**
* Bachelor’s or Master’s degree in Computer Science, Engineering, Data Science, or related field, or equivalent with 8\+ years of practical experience.
* Strong experience with data engineering tools and concepts: SQL, data warehousing, ETL/ELT, batch and streaming data processing.
* Proficiency in Python (preferred) or similar languages for building data and ML/AI solutions.
* Hands\-on experience with cloud platforms (AWS, Azure, or GCP) and modern data platforms (e.g., Snowflake, BigQuery, Databricks, or similar).
* Experience building, deploying, and maintaining ML/AI solutions using frameworks such as TensorFlow, PyTorch, scikit\-learn, or cloud ML services.
**Preferred Qualifications**
* Familiarity with MLOps practices and tools (e.g., MLflow, Kubeflow, SageMaker, Vertex AI, CI/CD pipelines, containers).
* Experience with large language models (LLMs), prompt engineering, RAG pipelines, and vector databases.
* Background in statistics or ML (feature engineering, model evaluation, A/B testing).
* Experience implementing data governance, security, and privacy controls for analytical and AI workloads.
* Exposure to domain\-specific data (e.g., Supply Chain) and associated regulatory environments.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$137,000\.00 to $200,500\.00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 \&amp;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4">
      <c r="A4" t="inlineStr">
        <is>
          <t>li-4363777194</t>
        </is>
      </c>
      <c r="B4" t="inlineStr">
        <is>
          <t>Full Stack Software Engineer</t>
        </is>
      </c>
      <c r="C4" t="inlineStr">
        <is>
          <t>Proxima</t>
        </is>
      </c>
      <c r="D4" t="inlineStr">
        <is>
          <t>linkedin</t>
        </is>
      </c>
      <c r="E4" t="inlineStr"/>
      <c r="F4" t="inlineStr"/>
      <c r="G4" t="inlineStr"/>
      <c r="H4" t="inlineStr"/>
      <c r="I4" t="inlineStr">
        <is>
          <t>**About Proxima (formerly VantAI)**
 Proxima pairs bleeding\-edge machine learning techniques with deep systems biology expertise to build computational models that uncover hidden relationships between molecules, targets, and diseases. These models power a best\-in\-class solution that identifies and generates new molecular entities for targets of interest, repurposes existing molecules at any stage of development, uncovers accurate ADME and toxicological insights, and predicts adverse events likely to influence trial success from deep analysis of systems\-based pharmacogenomics. Proxima's
 *in silico* 
 platform specializes in modeling complex protein\-protein interactions, powering the discovery of biologics and protein degraders in addition to small\-molecule drugs. It has helped leading biopharma partners launch new development programs\-\-or revitalize old ones\-\-at a fraction of the time and cost of traditional methods.
**About You**
 We are looking for a talented full stack software engineer with an insatiable hunger for solving bleeding\-edge scientific problems spanning AI, machine learning, biology, chemistry, physics and computational science domains to join our core application team.
 Successful candidates will develop large\-scale scientific workflows, uncover new ways to visually convey complex experimental and simulated data, provide support to our scientists on existing workflows and proactively identify areas for increasing automation to reduce inefficiencies. Projects may include developing scalable chemical databases; automation of modeling, analysis, and visualization of simulations; developing cheminformatics tools and algorithms; and a range of similar tasks integral to achieving our mission of becoming the leading AI\-enabled drug discovery in the field of induced proximity.
 Our tech stack spans several languages and frameworks, including but not limited to Python, Go, Rust, React, running in Docker/Kubernetes on GCP. Relevant areas of expertise might include workflow engineering, frontend development for scientific applications, high\-performance cloud computing, systems engineering, and machine learning, but specific knowledge of any of these areas is less critical than versatility and a willingness to learn and work anywhere in the tech stack. We value individuals who want to make an impact, have a deep intellectual curiosity, enjoy solving challenging problems and have a track record of achievement.
**Specific Skills And Qualifications**
* 4\+ years work experience on a software team
* 2\+ years full\-stack experience on a deployed product
* Proficiency in Python
* Experience working in complex codebases and cloud\-native architectures
* Experience with modern JavaScript frontend stack (React, NextJS)
* Demonstrated passion for visualization, especially graphs and other complex data structures
* Experience developing client\-side 3D visualization libraries
* Ability to break apart existing code; solve ad hoc problems with little help
* No task too big or small; strong sense of independence and ownership
* Provide guidance and opinions on implementation, while having a willingness to compromise
* Experience supporting large\-scale scientific workflows/compute environments (desired)
* Experience working on drug discovery projects (desired)
* Container orchestration and Kubernetes cluster development (desired)
* IAM policy development and automation (desired)
 BS in Computer Science, similar field of study or equivalent practical experience required.
 NYC Salary: $120,000 \- $190,000
 This band is a reflection of the job description as written. Looking for a higher salary? Apply anyway! We are happy to speak to more experienced candidates who may require a higher salary and discuss that experience in our first touchpoint.</t>
        </is>
      </c>
    </row>
    <row r="5">
      <c r="A5" t="inlineStr">
        <is>
          <t>li-4363807331</t>
        </is>
      </c>
      <c r="B5" t="inlineStr">
        <is>
          <t>Full Stack Engineer</t>
        </is>
      </c>
      <c r="C5" t="inlineStr">
        <is>
          <t>Confiz</t>
        </is>
      </c>
      <c r="D5" t="inlineStr">
        <is>
          <t>linkedin</t>
        </is>
      </c>
      <c r="E5" t="inlineStr"/>
      <c r="F5" t="inlineStr"/>
      <c r="G5" t="inlineStr">
        <is>
          <t>Seattle, WA</t>
        </is>
      </c>
      <c r="H5" t="inlineStr"/>
      <c r="I5" t="inlineStr">
        <is>
          <t>Confiz is seeking a highly skilled Full Stack Engineer to design, develop, and deliver scalable, secure, and high\-performing web applications supporting Store Commerce initiatives. The ideal candidate brings strong expertise across front\-end and back\-end technologies, takes end\-to\-end ownership of solutions, and thrives in a collaborative, fast\-paced environment.
**Responsibilities**
* Design, develop, and maintain end\-to\-end web applications using modern front\-end and back\-end technologies
* Build scalable, reusable UI components using React
* Develop robust backend services and APIs using Java, Node.js, or similar technologies
* Design and integrate RESTful APIs and backend services
* Work closely with product managers, UX designers, and translate requirements into technical solutions
* Ensure application performance, security, scalability, and reliability
* Participate in architecture and design discussions; contribute to technical decisions
* Write clean, maintainable, well\-tested code following best practices
* Review code, mentor junior engineers, and uphold engineering standards
* Support production releases, troubleshooting, and on\-call rotations as needed
**Requirements**
* Bachelor’s degree in Computer Science, Engineering, or a related field, or equivalent practical experience
* 5–8 years of experience in full\-stack software development
* Strong experience with React, JavaScript (ES6\+), HTML, and CSS
* Backend development experience with Java (Spring Boot) or Node.js
* Solid understanding of REST APIs, microservices, and distributed systems
* Experience with relational and/or NoSQL databases (e.g., PostgreSQL, DynamoDB)
* Familiarity with authentication, authorization, and security best practices
* Experience with Git, CI/CD pipelines, and automated testing
* Exposure to TypeScript, Next.js, or other modern front\-end frameworks is a plus
* Experience with AWS cloud services and containerization technologies (Docker, Kubernetes) preferred
* Familiarity with event\-driven architectures (Kafka, SNS/SQS) and enterprise or retail systems is an advantage
 We have a global team of amazing individuals working on highly innovative enterprise projects \&amp; products. Our customer base includes Fortune 100 retail and CPG companies, leading store chains, fast growth fintech, and multiple Silicon Valley startups.
 What makes Confiz stand out is our focus on processes and culture. Confiz is ISO 9001:2015 (QMS), ISO 27001:2022 (ISMS), ISO 20000\-1:2018 (ITSM) and ISO 14001:2015 (EMS) Certified. We have a vibrant culture of learning via collaboration and making workplace fun.
 People who work with us work with cutting\-edge technologies while contributing success to the company as well as to themselves.
 To know more about Confiz Limited, visit https://www.linkedin.com/company/confiz/</t>
        </is>
      </c>
    </row>
    <row r="6">
      <c r="A6" t="inlineStr">
        <is>
          <t>li-4353790116</t>
        </is>
      </c>
      <c r="B6" t="inlineStr">
        <is>
          <t>Software Engineer 5</t>
        </is>
      </c>
      <c r="C6" t="inlineStr">
        <is>
          <t>Netflix</t>
        </is>
      </c>
      <c r="D6" t="inlineStr">
        <is>
          <t>linkedin</t>
        </is>
      </c>
      <c r="E6" t="inlineStr"/>
      <c r="F6" t="inlineStr"/>
      <c r="G6" t="inlineStr"/>
      <c r="H6" t="inlineStr"/>
      <c r="I6"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 ABOUT YOU**
 You are an individual who thrives on independence, has a passion for creating high\-quality products, and can form close work partnerships with engineers, product managers, and designers. You are adept at problem\-solving, enjoy a challenge, and have experience building scalable, high\-performing applications. You have excellent communication and collaboration skills, and, most importantly, you have experience with back\-end technologies, GenAI, LLMs, and possibly even applying them to enterprise problems.
 In this role, you'll help shape our strategy and vision and help us integrate AI into our enterprise employee\-facing applications. You’ll be a part of the team chartered with building company\-wide tools for the entire workforce and will partner with your peers to execute and deliver on the broader strategy and vision. You'll design, develop, and maintain products, infrastructure, and integrations with third\-party and other teams’ services. You will collaborate effectively with myriad teams and communicate technical ideas persuasively. You influence and shape team and project direction through effective partnerships across the entire company to save Netflix time and money and enhance productivity for the whole workforce.
**\| RESPONSIBILITIES**
* Design/ architect, develop, test, deploy, and operate fully integrated solutions across build/buy that provide seamless end\-to\-end product experiences.
* Influence broad AI strategy and vision for internal enterprise applications.
* Collaborate with cross\-functional teams to integrate generative AI solutions into existing workflow systems.
* Apply AI and GenAI responsibly to solve enterprise problems for the whole company.
* Design, build, and maintain infrastructure for modern integration methods between our applications, third\-party services, and other Netflix teams' services.
* Collaborate extremely effectively with product managers, designers, other engineers, stakeholders, and vendors on projects within the team and across all of Netflix.
* Communicate technical ideas and work closely with other senior members of the team.
**\| WE VALUE**
* You have strong problem\-solving skills and the ability to make data\-driven decisions.
* You are passionate about engineering principles and developing tools and applications for impact with high quality.
* You thrive in a dynamic environment where needs shift and can clearly articulate priorities and critical outcomes to your team.
**\| SKILLS AND EXPERIENCE**
* 5\+ years of experience as a software engineer, demonstrably delivering on time, at quality
* Expert knowledge of data structures, algorithms, and modern design patterns and data layers
* Expert knowledge of Python and/or Java
* Demonstrable ability to lead a project and deliver an end product on time, at quality
* Passion to build internal solutions and own development of enterprise\-wide applications
* Extensive knowledge of building quality APIs for internal and external products
* Lots of experience integrating internal and third\-party services into your solutions
* Expert knowledge of cloud computing platforms like Amazon Web Services (AWS), GCP
**You Might Have**
* Deep experience with Node, JavaScript, React, SpringBoot, NoSQL, GraphQL
* Experience automating workflows across the enterprise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$100K \- $600K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7">
      <c r="A7" t="inlineStr">
        <is>
          <t>li-4360131351</t>
        </is>
      </c>
      <c r="B7" t="inlineStr">
        <is>
          <t>Full Stack Engineer</t>
        </is>
      </c>
      <c r="C7" t="inlineStr">
        <is>
          <t>GEI Consultants, Inc.</t>
        </is>
      </c>
      <c r="D7" t="inlineStr">
        <is>
          <t>linkedin</t>
        </is>
      </c>
      <c r="E7" t="inlineStr"/>
      <c r="F7" t="inlineStr"/>
      <c r="G7" t="inlineStr">
        <is>
          <t>Denver, CO</t>
        </is>
      </c>
      <c r="H7" t="inlineStr"/>
      <c r="I7" t="inlineStr">
        <is>
          <t>**Description**
**Your role at GEI.**
 The Full Stack Engineer is responsible for front\-end development and back\-end interconnection of solutions that support AI\-powered applications and integrations across GEI. This role builds user\-facing and backend components for AI\-enabled solutions, including custom applications and Copilot extensibility, ensuring seamless integration, performance, and scalability.
 The Full Stack Engineer plays a hands\-on delivery role in active AI Solutions Factory use cases by developing and maintaining application components, integrating AI services, and supporting secure, reliable deployment of AI\-enabled applications within GEI’s technology environment.
**Essential Responsibilities \&amp; Duties**
* Develop and maintain secure front\-end and back\-end application components.
* Build user\-facing web interfaces using React or similar frameworks and backend services using .NET or Node.
* Ensure seamless integration of AI solutions into applications and workflows.
* Integrate Microsoft Graph APIs and related enterprise services.
* Implement authentication and authorization using Entra ID, OAuth, and role\-based access controls.
* Optimize application performance, reliability, scalability, and observability.
* Support AI\-powered applications and integrations that enable Copilot extensibility and custom solutions.
**Minimum Qualifications**
* 4\+ years of experience in full stack application development using React or Angular and .NET or Node/TypeScript.
* Proficiency in C\# and .NET.
* Proficiency with Microsoft Azure and cloud\-native application development.
* Experience building and consuming RESTful services and microservices architectures.
* Knowledge of Microsoft Azure AI and integration of AI capabilities into applications.
* Experience with Azure services such as Web Apps, Logic Apps, Containers, Functions, API Management, and monitoring tools.
* Familiarity with SQL Server and Azure SQL.
* Strong skills in JavaScript, jQuery, and TypeScript.
* Experience with front\-end frameworks such as Angular, React.js, or Node.js.
* Understanding of DevOps tools and practices, including Git and Azure DevOps.
* Knowledge of secure coding practices, data privacy, and application security best practices.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sitehere.
**GEI’s Total Rewards Package Includes**
* Market\-Competitive Compensation, including Eligibility for an Annual Performance Bonus
* Pay Range For This Position: $90,000\.00 – $130,000\.00/year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
 x
 8
 10
 12
 Other work hours
*GEI is an AA/equal opportunity employer, including disabled and veterans.*</t>
        </is>
      </c>
    </row>
    <row r="8">
      <c r="A8" t="inlineStr">
        <is>
          <t>li-4363817655</t>
        </is>
      </c>
      <c r="B8" t="inlineStr">
        <is>
          <t>Software Engineer, Frontend</t>
        </is>
      </c>
      <c r="C8" t="inlineStr">
        <is>
          <t>Mashgin</t>
        </is>
      </c>
      <c r="D8" t="inlineStr">
        <is>
          <t>linkedin</t>
        </is>
      </c>
      <c r="E8" t="inlineStr"/>
      <c r="F8" t="inlineStr"/>
      <c r="G8" t="inlineStr">
        <is>
          <t>Palo Alto, CA</t>
        </is>
      </c>
      <c r="H8" t="inlineStr"/>
      <c r="I8" t="inlineStr">
        <is>
          <t>**About Mashgin**
 Mashgin powers the world's best checkout experience for over 40 million users. Customers just place their items on our kiosks and our AI rings up their entire order in less than a second. With Mashgin, lines are now optional.
 Mashgin's technology powers over 1 billion transactions at your favorite locations, including over half of all US professional sports teams, 4,000 convenience stores, major airports, universities, and more.
 We’re not just building cutting\-edge AI—we’re creating real\-world impact and unforgettable experiences. Backed by a well\-funded Series B, we’re also one of the rare AI startups that’s already profitable.
 Our secret? A culture of extreme ownership, autonomy, and customer obsession. At Mashgin, we are building something extraordinary by challenging conventional wisdom. We’ve thrown out the old rules to focus on what truly matters: creating a kickass product that makes people say, 'Wow'. We don’t care about short\-term wins; we build systems that stand the test of time. If you thrive in a culture of excellence without compromise and want to see your work have an immediate, remarkable impact, you’re in the right place.
 Position Summary
 For this role, we’re looking for a frontend\-focused engineer to help build usable interfaces for our customers, business clients, and internal team. As a part of Mashgin, you’ll build products not just for the web but on hardware that’s used by thousands of people a day in every location we deploy to. The key to our technology is machine learning, but it’s useless without amazing design and interfaces. As part of a small team you’ll be making a huge impact on the current product and new expansions of our platform.
**What We Value:**
* Impact: You will own significant responsibility and have total ownership over your code. We stay lean and efficient, so your work directly impacts the product we ship every day
* Simplicity: Complexity is a waste of time here—we take pride in building things that just work
* Hard Work: Forget the glamorous research papers. We prioritize the hard work it takes to achieve real\-world clarity and accuracy. You will innovate relentlessly to push the boundaries of what’s possible in visual automation
* Humility: No task is beneath you. Whether it's high\-level architecture or grunt work to fix a bug, we check our egos at the door and get real work done
* Ruthless Prioritization: If everything is on fire, nothing is. You will be expected to prioritize ruthlessly, cutting through distractions to focus on the most impactful product improvements
* Customer Innovation: We are customer\-centric, not customer\-pleasing. You won’t bend to every client demand; you will let innovation drive the product forward to solve the real problems our users face
* Efficiency: Meetings suck. We keep them short and only use them for alignment, giving you your time back to focus on real work
**You Will Be**
* Working with a small interdisciplinary team in hardware and software to design and build new versions of products from scratch
* Reimagining and refactoring existing interfaces to improve customer experience
* Maintaining and improving current web and mobile codebases
* Developing internal tools and UIs to help us scale faster
**Minimum Qualifications**
* 3\+ years of experience working in web development
* Expertise in building complex web layouts with CSS and Javascript
* Experience shipping consumer\-facing, production\-ready products
* Experience with Node.js, Vue.js or Python
* Familiarity with modern web best practices
* Strong design sense, and the ability to empathize with many different types of users
**Preferred Qualifications**
* Experience in a fast\-paced work environment, shipping quality code quickly and iterating
* Strong understanding of UX design principles
* Strong attention to detail and spending the time to make products truly magical to customers
* Comfortable throwing away most of your design work (as you should know, UI design is a very iterative process!)
**What We Offer**
* An opportunity to work on a small, multidisciplinary team with the potential to break new ground in many different industries
* Excellent health, dental and vision insurance for you and your dependents
* 401k plan
* Flexible PTO policy
* Competitive salary and options in a small, rapidly scaling company
 Mashgin is proud to be an equal opportunity employer. Individuals seeking employment at Mashgin are considered without regards to race, color, religion, national origin, age, sex, marital status, ancestry, physical or mental disability, veteran status, gender identity, or sexual orientation.
 Notice on fraudulent jobs
 We have been made aware of instances of fraudulent job postings and/or fraudulent recruiting activity by bad actors, claiming to represent Mashgin. These fraudulent schemes often seek monetary contributions or payments from job seekers (such as for "start up costs" or "equipment"), or seek to collect sensitive personal or banking information from job seekers. These job postings and offers are not authorized by Mashgin, and Mashgin is not responsible for fraudulent offers or requests for personal information or payments. Mashgin will never ask for any financial commitment or contribution from a candidate at any stage of the recruitment process. Candidates who have questions about the validity of Mashgin job postings or offers should consult the job postings on our mashgin.com career site. If you think you've been scammed, please reference this site for more information.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For roles based in Palo Alto, CA, the overall market range for Mashgin is typically $150,000 \- $210,000 USD annually. Note that total compensation for this position will be determined by candidate’s relevant qualifications, work experience, skills, and other relevant factors. This estimate excludes the value of any benefits offered by Mashgin, and the potential future value of any other long\-term incentives.</t>
        </is>
      </c>
    </row>
    <row r="9">
      <c r="A9" t="inlineStr">
        <is>
          <t>li-4364057471</t>
        </is>
      </c>
      <c r="B9" t="inlineStr">
        <is>
          <t>Software Engineer</t>
        </is>
      </c>
      <c r="C9" t="inlineStr">
        <is>
          <t>Elevated Hires</t>
        </is>
      </c>
      <c r="D9" t="inlineStr">
        <is>
          <t>linkedin</t>
        </is>
      </c>
      <c r="E9" t="inlineStr"/>
      <c r="F9" t="inlineStr"/>
      <c r="G9" t="inlineStr"/>
      <c r="H9" t="inlineStr"/>
      <c r="I9" t="inlineStr">
        <is>
          <t>Overview
 Client is a venture\-backed startup, prior to Series A, on a mission to transform health care.
 Client platform is designed to empower large provider groups and health systems to succeed in value\-based care contracts with payers by improving patient outcomes and reducing cost of care through better coordination, analytics, and disease management. We are building a scalable operating system for managing complex conditions across the healthcare spectrum.
 This is a rare opportunity to join a mission\-driven founding team at a pivotal stage and help define the future of healthcare technology, with the power to improve the lives of patients.
 The Role
 Client is seeking a skilled and dedicated developer to join our Engineering team. As a software engineer at Client, you show a clear passion for quality and love to bring software to life. You are energized by the idea of building something new and want to work on problems that matter.
 In order to do this job well, you must be a curious and eager problem solver with a hunger for building well\-designed, high\-quality solutions. You have a passion for great work and strive to produce simple solutions to complex problems. Knowing there are always multiple answers to a problem, you know how to engage in a constructive dialogue to find the best path forward.
 What You'll Do
 ● Design and Architect Data Systems: Lead the design, construction, installation, and
 optimization of highly reliable, scalable, and secure data architecture.
 ● Develop Data Pipelines: Build and maintain complex, production\-grade data pipelines to
 ingest, process, and enrich large volumes of healthcare data.
 ● Data Quality and Governance: Establish and enforce data quality standards, monitoring,
 and validation processes to ensure the accuracy, completeness, and consistency of data
 used for analytics.
 ● Performance Optimization: Implement query tuning, indexing, and partitioning strategies
 to maximize the performance and efficiency of data processing systems and data retrieval.
 ● Cloud Infrastructure: Design and deploy scalable, secure, cloud infrastructure leveraging
 infrastructure\-as\-code best practices.
 ● Safeguard Data: Ensure strict compliance with healthcare data regulations (e.g., HIPAA,
 HITRUST) and implement data security best practices.
 What We're Looking For
 ● Experience with healthcare data regulations (e.g., HIPAA, HITRUST) and data formats (e.g.
 FHIR)
 ● Bachelor's degree in Computer Science, Software Engineering, or related field, or
 equivalent work experience
 ● Minimum 5 years of dedicated professional experience in a Data Engineering role,
 preferably within a startup or fast\-paced healthcare technology environment.
 ● Expert proficiency in SQL and at least one programming language used for data processing
 (Python or Scala).
 ● Deep experience designing and managing Data Warehouses (e.g., Snowflake, Google
 BigQuery, AWS Redshift) and experience with Data Lake technologies (e.g., S3, Delta Lake).
 ● Demonstrated hands\-on experience with Big Data processing frameworks like Apache
 Spark or Dask.
 ● Deep understanding of cloud platforms (AWS preferred) and cloud\-native development,
 including services like S3, Lambda, and RDS.
 ● Hands\-on experience with workflow orchestration tools such as Apache Airflow or AWS
 Step Functions for managing data pipelines.
 ● Expert knowledge of system architecture, scalability, and performance optimization for
 data systems.
 ● Experience with test automation, CI/CD, and DevOps best practices for data deployments.
 ● Ability to work independently and make high\-impact technical decisions.
 ● Must be legally authorized to work in the United States and not require employer
 sponsorship now or in the future
 Why Join 
 ● Competitive salary and equity in an early\-stage startup. The starting salary for this role is
 ● Opportunity to define the technical solution from the ground up
 ● Possibly fully remote work environment with flexible hours
 ● Health benefits, learning stipends, and professional development support
 ● A collaborative and transparent company culture that values creativity and ownership</t>
        </is>
      </c>
    </row>
    <row r="10">
      <c r="A10" t="inlineStr">
        <is>
          <t>li-4363817130</t>
        </is>
      </c>
      <c r="B10" t="inlineStr">
        <is>
          <t>Software Engineer</t>
        </is>
      </c>
      <c r="C10" t="inlineStr">
        <is>
          <t>Helic &amp; Co.</t>
        </is>
      </c>
      <c r="D10" t="inlineStr">
        <is>
          <t>linkedin</t>
        </is>
      </c>
      <c r="E10" t="inlineStr"/>
      <c r="F10" t="inlineStr"/>
      <c r="G10" t="inlineStr"/>
      <c r="H10" t="inlineStr"/>
      <c r="I10" t="inlineStr">
        <is>
          <t>This is a remote position.
 Job Summary
 The Software Engineer designs, develops, tests, and maintains scalable software applications and systems. This role collaborates with cross\-functional teams to deliver high\-quality, reliable solutions that meet business and user requirements while following best practices in software development.
 Key Responsibilities
* Design, develop, test, deploy, and maintain software applications and services
* Write clean, efficient, and well\-documented code following industry best practices
* Collaborate with product managers, designers, and other engineers to define and deliver features
* Participate in code reviews, debugging, and performance optimization
* Develop and maintain APIs, databases, and system integrations
* Identify, troubleshoot, and resolve software defects and production issues
* Contribute to architecture discussions and technical decision\-making
* Follow secure coding practices and ensure application reliability and scalability
* Maintain technical documentation and development standards
 Requirements
 Required Qualifications
* Bachelor’s degree in Computer Science, Software Engineering, or a related field (or equivalent experience)
* Proficiency in one or more programming languages (e.g., Java, Python, JavaScript, C\+\+, or similar)
* Experience with software development frameworks, databases, and version control systems
* Understanding of software development methodologies (Agile, Scrum, or similar)
 Skills \&amp; Competencies
* Strong problem\-solving and analytical skills
* Attention to detail and code quality
* Ability to work collaboratively in a team environment
* Effective communication with technical and non\-technical stakeholders
* Continuous learning mindset</t>
        </is>
      </c>
    </row>
    <row r="11">
      <c r="A11" t="inlineStr">
        <is>
          <t>li-4363767042</t>
        </is>
      </c>
      <c r="B11" t="inlineStr">
        <is>
          <t>Software Engineer (Python, Golang)</t>
        </is>
      </c>
      <c r="C11" t="inlineStr">
        <is>
          <t>OpenAI</t>
        </is>
      </c>
      <c r="D11" t="inlineStr">
        <is>
          <t>linkedin</t>
        </is>
      </c>
      <c r="E11" t="inlineStr"/>
      <c r="F11" t="inlineStr"/>
      <c r="G11" t="inlineStr"/>
      <c r="H11" t="inlineStr"/>
      <c r="I11" t="inlineStr">
        <is>
          <t>**About The Company** 
 OpenAI is a leading artificial intelligence research and deployment organization dedicated to ensuring that the benefits of general\-purpose AI are accessible to all of humanity. Committed to pushing the boundaries of AI capabilities, OpenAI strives to develop safe, reliable, and impactful AI systems that address global challenges. The company values diversity, inclusion, and ethical considerations in its mission to create AI that benefits society at large. As an innovative and forward\-thinking organization, OpenAI fosters a collaborative environment where cutting\-edge research and responsible deployment go hand in hand.
**About The Role** 
 We are seeking a highly skilled Software Engineer specializing in Security Observability to join our dynamic Security team. In this crucial role, you will be responsible for designing, building, and maintaining secure, scalable systems that enhance our security observability infrastructure. Your expertise will enable us to monitor, analyze, and respond to security threats more effectively. Collaborating closely with cross\-functional teams, including Detection \&amp; Response (D\&amp;R) and other security units, you will develop robust software solutions that improve our security posture and forensic capabilities. This position offers flexibility for remote work, with relocation assistance available to our offices in San Francisco, Seattle, or New York City.
**Qualifications** 
* Proficiency in programming languages such as Python, Golang, or similar
* Experience with infrastructure as code tools like Terraform
* Hands\-on experience working with cloud platforms, particularly Azure
* Strong background in building and maintaining data pipelines for security\-related data
* Knowledge of security monitoring, detection, and forensic investigation practices
* Familiarity with site reliability engineering (SRE) principles
* Ability to collaborate effectively with security and engineering teams
* Proactive problem\-solving skills with attention to detail
* Experience in designing scalable and resilient data systems
**Responsibilities** 
* Design and develop scalable software systems to facilitate comprehensive security observability across OpenAI’s infrastructure
* Build and maintain data pipelines that centralize security\-relevant data from diverse sources
* Enhance the resilience and reliability of data systems to ensure high platform availability
* Collaborate with Detection \&amp; Response teams to identify and mitigate security risks effectively
* Support forensic investigations and compliance efforts through data engineering
* Proactively identify opportunities to improve security data visibility and forensic capabilities
* Implement security best practices in software development and data management
* Stay updated with emerging security threats and technologies to continuously improve security infrastructure
**Benefits** 
* Competitive salary ranging from $255,000 to $325,000
* Flexible remote work options or relocation assistance to San Francisco, Seattle, or New York City
* Comprehensive health, dental, and vision insurance plans
* Generous paid time off and holidays
* Professional development opportunities and continuous learning support
* Inclusive and diverse work environment that values different perspectives
* Employee wellness programs and resources
* Retirement savings plans with company matching
 Equal Opportunity
 OpenAI is an equal opportunity employer. We do not discriminate based on race, religion, color, national origin, sex, sexual orientation, age, veteran status, disability, genetic information, or other legally protected characteristics. We are committed to fostering an inclusive environment where all employees can thrive.</t>
        </is>
      </c>
    </row>
    <row r="12">
      <c r="A12" t="inlineStr">
        <is>
          <t>li-4363817500</t>
        </is>
      </c>
      <c r="B12" t="inlineStr">
        <is>
          <t>Software Developer</t>
        </is>
      </c>
      <c r="C12" t="inlineStr">
        <is>
          <t>T2 Systems</t>
        </is>
      </c>
      <c r="D12" t="inlineStr">
        <is>
          <t>linkedin</t>
        </is>
      </c>
      <c r="E12" t="inlineStr"/>
      <c r="F12" t="inlineStr"/>
      <c r="G12" t="inlineStr">
        <is>
          <t>Indianapolis, IN</t>
        </is>
      </c>
      <c r="H12" t="inlineStr"/>
      <c r="I12" t="inlineStr">
        <is>
          <t>T2 Systems is the largest parking, mobility, and transportation provider in North America, with more than 25 years in the parking management industry and currently serving thousands of parking professionals. We integrate the best people, processes, and technology to provide powerful, high performance, and secure parking solutions. T2 Systems is headquartered in Indianapolis, Indiana with its Canadian office located in Burnaby, BC.
 We didn’t become an industry leader by chance – we push the envelope to provide more innovative and advanced solutions for our customers. Which wouldn’t be possible without employees who strive for success, work together, and are hungry to learn, grow, and lead.
 If you are looking for a new opportunity, we invite you to apply and talk about the possibilities of starting a rewarding new chapter of your career!
 The Software Engineer transforms business requirements into robust technical designs. You will contribute to project delivery as part of a development team. Your responsibilities include adhering to architectural standards, following development best practices, and delivering high\-quality solutions. This role demands technical expertise and the ability to collaborate effectively with team members to achieve successful project outcomes.
**Essential Position Functions**
* Develop and maintain scalable software applications
* Participate in the full software development lifecycle, including requirements analysis, system design, implementation, testing, and deployment
* Collaborate with team members to deliver high\-quality solutions
* Troubleshoot software and integration issues
* Contribute to software quality through code reviews, automated testing, and continuous integration practices
* Work closely with other departments to provide designs that solve business problems and ultimately benefit our customers
* Produce and maintain documentation for software architecture, code, and development processes
* Interact with product owners and stakeholders to gather information, provide education, give status updates, and communicate relevant project\-related activities
**Education And Qualifications**
* Bachelor's degree in Computer Science, Engineering, or related field
* 3\+ years of professional software development experience
* 1\+ year of experience working in an Agile team
* Demonstrated success in delivering projects from concept to completion
**Required Technical Skills**
* Proficiency in C\# and .NET Framework, with willingness to adopt newer .NET technologies
* Knowledge of Java and Spring boot and willingness to leverage equivalent Java frameworks (Hibernate, JPA)
* Solid knowledge of Object\-Oriented Programming (OOP) principles
* Knowledge of design patterns such as CQRS, API Gateways, and event\-driven design
* Experience building and architecting REST APIs
* Knowledge of distributed systems and microservice architectures
* Experience with relational databases (SQL Server, MySQL, Azure SQL, Oracle)
**Desired Platform Experience**
* Azure API Management
* Azure Functions
* Kafka (event streaming)
* Azure Redis Cache
* Azure SQL Database
* Dynatrace (application performance monitoring)
**Desired Technical Skills**
* Experience with CI/CD pipelines and deployment automation
* Experience with GitHub and GitHub Actions
* Experience working with AI\-assisted development tools (GitHub Copilot, Cursor, or similar)
* Experience with the Atlassian toolset, especially JIRA
* Familiarity with Agile development methodologies
* Knowledge of networking protocols and cybersecurity best practices
**Knowledge, Skills, And Abilities**
* Ability to work directly with customers to drive to business outcomes
* Excellent communication skills with the ability to convey complex technical concepts to non\-technical stakeholders
* Excellent organizational skills
* Ability to work with a diverse group of development team members
* Ability to work on multiple features and refactoring/support concurrently
* Ability to work across a development team to keep sprint commitments on track
* Ability to stay on the leading edge of technology trends
* Ability to problem solve: define problems, collect data, establish facts, draw conclusions
* Ability to prioritize tasks and tactfully negotiate priority with stakeholders
* Passionate about continuous improvement, efficiency at scale, and automation
* Committed to self\-study to maintain or increase technical abilities
*With your explicit consent which you provided as part of the application process, we will retain candidate personal data solely for the business purpose for which it was collected. In no event will we retain such data more than two (2\) years following the closure of the recruitment process relating to the role for which you applied or in the event other related job opportunities arise within the company. Verra Mobility Applicant Privacy Notice*
 T2 Systems is an Equal Opportunity Employer. Qualified applicants will receive consideration for employment without regard to race, color, religion, sex, national origin, sexual orientation, gender identity, disability or protected veteran status.</t>
        </is>
      </c>
    </row>
    <row r="13">
      <c r="A13" t="inlineStr">
        <is>
          <t>li-4353760380</t>
        </is>
      </c>
      <c r="B13" t="inlineStr">
        <is>
          <t>Software Engineer</t>
        </is>
      </c>
      <c r="C13" t="inlineStr">
        <is>
          <t>NetApp</t>
        </is>
      </c>
      <c r="D13" t="inlineStr">
        <is>
          <t>linkedin</t>
        </is>
      </c>
      <c r="E13" t="inlineStr"/>
      <c r="F13" t="inlineStr"/>
      <c r="G13" t="inlineStr">
        <is>
          <t>San Jose, CA</t>
        </is>
      </c>
      <c r="H13" t="inlineStr"/>
      <c r="I13"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Member of a software engineering team involved in development \&amp; design of the AI Data Platform built on NetApp’s flagship storage operating ONTAP.
 ONTAP is a feature rich stack with its rich data management capabilities that has tremendous value to our customers and are used in mission critical applications across the world. You will work as part of a team responsible for the development, testing and debugging of distributed software that drives NetApp cloud, hybrid\-cloud, and on\-premises AI/ML solutions
 As part of the Research and Development function, the overall focus of the group is on competitive market and customer requirements, supportability, technology advances, product quality, product cost and time\-to\-market. Software engineers focus on enhancements to existing products as well as new product development.
 This is an entry level technical position that requires an individual to be broad\-thinking, systems\-focused, creative, team\-oriented, technologically savvy, able to work in a small and large cross\-functional teams, willing to learn and driven to produce results.
 Job Requirements
* Proficiency in programming languages like Python, GO, Java, C\#, C/C\+\+.
* Experience with Machine Learning Libraries and Frameworks: PyTorch, TensorFlow, Keras, Open AI, LLMs ( Open Source), LangChain etc.
* Hands\-on experience working with Rest APIs and Micro Services – Flask, API frameworks.
* Experience working in Linux, AWS/Azure/GCP, Kubernetes – Control plane, Auto scaling, orchestration, containerization is a must.
* Experience with No Sql Document Databases e.g., Mongo DB, Cassandra, Cosmos DB, Document DB.
* Experience working building Micro Services, REST APIs and related API frameworks.
* Experience with Big Data Technologies: Understanding big data technologies and platforms like Spark, Hadoop and distributed storage systems for handling large\-scale datasets and parallel processing.
* Proven track record of working on mid to large sized projects.
* Responsible for providing support in the development and testing activities of other engineers that involve several inter\-dependencies.
* Participate in technical discussions within the team and across cross\-functional teams.
* Willing to work on additional tasks and responsibilities that will contribute towards team, department and company goals.
* A strong understanding and experience with concepts related to computer architecture, data structures and programming practices.
* Experience with AI/ML frameworks like PyTorch or TensorFlow is a Plus.
 Education
 A Bachelor of Science Degree in Engineering or Computer Science with 2 years of experience, or a Master’s Degree; or equivalent experience is required.
 Compensation:
 The target salary range for this position is 108,800 \- 162,800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14">
      <c r="A14" t="inlineStr">
        <is>
          <t>li-4364017466</t>
        </is>
      </c>
      <c r="B14" t="inlineStr">
        <is>
          <t>Java Software Engineer TNG</t>
        </is>
      </c>
      <c r="C14" t="inlineStr">
        <is>
          <t>Northstrat Incorporated</t>
        </is>
      </c>
      <c r="D14" t="inlineStr">
        <is>
          <t>linkedin</t>
        </is>
      </c>
      <c r="E14" t="inlineStr"/>
      <c r="F14" t="inlineStr"/>
      <c r="G14" t="inlineStr">
        <is>
          <t>Aurora, CO</t>
        </is>
      </c>
      <c r="H14" t="inlineStr"/>
      <c r="I14" t="inlineStr">
        <is>
          <t>Northstrat is seeking a Java Software Engineer to join the agile development team. The team builds and maintains a state\-of\-the\-art software suite that supports the Geospatial Intelligence (GEOINT) analysis mission. As an individual contributing member of the team, you will participate in our fully agile development process and have the opportunity to work with operational users to design, develop, and maintain capabilities that enable mission success. As part of the development process, you will solve unique and complex problems, using the latest technologies to create innovative solutions.
****Requirements****
* Must have an active Top Secret or Top\-Secret SCI, Polygraph preferred
* Bachelor’s degree required or equivalent experience
* Must have at least 5\+ years of professional experience in software development (analysis, design, development, testing, deployment, maintenance)
* Demonstrated experience developing with Java and RESTful API'S
* Demonstrated experience developing and implementing software enhancements to mission systems in other Government agencies
* Must be able to demonstrate experience integrating multiple applications using workflow charts and diagrams and building scalable solutions to mission problems
* Must be able to show experience assigning, coordinating, and reviewing the work and activities of developer personnel.
* Demonstrated experience using rapid prototyping and agile based software development methodologies
* Must be familiar with using Java\-based technologies building DevOps pipelines to develop enterprise systems
* Demonstrated experience with infrastructure as code applications (Chef, Ansible, Terraform, etc.)
* Experience designing, developing, documenting, testing, and debugging software that contains logical and mathematical solutions to mission problems
* Experience with development in microservice based architectures
* Experience working with RDNS and NoSQL databases, specifically Elasticsearch and Docker, Kubernetes, Redis, Kafka, NiFi automation
* Demonstrated experience with continuous integration and software CM processes / tools (Subversion, GIT, JIRA, Confluence)
****Desired Skills:****
* Experience working in a SAFe Agile environment preferred
* CISSP or Security\+ Certification or willingness to obtain
* AWS Certification (Developer, DevOps and/or, Architect, etc.)
****Benefits****
**Work/Life Balance**
 Northstrat values true work life balance. We offer power of choice benefits designed to best meet the needs of you and your lifestyle. Our benefits programs are designed to support and encourage wellness, healthy living, retirement investment, and lifetime learning.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We also offer competitive compensation, benefits, and professional development opportunities. Please refer to our Benefits section for additional details.
**Flex Time**
 Northstrat does not mandate specific working hours. Although project requirements may dictate schedules, a Northstrat employee is only required to work an average of 8 hours per weekday over the course of a month. For example: John worked 12 hours on June 1st to meet a project deadline. On June 15th, John only worked 4 hours because he left early for a long weekend. John’s IBA was not debited for time off because flex time allowed him to carry over those 4 hours from June 1st.
****Individual Benefits Account (IBA)****
 To attract and retain the highest quality staff, Northstrat provides a unique and versatile benefits package, the Individual Benefit Account (IBA), which places the power of choice in the hands of our greatest asset – the employee.
 The Purpose Of The IBA Is To Provide Attractive Benefits To All Full\-time Employees Of Northstrat On a Flexible Basis That Enables Each Covered Employee To Select a Package That Best Suits His Or Her Needs. Whether Those Needs Are Paid Time Off, Medical Expenses, Prescription Drug Expenses, Cash Disbursement, Or a Combination Of Any Of These, The IBA Provides Flexibility To Help You Meet Your Specific Goals. The IBA Can Be Used For Such Things As:
 IBA Benefits accrue each month in the amount equivalent to 50% of the employee’s monthly compensation rate. That is, the effective dollar amount of this accrual is in addition to an employee’s salary.
**Profit Sharing Plan (PSP)**
 The PSP is a qualified retirement plan that Northstrat funds quarterly on the employee’s behalf through the IBA in the amount equivalent to 25% (up to the IRS contribution limit) of the employee’s compensation. That is, of the 50% accrual in the IBA, half of the amount accrued is applied to the PSP.
**Stock Options**
 Because Northstrat is an employee\-owned company, all new employees are offered stock options. Employees have the opportunity to receive additional stock options based on accomplishment of individual performance goals. Stock owners elect the Board of Directors and are directly impacted by the success of the company.
**Lifelong Learning**
 Our culture promotes and nurtures a growth environment. We hire and scale rapidly to meet the needs of our partner customers. Through periodic company sponsored training events, and the ability to use IBA funds for reimbursement of work\-related education expenses you will have the opportunity to continually grow your skills and abilities.
**Join Our Talented Team**
 We hire the BEST employees and value each one. Since 2021, The Washington Post has recognized Northstrat among its "Top Workplaces". We think that your friends and family will like it here too, so we offer employee referral incentives.
**Northstrat is an Equal Opportunity Employer**
 We are committed to fostering an inclusive, diverse workplace. All qualified applicants will receive consideration for employment without regard to race, color, religion, sex, pregnancy, sexual orientation, gender identity, national origin, age, disability, veteran status or other legally protected status.</t>
        </is>
      </c>
    </row>
    <row r="15">
      <c r="A15" t="inlineStr">
        <is>
          <t>li-4363847050</t>
        </is>
      </c>
      <c r="B15" t="inlineStr">
        <is>
          <t>Software Engineer (API, SQL)</t>
        </is>
      </c>
      <c r="C15" t="inlineStr">
        <is>
          <t>General Motors</t>
        </is>
      </c>
      <c r="D15" t="inlineStr">
        <is>
          <t>linkedin</t>
        </is>
      </c>
      <c r="E15" t="inlineStr"/>
      <c r="F15" t="inlineStr"/>
      <c r="G15" t="inlineStr"/>
      <c r="H15" t="inlineStr"/>
      <c r="I15" t="inlineStr">
        <is>
          <t>**About The Company**
 General Motors (GM) is a leading global automotive manufacturer committed to innovation, sustainability, and creating a safer, more efficient transportation future. With a rich history of technological advancements and a focus on zero crashes, zero emissions, and zero congestion, GM strives to lead the automotive industry into a cleaner and smarter era. The company values diversity, inclusion, and fostering a collaborative work environment where employees can thrive and contribute to meaningful change. GM offers a dynamic workplace culture supported by comprehensive benefits, opportunities for professional growth, and a commitment to social responsibility.
**About The Role**
 We are seeking an experienced Staff Software Engineer specializing in mobile development to join our remote team. This role offers an exciting opportunity to influence the development of mobile products across General Motors, contributing to innovative solutions that enhance user experience and vehicle connectivity.
 The successful candidate will lead technical efforts in planning, designing, and executing mobile applications, primarily focusing on native and ReactNative platforms. As a technical leader, you will mentor junior engineers, foster collaboration across teams, and drive engineering excellence. The role requires a proactive individual passionate about building scalable, reliable, and high\-quality mobile solutions that align with GM’s vision of a safer, sustainable future.
**Qualifications**
* Bachelor's Degree in Computer Science or related field, or equivalent work experience
* 7\+ years of experience in Mobile development, native and preferably ReactNative
* 7\+ years of experience contributing to system architecture, documentation, and design (architecture, design patterns, reliability, and scaling)
* Experience working with multi\-tier production software systems utilizing HTTP APIs (REST or GraphQL)
* Proficiency with backend datastores such as PostgreSQL, DynamoDB, Redis, or Elasticsearch
* Demonstrated ability to understand complex tech stacks, debug code, and write tests
**Responsibilities**
* Develop expertise in core mobile technologies, including client frameworks and services
* Evaluate architectural trade\-offs and apply synchronous and asynchronous design patterns effectively
* Produce high\-quality, unit\-tested, and code\-reviewed software for continuous integration and deployment
* Serve as a technical lead, mentoring less experienced engineers and fostering a collaborative team environment
* Present and advocate for product ideas and technical initiatives with cross\-functional teams
* Initiate, plan, and execute large\-scale, cross\-organizational programs and projects
* Ensure adherence to engineering best practices and promote continuous improvement in engineering productivity and craftsmanship
**Benefits**
* Comprehensive health, dental, and vision insurance plans
* Health Savings Account (HSA) and Flexible Spending Accounts (FSA)
* Retirement savings plan with company matching contributions
* Paid time off including vacation, holidays, and parental leave
* Tuition assistance and student loan refinancing options
* Employee assistance programs and wellness incentives
* GM vehicle discounts and potential relocation benefits
* Company\-provided vehicle for eligible roles after review
 Equal Opportunity
 General Motors is an equal opportunity employer committed to creating an inclusive environment for all employees. We do not discriminate based on race, color, religion, national origin, gender, gender identity, sexual orientation, age, disability, veteran status, or any other protected characteristic under applicable laws. We actively promote diversity and inclusion, ensuring every individual has equal access to employment opportunities and a workplace free from discrimination.</t>
        </is>
      </c>
    </row>
    <row r="16">
      <c r="A16" t="inlineStr">
        <is>
          <t>li-4363887335</t>
        </is>
      </c>
      <c r="B16" t="inlineStr">
        <is>
          <t>Software Engineer II</t>
        </is>
      </c>
      <c r="C16" t="inlineStr">
        <is>
          <t>Microsoft</t>
        </is>
      </c>
      <c r="D16" t="inlineStr">
        <is>
          <t>linkedin</t>
        </is>
      </c>
      <c r="E16" t="inlineStr"/>
      <c r="F16" t="inlineStr"/>
      <c r="G16" t="inlineStr"/>
      <c r="H16" t="inlineStr"/>
      <c r="I16" t="inlineStr">
        <is>
          <t>**Overview**
 Azure is the fastest\-growing business in Microsoft’s history and is the foundation of Microsoft’s commercial Cloud Services. We are a part of the Azure Core team that builds and manages the core platform across various services.   We have an exciting opportunity for you to innovate and shape the world’s computers, and we encourage you to apply and learn more!
 As a Software Engineer II, you will be responsible for collaborating to deliver the next generation of our cloud capacity management technologies, a critical investment area for Microsoft Azure. Your work will be relied upon by millions of customers globally and you will have learning opportunities and challenges around high\-scale distributed systems.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languages including, but not limited to, C, C\+\+, C\#, Java, JavaScript, or Python
+ OR equivalent experience.
* 2\+ years of experience in designing, building and managing distributed systems within a cloud environment, ensuring scalability, reliability, and performance.
* 2\+ years of experience working with stakeholders to derive requirements and effectively delivering results through other Software Development Engineers on the team.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
      <c r="A17" t="inlineStr">
        <is>
          <t>li-4363797209</t>
        </is>
      </c>
      <c r="B17" t="inlineStr">
        <is>
          <t>Full Stack Engineer</t>
        </is>
      </c>
      <c r="C17" t="inlineStr">
        <is>
          <t>Navitas Resourcing Group</t>
        </is>
      </c>
      <c r="D17" t="inlineStr">
        <is>
          <t>linkedin</t>
        </is>
      </c>
      <c r="E17" t="inlineStr"/>
      <c r="F17" t="inlineStr"/>
      <c r="G17" t="inlineStr">
        <is>
          <t>Houston, TX</t>
        </is>
      </c>
      <c r="H17" t="inlineStr"/>
      <c r="I17" t="inlineStr">
        <is>
          <t>**Full Stack Developer (Web/Mobile Applications)** 
 Houston or Austin, TX \| Hybrid (3\+ days in office)
 Role Overview
 We are seeking a
 **Full Stack Developer** 
 to design and build modern web and mobile applications that support business operations and user needs. This role focuses on delivering scalable, high\-performance applications with excellent user experience across web and mobile platforms.
 Key Responsibilities
* Design and develop full\-stack web and mobile applications using modern frameworks and technologies
* Optimize user experience, performance, and system scalability
* Manage DevOps and CI/CD pipelines for smooth deployment and maintenance
* Apply strong software architecture, programming, and UI/UX principles
* Translate complex technical ideas into user\-friendly applications
* Explore and adopt new trends in web, mobile, cloud, and AI\-powered applications
* Collaborate with engineering, finance, operations, and product teams
 Requirements
**Education** 
* Bachelor’s or Master’s degree in Computer Science
**Experience** 
* 2\+ years of full\-stack software development
* Experience with both frontend and backend technologies
**Technical Skills** 
* Software development best practices (design patterns, testing, security)
* Frontend: React, Angular, or similar frameworks
* Backend: Node.js, Python, Java, or .NET
* Databases: SQL and NoSQL (PostgreSQL, MongoDB, etc.)
* Cloud platforms: AWS, Azure, or Google Cloud
* DevOps: Docker, Kubernetes, CI/CD pipelines, infrastructure as code
* APIs: RESTful and GraphQL, authentication (OAuth, JWT)
* Mobile development: React Native, Flutter, or native Swift/Kotlin (plus)</t>
        </is>
      </c>
    </row>
    <row r="18">
      <c r="A18" t="inlineStr">
        <is>
          <t>li-4360270316</t>
        </is>
      </c>
      <c r="B18" t="inlineStr">
        <is>
          <t>Backend Software Engineer</t>
        </is>
      </c>
      <c r="C18" t="inlineStr">
        <is>
          <t>Onyx Odds</t>
        </is>
      </c>
      <c r="D18" t="inlineStr">
        <is>
          <t>linkedin</t>
        </is>
      </c>
      <c r="E18" t="inlineStr"/>
      <c r="F18" t="inlineStr"/>
      <c r="G18" t="inlineStr">
        <is>
          <t>New York, NY</t>
        </is>
      </c>
      <c r="H18" t="inlineStr"/>
      <c r="I18" t="inlineStr">
        <is>
          <t>**Compensation** 
 : $170k – $250k \+ meaningful equity
**Company Overview** 
 Onyx Odds is a social sports prediction platform poised to shake up the world of sports. Onyx has seen immense growth in user activity and positive feedback resulting in an expansion of the team.
 Onyx is a venture backed startup, having raised millions in VC funding. The founder is a Harvard grad with a background at Jane Street.
 Onyx Odds is based in New York City with its offices in downtown Manhattan.
**Job Description** 
 We’re looking to add a key engineering hire to our very lean team. We are looking for someone who’s excited to work directly with the founding team to build, own, and scale the core product. As a Software Engineer, you’ll have end\-to\-end responsibility across the stack, significant product input, and the opportunity to shape both the technical architecture and company from day one.
* Own projects from inception to production, including architecture decisions, implementation, and observability
* Collaborate directly with cross business functions and leadership on product direction, roadmap, and prioritization
**Background** 
* Computer Science degree from a top university
* Strong backend skill set: Node, Typescript
* Familiarity with frontend frameworks for web and mobile (React and React Native)
* **3–6\+ years of experience** 
 as a software engineer
* A background developing low\-latency systems or performance sensitive applications is a plus
* Thrive in startup environments — you’re entrepreneurial, resourceful, and get energy from building things that users love
* A background or interest in sports, trading, predictions, or crypto is a plus
* **Visa Sponsorship:** 
 We are unable to offer employment visa sponsorship for this position
**What You'll Get** 
* Very competitive compensation bands with regular growth in payscales
* Robust health, dental, and vision plans, covering 100% of health, dental, and vision premiums
* Meaningful equity
* HSA account with significant company contributions
* Free in office lunch daily
**Location** 
 We are based in FiDi in New York City. The team member can work in\-person or hybrid.
* *Please note: We do not offer employment visa sponsorship for this position.*</t>
        </is>
      </c>
    </row>
    <row r="19">
      <c r="A19" t="inlineStr">
        <is>
          <t>li-4364037485</t>
        </is>
      </c>
      <c r="B19" t="inlineStr">
        <is>
          <t>Software Engineer</t>
        </is>
      </c>
      <c r="C19" t="inlineStr">
        <is>
          <t>FishEye Software, Inc.</t>
        </is>
      </c>
      <c r="D19" t="inlineStr">
        <is>
          <t>linkedin</t>
        </is>
      </c>
      <c r="E19" t="inlineStr"/>
      <c r="F19" t="inlineStr"/>
      <c r="G19" t="inlineStr">
        <is>
          <t>Maynard, MA</t>
        </is>
      </c>
      <c r="H19" t="inlineStr"/>
      <c r="I19" t="inlineStr">
        <is>
          <t>FishEye Software has immediate openings for C\+\+ Software Engineers to support a cutting\-edge defense initiative enhancing Anti\-Air Warfare (AAW) capabilities. This program enables seamless radar data exchange across multiple naval platforms, providing a unified, real\-time display of tactical information critical to mission success.
 As part of this high\-impact team, you will design, develop, and verify complex C\+\+ software and systems solutions that advance the next generation of defense technology.
**FishEye Software is proud to be recognized as one of the Boston Globe's Top Places to Work 2024\.** 
 We offer a comprehensive benefits package featuring medical, dental, and vision insurance; short and long\-term disability; life insurance; paid vacation time, sick leave and holidays; 401(k) plan with company match \- plus many more exceptional perks!
**This position requires an Active Secret Clearance and is 100% on\-site in Maynard, MA** 
 .
**Key Responsibilities**
* Design, implement, and test C\+\+ software for real\-time and embedded defense systems.
* Participate in design, code reviews, and verification to ensure high\-quality, reliable software.
* Collaborate with cross\-functional teams to define software requirements, interfaces, and integration plans.
* Troubleshoot, debug, and resolve complex technical challenges within multi\-threaded and distributed systems.
* Contribute to ongoing improvements in development tools, processes, and coding standards.
**Required Skills**
* This position requires an Active Secret Clearance; US Citizenship is required.
* BS in Computer Science, Engineering, or related field
* Minimum of 4 years of hands\-on C\+\+ software development experience. We will consider candidates with varying levels of experience.
* Proficiency in Linux\-based environments
* Familiarity with Agile methodologies, Scrum, and CI/CD practices
* Experience with real\-time operating systems (RTOS) and embedded programming
* Proficiency with Git, ClearCase, SVN, or similar version control systems
* Strong analytical, problem\-solving, and communication skills
**Desired Skills**
* Radar domain knowledge and/or experience in defense/aerospace systems
**Salary Range**
 The annual salary range for this position is $ 80,000 \- $190,000 USD. The final salary will be determined based on the selected candidate's education, experience, skills, certifications, and other relevant qualifications, as well as applicable client or government contractual rates.
*This position requires eligibility to obtain a DOD Secret Security Clearance; US Citizenship is required. For more information visit the* 
 DCSA site.
 FishEye's passion is building and supporting mission critical software and providing real time access to mission critical data. Come as you are, we welcome all applicants.
 FishEye Software, Inc. is an Affirmative Action and Equal Opportunity Employer, including the disabled and veterans, and participates in E\-Verify. For information about our EOE and AAP programs visit www.fisheyesoftware.com/careers.
* Please Note: FishEye does not accept applications from agencies, 3rd party vendors, or applications with incomplete information.
 FishEye Software may conduct background checks, criminal background investigation, and/or security clearance investigation through 3rd party organizations.</t>
        </is>
      </c>
    </row>
    <row r="20">
      <c r="A20" t="inlineStr">
        <is>
          <t>li-4360270035</t>
        </is>
      </c>
      <c r="B20" t="inlineStr">
        <is>
          <t>Robotics Software Engineer</t>
        </is>
      </c>
      <c r="C20" t="inlineStr">
        <is>
          <t>Gorbel</t>
        </is>
      </c>
      <c r="D20" t="inlineStr">
        <is>
          <t>linkedin</t>
        </is>
      </c>
      <c r="E20" t="inlineStr"/>
      <c r="F20" t="inlineStr"/>
      <c r="G20" t="inlineStr">
        <is>
          <t>Victor, NY</t>
        </is>
      </c>
      <c r="H20" t="inlineStr"/>
      <c r="I20" t="inlineStr">
        <is>
          <t>Gorbel’s mission is simple: We improve people’s lives.
 That mission guides everything we do, from the products and service we provide to our outside customers to the work environment we foster for our employees. We are a manufacturer of material handling and fall protection products for the production and warehouse/distribution sectors. We’re on the cutting edge of manufacturing and distribution; a thriving, growing company that is constantly seeking out new ways to innovate and elevate our products and our processes – and we’re looking for people like you to join us in that mission.
 We’re currently hiring for open positions in the US and Canada. We operate in Canada as Engineered Lifting Systems and Equipment (ELS)/DBA Gorbel® Canada, and subsequent communication related to Canadian positions may show the ELS name. You may be contacted by phone by recruitment personnel based in either Canada or New York.
**Work Shift**
**Job Description:**
**General Responsibilities**
 Apply embedded control system principles to develop intelligent robotic and automated material handling equipment. Contribute to the development of real\-time motion control algorithms, embedded firmware, and communication protocols for advanced automation systems. Integrate embedded systems with robotic actuators, sensors, and automation networks. Ensure product reliability and performance through testing and validation activities in industrial automation environments.
**Primary Duties \- Embedded Systems/Controls Specific**
* Design and implement control algorithms including feedback controllers and state machines for servo\-driven automation systems
* Develop embedded firmware for microcontrollers running safety\-critical motion control applications
* Create communication protocols using industry\-standard frameworks for distributed embedded systems
* Implement industrial communication protocols for servo drive control and data exchange
* Develop sensor processing and calibration systems for precision measurement applications
* Design safety\-critical firmware including fault detection and protection systems
**Primary Duties**
* Develop embedded firmware for microcontroller\-based motion controllers in industrial applications
* Work with distributed embedded systems and communication between multiple processors
* Implement control algorithms and positioning systems
* Create communication protocols for inter\-device messaging
* Design I/O systems and sensor interfaces
* Develop parameter management systems and configuration frameworks
* Implement safety\-critical systems including fault detection and emergency handling
* Utilize debugging tools and develop diagnostic systems
**Secondary Duties**
* Conduct hardware testing through test fixture development and validation activities
* Collaborate with engineering teams on system integration projects
* Develop calibration procedures and test software
* Provide troubleshooting support and field service activities
* Participate in safety analysis and documentation activities
* Create technical documentation and interface specifications
* Support customer applications and custom system configurations
* Program embedded C/C\+\+ for microcontrollers with real\-time requirements
* Object\-Oriented Programming expertise
* Implement sensor interfaces including analog and digital signal processing
* Design state machines for motion control applications
* Create modular firmware architectures supporting multiple product configurations
* Implement firmware update mechanisms and debugging tool development
* Develop testing frameworks and continuous integration processes
* Design power management and fault recovery systems for industrial applications
**Job Qualifications**
* Bachelor's Degree in Electrical Engineering, Computer Engineering, Computer Science, or Aerospace Engineering
* Intermediate knowledge of C/C\+\+ programming
* Intermediate knowledge of Python Programming
* Willingness to learn embedded systems and real\-time programming concepts
* Basic understanding of control theory or willingness to learn feedback control systems
* Strong problem\-solving aptitude and debugging mindset
* Project and task management skills
* Customer\-oriented focus
* Excellent communication skills and ability to work in team environments
**Preferred Requirements**
* Master’s Degree in Electrical Engineering, Computer Engineering, Computer Science, or Aerospace Engineering
* Background in control systems, robotics, or automation
* Experience with any microcontroller platforms or development environments
* Basic knowledge of communication protocols or networking concepts
* Familiarity with debugging tools and hardware analysis equipment
* Experience with sensor interfacing or signal processing
* Experience with version control systems and software development practices
**Work Environment**
 ADA Physical/Mental/Workplace Requirements
* Occasional lifting up to 25 lbs.
* Sitting, working at desk/personal computer for extended periods of time
* Primary work environment is professional corporate office
 Gorbel® is an Equal Opportunity Employer that does not discriminate on the basis of actual or perceived race, creed, color, religion, alienage or national origin, ancestry, citizenship status, age, disability or handicap, gender, gender identity, marital status, veteran status, sexual orientation, genetic information, arrest record, or any other characteristic protected by applicable federal, state or local laws. Gorbel® is also committed to providing reasonable accommodations to qualified individuals so that an individual can perform their job\-related duties. If you are interested in applying for an employment opportunity and require special assistance or an accommodation to apply due to a disability, please contact us at 585\-924\-6204\.
*The wage range for this role takes into account the wide range of factors that are considered in making compensation decisions including but not limited to skill sets; experience and training; licensure and certifications; and other business and organizational needs. At Gorbel, it is not typical for an individual to be hired at or near the top of the range for their role and compensation decisions are dependent on the facts and circumstances of each case.*
**A Reasonable Estimate Of The Current Range Is**
*Robotics Software Engineer: Min. $* 
*86,319 \- Max $129,471*
*Robotics Software Engineer II: Min. $* 
*94,945 \- Max $142,418*
*Robotics Software Engineer, Sr: Min. $* 
*104,440 \- Max $156,660*</t>
        </is>
      </c>
    </row>
    <row r="21">
      <c r="A21" t="inlineStr">
        <is>
          <t>li-4360039998</t>
        </is>
      </c>
      <c r="B21" t="inlineStr">
        <is>
          <t>Senior Software Developer</t>
        </is>
      </c>
      <c r="C21" t="inlineStr">
        <is>
          <t>Montgomery County Community College</t>
        </is>
      </c>
      <c r="D21" t="inlineStr">
        <is>
          <t>linkedin</t>
        </is>
      </c>
      <c r="E21" t="inlineStr"/>
      <c r="F21" t="inlineStr"/>
      <c r="G21" t="inlineStr">
        <is>
          <t>Blue Bell, PA</t>
        </is>
      </c>
      <c r="H21" t="inlineStr"/>
      <c r="I21" t="inlineStr">
        <is>
          <t>* Montgomery County Community College\*\* invites applications for the Senior Software Developer position. The Senior Software Developer evaluates, designs, develops, and maintains custom software solutions that provide ideal user experiences, maximize end user performance, and permit effective business processes. Additionally, the Senior Developer integrates commercial software systems with existing infrastructure so as to enable shared data sets and cohesive user experience. The Senior Developer is responsible for leading the analysis of functional and technical requirements, formation of technical design specifications, identification of existing open\-source or commercially available components, creation of custom software code directly or through the use of AI solutions and development of testing processes and documentation. The Senior Developer researches, recommends, directs, and implements the use of technologies appropriate to satisfy the desired technical and business objectives. The Senior Developer acts as the primary resource for custom software development and implementation of AI solutions to enhance custom development. Additionally, the Senior Developer provides guidance to other members within the Software Development and Processes Automation and Enterprise Software teams.
**Essential Knowledge \&amp; Skills**
 \*\*Education/Training/Work Experience: \*\*
* Bachelor's Degree in a related field.
* Strong experience in the Microsoft .NET developer platform.
* Experience utilizing AI\-based software development tools.
* Experience implementing AI technologies that enhance the end user experience.
* Experience guiding enterprise software development strategies (preferred).
* Experience managing software development projects (preferred).
* Experience in front\-end development technologies such as JavaScript, HTML, CSS, XML, XSL, JSON, etc.
* Experience using various development environments and technologies such as jQuery, AJAX, Java, PHP, Python, C\#, .NET, etc. in the development of business solutions.
* Experience integrating disparate systems through the use of software APIs and web services such as REST or through direct database calls.
* Experience with developing software referencing Microsoft SQL data repositories.
* Experience managing enterprise code repositories and version control through source control systems such as Git.
* Experience in the administration of Microsoft Windows servers and related technologies.
**Specialized Knowledge \&amp; Skills**
* Ability to learn new software development environments and languages as needed.
* Thorough understanding of software design principles.
* Familiarity with the Microsoft Windows development environment
* Excellent customer service skills.
* Ability to effectively communicate both orally and in written format.
* Strong analytical skills and the ability to independently solve problems.
* Quick learner.
* Strong time management skills and ability to juggle multiple priorities.
 Since 1964, Montgomery County Community College has been transforming the lives and communities to meet the evolving educational, workforce and cultural needs of Montgomery County at its Blue Bell and Pottstown campuses and online. MCCC's comprehensive curriculum includes more than 100 associate degree and certificate programs as well as customized workforce training programs. As an Achieving the Dream Leah Meyer Austin Alumni Award recipient, MCCC is focused on removing barriers to access and improving student learning outcomes and completion. For the ninth year, MCCC has been named one of the Most Promising Places to Work in Community Colleges in the nation by the National Institute for Staff and Organizational Development for its commitment to diversity. For more information, visit mc3\.edu.
* Apply online:\*\* For the complete job description and to apply for this position, please visit
 Employment Opportunitie \- Montgomery County Community College . This position will close on February 1, 2026\.</t>
        </is>
      </c>
    </row>
    <row r="22">
      <c r="A22" t="inlineStr">
        <is>
          <t>li-4360270220</t>
        </is>
      </c>
      <c r="B22" t="inlineStr">
        <is>
          <t>Junior Software Engineer</t>
        </is>
      </c>
      <c r="C22" t="inlineStr">
        <is>
          <t>RemoteHunter</t>
        </is>
      </c>
      <c r="D22" t="inlineStr">
        <is>
          <t>linkedin</t>
        </is>
      </c>
      <c r="E22" t="inlineStr"/>
      <c r="F22" t="inlineStr"/>
      <c r="G22" t="inlineStr"/>
      <c r="H22" t="inlineStr"/>
      <c r="I22" t="inlineStr">
        <is>
          <t>About the Opportunity:
 A leading provider of vertical software and embedded payments technology is seeking a Junior Software Engineer to join the development team and enhance the platform. The platform supports activity and adventure providers worldwide by managing real\-time booking availability, inventory, payment flows, and third\-party integrations. This remote role involves delivering high\-quality software solutions and supporting internal teams and customer implementations.
 Responsibilities:
 • Review incoming tasks on the iteration board and respond promptly to maintain productivity
 • Participate in all team meetings, contributing ideas and feedback on tasks and projects
 • Communicate proactively with the team leader and product manager regarding risks to task completion dates and follow up to facilitate feature testing and review
 • Occasionally work beyond standard hours, including weekends, to meet critical deadlines
 • Collaborate with senior developers and product managers to design, code, test, debug, and document software solutions following standards
 • Conduct basic testing and debugging to ensure high\-quality software outputs
 • Engage with product managers, customers, or other departments during the build phase to ensure requirements are met and provide support as needed
 • Maintain up\-to\-date knowledge of emerging technologies and apply them where relevant
 Requirements:
 • Proficiency in C\# within a .NET environment, experience with MySQL and some MongoDB
 • Familiarity with ORM tools such as NHibernate, web technologies (HTML/CSS/JavaScript), and API\-driven architectures
 • Understanding of clean code principles and object\-oriented design
 • Basic knowledge of CI/CD processes
 • Basic familiarity with Windows command line functions including file management, process management, and permissions handling
 • Strong problem\-solving skills and ability to troubleshoot issues efficiently
 • Excellent verbal and written communication skills for conveying technical information clearly
 • Ability to work independently and collaboratively, managing time effectively to meet deadlines
 • Bachelor’s Degree in Computer Science or a related field
 • 1\-2 years of relevant software development experience, preferably in a team\-based environment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3">
      <c r="A23" t="inlineStr">
        <is>
          <t>li-4360170413</t>
        </is>
      </c>
      <c r="B23" t="inlineStr">
        <is>
          <t>SOFTWARE ENGINEER 1</t>
        </is>
      </c>
      <c r="C23" t="inlineStr">
        <is>
          <t>RemoteHunter</t>
        </is>
      </c>
      <c r="D23" t="inlineStr">
        <is>
          <t>linkedin</t>
        </is>
      </c>
      <c r="E23" t="inlineStr"/>
      <c r="F23" t="inlineStr"/>
      <c r="G23" t="inlineStr"/>
      <c r="H23" t="inlineStr"/>
      <c r="I23" t="inlineStr">
        <is>
          <t>About the Opportunity:
 This team is the sole designer, builder, and refueler of U.S. Navy nuclear aircraft carriers and one of two providers of U.S. Navy nuclear submarines. The role supports the construction of some of the largest and most complex products in the world by designing and building information systems across diverse disciplines.
 Responsibilities:
 • Design, develop, and test operating systems\-level software, compilers, and network distribution software
 • Set operational specifications and analyze software requirements
 • May design embedded systems software
 • Build and maintain systems processing information for Materials Management, Planning and Provisioning, Human Resources, Finance, and more
 • Interface with systems including SAP, Team Center, SharePoint, JDA Component Supplier Management System, Hyperion
 • Work with database engines such as SQL Server and ORACLE
 • Support multiple engineering disciplines, craftsmen, and critical support organizations
 • Collaborate with project managers, systems engineers, software developers, solution architects, technical subject matter experts, and system users
 • Participate in grooming sessions and partner with business partners and vendors
 • Architect and design innovative software solutions
 Requirements:
 • Bachelor’s Degree and 0 years of relevant exempt experience
 • Equivalents to Bachelor’s Degree for IT positions include:
 \- Apprentice School graduate
 \- Navy Nuclear Power School graduate
 \- Associate’s Degree or 2\-year program plus 2 years relevant exempt experience or 4 years relevant non\-exempt experience
 \- Military Paygrade E\-5 or above experience
 \- High School/GED plus 4 years relevant exempt experience or 8 years relevant non\-exempt experience
 \- Relevant professional certification may substitute for Bachelor’s Degree
 • Basic understanding of Microsoft Visual Studio
 • Familiarity with programming languages: C/C\+\+, C\#, .NET, Java, Python
 • Knowledge of product development using PLM systems
 • IT systems architecture and Software Development Life Cycle knowledge
 • Ability to perform under conflicting/changing priorities
 • Written and oral communication and teaming skills
 • Familiarity with DevOps methodologies and tools such as Continuous Integration/Delivery (CI/CD), Git, Azure DevOps
 • Experience with Test Driven Development (TDD), design patterns like Dependency Injection and Adapters, MSTest, and NSubstitute
 Benefits \&amp; Perks:
 • Telework available up to 100%
 • Comprehensive medical, prescription drug, dental, and vision plan options
 • On\-site health center and wellness programs
 • Competitive benefits and educational/training programs for career growth
 Compensation:
 • Salary Range: $67,366\.00 to $84,214\.00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
      <c r="A24" t="inlineStr">
        <is>
          <t>li-4360280246</t>
        </is>
      </c>
      <c r="B24" t="inlineStr">
        <is>
          <t>Full Stack Software Engineer</t>
        </is>
      </c>
      <c r="C24" t="inlineStr">
        <is>
          <t>Onyx Odds</t>
        </is>
      </c>
      <c r="D24" t="inlineStr">
        <is>
          <t>linkedin</t>
        </is>
      </c>
      <c r="E24" t="inlineStr"/>
      <c r="F24" t="inlineStr"/>
      <c r="G24" t="inlineStr">
        <is>
          <t>New York, NY</t>
        </is>
      </c>
      <c r="H24" t="inlineStr"/>
      <c r="I24" t="inlineStr">
        <is>
          <t>**Company Overview** 
 Onyx Odds is a social sports prediction platform poised to shake up the world of sports. Onyx has seen immense growth in user activity and positive feedback resulting in an expansion of the team.
 Onyx is a venture backed startup, having raised millions in VC funding. The founder is a Harvard grad with a background at Jane Street.
 Onyx Odds is based in New York City with its offices in downtown Manhattan.
**Job Description** 
 We’re looking to add a key engineering hire to our very lean team. We are looking for someone who’s excited to work directly with the founding team to build, own, and scale the core product. As a Software Engineer, you’ll have end\-to\-end responsibility across the stack, significant product input, and the opportunity to shape both the technical architecture and company from day one.
* Own projects from inception to production, including architecture decisions, implementation, and observability
* Collaborate directly with founders on product direction, roadmap, and prioritization
**Background** 
* Computer Science degree from a top university
* Strong full\-stack skills: TypeScript, React, SQL
* Experience with mobile development (React Native)
* **3–6\+ years of experience** 
 as a software engineer
* A background developing low\-latency systems or performance sensitive applications is a plus
* Thrive in startup environments — you’re entrepreneurial, resourceful, and get energy from building things that users love
* A background or interest in sports is a plus
* **Visa Sponsorship:** 
 We are unable to offer employment visa sponsorship for this position
**Location** 
 We are based in FiDi in New York City. The team member can work in\-person or hybrid.
* *Please note: We do not offer employment visa sponsorship for this position.*</t>
        </is>
      </c>
    </row>
    <row r="25">
      <c r="A25" t="inlineStr">
        <is>
          <t>li-4363867220</t>
        </is>
      </c>
      <c r="B25" t="inlineStr">
        <is>
          <t>Frontend Engineer (React/Redux)</t>
        </is>
      </c>
      <c r="C25" t="inlineStr">
        <is>
          <t>Surefront</t>
        </is>
      </c>
      <c r="D25" t="inlineStr">
        <is>
          <t>linkedin</t>
        </is>
      </c>
      <c r="E25" t="inlineStr"/>
      <c r="F25" t="inlineStr"/>
      <c r="G25" t="inlineStr"/>
      <c r="H25" t="inlineStr"/>
      <c r="I25" t="inlineStr">
        <is>
          <t>**About The Company**
 Surefront is a pioneering cloud\-based collaboration platform designed to facilitate seamless communication and coordination between retailers and suppliers through its innovative Unified Collaboration Management (UCM) system. Our solution integrates with various enterprise systems such as ERPs, PLMs, and PIMs, providing a unified workspace that consolidates all project\-related activities.
 This integration enables users to save valuable time, focus on growth initiatives, and enhance margins by streamlining workflows. At Surefront, we are committed to building a world\-class technology company that values innovation, collaboration, and continuous improvement. Our team is passionate about developing cutting\-edge solutions that transform the retail supply chain ecosystem and empower our clients to achieve their business goals.
**About The Role**
 We are seeking an experienced Lead Front\-End Engineer to join our dynamic and growing team. This pivotal role requires a proactive individual who thrives in a fast\-paced startup environment and is passionate about delivering high\-quality, scalable front\-end solutions. The Lead Front\-End Engineer will collaborate closely with engineering leadership and product teams to design, develop, and implement new features for our single\-page application built with React and Redux.
 The ideal candidate will take ownership of the front\-end architecture, ensure code quality through rigorous testing and code reviews, and mentor less experienced engineers. This role offers the opportunity to influence the technical direction of our product, contribute to a collaborative team culture, and help shape the future of our technology platform. Initially remote, this position will transition to a flexible, office\-based role in California once conditions permit, supporting our commitment to work\-life balance and employee well\-being.
**Qualifications**
* 5\+ years of professional software development experience
* 3\+ years of hands\-on experience with React and Redux or equivalent front\-end frameworks
* 1\+ year of leadership experience in a technical role
* Strong proficiency in React, Redux, TypeScript, JavaScript, HTML5, CSS3, and RESTful APIs
* Experience with responsive design and implementation across various devices
* Familiarity with modern front\-end development tools and best practices
* Previous startup experience is a plus
* Fluent in English, with excellent communication skills
* California permanent resident or authorized to work in the U.S.
**Responsibilities**
* Engage with stakeholders to gather and review product requirements and translate them into technical solutions
* Lead the development and architecture of the React/Redux single\-page application, ensuring scalability and performance
* Make informed decisions on front\-end architecture, design patterns, and selection of libraries
* Implement and enforce best practices for code quality, testing, and documentation
* Conduct thorough code reviews and provide constructive feedback to team members
* Collaborate effectively with cross\-functional teams including product managers, designers, and backend engineers
* Mentor junior engineers, fostering a culture of continuous learning and improvement
* Stay updated with the latest industry trends and incorporate innovative solutions into the development process
**Benefits**
* Competitive salary and stock options
* Comprehensive medical, dental, and vision insurance plans
* 401(k) retirement plan with company matching
* Flexible working hours to support work\-life balance
* Opportunity to work in a fun, high\-energy environment with talented professionals
* Paid holidays and time off to recharge and relax
* Remote work flexibility with eventual office\-based work in California
 Equal Opportunity
 Surefront is an equal opportunity employer. We celebrate diversity and are committed to creating an inclusive environment for all employees. We do not discriminate based on race, ethnicity, gender, age, religion, sexual orientation, disability, or any other protected status. We believe that diverse teams foster innovation and drive our company's success.</t>
        </is>
      </c>
    </row>
    <row r="26">
      <c r="A26" t="inlineStr">
        <is>
          <t>li-4364027596</t>
        </is>
      </c>
      <c r="B26" t="inlineStr">
        <is>
          <t>Full Stack Software Engineer</t>
        </is>
      </c>
      <c r="C26" t="inlineStr">
        <is>
          <t>McKesson</t>
        </is>
      </c>
      <c r="D26" t="inlineStr">
        <is>
          <t>linkedin</t>
        </is>
      </c>
      <c r="E26" t="inlineStr"/>
      <c r="F26" t="inlineStr"/>
      <c r="G26" t="inlineStr">
        <is>
          <t>Columbus, OH</t>
        </is>
      </c>
      <c r="H26" t="inlineStr"/>
      <c r="I26"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Full Stack Software Engineer \- SCP
**Job Summary**
 We are seeking a talented Full\-Stack Software Engineer to join our dynamic team within the SCP (Shared Capabilities \&amp; Partnerships) Suite focused on transforming the Medical Prior Authorization process through innovative technology solutions. In this role, you will help build scalable, secure, and efficient applications that streamline healthcare workflows, reduce administrative burden, and improve patient outcomes. Your work will include data transformation and aggregation to enable seamless integration across systems, ensuring compliance with healthcare standards while delivering exceptional user experiences. While experience with AI technologies—such as Large Language Models, data\-driven automation, or intelligent workflows—
 **is preferred but not required** 
 , we value curiosity and a willingness to learn. If you are passionate about solving complex problems and making a meaningful impact in the healthcare industry, we’d love to hear from you.
 Job Responsibilities
* Design, develop, test, deploy, and maintain full\-stack applications using a variety of technologies and frameworks (e.g., Ruby on Rails, Elixir, React, Angular, Java, .NET).
* Collaborate closely with product managers, designers, and other engineers to understand requirements, define technical specifications, and deliver user\-centric solutions.
* Ability to develop and maintain responsive and intuitive user interfaces using modern front\-end technologies (e.g., React, Angular, Vue.js).
* Capacity to develop and manage robust back\-end services, APIs, and databases.
* Write clean, well\-documented, and efficient code, adhering to best practices and coding standards.
* Participate in code reviews, providing constructive feedback and ensuring code quality.
* Troubleshoot, debug, and resolve software defects and performance issues.
* Contribute to the entire software development lifecycle, from concept to deployment and beyond.
* Stay up\-to\-date with emerging technologies and industry trends to continuously improve our technical stack and development processes.
* Potentially mentor junior engineers and share knowledge within the team.
* Design, implement, and optimize data transformation and aggregation processes for seamless integration across systems.
* Work with on\-prem servers and Azure cloud environments to deploy and manage applications.
* Implement and manage Kafka for reliable messaging and event\-driven architectures.
 Minimum Requirements:
 Degree or equivalent and typically requires 4\+ years of relevant experience
**Job Qualifications**
* Bachelor's degree in Computer Science, Software Engineering, or a related field, or equivalent practical experience.
* 3\+ years of experience in full\-stack software development.
* Strong experience with a full\-stack or back\-end programming language (e.g., Ruby on Rails, Elixir, Java, Python, C\#) and relevant frameworks.
* Solid understanding of relational databases (e.g., PostgreSQL, MySQL, SQL Server) and/or NoSQL databases (e.g., MongoDB, DynamoDB).
* Experience with RESTful API design and development.
* Familiarity with version control systems (e.g., Git).
* Understanding of agile development methodologies.
* Excellent problem\-solving skills and attention to detail.
* Familiarity with at least one modern front\-end framework (e.g., React, Angular, Vue.js) and associated technologies (HTML5, CSS3, JavaScript/TypeScript).
* Strong communication and collaboration skills, with the ability to work effectively in a team environment.
* Experience with cloud platforms (e.g., AWS, Azure, Google Cloud) is a plus.
* Knowledge of testing frameworks and methodologies (e.g., Jest, Mocha, Cypress, Selenium) is a plus.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$100,100 \- $166,900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t>
        </is>
      </c>
    </row>
    <row r="27">
      <c r="A27" t="inlineStr">
        <is>
          <t>li-4363747044</t>
        </is>
      </c>
      <c r="B27" t="inlineStr">
        <is>
          <t>Software Engineer (React, TypeScript)</t>
        </is>
      </c>
      <c r="C27" t="inlineStr">
        <is>
          <t>Gusto</t>
        </is>
      </c>
      <c r="D27" t="inlineStr">
        <is>
          <t>linkedin</t>
        </is>
      </c>
      <c r="E27" t="inlineStr"/>
      <c r="F27" t="inlineStr"/>
      <c r="G27" t="inlineStr"/>
      <c r="H27" t="inlineStr"/>
      <c r="I27" t="inlineStr">
        <is>
          <t>**About The Company** 
 Gusto is a forward\-thinking company dedicated to empowering small businesses across the United States by simplifying essential administrative functions. With a mission to grow the small business economy, Gusto manages complex processes such as payroll, health insurance, 401(k) plans, and human resources, allowing business owners to focus on their core craft and customer relationships. Headquartered in Denver, with additional offices in San Francisco and New York, Gusto supports over 400,000 small businesses nationwide. The company fosters an inclusive and dynamic workplace culture that celebrates diversity and innovation, aligning its values with its Total Rewards philosophy to attract and retain top talent. Gusto’s commitment to technological excellence and customer\-centric solutions positions it as a leader in the SMB financial services industry.
**About The Role** 
 Gusto is seeking a highly experienced Principal Engineer to lead the Contractors team, a critical component of its flagship Payroll product. In this role, you will be instrumental in designing, developing, and scaling systems that deliver seamless payroll and contractor management experiences for customers operating in over 120 countries. You will collaborate closely with product managers, designers, and engineering teams to deliver impactful features that enhance user satisfaction and operational efficiency. As a technical leader, you will oversee end\-to\-end project execution, shape architectural strategies, and ensure the robustness and scalability of backend systems supporting core payroll functionalities. Your expertise will guide the team in building resilient, secure, and high\-performance solutions, while mentoring engineers to foster growth and innovation. This role offers an opportunity to influence product strategy and contribute to a platform that touches the lives of millions of users, making complex payroll and compliance processes simple and accessible.
**Qualifications** 
* 15\+ years of professional software development experience.
* Proven experience as a technical lead managing projects across multiple teams.
* Extensive background in building and maintaining resilient backend systems supporting customer\-facing applications.
* Strong expertise in Ruby on Rails, TypeScript, React, and related technologies.
* Experience developing and maintaining RESTful APIs, GraphQL endpoints, and backend services.
* Demonstrated ability to scale engineering organizations and mentor team members.
* Experience working in highly cross\-functional environments with complex product requirements.
* Excellent communication skills to articulate technical concepts and facilitate stakeholder discussions.
* Experience leveraging AI tools for product development, testing, and iteration.
* Knowledge of emerging backend technologies, AI frameworks, and patterns.
* Willingness to contribute to shared tools and templates that enhance AI experimentation and safety.
**Responsibilities** 
* Architect, develop, and maintain scalable, secure, and resilient backend systems to support Gusto’s Payroll and Contractor products.
* Act as a technical leader across multiple engineering teams, ensuring project alignment and timely delivery.
* Optimize existing systems for performance, reliability, and scalability to support a growing user base.
* Design and implement APIs and backend services that facilitate seamless integration with frontend applications and third\-party services.
* Mentor and grow engineering talent, fostering a culture of continuous learning and innovation.
* Drive the product development lifecycle from concept through deployment, ensuring high\-quality deliverables.
* Collaborate with cross\-functional teams including Product Management, Design, Data Science, Compliance, and Operations.
* Contribute to technical strategy, architecture decisions, and best practices for the engineering organization.
* Stay current with technological advancements, particularly in backend development and AI, to inform product enhancements.
* Participate in the development of shared tools and frameworks to accelerate AI experimentation and deployment.
**Benefits** 
* Competitive salary package aligned with experience and location.
* Comprehensive health, dental, and vision insurance coverage.
* Retirement savings plans with company contributions.
* Flexible work arrangements, including remote work opportunities.
* Paid time off and holidays to promote work\-life balance.
* Professional development programs and continuous learning opportunities.
* Inclusive and supportive workplace culture that values diversity and innovation.
* Access to cutting\-edge technology and tools to facilitate impactful work.
 Equal Opportunity
 Gusto is an equal‑opportunity employer committed to fostering an inclusive environment for all employees and applicants. We do not discriminate based on race, color, religion, national origin, age, sex, gender identity or expression, sexual orientation, disability, veteran status, or any other legally protected characteristic.</t>
        </is>
      </c>
    </row>
    <row r="28">
      <c r="A28" t="inlineStr">
        <is>
          <t>li-4360150479</t>
        </is>
      </c>
      <c r="B28" t="inlineStr">
        <is>
          <t>Frontend Engineer</t>
        </is>
      </c>
      <c r="C28" t="inlineStr">
        <is>
          <t>RemoteHunter</t>
        </is>
      </c>
      <c r="D28" t="inlineStr">
        <is>
          <t>linkedin</t>
        </is>
      </c>
      <c r="E28" t="inlineStr"/>
      <c r="F28" t="inlineStr"/>
      <c r="G28" t="inlineStr"/>
      <c r="H28" t="inlineStr"/>
      <c r="I28" t="inlineStr">
        <is>
          <t>About the Opportunity:
 This team focuses on improving the user experience of the internet by building tools that prevent broken pixels from being shipped. The frontend engineer role involves contributing to a web application used by thousands of developers and stakeholders to interact with UI Tests, UI Review workflows, and other features that ensure frontends remain regression\-free. The application is built with React (Next.js), GraphQL, Emotion, and TypeScript.
 Responsibilities:
 • Build and maintain scalable, reliable frontend systems powering the product.
 • Own projects from conception to completion, breaking down features into discrete units of work and maintaining momentum.
 • Collaborate cross\-functionally to ensure feature continuity between related products and deliver developer\-friendly solutions.
 • Continuously improve existing systems through optimization, refactoring, and modernization.
 • Participate in the team''s support rotation during business hours.
 • Stay informed on emerging frontend architecture and developer tooling trends to enhance the platform.
 Requirements:
 • 5\+ years of hands\-on frontend engineering experience with React, Next.js, and TypeScript, emphasizing test\-driven and accessibility\-first development.
 • Self\-directed problem solver able to scope work, communicate progress, flag blockers, and make technical and product trade\-offs independently while aligned with stakeholders.
 • Willingness to challenge ideas constructively, handle critique without defensiveness, and demonstrate a growth mindset.
 • Clear written and verbal communication skills suitable for a distributed, asynchronous work environment.
 • Strong focus on execution, accountability, and consistent progress despite challenges.
 • Deep investment in developer experience, either through shipping tools or understanding frontend team challenges.
 Bonus Qualifications:
 • Recent transition into a senior role or readiness to advance career level.
 • Experience with Storybook or the mentioned UI testing platform.
 • Experience working with GraphQL.
 • Proven effectiveness in distributed, remote\-first teams.
 • Non\-traditional background offering unique insights beyond engineering.
 Compensation:
 • Salary Range: US$145K \-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9">
      <c r="A29" t="inlineStr">
        <is>
          <t>li-4360190357</t>
        </is>
      </c>
      <c r="B29" t="inlineStr">
        <is>
          <t>Founding Software Engineer</t>
        </is>
      </c>
      <c r="C29" t="inlineStr">
        <is>
          <t>RemoteHunter</t>
        </is>
      </c>
      <c r="D29" t="inlineStr">
        <is>
          <t>linkedin</t>
        </is>
      </c>
      <c r="E29" t="inlineStr"/>
      <c r="F29" t="inlineStr"/>
      <c r="G29" t="inlineStr"/>
      <c r="H29" t="inlineStr"/>
      <c r="I29" t="inlineStr">
        <is>
          <t>About the Opportunity:
 This team is seeking a Founding Software Engineer to build the core agentic AI engine of their product. The role involves designing and shipping AI systems that perform real\-world tasks end\-to\-end. It focuses on building reliable, production\-grade AI workflows to solve concrete customer problems, working directly with founders and the CTO.
 Responsibilities:
 • Design and develop AI agents that plan, execute, and verify complex real\-world processes
 • Build production\-grade AI workflows for audit and other enterprise applications
 • Shape core product architecture and influence AI agent behavior
 • Collaborate closely with users to iterate rapidly and ship impactful features
 • Take high ownership of early\-stage product development
 Requirements:
 • Minimum 3 years of software engineering experience
 • Experience with applied AI engineering and full\-stack development
 • Skilled in building production\-grade agentic AI systems
 • Ability to design and ship core AI engine features
 • Comfortable working in ambiguous environments with practical problem solving and product focus
 Interview Process:
 • Phone Screen: Informal conversation with a founder to discuss background, goals, and product vision
 • Remote Technical Screen (1 hour): Hands\-on session solving practical problems; language\-agnostic, preferred tools allowed
 • Onsite Interview (Half Day): Collaboration on end\-to\-end feature\-building exercises, discussion of roadmap and culture
 • Typical timeline: 1 to 2 weeks, accommodating candidates with tight schedules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0">
      <c r="A30" t="inlineStr">
        <is>
          <t>li-4364017163</t>
        </is>
      </c>
      <c r="B30" t="inlineStr">
        <is>
          <t>Frontend Engineer, Sr.</t>
        </is>
      </c>
      <c r="C30" t="inlineStr">
        <is>
          <t>Document Crunch</t>
        </is>
      </c>
      <c r="D30" t="inlineStr">
        <is>
          <t>linkedin</t>
        </is>
      </c>
      <c r="E30" t="inlineStr"/>
      <c r="F30" t="inlineStr"/>
      <c r="G30" t="inlineStr"/>
      <c r="H30" t="inlineStr"/>
      <c r="I30" t="inlineStr">
        <is>
          <t>**About The Company** 
 Recognized as a 2025 Inc. Best Place to Work ranked \#311 on the Inc. 5000, and winner of the 2024 AI Breakthrough Award, Document Crunch is at the forefront of innovation in the construction industry. Our AI Risk Reduction Platform, powered by CrunchAI™, leverages one of the industry's most extensive proprietary datasets to revolutionize how project teams manage documentation and decision\-making processes. We are committed to transforming construction project workflows by enabling rapid document review, providing actionable insights, and supporting real\-time on\-the\-job questions from bid to closeout. Our company culture is people\-focused and values\-driven, emphasizing teamwork, integrity, and continuous growth. We believe that great achievements stem from a dedicated and passionate team, which is why we foster an environment where our "Crunchers" go above and beyond, aligning with our core values to deliver exceptional results.
**About The Role** 
 As a Senior Frontend Engineer at Document Crunch, you will serve as a technical leader within a small, high\-impact squad responsible for developing and enhancing our platform's frontend experience. Your role involves overseeing the entire lifecycle of feature development—from initial discovery and design collaboration to architecture, implementation, testing, and deployment. You will be instrumental in elevating the performance, accessibility, and usability of our platform, ensuring it meets the highest standards of quality and efficiency. Mentoring junior engineers, shaping frontend best practices, and collaborating closely with cross\-functional teams will be key aspects of your responsibilities. This role offers an exciting opportunity to influence the technical direction of our product while working in a dynamic, innovative environment that values continuous learning and professional growth.
**Qualifications** 
* Bachelor's degree in Engineering, Computer Science, Business, or a related field (high school diploma required if applicable)
* 5\+ years of experience building production web applications with React and TypeScript (or equivalent modern frameworks)
* Strong fundamentals in HTML, CSS, and responsive design principles
* Proven track record of delivering complex, data\-heavy products with a focus on UX, accessibility (WCAG 2\.2 AA), and web performance (Core Web Vitals)
* Experience designing component APIs, managing state (e.g., React Query, Zustand, Redux), and implementing multi\-view routing
* Expertise in integrating REST APIs, handling authentication, optimistic updates, and error/retry mechanisms
* Pragmatic testing experience using Jest, Vitest, Testing Library, Playwright, or Cypress
* Familiarity with documentation tools such as Storybook or similar platforms
* Strong product sense, excellent communication skills, and a proactive ownership mindset
**Responsibilities** 
* Own the development of features from conception through deployment and iteration, collaborating with product managers and designers
* Write clear, efficient, and maintainable code using React and TypeScript, with a focus on component composition and best practices
* Establish and maintain testing strategies, including unit, integration, and end\-to\-end tests to ensure high\-quality releases
* Enhance platform capabilities by evolving the design system, routing, authentication flows, error handling, caching, and offline experiences
* Implement telemetry and observability tools such as metrics, logs, and traces to monitor UX, reliability, and performance in production environments
* Collaborate closely with backend engineers to shape API contracts and contribute to build tooling and CI/CD pipelines
* Provide mentorship and code reviews to team members, sharing best practices and helping to elevate the team’s frontend expertise
**Benefits** 
* Comprehensive medical, dental, and vision insurance plans
* Participation in the employee stock option program
* Flexible Time Off policy to support work\-life balance
* Access to a 401(k) retirement plan
* Company\-paid Short Term Disability, Long Term Disability, and Life Insurance
* Monthly technical allowance to support professional development
* Opportunities to participate in company\-wide offsites, volunteering, and team\-building activities
* High\-growth environment with substantial internal advancement opportunities
* Inclusive culture that values diversity, equity, and inclusion in all aspects of work
 Equal Opportunity
 Document Crunch is an equal opportunity employer. We are committed to creating a diverse and inclusive workplace where all individuals are valued and respected. We do not discriminate based on race, color, religion, national origin, marital status, veteran status, age, disability, pregnancy, sex, sexual orientation, gender identity, or any other legally protected category.</t>
        </is>
      </c>
    </row>
    <row r="31">
      <c r="A31" t="inlineStr">
        <is>
          <t>li-4363827535</t>
        </is>
      </c>
      <c r="B31" t="inlineStr">
        <is>
          <t>Senior Software Engineer</t>
        </is>
      </c>
      <c r="C31" t="inlineStr">
        <is>
          <t>TransPerfect Connect</t>
        </is>
      </c>
      <c r="D31" t="inlineStr">
        <is>
          <t>linkedin</t>
        </is>
      </c>
      <c r="E31" t="inlineStr"/>
      <c r="F31" t="inlineStr"/>
      <c r="G31" t="inlineStr">
        <is>
          <t>Albany, New York Metropolitan Area</t>
        </is>
      </c>
      <c r="H31" t="inlineStr"/>
      <c r="I31" t="inlineStr">
        <is>
          <t>**TransPerfect Is More Than Just a Job…**
 Our greatest asset is our people, and nothing is more important to us than ensuring that everyone knows that. Each of our 100\+ offices has its own individual identity, and each also has its own unique rewards.
**Who We Are**
 TransPerfect is an established company with a start\-up culture seeking creative entrepreneurial people like you to join our team. We’re seeking a Senior Software Engineer to join our global team to be responsible for ensuring the integrity, reliability and maintenance of our internally developed software products from conception to release. If you’re ready to join a growing company and make an immediate impact, we want to hear from you!
**What You Will Be Doing**
* Perform responsive software development and integration, within an agile development process
* Design, build, and maintain efficient, reusable, and reliable code
* Support our software lifecycle, to include design, development and testing
* Work closely with users to provide personalized software support as needed
* Ensure the best possible performance, quality, and responsiveness of applications
* Identify bottlenecks and bugs, and devise solutions to mitigate and address these issues
* Help maintain code quality, organization, and automation
* Testing and evaluating new development technologies
* Documenting application support and operational procedures
**Who We Are Looking For**
* 6\-10 years of experience
* Understanding of and ability to develop in DotNet.
* Extensive knowledge of C\#, LINQ, MS SQL, Entity Framework and related technologies
* Work experience in Software as a Service (SaaS), which focuses on financial management, human capital management (HCM), and enterprise resource planning (ERP)
* Ability to use version control software such as GIT.
* Understanding of web service protocols such as Rest, API design for extensibility and integration
* Experience debugging complex applications
* Experience with Agile development project management methodologies
* Azure/AWS knowledge a plus
**Where Your Career Is Going**
 At TransPerfect, there are a lot of growth opportunities. The successful candidate will be ambitious and motivated with the ability to
 learn quickly. If you’re ready to join a growing company and jumpstart your career, we want to hear from you! All departments offer
 career growth and development that can combine your skills, interest and experience. We encourage our employees to have a
 continuous dialogue with management about growth oppportuinties throughout your tenure with the company.
 End your job search and find your career at TransPerfect \#careersNOTjobs.
**Why TransPerfect**
 For more than 30 years, we have honed a culture where all kinds of ideas are shared and new ventures are not only welcomed, but
 also encouraged. In this fast\-paced environment, employees are intellectually stimulated so they can grow alongside the organization.
 From Intern to President, we believe that every single employee should have a voice and contribute to the amazing services we offer
 our clients.
 We also offer a comprehensive benefits package including medical, dental, and vision insurance, 401k matching, membership to child\-
 care providers, and other TransPerks. You even get your birthday off because let's face it, we're stoked that you were born.
 TransPerfect provides equal employment opportunity to all individuals regardless of their race, color, creed, religion, gender, age,
 sexual orientation, national origin, disability, veteran status, or any other characteristic protected by state, federal, or local law
 For more information on the TransPerfect Family of Companies, please visit our website at www.transperfect.com.</t>
        </is>
      </c>
    </row>
    <row r="32">
      <c r="A32" t="inlineStr">
        <is>
          <t>li-4364047324</t>
        </is>
      </c>
      <c r="B32" t="inlineStr">
        <is>
          <t>Junior Software Engineer- HSV, AL (Contingent on Award)</t>
        </is>
      </c>
      <c r="C32" t="inlineStr">
        <is>
          <t>Davidson Technologies</t>
        </is>
      </c>
      <c r="D32" t="inlineStr">
        <is>
          <t>linkedin</t>
        </is>
      </c>
      <c r="E32" t="inlineStr"/>
      <c r="F32" t="inlineStr"/>
      <c r="G32" t="inlineStr">
        <is>
          <t>Huntsville, AL</t>
        </is>
      </c>
      <c r="H32" t="inlineStr"/>
      <c r="I32" t="inlineStr">
        <is>
          <t>Davidson is distinguished in the aerospace and missile defense industry, in part, because of its excellence in hiring exceptional experts, engineers and software developers dedicated to delivering advanced, intelligent technology solutions in defense of our nation.
 Davidson is seeking a
 **Junior Software Engineer** 
 to support the SCALE (Supply Chain Analytics and Logistics Environment) development program in Huntsville, AL. SCALE is a data\-driven analytics platform that integrates procurement, logistics, and forecasting operations to enable predictive and prescriptive decision\-making for the Department of Defense. The ideal candidate will be passionate about building scalable, secure, and data\-centric software solutions in an Agile development environment. The role is part of a cross\-functional team including software developers, data analysts, data engineers, product owners, and cybersecurity professionals, all focused on building a secure, scalable, and data\-driven environment that supports enterprise\-level analytics and AI readiness.
**All Team Members Should Be Able To**
* Experiment with innovative ideas and technologies to expand the realm of possible
* Self\-organize and contribute to Agile ceremonies and iterative development
* Collaborate and visualize concepts effectively (e.g., whiteboarding, technical diagrams, 1\-pagers)
* Embrace continuous learning and contribute to shared technical architectural growth
**Job Responsibilities**
 The Junior Software Engineer will assist in the design, development, and implementation of web\-based applications, APIs, and microservices supporting the SCALE platform. This includes:
* Supporting the development of data pipelines, REST APIs, and integrations between databases, Power BI, and other analytic components.
* Writing clean, maintainable code and participating in code reviews and testing.
* Assisting in containerization and deployment of application components within a DevSecOps pipeline.
* Collaborating with the Product Owner and senior engineers to translate requirements into development tasks and working software.
* Supporting the integration of Power BI dashboards and data services through back\-end code enhancements and secure data exchange.
* Participating in Agile ceremonies and contributing to sprint goals.
**Job Requirements**
* Bachelor's degree in Computer Science, Software Engineering, or related field.
* 1\-4 years of experience in software development.
* Proficiency in at least one modern programming language (Python, C\+\+, Java, or similar).
* Experience developing in Linux and/or Windows environments.
* Understanding of full software lifecycle development practices, including code reviews, unit testing, and version control.
* Familiarity with RESTful APIs and database interaction (SQL, PostgreSQL, or equivalent).
* Strong collaboration and communication skills within an Agile environment.
**Desired Competencies**
* Exposure to Power BI integration, data analytics platforms, or backend services supporting visualization tools.
* Experience with Git, Gitlab, and Atlassian tools (Jira, Confluence).
* Understanding of containerization, microservices, and cloud deployment concepts.
* Familiarity with CI/CD pipelines and DevSecOps practices.
* Experience with web frameworks (e.g., Flask, FastAPI, React, or Angular).
* Understanding of DOD security requirements and secure coding practices.
**Clearance**
* Must currently hold or be able to obtain a Secret security clearance (not required to start)
***Job Posted by ApplicantPro***</t>
        </is>
      </c>
    </row>
    <row r="33">
      <c r="A33" t="inlineStr">
        <is>
          <t>li-4363767132</t>
        </is>
      </c>
      <c r="B33" t="inlineStr">
        <is>
          <t>Artificial Intelligence Software Developer</t>
        </is>
      </c>
      <c r="C33" t="inlineStr">
        <is>
          <t>MaintainX</t>
        </is>
      </c>
      <c r="D33" t="inlineStr">
        <is>
          <t>linkedin</t>
        </is>
      </c>
      <c r="E33" t="inlineStr"/>
      <c r="F33" t="inlineStr"/>
      <c r="G33" t="inlineStr"/>
      <c r="H33" t="inlineStr"/>
      <c r="I33" t="inlineStr">
        <is>
          <t>MaintainX is the world's leading Asset and Work Intelligence platform for industrial and frontline environments. We are a modern IoT\-enabled cloud\-based tool for reliability, safety, and operations on physical equipment and facilities. MaintainX powers operational excellence for 12,000\+ businesses including Duracell, Univar Solutions Inc., Titan America, McDonald's, Brenntag, Cintas, Xylem, and Shell.
 We recently completed a $150 million Series D round, bringing our total funding to $254 million and valuing the company at $2\.5 billion.
**We're looking for a Software Engineer with experience building AI\-powered applications leveraging LLMs.** 
 You’ll design and deploy intelligent features that integrate with web apps and backend systems. You’ll work closely with product and engineering teams to build scalable, production\-ready solutions. This role blends hands\-on full\-stack development with cutting\-edge AI capabilities.
**What You’ll Do**
* Design, develop, and deploy AI\-powered applications utilizing LLMs and other models to solve complex business problems.
* Ensure seamless integration of AI models with web applications and backend services.
* Implement and optimize algorithms for performance and scalability, ensuring efficient end\-to\-end solutions.
* Collaborate with product managers, designers, and engineers to define product requirements and integrate AI capabilities into customer\-facing applications.
* Contribute to engineering best practices, including code quality, security, and deployment processes.
* Participate in on\-call duties.
**About You**
* Proven experience implementing LLM\-powered applications, including prompt engineering, retrieval mechanisms, agentic workflows and integrating external knowledge sources.
* 3\+ years of professional experience in full\-stack software development, including 1\+ year of experience working with LLMs.
* Strong programming skills in Python and/or JavaScript/TypeScript, with experience using LLM frameworks such as LlamaIndex, LangChain and LangGraph.
* Experience with cloud providers (AWS/Azure/GCP) and deploying AI services at scale.
* Knowledge of modern web development frameworks (React, Node.js) and API design.
* Strong problem\-solving skills, with the ability to design scalable AI\-powered solutions.
* Excellent communication skills to explain complex AI concepts to non\-technical stakeholders.
* Actively keeps up with recent advancements in LLMs and AI, including new models, tools, and industry trends.
**Bonus Skills**
* Built multi\-modal applications.
* Implemented guardrails and evaluation pipelines for LLM\-driven applications.
* Skilled in training, fine\-tuning, optimizing, and deploying language models.
**What’s In It For You**
* Competitive salary and meaningful equity opportunities.
* Healthcare, dental, and vision coverage.
* 401(k) / RRSP enrollment program.
* Take what you need PTO.
* A Work Culture where:
+ You’ll work alongside folks across the globe that reflect the MaintainX values: Smart Humble Optimists.
+ We believe in meritocracy, where ideas and effort are publicly celebrated.
**About Us**
 Our mission is to deliver one platform for maintenance, repair \&amp; operations teams to keep the physical world running. We believe the greatest asset in any organization is the people. That’s why we built an intuitive, mobile\-first solution to help boost productivity and collaboration across teams and locations.
 MaintainX is committed to creating a diverse environment. All qualified applicants will receive consideration for employment without regard to race, color, religion, gender, gender identity or expression, sexual orientation, national origin, genetics, disability, age, or veteran status.</t>
        </is>
      </c>
    </row>
    <row r="34">
      <c r="A34" t="inlineStr">
        <is>
          <t>li-4360122567</t>
        </is>
      </c>
      <c r="B34" t="inlineStr">
        <is>
          <t>Embedded Software Engineer</t>
        </is>
      </c>
      <c r="C34" t="inlineStr">
        <is>
          <t>Sceye</t>
        </is>
      </c>
      <c r="D34" t="inlineStr">
        <is>
          <t>linkedin</t>
        </is>
      </c>
      <c r="E34" t="inlineStr"/>
      <c r="F34" t="inlineStr"/>
      <c r="G34" t="inlineStr">
        <is>
          <t>Albuquerque, NM</t>
        </is>
      </c>
      <c r="H34" t="inlineStr"/>
      <c r="I34" t="inlineStr">
        <is>
          <t>**Job Type: Full\-Time, Exempt** 
**Location:** 
  Moriarty, NM
**Who Are We:** 
**Sceye a high\-growth technology company, building the next generation of instant communications, imaging and remote sensing infrastructure through stratospheric platforms.** 
**Our lighter\-than\-air high\-altitude platform systems (LTA HAPS) are capable of maintaining position over an operational area in the stratosphere (altitudes of 18 – 21km). They can carry multiple telecommunications, imaging and remote sensing payloads, providing unique functionality, cost, environmental and societal advantages.** 
**Our HAPS be deployed in a matter of days and at a fraction of the cost of traditional infrastructure solutions. This makes them an ideal solution for providing telecommunications connectivity, emergency solutions in the event of natural or other disasters, environmental and infrastructure monitoring, Earth observation and a range of defense applications.** 
**Our customers \&amp; partners include some of the largest global telecommunications companies, infrastructure operators, climate researchers, civil and defense agencies.** 
**At Sceye, we aim high, and we want you to join us at the stratospheric edge of innovation. As part of our mission\-driven team, you’ll contribute to building breakthrough technologies that are changing the way we connect and observe the world. We are looking for individuals who bring not only deep expertise but also bold vision and an unwavering commitment to excellence.** 
**What you will do** 
* Design, implement, and test embedded software systems for avionics, simulators, and ground control
* Develop hardware drivers and data interfaces based on engineering datasheets
* Perform integration with microcontrollers, sensors, actuators, and telemetry systems
* Encode/decode messaging over Serial, CAN, and Ethernet communication protocols
* Write automated tests and participate in continuous integration and peer code reviews
* Work with flight testers and operators to troubleshoot, optimize, and train on deployed systems
* Document system architecture, communication protocols, and deployment procedures
* Participate in Agile ceremonies and engineering reviews using Gitlab, Jira and Confluence
* Contribute to simulator and visualization tools for system testing and validation
**What You Need** 
* BS degree in Computer Science, Electrical Engineering or Physics or 4\+ years of industry experience.
* Proficient in C/C\+\+ programming for device interfaces and best practices for a Linux environment developing hardware interfaces (going from datasheet to working device)
1. Micro\-controllers, read and calibrate ADC and GPIO, switches and controllers
2. Serial, CAN, and Ethernet interface encoding/decoding
* Proficient in industry standard development tools and processes git, CI/CD pipelines, peer review
* Record of writing clean software for complex systems
* Ability to adapt and troubleshoot in a dynamic R\&amp;D environment
**Nice to Have** 
* Experience in the aerospace, robotics, or performance vehicles industries
* Proficient in Python and shell scripting
* Familiarity with nix build system
* Experience with SQL databases, especially for system logging with sqlite
* Experience building physics\-based simulators and visualization tools
* Experience with multi\-process messaging systems like ZeroMQ and MQTT
* Familiarly with Jira, Gitlab, Confluence and Agile processes
* Experience in the telecommunications or RF connectivity
* Experience developing user interfaces for flight or space operations
* Experience setting up networking and writing deployment and monitoring scripts
**What We Offer:** 
**At Sceye, we’re building more than high\-altitude platforms—we’re building a workplace where people (and their pups) thrive. Here’s what you’ll enjoy:** 
* **Chef\-Prepared Lunches** 
 – Fresh, onsite meals to keep you fueled and focused.
* **Snacks \&amp; Refreshments** 
 – Enjoy a variety of snacks and drinks available throughout the day.
* **Wellness Perks** 
 – Access to a gym, pickleball court, and an outdoor dog kennel.
* **Dog\-Friendly Environment** 
 – Bring your four\-legged friends to work and enjoy a pet\-welcoming space.
* **Comprehensive Health Coverage** 
 – Medical, dental, vision, and disability insurance, with over 82% of premiums covered—and 100% for everything else.
* **401(k) with Match** 
 – Company contributions that are yours from day one.
* **High\-Performance Culture** 
 – Join a collaborative, inclusive environment where your work helps shape the future of aerospace.
**Equal Opportunity Employer:** 
**Sceye is proud to be an Equal Opportunity Employer. We celebrate diversity and are committed to creating an inclusive environment for all employees. We do not discriminate on the basis of race, religion, color, national origin, gender, sexual orientation, gender identity or expression, age, disability, veteran status, or any other legally protected status.** 
* **We encourage individuals from all backgrounds to apply, especially those who bring unique perspectives and experiences that can help us grow and innovate. If you require reasonable accommodation during the application or interview process, please contact us—we’re happy to assist.**</t>
        </is>
      </c>
    </row>
    <row r="35">
      <c r="A35" t="inlineStr">
        <is>
          <t>li-4363897546</t>
        </is>
      </c>
      <c r="B35" t="inlineStr">
        <is>
          <t>Software Engineer II</t>
        </is>
      </c>
      <c r="C35" t="inlineStr">
        <is>
          <t>Amentum</t>
        </is>
      </c>
      <c r="D35" t="inlineStr">
        <is>
          <t>linkedin</t>
        </is>
      </c>
      <c r="E35" t="inlineStr"/>
      <c r="F35" t="inlineStr"/>
      <c r="G35" t="inlineStr">
        <is>
          <t>Dallas, TX</t>
        </is>
      </c>
      <c r="H35" t="inlineStr"/>
      <c r="I35" t="inlineStr">
        <is>
          <t>**Job Summary:**
 The Software Engineer II will perform full stack development with C\# program, MVC, Linq, and rest API development in NET Core platform.
**Essential Responsibilities:**
* Under general supervision, design, develop, troubleshoot, and analyze software programs for computer\-based systems
* Ensure automated data feeds and system interfaces are working as intended
* Participate in software requirements review, preliminary and critical design reviews, integration readiness review, and software acceptance reviews
* Design, write, test, deploy and support software code, as assigned
* Perform software upgrades in accordance with software quality procedures
* Frequent inter\-organizational and outside customer contacts on technical matters
* Support Continuous Improvement efforts intended to improve the quality of existing software
* Design and implement new or existing standard software application programs and reports according to project software standards and conventions
* Perform other duties as assigned
**Knowledge, Skills and Abilities:**
* Knowledge of relational database SQL language
* Strong knowledge of Model\-View\-Controller (MVC), Linq, and rest API development
* Ability to build robust, maintainable web applications and services
* Excellent communications and analytical skills required
* Strong Planning/organizing skills
* Ability to prioritize and adapt to dynamic changes in the environment
* Must be able to work under deadlines
* Position may require travel
**Minimum Education and Experience Required:**
* Bachelor’s degree in a related technical discipline (e.g., BSEE, BSCS) or equivalent in Computer Science or related field
* Three years of C\# program experience with .NET technology
* Experience with MVC, Linq, and rest API development
* ReactJS programming experience preferred
* Position may require the ability to pass and maintain a Security Clearance
**Compensation Details:**
 $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01/17/2026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36">
      <c r="A36" t="inlineStr">
        <is>
          <t>li-4363897382</t>
        </is>
      </c>
      <c r="B36" t="inlineStr">
        <is>
          <t>Senior Software Engineer</t>
        </is>
      </c>
      <c r="C36" t="inlineStr">
        <is>
          <t>TransPerfect Connect</t>
        </is>
      </c>
      <c r="D36" t="inlineStr">
        <is>
          <t>linkedin</t>
        </is>
      </c>
      <c r="E36" t="inlineStr"/>
      <c r="F36" t="inlineStr"/>
      <c r="G36" t="inlineStr">
        <is>
          <t>Albany, New York Metropolitan Area</t>
        </is>
      </c>
      <c r="H36" t="inlineStr"/>
      <c r="I36" t="inlineStr">
        <is>
          <t>**TransPerfect Is More Than Just a Job…**
 Our greatest asset is our people, and nothing is more important to us than ensuring that everyone knows that. Each of our 100\+ offices has its own individual identity, and each also has its own unique rewards.
**Who We Are**
 TransPerfect is an established company with a start\-up culture seeking creative entrepreneurial people like you to join our team. We’re
 seeking a Senior Software Engineer to join our global team to be responsible for ensuring the integrity, reliability and maintenance of
 our internally developed software products from conception to release. If you’re ready to join a growing company and make an
 immediate impact, we want to hear from you!
**What You Will Be Doing**
* Perform responsive software development and integration, within an agile development process
* Design, build, and maintain efficient, reusable, and reliable code
* Support our software lifecycle, to include design, development and testing
* Work closely with users to provide personalized software support as needed
* Ensure the best possible performance, quality, and responsiveness of applications
* Identify bottlenecks and bugs, and devise solutions to mitigate and address these issues
* Help maintain code quality, organization, and automation
* Testing and evaluating new development technologies
* Documenting application support and operational procedures
**Who We Are Looking For**
* 6\-10 years of experience
* Understanding of and ability to develop in DotNet.
* Extensive knowledge of C\#, LINQ, MS SQL, Entity Framework and related technologies
* Ability to use version control software such as GIT.
* Understanding of web service protocols such as Rest, API design for extensibility and integration
* Experience debugging complex applications
* Experience with Agile development project management methodologies
* Azure/AWS knowledge a plus
**Where Your Career Is Going**
 At TransPerfect, there are a lot of growth opportunities. The successful candidate will be ambitious and motivated with the ability to
 learn quickly. If you’re ready to join a growing company and jumpstart your career, we want to hear from you! All departments offer
 career growth and development that can combine your skills, interest and experience. We encourage our employees to have a
 continuous dialogue with management about growth oppportuinties throughout your tenure with the company.
 End your job search and find your career at TransPerfect \#careersNOTjobs.
**Why TransPerfect**
 For more than 30 years, we have honed a culture where all kinds of ideas are shared and new ventures are not only welcomed, but
 also encouraged. In this fast\-paced environment, employees are intellectually stimulated so they can grow alongside the organization.
 From Intern to President, we believe that every single employee should have a voice and contribute to the amazing services we offer
 our clients.
 We also offer a comprehensive benefits package including medical, dental, and vision insurance, 401k matching, membership to child\-
 care providers, and other TransPerks. You even get your birthday off because let's face it, we're stoked that you were born.
 TransPerfect provides equal employment opportunity to all individuals regardless of their race, color, creed, religion, gender, age,
 sexual orientation, national origin, disability, veteran status, or any other characteristic protected by state, federal, or local law
 For more information on the TransPerfect Family of Companies, please visit our website at www.transperfect.com.</t>
        </is>
      </c>
    </row>
    <row r="37">
      <c r="A37" t="inlineStr">
        <is>
          <t>li-4360200335</t>
        </is>
      </c>
      <c r="B37" t="inlineStr">
        <is>
          <t>Software Engineer III, ScriptDrop (Elixir)</t>
        </is>
      </c>
      <c r="C37" t="inlineStr">
        <is>
          <t>RemoteHunter</t>
        </is>
      </c>
      <c r="D37" t="inlineStr">
        <is>
          <t>linkedin</t>
        </is>
      </c>
      <c r="E37" t="inlineStr"/>
      <c r="F37" t="inlineStr"/>
      <c r="G37" t="inlineStr"/>
      <c r="H37" t="inlineStr"/>
      <c r="I37" t="inlineStr">
        <is>
          <t>About the Opportunity:
 The organization is a leading prescription savings platform in the U.S., serving over 25 million consumers and 750,000 healthcare professionals annually. It provides access to savings and affordability options for generic and brand\-name medications at more than 70,000 pharmacies nationwide, along with comprehensive healthcare research and information. Since 2011, the organization has helped consumers save nearly $75 billion on prescriptions. The Software Engineer III, ScriptDrop will contribute to designing, developing, and maintaining software solutions using the Elixir programming language.
 Responsibilities:
 • Develop and maintain backend systems and applications using Elixir, following coding standards and best practices
 • Write clean, efficient, and maintainable code with high quality and readability
 • Collaborate with cross\-functional teams to translate requirements into technical specifications and deliver solutions
 • Contribute to architectural discussions and assist in technical decisions under senior guidance
 • Participate in code reviews, provide feedback, and learn from peers
 • Stay current with developments in the Elixir ecosystem and apply new knowledge
 • Troubleshoot and debug issues in existing systems, proposing and implementing solutions
 • Work with senior team members to address technical challenges and optimize performance and scalability
 • Identify potential risks and recommend mitigation strategies
 • Collaborate with team members, product managers, and stakeholders to ensure alignment on goals and priorities
 • Communicate project status, technical challenges, and recommendations clearly
 • Foster a collaborative and inclusive team environment with open communication and knowledge sharing
 Requirements:
 • Bachelor’s degree in Computer Science, Engineering, or related field, or equivalent experience
 • Minimum 3 years of software development experience focused on Elixir and functional programming
 • Solid understanding of Elixir fundamentals and functional programming concepts
 • Experience with database systems such as PostgreSQL or MongoDB
 • Strong problem\-solving skills and attention to detail
 • Excellent communication and interpersonal skills for effective cross\-functional collaboration
 • Eagerness to learn, grow, and tackle new challenges
 • Contributions to the Elixir community or open\-source projects are a plus
 Benefits \&amp; Perks:
 • Medical, dental, and vision insurance
 • 401(k) with company match
 • Employee stock purchase plan
 • Unlimited vacation
 • 13 paid holidays
 • 72 hours of sick leave
 • Mental wellness and financial wellness programs
 • Fertility benefits and generous parental leave
 • Pet insurance
 • Supplemental life insurance for employees and dependents
 • Company\-paid short\-term and long\-term disability coverage
 Compensation:
 • San Francisco and Seattle Offices: $143,000\.00 to $229,000\.00
 • New York Office: $131,000\.00 to $210,000\.00
 • Santa Monica Office: $119,000\.00 to $191,000\.00
 • Other Office Locations: $107,000\.00 to $172,000\.00
 • Additional compensation includes annual cash bonuses or commission and annual equity grants for most positions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8">
      <c r="A38" t="inlineStr">
        <is>
          <t>li-4324716852</t>
        </is>
      </c>
      <c r="B38" t="inlineStr">
        <is>
          <t>Software Engineer</t>
        </is>
      </c>
      <c r="C38" t="inlineStr">
        <is>
          <t>Cyient</t>
        </is>
      </c>
      <c r="D38" t="inlineStr">
        <is>
          <t>linkedin</t>
        </is>
      </c>
      <c r="E38" t="inlineStr"/>
      <c r="F38" t="inlineStr"/>
      <c r="G38" t="inlineStr">
        <is>
          <t>Melbourne, FL</t>
        </is>
      </c>
      <c r="H38" t="inlineStr"/>
      <c r="I38" t="inlineStr">
        <is>
          <t>Location: 1 for Clearwater, FL and 1 for Puerto Rico,
 Work from office
 Citizenship: US Citizen required
 Experience: 5\-10 Years,
 Low Level Development, API, drivers, DOORs, JIRA, Sensors Guidance and Navigation Language, Board support, Kernel, Memory on linux and widows
 Should be able to write program in C
 Avionics domain experience
 Timeline: Immediate need in 1 month
 Max CTC : 110K</t>
        </is>
      </c>
    </row>
    <row r="39">
      <c r="A39" t="inlineStr">
        <is>
          <t>li-4364037761</t>
        </is>
      </c>
      <c r="B39" t="inlineStr">
        <is>
          <t>Software Engineer (lead) – level 4 - R10219679</t>
        </is>
      </c>
      <c r="C39" t="inlineStr">
        <is>
          <t>Northrop Grumman</t>
        </is>
      </c>
      <c r="D39" t="inlineStr">
        <is>
          <t>linkedin</t>
        </is>
      </c>
      <c r="E39" t="inlineStr"/>
      <c r="F39" t="inlineStr"/>
      <c r="G39" t="inlineStr">
        <is>
          <t>Fairfax, VA</t>
        </is>
      </c>
      <c r="H39" t="inlineStr"/>
      <c r="I39" t="inlineStr">
        <is>
          <t>RELOCATION ASSISTANCE: Relocation assistance may be available
 CLEARANCE TYPE: SCI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Expand your horizons, advance your career, and contribute to a secure future for generations. Northrop Grumman’s Space Sector invites you to bring your pioneering spirit to our collaborative teams.
 This
 *Software Engineer (lead)* 
*– Level 4* 
 role at our
 **Fairfax, VA location.**
**This position is 100% onsite and cannot accommodate telecommute work** 
**.** 
 This position will work a 9/80 schedule, with every other Friday off.
 This role will lead a small team of software developers to advance a new tool that simulates data flow through a network of satellites and ground stations. This role will work with large datasets from various sources to develop software that characterizes and predicts the impacts of the atmosphere on various missions and integrates communications network traffic solutions to optimize data flow through the system. The work will include complex algorithm development for software that contains logical and mathematical solutions to quantify and optimize operational decision\-making and mission performance.
 The ideal candidate will possess strong object\-oriented python programming skills and attributes that include collaboration, creativity, curiosity, and critical thinking. The candidate should place a high value on rigorous testing, comprehensive documentation, and the maintainability of the software solutions. The ideal candidate will also have experience with satellite systems and networking.
**Key Responsibilities**
* Contribute to architecture decisions by evaluating the pros and cons of approaches and technologies, and how they align with the project's goals and requirements.
* Design and implement new software or modify existing software to add new features
* Identify and fix bugs in the code, while considering greater impact on the software application as a whole
* Develop tests that verify the correctness of the code and ensure it meets system requirements
* Design, develop, and modify software pipelines and deployment methods to automate the software development process, ensuring consistency and efficiency.
* Collaborate with other teams, such as network specialists, to ensure that the simulation software properly models relevant parameters.
* Lead, mentor, and task less experienced software developers to create software capability
* Support and deliver technical updates to Government customer.
* Leads effort to transfer existing software tools and datasets from an Unclassified to a Classified environment
*This position is contingent upon clearance verification and transfer to the NG sponsored program as well as continued ability to maintain required clearance level. US Citizenship is required.*
**Basic Qualifications (must Have To Be Considered)**
* Requires an active DoD Top\-Secret (TS) with Sensitive Compartmented Information (SCI) clearance \[TS/SCI] at time of application.
* Level 4: (Senior Principal level)
+ Bachelor’s degree with 8 years of software development experience
- An additional 4 years of experience may be considered in lieu of a completed Bachelor’s
+ Master’s degree with 6 years of software development experience
+ PhD with 4 years of software development experience
* 3\+ years of non\-internship professional software development experience in Python.
* Experience in software architecture design patterns.
* Experience with Version Control practices (Gitlab Preferred).
* A basic understanding of the network stack and associated network protocols.
* Strong software engineering fundamentals.
**Preferred Qualifications (not Required But Preferred)**
* STEM degree
* Experience with developing or using containerized software
* Experience with DevOps fundamentals and the maintenance of software pipelines
* Experience with productizing software solutions
* Experience leading junior software developers
* Experience with satellite network management and traffic topology
**Curious about all the exciting developments with the Northrop Grumman Space Sector? Click the link below:**
 https://www.northropgrumman.com/space
 Working at Northrop Grumman is more than just a paycheck. We offer a comprehensive Total Rewards and benefits package designed to help you thrive at work and in life. For more information on our Total Rewards package, please visit our Total Rewards site.
**Northrop Grumman Total Rewards**
 Primary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0">
      <c r="A40" t="inlineStr">
        <is>
          <t>li-4359276030</t>
        </is>
      </c>
      <c r="B40" t="inlineStr">
        <is>
          <t>Multimedia Software Engineer- Multimedia Lab</t>
        </is>
      </c>
      <c r="C40" t="inlineStr">
        <is>
          <t>ByteDance</t>
        </is>
      </c>
      <c r="D40" t="inlineStr">
        <is>
          <t>linkedin</t>
        </is>
      </c>
      <c r="E40" t="inlineStr"/>
      <c r="F40" t="inlineStr"/>
      <c r="G40" t="inlineStr">
        <is>
          <t>San Jose, CA</t>
        </is>
      </c>
      <c r="H40" t="inlineStr"/>
      <c r="I40" t="inlineStr">
        <is>
          <t>**Responsibilities**
 Team Introduction
 Our team is building industry leading, highly efficient and scalable video codec hardware solutions (FPGA and ASIC) from the ground up to better serve our billions of users. We are looking for strong software and firmware engineers to design algorithms, C\-model, and firmware for advanced video encoding and processing implemented in dedicated hardware accelerators. The successful candidate will be part of a fast growing team that includes algorithm, architecture, software, firmware, and hardware design and verification experts with a dedication to technical excellence and a passion to build large\-scale and high\-performing video platforms and services.
 Responsibilities:
 \- Design and development of control software/firmware for multimedia processors.
 \- Design and development of Linux platform drivers and application\-level software for multimedia processors
 \- Implement efficient video processing pipelines for encoding, decoding, and transcoding.
 \- System performance analysis, design, and optimization.
 \- Hardware function verification of multimedia processors, as well as design and development of software test cases and tools.
 \- Cooperate to support several ByteDance businesses, including LIVE/VOD/RTC/Picture processing and etc.
**Qualifications**
 Minimum Qualifications:
 \- BS degree or above in Electrical/Computer Engineering, Computer Science, or equivalent fields
 \- Excellent software design, problem solving and debugging skills
 \- Solid programming skills in C/C\+\+, At least 3 years of direct related experience in software development
 \- Knowledge of video compression, including codec standards such as H.264/AVC, H.265/HEVC
 \- Familiar with Linux operating systems, with expertise in both application\-level software and kernel driver development.
 Preferred Qualifications:
 \- M.S. or PhD in Computer Science or Electrical Engineering
 \- Familiarity with open\-source multimedia frameworks such as FFmpeg and GStreamer is preferred.
 \- Knowledge of state\-of\-the\-art video codecs, such as H.266/VVC, AV1/AV2 is a big plus.
 \- Knowledge of image/video and signal processing, both algorithm design and implementation (for example, Encoding rate Control, scene change detection, sharpen filter, ROI, adaptive GOP structure and etc)
 \- Experience working on NPU\&amp;DSP development is a big plus
 \- Strong execution capability, good communication skills, and team spirit.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$187040 \- $438000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41">
      <c r="A41" t="inlineStr">
        <is>
          <t>li-4354920389</t>
        </is>
      </c>
      <c r="B41" t="inlineStr">
        <is>
          <t>Software Developer - Java</t>
        </is>
      </c>
      <c r="C41" t="inlineStr">
        <is>
          <t>Jobs via Dice</t>
        </is>
      </c>
      <c r="D41" t="inlineStr">
        <is>
          <t>linkedin</t>
        </is>
      </c>
      <c r="E41" t="inlineStr"/>
      <c r="F41" t="inlineStr"/>
      <c r="G41" t="inlineStr">
        <is>
          <t>Atlanta, GA</t>
        </is>
      </c>
      <c r="H41" t="inlineStr"/>
      <c r="I41" t="inlineStr">
        <is>
          <t>**Job Role: Software Engineer \- Java**
**In One Sentence:**
**Responsible for design, develop, modify, debug and/or maintain software systems.**
**Responsible for one or more specific modules within a large software system scope**
**What will your job look like?**
* You will design, develop, modify, debug and/or maintain software code according to functional, non\-functional and technical design specifications.
* You will follow client's software engineering standards, applicable software development methodology and release processes, to ensure code is maintainable, scalable, supportable and demo the software products to partners
* You will investigate issues by reviewing/debugging code, provides fixes and workarounds, and reviews changes for operability to maintain existing software solutions.
* You will work within a team, collaborate and add value through participation in peer code reviews, provide comments and suggestions, work with cross functional teams to achieve goals.
* You will assume technical accountability for your specific work products within an application and provide technical support during solution design for new requirements.
* You will be encouraged to actively look for innovation and continuous improvement, and efficiency in all assigned tasks.
**All you need is...**
* Bachelor's degree in Science/IT/Computing or equivalent
* 3\-4 years of experience in writing software code in Java
* 3\-4 years of experience working with the Spring framework
* Prior experience working with RestAPI's
* 3\-4 years of knowledge in Unix/Linux
* Good knowledge in Object Oriented Design and development
* Prior experience working within an agile environment
**Even better if you have...**
* Experience working in containerized environments with (Docker, Kubernetes)
* Experience with NoSQL Databases (Cassandra, Couchbase, MongoDB)
* Experience writing microservices using Java SpringBoot</t>
        </is>
      </c>
    </row>
    <row r="42">
      <c r="A42" t="inlineStr">
        <is>
          <t>li-4354920393</t>
        </is>
      </c>
      <c r="B42" t="inlineStr">
        <is>
          <t>Software Engineer - Early Career</t>
        </is>
      </c>
      <c r="C42" t="inlineStr">
        <is>
          <t>Jobs via Dice</t>
        </is>
      </c>
      <c r="D42" t="inlineStr">
        <is>
          <t>linkedin</t>
        </is>
      </c>
      <c r="E42" t="inlineStr"/>
      <c r="F42" t="inlineStr"/>
      <c r="G42" t="inlineStr">
        <is>
          <t>Longmont, CO</t>
        </is>
      </c>
      <c r="H42" t="inlineStr"/>
      <c r="I42" t="inlineStr">
        <is>
          <t>**Job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is seeking a full\-time early career Software Engineer in Longmont, Colorado on the NextGen Geo (NGG) OPIR Program. In this role, you will integrate into a small, high\-performing Product Team led by a Scrum Master and Product Owner, support daily
 Scrum Meetings, Team Demos, and monthly
 Staff Calls. Work under very general supervision
 in support of larger team goals. The successful
 candidate will have experience and/or
 knowledge of software development activities
 will involve design, development, maintenance,
 and testing of code written primarily in C\+\+. Be
 able to interpret complex system requirements.
 obtaining a government security clearance. This
 position is located at a facility that requires
 special access
**Basic Qualifications**
 Bachelors degree from an accredited college in
 Computer Science, Applied Mathematics,
 Aerospace, Computer Engineering, or related
 discipline.
 Programming experience or relevant course
 work (C\+\+/C, Java and/or Python)
 Experience developing maintainable code as
 well as performing unit, integration, and
 regression testing
 Ability to obtain a TS/SCI security clearance
**Desired Skills**
 Familiarity with Agile process
 Linux OS background/Experience developing in
 a Linux environment
 Scripting skills
 Exposure to work high\-stakes work environments \&amp; executing critical deliverables in
 a fast\-paced environment
 TS/SCI clearance
 Self\-driven, strong work ethic and ability to
 work independently with attention to detail
 Excellent written and verbal communication
 skills, organizational and interpersonal skills.
 Proficiency in Microsoft Office software
 products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$62,700 \- $110,630\.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$72,200 \- $125,005\.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43">
      <c r="A43" t="inlineStr">
        <is>
          <t>li-4360170527</t>
        </is>
      </c>
      <c r="B43" t="inlineStr">
        <is>
          <t>Principal Software Engineer in Test</t>
        </is>
      </c>
      <c r="C43" t="inlineStr">
        <is>
          <t>Leadership Triangle</t>
        </is>
      </c>
      <c r="D43" t="inlineStr">
        <is>
          <t>linkedin</t>
        </is>
      </c>
      <c r="E43" t="inlineStr"/>
      <c r="F43" t="inlineStr"/>
      <c r="G43" t="inlineStr">
        <is>
          <t>Durham, NC</t>
        </is>
      </c>
      <c r="H43" t="inlineStr"/>
      <c r="I43" t="inlineStr">
        <is>
          <t>Fidelity
 Software Engineering
 Durham, NC, USA
 Posted on Jan 17, 2026
 Apply now
**Job Description**
**Principal Software Engineer in Test**
**The Role**
 As a Software Engineer in Test you will be applying your strong software development and test automation skills to design, develop, test, deploy, maintain and improve Fidelity investments customer\-facing software solutions. You will also be supporting your team in adopting test automation frameworks and best practices to ensure we are building the right product and we are building it right.
**The Expertise And Skills You Bring**
* 7\+ years of experience with a Bachelor’s degree or Master’s degree in Computer Science, Software Engineering, or related field
* Experience with designing and building web application and using test automation frameworks
* Working experience with test automation frameworks (Cypress, Selenium, Protractor or Puppeteer Framework), AngularJS/ReactJS, NodeJS, HTML5
* Devops\- Experience using Jenkins, Jira, Stash
* Mobile Development and testing experience is a plus
* Expertise in using mock frameworks and service virtualization
* Good knowledge of Resiliency Software Engineering and Observability patterns
* Certifications in, or working experience with, AWS/Azure
* Use your knowledge of testing and testability to influence better software design, promote proper software engineering and bug prevention strategies, testability and security
* Actively participate in the development process through writing and maintain application features and automated tests including unit tests, component tests, integration tests, functional tests, performance tests, scenario tests and interoperability tests
* Support the team in designing reliable, portable, accurate and trustworthy tests, and in integrating them into CI/CD pipelines
* Collaborate with team members on improving team's test coverage, release velocity and production health
* Participate in application code and test code reviews with rest of the Scrum team
**The Value you deliver**
* Obsessed with creating the best end\-to\-end customer experience
* Owns the outcome by taking personal accountability for delivering strong results
* Full\-stack engineer with knowledge in a breadth of technologies and test automation frameworks
* Self\-directed, willing to take initiative, pragmatic and results\-oriented
* Accountable for consistent delivery of functional software – sprint to sprint, release to release
* Excellence in software development practices and procedures
* Participates in application level architecture
* Develops original and creative technical solutions to on\-going development efforts
* Responsible for QA readiness of software deliverables (end\-to\-end tests, unit tests, automation)
* Responsible for supporting implementation of moderate\-scope projects or major initiatives
* Works on complex assignments and often multiple phases of a project
**The Team**
 Are you interested in serving the needs of millions of customers in tax efficient savings, protection and guaranteed income in retirement?
 Fidelity Insurance Group Technology team in Personal Investing is seeking a hardworking engineer to join us in modernizing and building innovative and cloud\-native experiences, capabilities and platforms in support of this mission.
**Certifications**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Technology careers at Fidelity
 00:58
 Imagine and create the next generation of financial products and tools.
 Welcome to the Triangle
 01:34
**Company Overview**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is an equal opportunity employer. Fidelity will reasonably accommodate applicants with disabilities who need adjustments to complete the application or interview process.
 AI Guidelines
 Learn about our guidelines for use of AI when applying for a Fidelity job
**If you would like to request an accommodation, please contact us at:**
 accommodations@fmr.com
 Apply
 Join us
 At Fidelity, you’ll find endless opportunities to build a meaningful career that positively impacts peoples’ lives, including yours. You can take advantage of flexible benefits that support you through every stage of your career, empowering you to thrive at work and at home. Honored with a Glassdoor Employees’ Choice Award, we have been recognized by our employees as a top 10 Best Place to Work in 2024\. And you don’t need a finance background to succeed at Fidelity—we offer a range of opportunities for learning so you can build the career you’ve always imagined.
 Fidelity's working model blends the best of working offsite with maximizing time together in person to meet associate and business needs. Currently, most hybrid roles require associates to work onsite all business days of one assigned week per four\-week period (beginning in September 2024, the requirement will be two full assigned weeks).
 We invite you to
 **Find Your Fidelity** 
 at fidelitycareers.com.
 Fidelity Investments is an equal opportunity employer. We believe that the most effective way to attract, develop and retain a diverse workforce is to build an enduring culture of inclusion and belonging.
 Fidelity will reasonably accommodate applicants with disabilities who need adjustments to participate in the application or interview process. To initiate a request for an accommodation, contact the HR Accommodation Team by sending an email to accommodations@fmr.com, or by calling 800\-835\-5099, prompt 2, option 3\.
 At Fidelity, we value honesty, integrity, and the safety of our associates and customers within a heavily regulated industry. Certain roles may require candidates to go through a preliminary credit check during the screening process. Candidates who are presented with a Fidelity offer will need to go through a background investigation and may be asked to provide additional documentation as requested. This investigation includes but is not limited to a criminal, civil litigations and regulatory review, employment, education, and credit review (role dependent). These investigations will account for 7 years or more of history, depending on the role. Where permitted by federal or state law, Fidelity will also conduct a pre\-employment drug screen, which will review for the following substances: Amphetamines, THC (marijuana), cocaine, opiates, phencyclidine.
**Benefits**
 Learning \&amp; development
 Culture
 Benefits that adapt to everything life sends your way
 401(k) with company match
 Medical, dental, vision and prescription drug coverage
 16\-week maternity leave \&amp; 12\-week parental leave
 Student loan assistance
 Fidelity is invested in you
 Committed to Professional Development
 At Fidelity, we are constantly adapting to the changing needs of our customers, new technologies, and better ways of working. And we empower our employees to do the same, with an emphasis on developing skills and connections that will help propel you forward in your career while being able to make an impact for Fidelity’s customers around the world.
 We offer a wide range of options for professional development including online, in\-person, and mentor driven solutions. Special interest and networking groups are also part of our culture of empowerment, personal and professional enrichment, diversity and inclusion, and knowledge sharing.
 Continuing Education \&amp; Training
* Assess, build, and align your development plan through resources like our skill\-building classroom and online courses.
* Video\-based training for technology, leadership, management \&amp; more.
* Ongoing skills development and coaching opportunities.
* Paid training with a facilitator who is dedicated to your onboarding and will track and evaluate your progress, giving you strategies to improve.
* A range of talent development programs to support career mobility.
 Mentoring
* Utilize the skills of experienced leaders to enrich your career.
* Dedicated mentors to help you grow into new areas of Fidelity’s business as you develop new skills.
* An open atmosphere of knowledge sharing and collaboration.
* Opportunities to pay it forward, sharing the knowledge you develop and as you help others define how they want their career to take shape.
 Our Commitment
 Discover opportunities to build a fulfilling career within a supportive culture that celebrates individuality. We empower our associates to pursue career paths that align with their unique goals and personalities.
 Giving back to our communities
 Throughout Fidelity, you’ll find a genuine commitment to social responsibility – where we strive to make an impact for customers, while also making an impact on the world.
 Fidelity Cares
* Provides associates with opportunities to actively volunteer and share their talents.
* Hosts numerous company\-wide volunteer events (in\-person and virtual).
* Partners with nonprofit organizations to support our local communities.
* More than 12,500 associates donate time annually – from interns to SVPs.
* Impact includes refurbishing schools, donating books and supplies, and teaching financial literacy.
 Fidelity Charitable®
* Created to make it easy for people to support charitable organizations they care about.
* Helped deliver $14\.9billion in donor\-recommended grants to charity in 2024\.
* Supported more than 433,000 unique charities around the world.
* Since its inception, more than $100 billion has been given to public charities.
 Technology careers at Fidelity
 00:44
 Imagine and create the next generation of financial products and tools.
 Similar Jobs
 Principal Software Engineer/Developer
* Technology
* Durham, NC, US
 Details
 Principal Software Engineer
* Technology
* Westlake, TX, US
 Details
 Apply
 Return to job search
 Apply now
 See more open positions at Fidelity</t>
        </is>
      </c>
    </row>
    <row r="44">
      <c r="A44" t="inlineStr">
        <is>
          <t>li-4363877505</t>
        </is>
      </c>
      <c r="B44" t="inlineStr">
        <is>
          <t>Lead Software Engineer - Java/Spring-Boot</t>
        </is>
      </c>
      <c r="C44" t="inlineStr">
        <is>
          <t>JPMorganChase</t>
        </is>
      </c>
      <c r="D44" t="inlineStr">
        <is>
          <t>linkedin</t>
        </is>
      </c>
      <c r="E44" t="inlineStr"/>
      <c r="F44" t="inlineStr"/>
      <c r="G44" t="inlineStr">
        <is>
          <t>Plano, TX</t>
        </is>
      </c>
      <c r="H44" t="inlineStr"/>
      <c r="I44" t="inlineStr">
        <is>
          <t>**Job Description**
 We have an opportunity to impact your career and provide an adventure where you can push the limits of what's possible.
 As a Lead Software Engineer at JPMorganChase within the Payments Technology group,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Participates in, design and develop scalable and resilient systems using Java to contribute to continual, iterative improvements for product teams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Proficient in coding in Java and in particular Spring\-Boot
* Hands\-on practical experience delivering system design, application development, testing, and operational stability
* Experience in developing, debugging, and maintaining code in a large corporate environment with one or more modern programming languages and database querying languages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Familiarity with modern front\-end technologies (React)
* Prefer experience with Kubernetes
* Exposure to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45">
      <c r="A45" t="inlineStr">
        <is>
          <t>li-4351254941</t>
        </is>
      </c>
      <c r="B45" t="inlineStr">
        <is>
          <t>Senior Software Engineer</t>
        </is>
      </c>
      <c r="C45" t="inlineStr">
        <is>
          <t>Jobs via eFinancialCareers</t>
        </is>
      </c>
      <c r="D45" t="inlineStr">
        <is>
          <t>linkedin</t>
        </is>
      </c>
      <c r="E45" t="inlineStr"/>
      <c r="F45" t="inlineStr"/>
      <c r="G45" t="inlineStr">
        <is>
          <t>New York, NY</t>
        </is>
      </c>
      <c r="H45" t="inlineStr"/>
      <c r="I45" t="inlineStr">
        <is>
          <t>**Role Summary**
 The Wealth Management Workflow team is seeking a Senior Software Engineer to join our team and develop solutions for some of the largest wealth clients in the world! You'll become part of a team that builds secure and scalable solutions that focus on the needs of Wealth Advisors and their clients. You'll also be part of our cloud modernization, focusing on migration to Azure and modern dev\-op. The role will provide opportunities in all aspects of software development by writing code, defining standards around CI/CD, improving automation, observability and supportability whilst making sure solutions are cost effective.
 We're looking for creative minds with curiosity and the ability to work across multiple applications as needed. Our team is constantly improving our applications and we appreciate people who are passionate about satisfying clients needs and delivering on time.
**What You'll Be Doing**
* Coding secure, efficient, and effective solutions
* Developing front ends and related APIs
* Development and delivery of software within a highly scalable, distributed, multi\-tiered environment.
* Building solutions using Microsoft Azure capabilities
* Embracing DevOps principles to code, build and implement solutions
* Ensuring that solutions conform to LSEG test strategy standards
* Working with Product Owners to understand and refine requirements
* Working to support squads to provide accurate estimations for delivery
* Inspiring and mentoring more junior engineers
**Qualifications \&amp; Skills**
* A minimum of 5 years of proven experience in related field
* Proficiency in the following technologies: UI libraries: HTML/CSS, JavaScript/TypeScript, Angular, Node.js
* Backend: ASP.NET, ASP.NET Core, C\#, .NET Framework
* RESTful Web Services
* CI/CD tools and environments: GitHub, GitLab, Jenkins, Jira, Confluence, Docker
* Experience working in an Agile/Scrum environment
* Automated and unit test frameworks
* Cloud platforms: Azure and terraform
**Nice to Have**
 Python
 React
 Desktop application development
**Compensation/Benefits Information:**
 LSEG is committed to offering competitive Compensation and Benefits. The anticipated base salary for this position is $110,600 \- $184,400\.
 Please be aware base salary ranges may vary by geographic location, city and state. In addition to our offered base salary, this role is eligible for our Annual Incentive Plan (AIP/"bonus plan"). Target AIP rates will be commensurate with role level and posted career stage. Individual salary will be reflective of job related knowledge, skills and equivalent experience. LSEG roles (excluding internships and part\-time roles of less than 20 hours per week) are typically eligible for inclusion in our LSEG Benefits program, which includes offerings of: Annual Wellness Allowance, Paid time\-off, Medical, Dental, Vision, Flex Spending \&amp; Health Savings Options, Prescription Drug plan, 401(K) Savings Plan and Company match. LSEG's Benefits plan also includes basic life insurance, disability benefits, emergency backup dependent care, adoption assistance commuter assistance etc.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46">
      <c r="A46" t="inlineStr">
        <is>
          <t>li-4354923830</t>
        </is>
      </c>
      <c r="B46" t="inlineStr">
        <is>
          <t>Software Engineer III</t>
        </is>
      </c>
      <c r="C46" t="inlineStr">
        <is>
          <t>Jobs via Dice</t>
        </is>
      </c>
      <c r="D46" t="inlineStr">
        <is>
          <t>linkedin</t>
        </is>
      </c>
      <c r="E46" t="inlineStr"/>
      <c r="F46" t="inlineStr"/>
      <c r="G46" t="inlineStr"/>
      <c r="H46" t="inlineStr"/>
      <c r="I46" t="inlineStr">
        <is>
          <t>**Salary Range:** 
 $96,960 \- $140,000
**Job Posting End Date:** 
 1/26/26
**We've Got You Under Our Wing**
 We are the duck. We develop and empower our people, cultivate relationships, give back to our community, and celebrate every success along the way. We do it all... The Aflac Way .
 Aflac, a Fortune 500 company, is an industry leader in voluntary insurance products that pay cash directly to policyholders and one of America's best\-known brands. Aflac has been recognized as Fortune's 50 Best Workplaces for Diversity and as one of World's Most Ethical Companies by Ethisphere.com.
 Our business is about being there for people in need. So, ask yourself, are you the duck? If so, there's a home, and a flourishing career for you at Aflac.
**Work Designation.** 
 Depending on your location within the continental US, this role may be
 **hybrid** 
 or
 **remote.**
* If you live within 50 miles of the Aflac offices located in Columbus, GA or Columbia, SC, this role will be hybrid. This means you will be expected to work in the office for at least 60% of the work week. You will work from your home (within the continental US) for the remaining portion of the work week. Details of this schedule will be discussed with your leadership.
* If you live more than 50 miles from the Aflac offices located in Columbus, GA or Columbia, SC, this role will be remote. This means you will be expected to work from your home, within the continental US. If the role is remote, there may be occasions that you are requested to come to the office based on business need. Any requests to come to the office would be communicated with you in advance.
**What does it take to be successful at Aflac?**
* Acting with Integrity
* Communicating Effectively
* Pursuing Self\-Development
* Serving Customers
* Supporting Change
* Supporting Organizational Goals
* Working with Diverse Populations
**What does it take to be successful in this role?**
 Extensive experience in software (Salesforce) development and modern programming languages.
 Proven experience with Scrum and advanced DevOps methodologies.
 Demonstrated ability to mentor and lead junior developers.
**Education \&amp; Experience Required**
* Bachelor's degree in computer science, Information Systems or other related field
* Four or more years of programming experience
 Or an equivalent combination of education and experience
**Education \&amp; Experience Preferred**
* Master's degree in computer science, Information Systems or other related field
**Principal Duties \&amp; Responsibilities**
 Lead the design, test, development and optimization of customer\-facing applications
 Collaborate in advanced stages of Scrum, ensuring smooth software delivery.
 Enforce and improve code quality standards, particularly concerning resilience, data, and security.
 Evaluate and incorporate modern programming languages and tools
 Implement test\-driven development best practices
 Adhere to coding standards for resilience, data, and security
 Reviews system requirements and business processes; codes, tests, debugs and implements software solutions
 Participates in project planning sessions with clients, business analysts, and team members to analyze development requirements and make recommendations for moderate to complex systems
 Tests and implements application modules from multiple systems the team has developed or modified, ensuring application meets the needs of client and business
 Provides design recommendations, developing and integrating programs per written specifications; occasionally responsible for writing moderate to complex design specifications
 Makes moderate to complex modifications to existing software applications and modules in accordance with written specifications and division standards
**Performs Other Duties As Required**
 Candidates for this role must be authorized to work in the United States without the need for current or future visa sponsorship. We are unable to sponsor or assume sponsorship for employment visas related to this role at this time.
**Total Rewards**
 The salary range for this job is $96,960 \- $140,000\. This range is specific to the job and salary offers consider a wide range of factors that are considered in making compensation decisions, including, but not limited to: education, experience, licensure, certifications, geographic location, and peer compensation. The range has been created in good faith based on information known to Aflac at the time of the posting.
 At Aflac, it is not typical for an individual to be hired at or near the top of the range for the role to allow for future and continued salary growth, and compensation decisions are dependent on the circumstances of each case. This salary range does not include any potential incentive pay or benefits, however, such information will be provided separately when appropriate.
 In addition to the base salary, we offer an array of benefits to meet your needs including medical, dental, and vision coverage, prescription drug coverage, health care flexible spending, dependent care flexible spending, Aflac supplemental policies (Accident, Cancer, Critical Illness and Hospital Indemnity offered at no costs to employee), 401(k) plans, annual bonuses, and an opportunity to purchase company stock. On an annual basis, you'll also be offered 11 paid holidays, up to 20 days PTO to be used for any reason, and, if eligible, state\-mandated sick leave (Washington employees accrue 1\-hour sick leave for every 40 hours worked) and other leaves of absence, if eligible, when needed to support your physical, financial, and emotional well\-being. Aflac complies with all applicable leave laws, including, but not limited to, sick and safe leave, and adoption and parental leave, in all states and localities. \#DICE
**Nearest Major Market:** 
 Columbus GA</t>
        </is>
      </c>
    </row>
    <row r="47">
      <c r="A47" t="inlineStr">
        <is>
          <t>li-4364047179</t>
        </is>
      </c>
      <c r="B47" t="inlineStr">
        <is>
          <t>Specialist, Embedded Software Engineer</t>
        </is>
      </c>
      <c r="C47" t="inlineStr">
        <is>
          <t>L3Harris Technologies</t>
        </is>
      </c>
      <c r="D47" t="inlineStr">
        <is>
          <t>linkedin</t>
        </is>
      </c>
      <c r="E47" t="inlineStr"/>
      <c r="F47" t="inlineStr"/>
      <c r="G47" t="inlineStr">
        <is>
          <t>Londonderry, NH</t>
        </is>
      </c>
      <c r="H47" t="inlineStr"/>
      <c r="I4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Embedded Software Engineer***
***Job Code: 32918***
***Job Location: Londonderry, NH***
***Job Schedule: 9/80: Employees work 9 out of every 14 days – totaling 80 hours worked – and have every other Friday off***
**Job Description:**
 Advance your career in a fast\-paced company with hands\-on design opportunities that lead to production reality. L3Harris Integrated Vision Solutions, a leading designer and manufacturer of laser, night vision, and electro\-optic devices, is seeking an Embedded Software Engineer to join our dynamic software engineering team on\-site in Londonderry, NH.
 As an Embedded Software Engineer, you will be responsible for supporting the complete software development lifecycle of complex projects from defining software requirements through release to production.You will be a key contributor in defining software architecture and designing for efficiency and reuse. You will strive to keep current with software development methodologies and technology and adapting industry best practices.
**Essential Functions:**
* Design, document, and develop highly reusable embedded software
* Understand customer and system requirements and translate them into software requirements
* Prepare and present software designs to peers, internal and external customers
* Track software development features, tasks, and defects through release
* Integrate, debug, and test software and hardware
* Perform software estimation, planning, and execution using both Agile and Waterfall methodologies
* Support development of software processes and adoption of best practices
* Ability to support onsite in Londonderry, NH (relocation assistance available)
**Qualifications:**
* Bachelor's Degree in Computer Science or Engineering with 4 years prior experience. Graduate Degree with 2 years of prior related experience. In lieu of a degree, minimum of 8 years of prior related experience.
* Experience working with custom embedded Linux distributions and RTOSs
* Proficient knowledge of multithreading and inter\-process communication
* Proficient knowledge of networking (e.g., TCP/IP), wireless, and Ethernet protocols
* Proficient with software configuration management tools (Git, Bitbucket preferred)
* Proficient reading electrical schematics, and using oscilloscopes, multimeters, etc
* Experience with electrical schematics, circuits, oscilloscopes, multimeters, etc.
* Proficiency with feature and defect tracking tools (Jira preferred)
* 3\+ years of experience with embedded C\+\+/C
* Proficient with Docker Containers
* Strong understanding of Yocto layers and how to create and maintain recipes
* Familiarity with customizing root filesystems and cross\-compilation for various SoCs/SoMs
**Preferred Additional Skills:**
* Proficient with DevOps toolchains (e.g., Jenkins, Coverity, etc.)
* Experience working with RTOSs
* Experience with both Agile and Waterfall methodologies
* Self\-starter with the ability to work in a fast\-paced environment
* 4\+ years of experience developing software for embedded platforms.
* Strong problem solving and debugging skills
* Energetic and motivated with strong communication, organization, and technical skills who works well in a multi\-disciplinary team
* Versatile and passionate about software engineering technologies and methodologies, eager to tackle new challenges and push technology forward
* Experience designing embedded products for Size, Weight and Power (SWaP)
* Experience deriving and defining software requirements (DOORs preferred)
* Experience with object\-oriented design methods (UML is a plus)
* Experience with scripting (e.g., Python, Bash, Groovy)
* Experience with memory safe languages (e.g., Rust)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48">
      <c r="A48" t="inlineStr">
        <is>
          <t>li-4353770372</t>
        </is>
      </c>
      <c r="B48" t="inlineStr">
        <is>
          <t>DevSecOps Software Engineer (Associate or Experienced) Virtual</t>
        </is>
      </c>
      <c r="C48" t="inlineStr">
        <is>
          <t>Boeing</t>
        </is>
      </c>
      <c r="D48" t="inlineStr">
        <is>
          <t>linkedin</t>
        </is>
      </c>
      <c r="E48" t="inlineStr"/>
      <c r="F48" t="inlineStr"/>
      <c r="G48" t="inlineStr">
        <is>
          <t>Daytona Beach, FL</t>
        </is>
      </c>
      <c r="H48" t="inlineStr"/>
      <c r="I48"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**DevSecOps Software Engineer** 
 to support our
 **Common Embedded Product Composition** 
 team located in
 **Daytona Beach, Florida \| Long Beach, California \| Mesa, Arizona \| Plano, Texas** 
 or
 **Saint Louis, Missouri** 
 . This position will focus on supporting the Enterprise Software Verticals (ESV) organization.
 Join our Enterprise Software team to design and deliver a common embedded software that will be deployed across Boeing’s entire portfolio—commercial airplanes, defense systems, space vehicles, rotary\-wing platforms, and autonomous systems. In this exciting role, you will have a unique opportunity to directly support exciting new Boeing projects, from autonomous electric vertical takeoff and landing (eVTOL) aircrafts to air superiority aircrafts critical to our nation's defense. You’ll build safety\- and security\-first software that scales from flight\-critical avionics to mission systems and everything in\-between.
 The ideal candidate will be working at the intersection of RTOS/virtualization, hardware abstraction, while also learning exciting new Hardware platforms and develop approaches to satisfy rigorous certification requirements. This role is at the cutting edge of next‑gen DevSecOps for embedded systems, using the latest and best tooling available in industry: you will implement automated CI/CD pipelines for safety\-critical code, shift\-left security and verification, continuous integration of hardware\-in\-the\-loop tests, modern update strategies, and repeatable compliance artifacts to accelerate certification across programs.
 If you’re excited by the opportunity to create reusable, high\-performance, certifiable building blocks that reduce program risk, shorten delivery cycles, and enable innovation across Boeing, this is the team to make that impact. Come join the team building advanced air vehicles \- that one day, in the near\-future, you'll be able to enjoy safety riding with your own family. Join us and let's create something amazing!
**Our teams are currently hiring for a broad range of experience levels including Associate and Experienced Level Software Engineers.**
**Position Responsibilities:**
* Automates, develops, monitors, improves, and troubleshoots across software engineering development, tooling, testing, integration, deployment, configuration processes, and security controls.
* Analyzes, plans, and executes mitigation strategies to prevent potential security risks, threats, and vulnerabilities.
* Implements an environment that enables high levels of quality, safety, compliance, and continuous improvement across the organization.
* Supports collaboration with cross functional teams to build and maintain robust, scalable, and secure software engineering systems.
* Implements current and emerging technologies, tools, frameworks, and regulations in the software engineering DevSecOps environment.
* Develops, documents and maintains standardized, efficient, and innovative processes, tools, methodologies, and performance metrics to streamline the software engineering lifecycle and enable continuous integration, delivery, and deployment of safety critical software.
**Basic Qualifications (Required Skills/ Experience):**
* 3\+ years of experience in modern programming languages such as C, C\+\+, Python or Java
* 3\+ years of experience with Development Operations (DevOps) and/or Development Security Operations (DevSecOps)
**Preferred Qualifications (Desired Skills/Experience):**
* Experience in Real Time Operating Systems such as VxWorks, DEOS, Integrity\-178
* Experience in; GitLab CI/CD, Bazel, Docker containers and devcontainers, VectorCAST instrumentation, RTOS Compilers
* Bachelor of Science degree from an accredited course of study in engineering, engineering technology (includes manufacturing engineering technology), chemistry, physics, mathematics, data science, or computer science.
* Level 2: 3 or more years’ related work experience or an equivalent combination of education and experience
* Level 3: 5 or more years’ related work experience or an equivalent combination of education and experience
* Knowledge of cloud architecture, including the different types of clouds (public, private, and hybrid), the different cloud platforms and the various components involved (computing, storaging and networking). Ability to automate and script skills.
* Knowledge of containerization technologies which includes understanding how to manage containers, deploy applications in a containerized environment, and troubleshoot issues. Knowledge of understanding of networking concepts, including IP addressing, subnetting, routing, and security (focus on security best practices and technologies).
* Knowledge of cultural philosophies, practices and tools required for continuous integration and continuous delivery to deliver applications and services with increased velocity and in line with security requirements.
* Knowledge of responsibilities and tasks performed by various Engineering departments/disciplines (e.g., design, test, software, technology, avionics). Knowledge of the interaction between departments/disciplines and how their products/processes affect one another and impact non\-engineering processes (e.g., Operations, Logistics, Business).
* Knowledge of specification format requirements, guidelines, and change control processes. Understanding of relationship between specifications/standards and aircraft/product certification systems.
* Knowledge of host environments, including processors, operating systems and networks. Ability to build, integrate and troubleshoot software components.
* Knowledge of software programming languages and databases and the ability to apply to the software domain. Programming languages encompass higher order languages, auto\-coded languages and assembly languages.
* Ability to develop new network technology. Knowledge of network communication concepts, principles and architectures, associated with network planning, design, integration and maintenance. End\-to\-end knowledge of network transport technologies, systems, environments, services, protocols, performance monitoring and diagnostic analysis. Knowledge of network security techniques, network management practices and principles.
* Knowledge of general and software development and testing tools, capability and usage. Examples include compilers, linkers, debuggers, data analysis tools, graphical user interface builders, post processing tools, requirements management tools, and web authoring tools.
* Knowledge of domains, characteristics, constraints and products that require software and influence architecture, requirements, interfaces, designs, and integration/test approaches. Domain examples include data processing, ground support, tools and analysis models. Examples of characteristics and constraints that impact software include operating systems, fidelity and information processing capacity. Examples of products include aircraft, missiles, airborne/shipboard/space systems/ground\-based support systems.
* Ability to design and develop automation of software tests, execute automated tests, track results, manage test data, and utilize results to improve software quality.
* Ability to understand the big picture and the inter\-relationships of all positions and activities in the system, including the impact of changes in one area on another area. This includes the ability to see and understand the inter\-relationships between components of systems and plans, anticipate future events, and apply the principles of systems thinking to accelerate performance.
**Drug Free Workplace:**
 Boeing is a Drug Free Workplace (DFW) where post offer applicants and employees are subject to testing for marijuana, cocaine, opioids, amphetamines, PCP, and alcohol when criteria is met as outlined in our policies.
**Travel:**
 10%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Associate Level (Level 2\): $85,000 \- $133,400
 Summary pay range for Experienced Level (Level 3\): $104,550 \- $162,150
 Applications for this position will be accepted until
 **Jan. 20,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**Relocation**
 Relocation assistance is not a negotiable benefit for this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49">
      <c r="A49" t="inlineStr">
        <is>
          <t>li-4360098233</t>
        </is>
      </c>
      <c r="B49" t="inlineStr">
        <is>
          <t>DevOps Software Engineer III</t>
        </is>
      </c>
      <c r="C49" t="inlineStr">
        <is>
          <t>hackajob</t>
        </is>
      </c>
      <c r="D49" t="inlineStr">
        <is>
          <t>linkedin</t>
        </is>
      </c>
      <c r="E49" t="inlineStr"/>
      <c r="F49" t="inlineStr"/>
      <c r="G49" t="inlineStr">
        <is>
          <t>Plano, TX</t>
        </is>
      </c>
      <c r="H49" t="inlineStr"/>
      <c r="I49" t="inlineStr">
        <is>
          <t>***hackajob** 
 is collaborating with
 **J.P. Morgan** 
 to connect them with exceptional tech professionals for this role.*
**Job Description**
 We have an exciting and rewarding opportunity for you to take your software engineering career to the next level.
 As a DevOps Software Engineer III at JPMorgan Chase within the Corporate Technology Line of Business, you serve as a seasoned member of an agile team to design and deliver trusted market\-leading technology products in a secure, stable, and scalable way. You will provide On\-Prem and AWS Cloud Support with End\-to\-End Delivery Support. You are responsible for carrying out critical technology solutions across multiple technical areas within various business functions in support of the firm’s business objectives.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
**Job Responsibilities**
* Ensures critical Engineering automations that help keep cutting edge applications with strict real\-time SLAs.
* Develop applications and provide tech support for all our corporate functions across Corporate Sector Network.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Diagnose and fix application issues. Concept and working experience in private cloud (i.e., enterprise specific cloud themes).
* Experience in Orchestration (e.g., Autosys, Airflow, Control\-M, Oozie, etc.). Control\-M experience is mandatory.
* Mandatory \- Database exposure and intermediate level SQL skills to be able to query and manage Oracle, Aurora etc.
* Hands on expertise in AWS Services and Tools – esp. Athena, RDS/Aurora, Redshift, EMR, EC2, S3, Lambda.
* Experience working with Third Party Vendor Data Management Systems and resolving Trouble Tickets using DevOps Process.
* Hands\-on practical experience in system design, application development, testing, and operational stability
* Proficient in coding in one or more languages i.e. Java, Scala, Python, Shell Scripts
* Experience in developing, debugging, and maintaining code in a large corporate environment with one or more modern programming languages and database querying languages
* Experience in logging changes in Incident Management system and effectively Communication/Coordination with Stakeholders
* Demonstrated knowledge of software applications and technical processes within a technical discipline (e.g., cloud, artificial intelligence, machine learning, mobile, etc.)
**Preferred Qualifications, Capabilities, And Skills**
* Experience with database technologies – Oracle/MySQL.
* Exposure to SRE/DevOps practices (SLA/SLOs, error budgets, MTTR, MTTD).
* Exposure to AI/Automation technologies that improve operations with knowledge of ITIL, and Agile methodologies.
* Experience with containers and orchestration (Dockers, Kubernetes).
* AWS Certifications (e.g. Solutions Architect Associate).
* Familiar with development tools such as IntelliJ, Bitbucket, Sql Developer/Toad, JIRA, Jenkins with knowledge of building Rest API (microservices) with Spring, Spring boot (or Python) is a plus.
* Hands on experience with Spinnaker, Jenkins, Terraform, Splunk and/or Grafana and similar SDLC and Monitoring Tools like Cloud Watch or Dynatrace is a plus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50">
      <c r="A50" t="inlineStr">
        <is>
          <t>li-4359001119</t>
        </is>
      </c>
      <c r="B50" t="inlineStr">
        <is>
          <t>Sr. Software Engineer (Feature Focused - .NET/C#)</t>
        </is>
      </c>
      <c r="C50" t="inlineStr">
        <is>
          <t>Jobs via Dice</t>
        </is>
      </c>
      <c r="D50" t="inlineStr">
        <is>
          <t>linkedin</t>
        </is>
      </c>
      <c r="E50" t="inlineStr"/>
      <c r="F50" t="inlineStr"/>
      <c r="G50" t="inlineStr">
        <is>
          <t>Atlanta, GA</t>
        </is>
      </c>
      <c r="H50" t="inlineStr"/>
      <c r="I50" t="inlineStr">
        <is>
          <t>**REMOTE \- Sr. Software Engineer (Feature Focused \- .NET/C\#) for Rapidly Growing SaaS Software Company \- Base \+ Bonus!!**
 This Jobot Job is hosted by: Lisa Maloney
 Are you a fit? Easy Apply now by clicking the "Apply Now" button and sending us your resume.
 Salary: $165,000 \- $200,000 per year
**A bit about us:**
 We are a fast\-growing software company that is revolutionizing the way people are buying and selling! We are profitable and have doubled revenue every year since inception. Our office has an amazing culture with a positive can\-do attitude and are looking for someone with a similar mentality to join us 100% remotely.
**Why join us?**
 We offer the following benefits:
* Competitive base salary and bonus package
* Comprehensive benefits package with PTO, 401k with 4% match, medical/dental/vision, etc.
* 100% remote work schedule with flexible first shift hours
* A growing engineering team with strong engineers that enjoy what they do
* Accelerated career growth
**Job Details**
 We are looking for a Sr. Software Engineer to join our growing business. The Sr. Software Engineer will work on a variety of full stack .NET products to build new features based on business needs to get client feedback quickly to enhance the product. This is vert iterative work. The Sr. Software Engineer will be mainly hands on in the code daily and lean to the UI using Angular/TypeScript about 60% of the time. This is a 100% remote opportunity.
 What we look for:
* 6\+ years experience developing robust, scalable, and efficient software using C\#
* 1\+ years leading others, doing code reviews, ect.
* 3\+ years of Angular/React development experience
* Proficient in the following technologies: .NET, C\#, JavaScript, SQL, and AWS
* Experience in quickly developing new features to trial with clients and tweak to prefect with customer feedback
* Strong communication skills both written and verbal
* Ability to work independently with little direction
* Prior SaaS software experience is preferred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51">
      <c r="A51" t="inlineStr">
        <is>
          <t>li-4363857672</t>
        </is>
      </c>
      <c r="B51" t="inlineStr">
        <is>
          <t>Lead Software Engineer-Full Stack/Spring Boot/React</t>
        </is>
      </c>
      <c r="C51" t="inlineStr">
        <is>
          <t>JPMorganChase</t>
        </is>
      </c>
      <c r="D51" t="inlineStr">
        <is>
          <t>linkedin</t>
        </is>
      </c>
      <c r="E51" t="inlineStr"/>
      <c r="F51" t="inlineStr"/>
      <c r="G51" t="inlineStr">
        <is>
          <t>Wilmington, DE</t>
        </is>
      </c>
      <c r="H51" t="inlineStr"/>
      <c r="I51" t="inlineStr">
        <is>
          <t>**Job Description**
 We have an opportunity to impact your career and provide an adventure where you can push the limits of what's possible.
 As a Lead Software Engineer\-Full Stack/Spring Boot/React at JPMorgan Chase within the Consumer and Community Banking's Product Agility Team, you will be shaping the future of our Agile Enablement Tools platform \- an API driven system of record that connects products, teams, leadership, and financial insights across the company. You'll lead development with Java, React and LLM\-powered services to deliver scalable solutions that drive product based planning and decision making across the enterprise.
**Job Responsibilities**
* Write high \- quality, scalable code in Java and React, modeling best practices in design, testing, and maintainability
* Review code, pair programming and coaching to uplift overall team coding quality
* Break down product requirements into well\-structured technical user stories, giving team clarity and technical direction
* Identify opportunities to eliminate or automate remediation of recurring issues to improve overall operational stability of software applications and systems
* Establish coding standards, CI/CD pipelines, testing frameworks, and documentation practices that improve overall quality
* Mentor and help junior engineers grow into strong contributors
* Communicate and partner effectively with Product Managers and Leadership
**Required Qualifications, Capabilities, And Skills**
* Formal training or certification on software engineering concepts and 5\+ years applied experience
* Proven Full Stack expertise in Java and Spring Boot, including designing and developing robust backend APIs, implementing RESTful web services, integrating with databases, and building responsive front\-end interfaces using modern JavaScript frameworks. Skilled in end\-to\-end application development, deployment, and troubleshooting across the entire technology stack
* Experience with React in building scalable applications, including designing and developing dynamic user interfaces, managing state with tools such as Redux or Context API, optimizing component performance, and integrating with RESTful APIs and backend services to deliver responsive and maintainable web application
* Hands\-on experience serving as Tech Lead or senior engineer driving technical direction.
* Demonstrated hands\-on experience with AWS services to design, deploy, and manage cloud\-based solutions, including configuring resources, implementing security best practices, and optimizing performance for scalable and reliable applications
* Hands\-on practical experience delivering system design, application development, testing, and operational stability
* Advanced knowledge in one or more programming language(s)
* Proficiency in automation and continuous delivery methods including designing, implementing, and optimizing CI/CD pipelines to streamline software deployment, improve reliability, and accelerate delivery cycles
* Proficiency in all aspects of the Software Development Life Cycle
* Demonstrated proficiency in software applications and technical processes within a technical discipline (e.g., cloud, artificial intelligence, machine learning, mobile, etc.)
**Preferred Qualifications, Capabilities, And Skills**
* Prior experience working in financial services industry
* Experience applying LLMs to real worlds product is a plus.
* Advanced understanding of agile methodologies such as CI/CD, Application Resiliency, and Security
* hands\-on experience using Terraform to provision, manage, and automate cloud infrastructure, including writing and maintaining infrastructure\-as\-code, troubleshooting deployment issues, and optimizing resource configurations for scalability and reliability.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52">
      <c r="A52" t="inlineStr">
        <is>
          <t>li-4363847469</t>
        </is>
      </c>
      <c r="B52" t="inlineStr">
        <is>
          <t>Senior Lead Software Engineer - Macro Algo Execution</t>
        </is>
      </c>
      <c r="C52" t="inlineStr">
        <is>
          <t>JPMorganChase</t>
        </is>
      </c>
      <c r="D52" t="inlineStr">
        <is>
          <t>linkedin</t>
        </is>
      </c>
      <c r="E52" t="inlineStr"/>
      <c r="F52" t="inlineStr"/>
      <c r="G52" t="inlineStr">
        <is>
          <t>Jersey City, NJ</t>
        </is>
      </c>
      <c r="H52" t="inlineStr"/>
      <c r="I52" t="inlineStr">
        <is>
          <t>**Job Description**
 Be an integral part of an agile team that's constantly pushing the envelope to enhance, build, and deliver top\-notch technology products.
 As a Senior Lead Software Engineer at JPMorgan Chase within the Commercial and Investment Banks Macro Algo Trading Technology team, you will play a crucial role in an agile team dedicated to enhancing, building, and delivering trusted, market\-leading technology products in a secure, stable, and scalable manner. Your expertise and contributions will promote significant business impact, as you apply your deep technical knowledge and problem\-solving skills to address a wide range of challenges across various technologies and applications.
 Join the Electronic Trading technology team to work on performance\-sensitive systems that power global markets. We have an opportunity to impact your career and provide an adventure where you can push the limits of what's possible. You will design and enhance the execution platform supporting FX, Rates, and Commodities businesses. You will collaborate closely with business partners and global team members to deliver robust trading solutions. Your work will directly influence the efficiency and reliability of our trading systems. We foster a culture of teamwork, technical excellence, and continuous learning.
**Job Responsibilities**
* Regularly provides technical guidance and direction to support the business and its technical teams, contractors, and vendors
* Develops secure and high\-quality production code, and reviews and debugs code written by others
* Design, develop, and maintain electronic trading components
* Apply low\-level programming techniques to optimize trading software for low latency
* Collaborate with business partners and team members to enhance Algo order offerings
* Support the execution platform and provide second line support for trading operations
* Contribute to the development and maintenance of global trading systems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 Core Java, Multithreading
* Deep understanding of algorithms, data structures, system design, threading implications, and strategies for optimizing performance\-sensitive code.
* Apply knowledge of threading and performance optimization strategies
* Work effectively in a collaborative, global team environment
* Possess strong Linux or Unix skills and understanding of networking topologies, including TCP and UDP
* Exhibit attention to detail and problem\-solving abilities
* Learn quickly and apply new skills effectively
* Experience in Computer Science, Computer Engineering, Mathematics, or a related technical field
**Preferred Qualifications, Capabilities, And Skills**
* Relevant markets Electronic Trading experience
* Utilize scripting skills, with Python will be an advantage
* Demonstrate ability to analyze and resolve issues efficiently
* Work independently as well as part of a team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53">
      <c r="A53" t="inlineStr">
        <is>
          <t>li-4364007527</t>
        </is>
      </c>
      <c r="B53" t="inlineStr">
        <is>
          <t>Sr Lead Software Engineer - Client Service Technology</t>
        </is>
      </c>
      <c r="C53" t="inlineStr">
        <is>
          <t>JPMorganChase</t>
        </is>
      </c>
      <c r="D53" t="inlineStr">
        <is>
          <t>linkedin</t>
        </is>
      </c>
      <c r="E53" t="inlineStr"/>
      <c r="F53" t="inlineStr"/>
      <c r="G53" t="inlineStr">
        <is>
          <t>Columbus, OH</t>
        </is>
      </c>
      <c r="H53" t="inlineStr"/>
      <c r="I53" t="inlineStr">
        <is>
          <t>**Job Description**
 This is an exciting opportunity to join a passionate team dedicated to building products that truly help our users.
 Join JPMorgan Chase, a global leader in financial services and asset management, as a Senior Lead Software Engineer within Asset Wealth Management. You’ll work with cutting\-edge technologies in a collaborative, diverse, and innovative environment, tackling complex challenges and driving impactful solutions for our clients. J.P. Morgan Asset Management offers a broad range of investment strategies and operates in major markets worldwide, with a clear focus on managing client assets and delivering strong risk\-adjusted returns
**Job Responsibilities**
* Design, develop, and maintain innovative software solutions for the JP Morgan Chase Client Services Platform, addressing complex technical challenges and modernizing business processes
* Write secure, high\-quality production code in Java, Spring, and React; review and debug code from team members to uphold best practices.
* Advance the use of AI technologies to improve software development, automation, and operational efficiency.
* Lead hands\-on system design, application development, testing, and ensure ongoing operational stability.
* Build and deploy scalable architecture and solutions on Cloud
* Utilize SQL and Snowflake for effective data management, querying, reporting and data sharing
* Take initiative in daily tasks and project work, driving progress and innovation within a small, agile team.
* Collaborate directly with Product Owners \&amp; Global stakeholders to gather requirements and deliver high\-impact solutions.
* Serve as the primary point of contact for product\-related matters, facilitating communication between teams, with high degree of accountability
* Solve technical and business challenges efficiently, proactively addressing issues to support Asset Management reporting and delivery.
**Required Qualifications, Capabilities, And Skills**
* Formal training or certification on software engineering concepts and 5\+ years applied experience
* Minimum of 10\+ years of professional experience in software development or related fields.
* Skills should include Java, React/JavaScript, SQL, Cloud and messaging technologies such as Kafka or similar platforms.
* Practical experience working with cloud technologies (such as AWS)
* Hands\-on experience in delivering system design, application development, testing, and ensuring operational stability.
* Proficiency in automation and continuous delivery methods.
* Solid Knowledge of deployment processes, including experience with GIT and version control systems.
* Strong analytical thinking and problem solving ability
**Preferred Qualifications, Capabilities, And Skills**
* Experience in the financial services industry
* Sound knowledge and experience in programming languages such as Java, React JS and SQL
* Expertise in designing, implementing, and managing cloud\-based solutions using AWS, ensuring scalability, reliability, and security for applications.
* Familiarity with observability tools such as Splunk, Dynatrace, or Grafana.
* Hands\-on experience with GraphQL for efficient data querying and integration.
* Experience working with data platforms such as Snowflake or Databricks.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54">
      <c r="A54" t="inlineStr">
        <is>
          <t>li-4352480201</t>
        </is>
      </c>
      <c r="B54" t="inlineStr">
        <is>
          <t>Lead Software Developer - IAM - S&amp;P Global</t>
        </is>
      </c>
      <c r="C54" t="inlineStr">
        <is>
          <t>Jobs via eFinancialCareers</t>
        </is>
      </c>
      <c r="D54" t="inlineStr">
        <is>
          <t>linkedin</t>
        </is>
      </c>
      <c r="E54" t="inlineStr"/>
      <c r="F54" t="inlineStr"/>
      <c r="G54" t="inlineStr">
        <is>
          <t>Trenton, NJ</t>
        </is>
      </c>
      <c r="H54" t="inlineStr"/>
      <c r="I54" t="inlineStr">
        <is>
          <t>**About the Role:**
**Grade Level (for internal use):**
 11
 **S\&amp;P Global Corporate**
**The Role:** 
 Lead Software Developer
**The Team:**
 The selected candidate will be part of S\&amp;P Global's Identity and Access Management (IAM) team, providing solutions architecture and thought leadership in driving our OKTA strategy and adoption. This role will focus on the integration of OKTA into our broader IAM infrastructure, ensuring seamless identity management across environments. You will be the face of our IAM team to business units, working towards a common framework for identity governance, ensuring secure access and compliance, and supporting strategic goals for identity management solutions.
**The Impact:**
 The candidate will drive the adoption of IAM strategies, with a strong focus on OKTA integration. In this role, responsibilities include designing, engineering, and implementing identity and access management solutions utilizing OKTA for identity lifecycle management, secure access control, and compliance. You will recommend and implement IAM solutions following S\&amp;P Global standards, ensuring that identity governance, role\-based access control (RBAC), and identity federation are aligned with business use cases and applications.
**What's in it for you:**
 As an Engineer within the Identity and Access Management (IAM) team, you will drive IAM strategy through the technical architecture and design of OKTA solutions for business applications. This role will be a perfect fit if you are passionate about learning new technologies, enhancing security, and optimizing identity management practices. You will ensure that identity management systems\-supported by robust OKTA frameworks\-are designed to the highest security standards, enhancing business trust and transparency across the enterprise while aligning with our strategic objectives and supporting secure, compliant technology investments.
**Position Summary:**
 We are seeking an experienced
 **Full Stack Developer** 
 to lead the end\-to\-end development of our Customer\-facing Identity and Access Management (IAM) applications. In this role, you will bridge the gap between security and user experience, building the critical components of our identity platform\-including login, registration, MFA, and user profile management. You will not only create highly responsive user interfaces using
 **React and/or Angular** 
 , but you will also drive the backend integration strategies, leveraging deep knowledge of
 **Auth0 or Okta APIs** 
 . A key focus of this role will be modernizing our authentication stack, specifically leading the implementation of
 **Passkeys (FIDO2/WebAuthn)** 
 to deliver a secure, passwordless experience. You will collaborate closely with UI/UX designers and Product Managers to deliver a world\-class, secure identity experience for our customers.
**We are looking for:**
* 8\+ years of professional front\-end development experience.
* Deep expertise in JavaScript/TypeScript and at least one modern framework: React or Angular.
* Proven experience building, testing, and consuming RESTful APIs.
* Design, develop, and maintain responsive, high\-performance web applications using React and Angular for all user\-facing identity flows.
* Integrate front\-end applications with our backend IAM services and APIs provided by platforms like Entra ID, Okta, or custom\-built services.
* Implement modern authentication and authorization protocols on the client\-side, such as OAuth 2\.0 (with PKCE) and OIDC.
* Passwordless Implementation: Lead the integration of WebAuthn and FIDO2 protocols to build secure, user\-friendly Passkey registration and authentication experiences.
* Familiarity with the API endpoints and SDKs of modern Identity Providers (specifically Okta, Entra ID, or Auth0\).
* Excellent problem\-solving skills and the ability to work collaboratively in a fast\-paced, agile environment.
* Direct experience working on an Identity and Access Management (IAM) platform or product is a major plus.
* Hands\-on experience implementing OAuth 2\.0 or OIDC client\-side flows.
* Familiarity with the API endpoints and SDKs of okta
* Automate the provisioning and management of our cloud infrastructure using Terraform (Infrastructure as Code).
* Build, deploy, and manage containerized applications, including orchestration and scaling in a cloud\-based environment.
* Implement and manage comprehensive monitoring, logging, and alerting for identity applications using Splunk to ensure high availability and rapid incident response.
* Experience with Infrastructure as Code, specifically Terraform.
* Strong understanding of CI/CD pipelines, Git, and modern development workflows.
**Right to work requirements:** 
 This role is limited for candidates with indefinite right to work within the USA.
**Compensation/Benefits Information (US Applicants Only):**
 S\&amp;P Global states that the anticipated base salary range for this position is $120,000 \- $150,000\. Final base salary for this role will be based on the individual's geographical location as well as experience and qualifications for the role.
 In addition to base compensation, this role is eligible for an annual incentive plan. This role is not eligible for additional compensation such as an annual incentive bonus or sales commission plan.
 This role is eligible to receive additional S\&amp;P Global benefits. For more information on the benefits we provide to our employees, please click here .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IFTECH202\.2 \- Middle Professional Tier II (EEO Job Group)</t>
        </is>
      </c>
    </row>
    <row r="55">
      <c r="A55" t="inlineStr">
        <is>
          <t>li-4357653088</t>
        </is>
      </c>
      <c r="B55" t="inlineStr">
        <is>
          <t>Software Engineer, Systems - Level 2</t>
        </is>
      </c>
      <c r="C55" t="inlineStr">
        <is>
          <t>Jobs via Dice</t>
        </is>
      </c>
      <c r="D55" t="inlineStr">
        <is>
          <t>linkedin</t>
        </is>
      </c>
      <c r="E55" t="inlineStr"/>
      <c r="F55" t="inlineStr"/>
      <c r="G55" t="inlineStr">
        <is>
          <t>King of Prussia, PA</t>
        </is>
      </c>
      <c r="H55" t="inlineStr"/>
      <c r="I55"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Sentinel program seeks a motivated, detail focused Software Systems Engineer who will integrate system and software designs into a unified product, maintain end to end traceability, and contribute to test equipment development.
 Key Responsibilities
 Translate system architecture, customer/product requirements, and CONOPS into detailed software requirements and interface definitions.
 Support verification planning by establishing clear traceability links from architecture through requirements to test artifacts.
 Leverage cutting edge Model Based Systems Engineering (MBSE) tools and processes (e.g., SysML, MagicDraw, Cameo) to create synergistic models that connect verification items, requirements, and design elements.
 Develop and maintain product and process documentation (CDRLs \- Contract Data Requirements List) in accordance with contract requirements.
 Coordinate design information across the system to ensure consistency and completeness throughout the development lifecycle.
 Use your excellent communication skills to work across the Lockheed Martin organization and customer/user community to ensure consensus and understanding of solutions
 You have opportunities to play an active role in strengthening the quality of life where we live and work by volunteering more than 850,000 hours annually.
 Here are some of the benefits you can enjoy:
 Medical
 Dental
 401k
 Paid time off
 Work/life balance
 Career development
 Mentorship opportunities
 Rewards \&amp; recognition
**Basic Qualifications**
 Experience in one or more Software Systems
 Engineering functions, such as:
 Subsystem design or analysis
 Systems or software modeling experience
 Requirements and Software Interface Control
 Document (ICD) development
 Ability to obtain secret security clearance
 Ability to Obtain CompTIA Security\+ Certification
**Desired Skills**
 Active Secret Clearance
 Systems and/or software engineering
 experience or relevant systems engineering
 training through a university or certificate program
 Experience with:
* Software Requirements Development (DOORS Experience a plus)
* SW architecture development
* Cross reference SW architecture to system architecture and design
* DOD Software CDRL Development
* Software Model Development with modeling tool such as Cameo or Rhapsody
 Familiarity with modeling language(s) such as
 SysML/UML and Architecture Framework(s) such as DODAF]
 Ability to understand code written in programming languages such as C, C\+\+,
 Familiar with Agile Development Process
 Experience with a related Program, Project or Customer a Plus
 Ability to work in a fast\-paced, synergetic team
 environment
 Demonstrated behaviors of a systems thinker
 with the ability to select and apply appropriate
 systems thinking skills to solve problems and
 implement constructive change
 Excellent written and verbal communication
 skills, strong social skills, and ability to build
 consensus among peers while building solid
 relationships with team members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56">
      <c r="A56" t="inlineStr">
        <is>
          <t>li-4363847193</t>
        </is>
      </c>
      <c r="B56" t="inlineStr">
        <is>
          <t>Lead, Software Engineer (LMES)</t>
        </is>
      </c>
      <c r="C56" t="inlineStr">
        <is>
          <t>L3Harris Technologies</t>
        </is>
      </c>
      <c r="D56" t="inlineStr">
        <is>
          <t>linkedin</t>
        </is>
      </c>
      <c r="E56" t="inlineStr"/>
      <c r="F56" t="inlineStr"/>
      <c r="G56" t="inlineStr">
        <is>
          <t>Camden, NJ</t>
        </is>
      </c>
      <c r="H56" t="inlineStr"/>
      <c r="I5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Technical Lead Software Engineer \- LMES Level**
**Job Code: 32962**
**Job Location: Camden, NJ**
**Schedule: 9/80**
 Are you ready to take your engineering career to the next level and be a part of something truly extraordinary? Join our trailblazing team in the Philadelphia metro area, where you'll dive into the thrilling world of high\-assurance encryption products and programs that are pivotal to national defense. Our rapidly expanding business is not just growing—it's exploding with opportunities for innovation and impact in network and tactical encryption products and systems.Apply now and embark on this exhilarating journey with us, shaping the future of defense technology!
**Job Description:**
 L3Harris Integrated Mission Systems is seeking a Technical Lead Software Engineer. Responsibilities include leading a software development team, analyzing requirements and the translation of requirements into working and maintainable solutions, planning the development, assigning budgets and tasks, tracking teams’ status, measuring teams work performed utilizing EVMS techniques and enforcing process across the entire SDLC.
**Essential Functions**
* Experience leading a Software Team / Project, strong project management skills
* Project planning, task definition and assignment; performance monitoring
* Object\-oriented design and implementation experience, with exposure to software modeling and UML tools such as IBM Rhapsody or MagicDraw/Cameo
* Developing Software utilizing Modern C\+\+ tools and standards
* Support the engineering team members as a subject matter expert in embedded software application development, through guidance and direction to one or more software engineers
* Investigate root cause of complex issues, and implement solutions, working independently or with a multi\-discipline team
* Apply computer science, engineering, and mathematical analysis concepts and principles in the development of software for the target hardware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hardware\-software integration, and formal test
* Develop software test plans and procedures, and other relevant technical documentation
**Qualifications**
* U.S. citizenship with an Active Department of Defense (DoD) Secret clearance
* Bachelor’s or master’s degree in computer engineering, Electrical Engineering, Computer Science, or related field
* 10\+ years of experience debugging applications on simulated and target hardware
* Usage of a Real\-Time Operating System (RTOS), such as Green Hills Integrity, VxWorks, or similar
* Excellent oral and written communication skills
**Preferred Additional Skills**
* Experience with EVMS
* Project planning, task definition and assignment; performance monitoring
* Experience developing device drivers and Board Support Packages for real time embedded systems
* Experience with Information Assurance and/or cryptographyExperience with NSA Type 1 certification or other SW certification such as DO\-178
* Prior RUST experience
 In compliance with pay transparency requirements, the salary range for this role is $125,000 \- $205000\.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57">
      <c r="A57" t="inlineStr">
        <is>
          <t>li-4363747156</t>
        </is>
      </c>
      <c r="B57" t="inlineStr">
        <is>
          <t>Senior Software Engineer, Full Stack (Global Payment Network)</t>
        </is>
      </c>
      <c r="C57" t="inlineStr">
        <is>
          <t>Capital One</t>
        </is>
      </c>
      <c r="D57" t="inlineStr">
        <is>
          <t>linkedin</t>
        </is>
      </c>
      <c r="E57" t="inlineStr"/>
      <c r="F57" t="inlineStr"/>
      <c r="G57" t="inlineStr">
        <is>
          <t>McLean, VA</t>
        </is>
      </c>
      <c r="H57" t="inlineStr"/>
      <c r="I5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Chicago, IL: $147,100 \- $167,900 for Senior Software Engineer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8">
      <c r="A58" t="inlineStr">
        <is>
          <t>li-4354799927</t>
        </is>
      </c>
      <c r="B58" t="inlineStr">
        <is>
          <t>Software Engineer II - Driver Platform</t>
        </is>
      </c>
      <c r="C58" t="inlineStr">
        <is>
          <t>Jobs via Dice</t>
        </is>
      </c>
      <c r="D58" t="inlineStr">
        <is>
          <t>linkedin</t>
        </is>
      </c>
      <c r="E58" t="inlineStr"/>
      <c r="F58" t="inlineStr"/>
      <c r="G58" t="inlineStr">
        <is>
          <t>Redmond, WA</t>
        </is>
      </c>
      <c r="H58" t="inlineStr"/>
      <c r="I58" t="inlineStr">
        <is>
          <t>**Overview**
 The
 **Driver Platform team** 
 builds the foundational systems that power how all Windows device drivers are developed, validated, certified, and delivered. The mission is to provide an end\-to\-end platform that enables the ecosystem to ship secure, reliable, high\-quality device drivers at scale.
**What The Team Owns**
* Core frameworks and PnP (plug and play) platform tooling for device driver installation, servicing, lifecycle.
* Developer kits that enable driver development.
* Static and runtime verification systems and certification test suites.
* Security analysis for in\-production drivers.
* AI\-first tooling for code generation, analysis, rules synthesis, and automated workflows.
 To deliver on our vision, we are looking for a
 **Software Engineer II** 
 who is eager to learn, collaborate, and contribute to building high\-quality platform support for a diverse ecosystem of hardware partners. This role offers the opportunity to deepen your understanding of operating system architecture, particularly kernel\-mode and device driver interfaces, while working closely with internal teams and external partners to enable reliable, secure, and performant device integration. The position provides meaningful exposure to cross\-team collaboration and the chance to influence partner success across the industry.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next\-generation driver platform components improving security \&amp; reliability.
* Debug complex driver/kernel\-mode issues across diverse hardware stacks.
* Investigate security issues and identify vulnerability patterns to help secure the device driver ecosystem.
* Partner with Windows teams and hardware partners to deliver robust, certifiable drivers.
* Drive AI\-first engineering through creation and integration of AI agents across development, validation, debugging, and certification processes.
**Qualifications**
**Required Qualifications:**
* Bachelor's Degree in Computer Science or related technical field AND 2\+ years technical engineering experience with coding in languages including, but not limited to, C, C\+\+, C\#, Rust, Python or Perl
+ OR equivalent experience.
**Preferred Qualifications:**
* Master's Degree in Computer Science or related technical field AND 3\+ years technical engineering experience with coding in languages including, but not limited to, C, C\+\+, C\#, Rust, Python or Perl OR Bachelor's Degree in Computer Science or related technical field AND 5\+ years technical engineering experience with coding in languages including, but not limited to, C, C\+\+, C\#, Rust, Python, or Perl
+ OR equivalent experience.
 Experience in one or more of:
* Windows device driver development
* Driver or kernel\-mode development
* Native C/C\+\+ systems programming
* Complex systems debugging
* Verification tools (static or runtime)
* Rust development
* Security research
* Building or integrating AI agents
 \#W\+DJOBS
 \#DPLATJobs
 \#SPARCJobs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9">
      <c r="A59" t="inlineStr">
        <is>
          <t>li-4363817296</t>
        </is>
      </c>
      <c r="B59" t="inlineStr">
        <is>
          <t>Senior Software Engineer (Global Payment Network)</t>
        </is>
      </c>
      <c r="C59" t="inlineStr">
        <is>
          <t>Capital One</t>
        </is>
      </c>
      <c r="D59" t="inlineStr">
        <is>
          <t>linkedin</t>
        </is>
      </c>
      <c r="E59" t="inlineStr"/>
      <c r="F59" t="inlineStr"/>
      <c r="G59" t="inlineStr">
        <is>
          <t>McLean, VA</t>
        </is>
      </c>
      <c r="H59" t="inlineStr"/>
      <c r="I5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Chicago, IL: $147,100 \- $167,900 for Senior Software Engineer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0">
      <c r="A60" t="inlineStr">
        <is>
          <t>li-4363757143</t>
        </is>
      </c>
      <c r="B60" t="inlineStr">
        <is>
          <t>Lead Software Engineer, Back End</t>
        </is>
      </c>
      <c r="C60" t="inlineStr">
        <is>
          <t>Capital One</t>
        </is>
      </c>
      <c r="D60" t="inlineStr">
        <is>
          <t>linkedin</t>
        </is>
      </c>
      <c r="E60" t="inlineStr"/>
      <c r="F60" t="inlineStr"/>
      <c r="G60" t="inlineStr">
        <is>
          <t>Plano, TX</t>
        </is>
      </c>
      <c r="H60" t="inlineStr"/>
      <c r="I6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Java, Scala, Python, Go, or Node.js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1">
      <c r="A61" t="inlineStr">
        <is>
          <t>li-4363727207</t>
        </is>
      </c>
      <c r="B61" t="inlineStr">
        <is>
          <t>Senior Software Engineer, Full Stack</t>
        </is>
      </c>
      <c r="C61" t="inlineStr">
        <is>
          <t>Capital One</t>
        </is>
      </c>
      <c r="D61" t="inlineStr">
        <is>
          <t>linkedin</t>
        </is>
      </c>
      <c r="E61" t="inlineStr"/>
      <c r="F61" t="inlineStr"/>
      <c r="G61" t="inlineStr">
        <is>
          <t>Richmond, VA</t>
        </is>
      </c>
      <c r="H61" t="inlineStr"/>
      <c r="I6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2">
      <c r="A62" t="inlineStr">
        <is>
          <t>li-4352392223</t>
        </is>
      </c>
      <c r="B62" t="inlineStr">
        <is>
          <t>Senior Software Engineer - Wellington Management Company, LLP</t>
        </is>
      </c>
      <c r="C62" t="inlineStr">
        <is>
          <t>Jobs via eFinancialCareers</t>
        </is>
      </c>
      <c r="D62" t="inlineStr">
        <is>
          <t>linkedin</t>
        </is>
      </c>
      <c r="E62" t="inlineStr"/>
      <c r="F62" t="inlineStr"/>
      <c r="G62" t="inlineStr">
        <is>
          <t>Boston, MA</t>
        </is>
      </c>
      <c r="H62" t="inlineStr"/>
      <c r="I62" t="inlineStr">
        <is>
          <t>**About Us**
**Wellington Management** 
 offers comprehensive investment management capabilities that span nearly all segments of the global capital markets. Our investment solutions, tailored to the unique return and risk objectives of institutional clients in more than 60 countries, draw on a robust body of proprietary research and a collaborative culture that encourages independent thought and healthy debate. As a private partnership, we believe our ownership structure fosters a long\-term view that aligns our perspectives with those of our clients.
**About The Role**
**Company** 
 : Wellington Management Company LLP
**Location** 
 : 280 Congress St., Boston, MA 02210
**Position Title** 
 : Senior Software Engineer
**Job Description** 
**:**
 Design, develop, test, implement, and support software solutions to meet business requirements for Wellington's research platforms. Design new platform functionality (collaborating with stakeholders) and help other developers use the solutions they build. Perform as member of the IT team that both supports and provides research and collaboration technology for Wellington investment professionals focusing on building out our research platforms, ESG \&amp; sustainability initiatives, and data analytics capabilities. Support and build highly customized homegrown solutions and vendor products. Working with business teams, project managers, and systems analysts to review and qualify business requirements, functional specifications, use\-cases, and test plans. Designing, prototyping, and coding new software components and applications based on functional specifications across the full stack, including services, web and mobile clients, infrastructure, and back\-end. Coordinating with analyst teams and vendors to execute test plans and provide support during user acceptance testing. Modifying and enhancing existing systems to incorporate new functionality and to optimize them for performance. Authoring technical design and support documentation. Position is fixed location based in the Boston office; however, telecommuting from a home office may also be allowed. If working remote, travel to Boston office is expected 4 times per year.
**Job Requirements** 
**:**
 Requires a Master's degree (or foreign equivalent) in Computer Science, Software Engineering, Information Technology, Quantitative and Computational Finance or a directly related field plus two (2\) years of experience developing application software
 Must have two (2\) years of experience in each of the following (experience may be gained concurrently):
* Developing with a modern JavaScript framework, including React, Angular, JavaScript, and jQuery
* Developing front end web applications using JavaScript/TypeScript, HTML, and CSS/SASS/SCSS
* Developing applications using NodeJS
* Writing and maintaining unit tests in a modern JavaScript framework using Jest and Enzyme
* Developing with AWS technologies: Lambda, CloudFormation, and DynamoDB
* Developing in buy\-side investment management systems in areas of investor research and analytics.
* Developing with OpenFin technologies
* Experience with mobile application development
* Advanced JavaScript state management libraries: Redux or RxJS
* Working with in\-house applications and highly complex, interrelated systems and processing such as Research Management platform or content subscription and alerting framework.
* Modern software development and testing methodologies, including Artifactory, GIT, and Jenkins CI
 Must have 1 year of experience in each of the following (experience may be gained concurrently):
* Agile software development methodology
 Will accept a Bachelor's degree plus five (5\) years of experience developing application software in lieu of a Master's degree plus two (2\) years of experience.
 40 hours/week, 9:00am\-5:00pm, Salary: $179,000 \- $185,000/year.
 Application Method: Apply online or send resume to GMGlobalMobility@wellington.com . (Req\# R91889\)
 Not sure you meet 100% of our qualifications? That's ok. If you believe that you could excel in this role, we encourage you to apply and welcome a chance to review your background. We are dedicated to building and maintaining a diversified workforce and considering a broad array of candidates with a variety of skill, workplace experiences, and backgrounds.
 As an equal opportunity employer, Wellington Management ensures that all qualified applicants will receive equal consideration for employment without regard to race, color, sex, sexual orientation, gender identity, gender expression, religion, creed, national origin, age, ancestry, disability (physical or mental), medical condition, citizenship, marital status, pregnancy, veteran or military status, genetic information or any other characteristic protected by applicable law . If you are a candidate with a disability, or are assisting a candidate with a disability, and require an accommodation to apply for one of our jobs, please email us at GMWTalentOperations@wellington.com .
 We believe that in person interactions inspire and energize our community and are essential to our culture. In support of this commitment, our employees work from our offices 4 days a week with flexibility to work remotely 1 day a week. We believe that this approach ultimately supports our mission to deliver investment excellence to our clients and their beneficiaries over the long term.</t>
        </is>
      </c>
    </row>
    <row r="63">
      <c r="A63" t="inlineStr">
        <is>
          <t>li-4359002972</t>
        </is>
      </c>
      <c r="B63" t="inlineStr">
        <is>
          <t>Senior Software Engineer - API &amp; Cloud (C#, AWS)</t>
        </is>
      </c>
      <c r="C63" t="inlineStr">
        <is>
          <t>Jobs via Dice</t>
        </is>
      </c>
      <c r="D63" t="inlineStr">
        <is>
          <t>linkedin</t>
        </is>
      </c>
      <c r="E63" t="inlineStr"/>
      <c r="F63" t="inlineStr"/>
      <c r="G63" t="inlineStr">
        <is>
          <t>Birmingham, AL</t>
        </is>
      </c>
      <c r="H63" t="inlineStr"/>
      <c r="I63" t="inlineStr">
        <is>
          <t>RESPONSIBILITIES:
 Kforce has a client that is seeking a Senior Software Engineer \- API \&amp; Cloud (C\#, AWS) in Birmingham, AL.
 Overview:
 Our client is seeking a Senior Software Engineer to join its Open Banking team as the group prepares to move a key application into production mid\-year. This role will focus primarily on backend development, with an emphasis on building and supporting scalable, secure APIs hosted in AWS. The ideal candidate is a strong C\# engineer with deep API development experience, a solid understanding of modern cloud\-based architectures, and the ability to collaborate effectively within a cross\-functional engineering team.
 Key Responsibilities:
* Design, develop, and deliver high\-quality backend software solutions using C\# and API\-driven architectures
* Build and maintain RESTful APIs supporting Open Banking initiatives
* Conduct system analysis to identify performance, scalability, and reliability issues
* Develop and implement technology solutions to resolve complex technical challenges
* Apply software testing techniques, code optimization practices, and debugging methodologies to ensure production\-ready solutions
* Collaborate closely with other engineers, developers, and technology partners to achieve shared objectives
* Manage and contribute to multiple initiatives simultaneously in a fast\-paced environment
* Support the transition of applications into production and ongoing enhancements post\-launch
 REQUIREMENTS:
* Bachelor's degree in Computer Science, Computer Engineering, or a related field
* 5\+ years of professional software engineering experience
* Strong hands\-on experience with C\# and API development (required)
* Experience developing and supporting applications hosted in AWS or similar cloud platforms
* Solid understanding of software structures, computing systems, and system integration concepts
* Knowledge of software testing methodologies, debugging, and performance optimization
* Strong analytical, problem\-solving, and communication skills
* Proven ability to execute, deliver, and take ownership of assigned work
 Preferred Qualifications:
* Experience in banking, financial services, or regulated environments
* Exposure to or experience with React (front\-end experience is a strong plus, but not required)
* Experience supporting applications as they move from development into production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64">
      <c r="A64" t="inlineStr">
        <is>
          <t>li-4364028119</t>
        </is>
      </c>
      <c r="B64" t="inlineStr">
        <is>
          <t>Founding Senior Software Engineer</t>
        </is>
      </c>
      <c r="C64" t="inlineStr">
        <is>
          <t>Zania</t>
        </is>
      </c>
      <c r="D64" t="inlineStr">
        <is>
          <t>linkedin</t>
        </is>
      </c>
      <c r="E64">
        <f>HYPERLINK("https://www.linkedin.com/jobs/view/4364028119", "https://www.linkedin.com/jobs/view/4364028119")</f>
        <v/>
      </c>
      <c r="F64">
        <f>HYPERLINK("https://zania.ai/careers?ashby_jid=edb64a5f-a342-4cfc-90b6-f526a28e9e09&amp;utm_source=w9EkqyMDMY&amp;urlHash=euR6", "https://zania.ai/careers?ashby_jid=edb64a5f-a342-4cfc-90b6-f526a28e9e09&amp;utm_source=w9EkqyMDMY&amp;urlHash=euR6")</f>
        <v/>
      </c>
      <c r="G64" t="inlineStr">
        <is>
          <t>San Francisco, CA</t>
        </is>
      </c>
      <c r="H64" t="inlineStr"/>
      <c r="I64" t="inlineStr">
        <is>
          <t>**Founding Software Engineer (Mid–Senior Level)**
**Why Zania**
 Every enterprise spends millions of dollars on Governance, Risk, and Compliance (GRC). It's one of the most critical, yet universally painful, parts of running a business. For decades, this industry has been dominated by legacy systems with notoriously low NPS scores, making it totally ripe for disruption.
 Zania is building
 **agentic AI for Governance, Risk, and Compliance (GRC)** 
 to solve this massive problem. We are on a
 **rocketship trajectory** 
 , creating intelligent agents that automate and augment the most complex risk and compliance workflows. We have found exceptional product\-market fit and are scaling our team very quickly. Some reasons to join Zania are:
* Dream Customers: Our customers are the most notable enterprises in the world, including FAANG, Big 4 firms and a portfolio of top customers.
* Tier 1 Backing: Funded by a leading Tier 1 venture capital fund, giving us the resources to build a generational company.
* World\-Class Team: Zania is hiring the best. Our team includes AI and Security leaders from Airbnb, Microsoft, Bain \&amp; Company, Deloitte, PwC, Brex, and Instacart.
* Pioneering Technology: Our engineers and GRC experts work at the absolute forefront of applied AI, building the next generation of agentic systems that will define the future of compliance.
* Hyper\-Growth: We have seen 10x ARR growth in the last year and are rapidly expanding.
* Competitive Compensation \&amp; Equity.
**The Role:**
 As a Software Engineer, you will be a core member of our engineering team, building the backend systems that power both our core product and our agentic AI platform. This is a backend\-focused role for engineers who thrive on solving challenges at a massive scale; full\-stack experience is a strong plus. You will design, build, and deploy the critical infrastructure and services that handle everything from petabyte\-scale data retrieval to running thousand\-step AI agents. This is a unique opportunity to tackle some of the most demanding problems in computing today and build systems with government\-level security and reliability.
**What You'll Do:**
* Engineer Core Product Features: Take ownership of building and delivering scalable, secure backend services that directly power our user\-facing product.
* Build Petabyte\-Scale AI Pipelines: Design and implement robust systems for retrieval over petabyte\-scale document troves and engineer pipelines for large\-scale data collection.
* Develop Advanced Agentic Systems: Build the backend infrastructure for complex, 1000\-step planning agents that help companies with critical processes, and create organizational\-level interfaces for human\-AI collaboration.
* Contribute to the architecture and management of our cloud infrastructure, ensuring high availability and performance.
* Engineer systems with the highest standards of security and reliability to protect the world's most sensitive data.
**What We're Looking For:**
* Experience: 5\+ years of professional software engineering experience (not intended for recent graduates).
* Proven Technical Impact: A demonstrated track record of delivering complex, high\-quality backend systems.
* Product Building Experience: You have a history of building and launching robust products or platforms, ideally in a hyper\-growth or 0\-to\-1 startup environment.
* Deep Technical Expertise: You are a hands\-on, highly technical backend engineer with proficiency in:
* Python: For building robust backend services and AI pipelines.
* Large\-Scale Systems: Experience with distributed systems, large\-scale data processing (e.g., Spark), and cloud platforms (Azure, AWS, GCP).
* TypeScript and React: Experience is a plus for contributing across the stack but is not required.
* Ownership and Drive: You take full ownership of your projects, demonstrating a strong bias for action and the ability to manage complex priorities in a fast\-paced environment.
* Pragmatic Problem\-Solving: You are a proactive and resourceful problem\-solver who is comfortable with ambiguity and sees immense challenges as opportunities for growth.
* Clear Communication: You can articulate complex technical ideas clearly and persuasively to stakeholders across the organization.
**Compensation And Benefits**
* Flexible PTO policy.
* Medical, dental, and vision insurance
* Meals and snacks in the office
* Relocation and immigration support
 Zania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Compensation Range: $120K \- $230K</t>
        </is>
      </c>
    </row>
    <row r="65">
      <c r="A65" t="inlineStr">
        <is>
          <t>li-4363858113</t>
        </is>
      </c>
      <c r="B65" t="inlineStr">
        <is>
          <t>Full Stack Engineer</t>
        </is>
      </c>
      <c r="C65" t="inlineStr">
        <is>
          <t>Akkodis Group Nordics</t>
        </is>
      </c>
      <c r="D65" t="inlineStr">
        <is>
          <t>linkedin</t>
        </is>
      </c>
      <c r="E65">
        <f>HYPERLINK("https://www.linkedin.com/jobs/view/4363858113", "https://www.linkedin.com/jobs/view/4363858113")</f>
        <v/>
      </c>
      <c r="F65" t="inlineStr"/>
      <c r="G65" t="inlineStr">
        <is>
          <t>Seattle, WA</t>
        </is>
      </c>
      <c r="H65" t="inlineStr"/>
      <c r="I65" t="inlineStr">
        <is>
          <t>Akkodis is seeking a
 **Full Stack Engineer for a Contract** 
 job with a client in
 **North Seattle, WA.** 
 Ideally looking for applicants with experience in single\-page web application development and a strong passion for product development and user experience.
**Rate Range:** 
 $63\.43/hour to $67\.16/hour; The rate may be negotiable based on experience, education, geographic location, and other factors.
**Full Stack Engineer Job Responsibilities Include**
* Develop single\-page web applications using JavaScript, React, Redux, and NodeJS.
* Assist in migrating web deliverables to a modern CSS library.
* Build responsive/adaptive web apps with progressive enhancement.
* Develop and maintain RESTful APIs.
* Collaborate with cross\-functional teams to deliver high\-quality user experiences.
**Desired Qualifications**
* Bachelor’s Degree.
* 2–3 years of experience in full stack web development.
* Expertise in JavaScript, React, Redux, NodeJS, and CSS/SASS.
* Experience with TypeScript and MongoDB.
* Strong understanding of responsive design and modern web standards.
 If you are interested in this role, then please click APPLY NOW. For other opportunities available at Akkodis, or any questions, feel free to contact me at
 **Govind.Pandey@** 
**akkodisgroup.com**
**Pay Details:** 
 $63\.43 to $67\.16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66">
      <c r="A66" t="inlineStr">
        <is>
          <t>li-4363767042</t>
        </is>
      </c>
      <c r="B66" t="inlineStr">
        <is>
          <t>Software Engineer (Python, Golang)</t>
        </is>
      </c>
      <c r="C66" t="inlineStr">
        <is>
          <t>OpenAI</t>
        </is>
      </c>
      <c r="D66" t="inlineStr">
        <is>
          <t>linkedin</t>
        </is>
      </c>
      <c r="E66">
        <f>HYPERLINK("https://www.linkedin.com/jobs/view/4363767042", "https://www.linkedin.com/jobs/view/4363767042")</f>
        <v/>
      </c>
      <c r="F66" t="inlineStr"/>
      <c r="G66" t="inlineStr"/>
      <c r="H66" t="inlineStr"/>
      <c r="I66" t="inlineStr">
        <is>
          <t>**About The Company** 
 OpenAI is a leading artificial intelligence research and deployment organization dedicated to ensuring that the benefits of general\-purpose AI are accessible to all of humanity. Committed to pushing the boundaries of AI capabilities, OpenAI strives to develop safe, reliable, and impactful AI systems that address global challenges. The company values diversity, inclusion, and ethical considerations in its mission to create AI that benefits society at large. As an innovative and forward\-thinking organization, OpenAI fosters a collaborative environment where cutting\-edge research and responsible deployment go hand in hand.
**About The Role** 
 We are seeking a highly skilled Software Engineer specializing in Security Observability to join our dynamic Security team. In this crucial role, you will be responsible for designing, building, and maintaining secure, scalable systems that enhance our security observability infrastructure. Your expertise will enable us to monitor, analyze, and respond to security threats more effectively. Collaborating closely with cross\-functional teams, including Detection \&amp; Response (D\&amp;R) and other security units, you will develop robust software solutions that improve our security posture and forensic capabilities. This position offers flexibility for remote work, with relocation assistance available to our offices in San Francisco, Seattle, or New York City.
**Qualifications** 
* Proficiency in programming languages such as Python, Golang, or similar
* Experience with infrastructure as code tools like Terraform
* Hands\-on experience working with cloud platforms, particularly Azure
* Strong background in building and maintaining data pipelines for security\-related data
* Knowledge of security monitoring, detection, and forensic investigation practices
* Familiarity with site reliability engineering (SRE) principles
* Ability to collaborate effectively with security and engineering teams
* Proactive problem\-solving skills with attention to detail
* Experience in designing scalable and resilient data systems
**Responsibilities** 
* Design and develop scalable software systems to facilitate comprehensive security observability across OpenAI’s infrastructure
* Build and maintain data pipelines that centralize security\-relevant data from diverse sources
* Enhance the resilience and reliability of data systems to ensure high platform availability
* Collaborate with Detection \&amp; Response teams to identify and mitigate security risks effectively
* Support forensic investigations and compliance efforts through data engineering
* Proactively identify opportunities to improve security data visibility and forensic capabilities
* Implement security best practices in software development and data management
* Stay updated with emerging security threats and technologies to continuously improve security infrastructure
**Benefits** 
* Competitive salary ranging from $255,000 to $325,000
* Flexible remote work options or relocation assistance to San Francisco, Seattle, or New York City
* Comprehensive health, dental, and vision insurance plans
* Generous paid time off and holidays
* Professional development opportunities and continuous learning support
* Inclusive and diverse work environment that values different perspectives
* Employee wellness programs and resources
* Retirement savings plans with company matching
 Equal Opportunity
 OpenAI is an equal opportunity employer. We do not discriminate based on race, religion, color, national origin, sex, sexual orientation, age, veteran status, disability, genetic information, or other legally protected characteristics. We are committed to fostering an inclusive environment where all employees can thrive.</t>
        </is>
      </c>
    </row>
    <row r="67">
      <c r="A67" t="inlineStr">
        <is>
          <t>li-4363787917</t>
        </is>
      </c>
      <c r="B67" t="inlineStr">
        <is>
          <t>Staff / Senior Software Engineer</t>
        </is>
      </c>
      <c r="C67" t="inlineStr">
        <is>
          <t>Puck</t>
        </is>
      </c>
      <c r="D67" t="inlineStr">
        <is>
          <t>linkedin</t>
        </is>
      </c>
      <c r="E67">
        <f>HYPERLINK("https://www.linkedin.com/jobs/view/4363787917", "https://www.linkedin.com/jobs/view/4363787917")</f>
        <v/>
      </c>
      <c r="F67">
        <f>HYPERLINK("https://easyapply.jobs/r/bEcwLdb25Kdlxb48Uvts&amp;urlHash=bo5a", "https://easyapply.jobs/r/bEcwLdb25Kdlxb48Uvts&amp;urlHash=bo5a")</f>
        <v/>
      </c>
      <c r="G67" t="inlineStr">
        <is>
          <t>Denver, CO</t>
        </is>
      </c>
      <c r="H67" t="inlineStr"/>
      <c r="I67" t="inlineStr">
        <is>
          <t>**About Us**
 Puck is a company that moves beyond job descriptions to highlight the teams behind open roles. We add mini\-podcasts to job descriptions. By building better profiles of candidates and employers, we help match people to people, not just resumes to job descriptions. Choosing a job or hiring for one is up there with the most important decisions we make. We started Puck to build a better way to hire. To help people find new opportunities, start a conversation and find their people. 28% of Americans are actively searching for a new job right now. Our experienced founding team is working to make that search better.
 What is it like to be a Software Engineer at Puck?
 You will join a small, experienced team of entrepreneurs who are inspired to build products that help people find jobs \&amp; help companies find great employees.
 Like the engineer colleagues you’ll be working with, this isn’t your first time working in a startup\-like engineering environment. You’ve built applications end\-to\-end before, and you have had the opportunity to live with your early design decisions as the project matures. You’ve learned from your mistakes, dealt with outages, and redesigned \&amp; rewritten plenty of code. You’ve had entire products re\-imagined, and you are comfortable with the process of product iteration that always comes with early\-stage startups.
 You thrive in an environment that values the “maker schedule” — managing your own time effectively and professionally. You bias towards over\-communication with your team, while understanding that the goal is to minimize meeting time and maximize productive time for deep work. You are a pleasure to work with, and absolutely love collaborating with other engineers.
 As an experienced engineer, you have informed opinions about languages \&amp; tools, but you’re always willing to be convinced \&amp; to learn something new. You are language agnostic, but have worked with enough languages to understand their tradeoffs. A startup\-friendly tech\-stack like Nodejs, Typescript, React/Redux, AWS, k8s, Postgres, and Redis makes sense to you — you’ll be up\-and\-running in this environment in no time, even if you’ve been working with different tools most recently.
 You have an innate understanding of the critical balance between speed \&amp; quality that all startups face. You are comfortable with automated testing as a tool for maintaining quality and managing risk — but you are also comfortable shipping code using manual QA. As our products mature and the team grows, you’ll help the team make smart decisions about how we scale automated testing.
 Finally, you enjoy both working with other experienced engineers and mentoring people who are just starting their careers. You are a teacher — whether explaining a technology to a non\-engineer on the team, code\-reviewing a colleague’s pull\-request, or helping a recent graduate with an architecture decision.
 If this describes you — I would love to get to know you better.
**— Josh @ Puck**</t>
        </is>
      </c>
    </row>
    <row r="68">
      <c r="A68" t="inlineStr">
        <is>
          <t>li-4363818320</t>
        </is>
      </c>
      <c r="B68" t="inlineStr">
        <is>
          <t>Software Developer</t>
        </is>
      </c>
      <c r="C68" t="inlineStr">
        <is>
          <t>Tree Top Staffing LLC</t>
        </is>
      </c>
      <c r="D68" t="inlineStr">
        <is>
          <t>linkedin</t>
        </is>
      </c>
      <c r="E68">
        <f>HYPERLINK("https://www.linkedin.com/jobs/view/4363818320", "https://www.linkedin.com/jobs/view/4363818320")</f>
        <v/>
      </c>
      <c r="F68" t="inlineStr"/>
      <c r="G68" t="inlineStr"/>
      <c r="H68" t="inlineStr"/>
      <c r="I68" t="inlineStr">
        <is>
          <t>We are looking for a Software Developer who will be responsible for supporting a software development team in all aspects of the development, testing and implementation of product.
**Responsibilities:**
* Writing and debugging code
* Troubleshooting software issues
* Working closely with developers to improve product’s functionality
* Developing innovative solutions
* Attending developer meetings
* Participating in code reviews and quality assurance activities
* Participating in estimation discussions with the product team
* Continually improving coding skills
**Qualifications:**
* Degree in Computer Science, Software Engineering or related field
* Experience in software development
* Knowledge of basic programming languages
* Excellent verbal and written communication skills
* Strong analytical skills
* Highly developed attention to detail
* Ability to work well in a team environment
* Ability to work in a fast\-paced environment</t>
        </is>
      </c>
    </row>
    <row r="69">
      <c r="A69" t="inlineStr">
        <is>
          <t>li-4363847050</t>
        </is>
      </c>
      <c r="B69" t="inlineStr">
        <is>
          <t>Software Engineer (API, SQL)</t>
        </is>
      </c>
      <c r="C69" t="inlineStr">
        <is>
          <t>General Motors</t>
        </is>
      </c>
      <c r="D69" t="inlineStr">
        <is>
          <t>linkedin</t>
        </is>
      </c>
      <c r="E69">
        <f>HYPERLINK("https://www.linkedin.com/jobs/view/4363847050", "https://www.linkedin.com/jobs/view/4363847050")</f>
        <v/>
      </c>
      <c r="F69" t="inlineStr"/>
      <c r="G69" t="inlineStr"/>
      <c r="H69" t="inlineStr"/>
      <c r="I69" t="inlineStr">
        <is>
          <t>**About The Company**
 General Motors (GM) is a leading global automotive manufacturer committed to innovation, sustainability, and creating a safer, more efficient transportation future. With a rich history of technological advancements and a focus on zero crashes, zero emissions, and zero congestion, GM strives to lead the automotive industry into a cleaner and smarter era. The company values diversity, inclusion, and fostering a collaborative work environment where employees can thrive and contribute to meaningful change. GM offers a dynamic workplace culture supported by comprehensive benefits, opportunities for professional growth, and a commitment to social responsibility.
**About The Role**
 We are seeking an experienced Staff Software Engineer specializing in mobile development to join our remote team. This role offers an exciting opportunity to influence the development of mobile products across General Motors, contributing to innovative solutions that enhance user experience and vehicle connectivity.
 The successful candidate will lead technical efforts in planning, designing, and executing mobile applications, primarily focusing on native and ReactNative platforms. As a technical leader, you will mentor junior engineers, foster collaboration across teams, and drive engineering excellence. The role requires a proactive individual passionate about building scalable, reliable, and high\-quality mobile solutions that align with GM’s vision of a safer, sustainable future.
**Qualifications**
* Bachelor's Degree in Computer Science or related field, or equivalent work experience
* 7\+ years of experience in Mobile development, native and preferably ReactNative
* 7\+ years of experience contributing to system architecture, documentation, and design (architecture, design patterns, reliability, and scaling)
* Experience working with multi\-tier production software systems utilizing HTTP APIs (REST or GraphQL)
* Proficiency with backend datastores such as PostgreSQL, DynamoDB, Redis, or Elasticsearch
* Demonstrated ability to understand complex tech stacks, debug code, and write tests
**Responsibilities**
* Develop expertise in core mobile technologies, including client frameworks and services
* Evaluate architectural trade\-offs and apply synchronous and asynchronous design patterns effectively
* Produce high\-quality, unit\-tested, and code\-reviewed software for continuous integration and deployment
* Serve as a technical lead, mentoring less experienced engineers and fostering a collaborative team environment
* Present and advocate for product ideas and technical initiatives with cross\-functional teams
* Initiate, plan, and execute large\-scale, cross\-organizational programs and projects
* Ensure adherence to engineering best practices and promote continuous improvement in engineering productivity and craftsmanship
**Benefits**
* Comprehensive health, dental, and vision insurance plans
* Health Savings Account (HSA) and Flexible Spending Accounts (FSA)
* Retirement savings plan with company matching contributions
* Paid time off including vacation, holidays, and parental leave
* Tuition assistance and student loan refinancing options
* Employee assistance programs and wellness incentives
* GM vehicle discounts and potential relocation benefits
* Company\-provided vehicle for eligible roles after review
 Equal Opportunity
 General Motors is an equal opportunity employer committed to creating an inclusive environment for all employees. We do not discriminate based on race, color, religion, national origin, gender, gender identity, sexual orientation, age, disability, veteran status, or any other protected characteristic under applicable laws. We actively promote diversity and inclusion, ensuring every individual has equal access to employment opportunities and a workplace free from discrimination.</t>
        </is>
      </c>
    </row>
    <row r="70">
      <c r="A70" t="inlineStr">
        <is>
          <t>li-4364048086</t>
        </is>
      </c>
      <c r="B70" t="inlineStr">
        <is>
          <t>Software Developer</t>
        </is>
      </c>
      <c r="C70" t="inlineStr">
        <is>
          <t>2HB Incorporated</t>
        </is>
      </c>
      <c r="D70" t="inlineStr">
        <is>
          <t>linkedin</t>
        </is>
      </c>
      <c r="E70">
        <f>HYPERLINK("https://www.linkedin.com/jobs/view/4364048086", "https://www.linkedin.com/jobs/view/4364048086")</f>
        <v/>
      </c>
      <c r="F70" t="inlineStr"/>
      <c r="G70" t="inlineStr">
        <is>
          <t>Chantilly, VA</t>
        </is>
      </c>
      <c r="H70" t="inlineStr"/>
      <c r="I70" t="inlineStr">
        <is>
          <t>View all jobs
 Software Developer
 Chantilly, VA
* Computer/Software
**This is a full\-time position, and requires a TS/SCI/Full Scope Polygraph Clearance.**
**2HB Incorporated is seeking a** 
**Software Developer** 
**to support its government customer in Chantilly, VA.**
**The applicant MUST have web development experience with Typescript, JavaScript, HTML, CSS, Bootstrap, and React** 
 .
**Desired skills for a candidate include** 
 experience with Java / Python, software development best practices to include Agile methodology. Demonstrated experience leading a small team, mentoring junior team members, and providing technical direction.
**This is a full\-time position, and requires a TS/SCI/Full Scope Polygraph Clearance.**</t>
        </is>
      </c>
    </row>
    <row r="71">
      <c r="A71" t="inlineStr">
        <is>
          <t>li-4363728139</t>
        </is>
      </c>
      <c r="B71" t="inlineStr">
        <is>
          <t>Software Developer</t>
        </is>
      </c>
      <c r="C71" t="inlineStr">
        <is>
          <t>Lensa</t>
        </is>
      </c>
      <c r="D71" t="inlineStr">
        <is>
          <t>linkedin</t>
        </is>
      </c>
      <c r="E71">
        <f>HYPERLINK("https://www.linkedin.com/jobs/view/4363728139", "https://www.linkedin.com/jobs/view/4363728139")</f>
        <v/>
      </c>
      <c r="F71">
        <f>HYPERLINK("https://lensa.com/cgw/06be3ba069894b55adc4689808c38f41tjo1?jpsi=directemployers&amp;publisher_preference=easier_apply&amp;utm_campaign=Computer%20Occupations&amp;utm_medium=slot&amp;utm_source=linkedin&amp;utm_term=jse&amp;urlHash=UzcS", "https://lensa.com/cgw/06be3ba069894b55adc4689808c38f41tjo1?jpsi=directemployers&amp;publisher_preference=easier_apply&amp;utm_campaign=Computer%20Occupations&amp;utm_medium=slot&amp;utm_source=linkedin&amp;utm_term=jse&amp;urlHash=UzcS")</f>
        <v/>
      </c>
      <c r="G71" t="inlineStr">
        <is>
          <t>Denver, CO</t>
        </is>
      </c>
      <c r="H71" t="inlineStr"/>
      <c r="I7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At Oracle
 **Health Data Intelligence** 
**(HDI)** 
 , our mission is to empower healthcare organizations with actionable insights derived from comprehensive, secure, and innovative health data solutions. By harnessing the power of advanced analytics, artificial intelligence, and cloud technologies, we strive to enhance clinical decision\-making, improve patient outcomes, and drive operational efficiency across the healthcare ecosystem.
 Values are Oracle’s foundation and how we deliver excellence. We strive for diversity, inclusion, and respect for all. We are committed to the greater good in our products and our actions. We are constantly learning and taking opportunities to grow our careers and ourselves. We challenge each other to stretch beyond our past to build our future.
 You will be part of the HDI AI Platform team. A platform for AI/ML Model development, Generative AI driven applications and ML ops. These models and applications leveraging AI/ML, are embedded as features in Oracle Health products, delivering actionable intelligence within familiar workflows to clients.
**Responsibilities**
**What You’ll Do**
 Design, development, and optimization of AI/ML platform/pipelines/services at scale leveraging OCI.
 Contribute to technical architecture/design for the AI platform team.
 Balance between product feature development and production operational concerns like ops documentation, ops automation, structured logging, instrumentation for metrics and events
 Participate in on\-call for the services within the team and resolve issues, when they arise.
**Qualifications**
 You are proficient in Java and/or Python programming language.
 You have prior AI/ML engineering industry experience. Experience with AI Agents or LLM or RAG a big plus.
 You have prior experience working on distributed systems at a cloud service provider
 You have prior experience working with at least one relational or a NoSQL database
 You are experienced at building highly available services, possessing knowledge of common service\-oriented design patterns and service\-to\-service communication protocols
 You are familiar with components of modern infrastructure like service discovery, secret storage, software\-defined networking, etc.
 You have experience with production operations and good practices for putting quality code in production and solve issues when they arise
 Take initiative and be responsible for delivering complex software by working effectively with the team and other partners
 You feel at home communicating technical ideas verbally and in writing (technical proposals, design specs, architecture diagrams and presentations)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to $158,200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72">
      <c r="A72" t="inlineStr">
        <is>
          <t>li-4364027596</t>
        </is>
      </c>
      <c r="B72" t="inlineStr">
        <is>
          <t>Full Stack Software Engineer</t>
        </is>
      </c>
      <c r="C72" t="inlineStr">
        <is>
          <t>McKesson</t>
        </is>
      </c>
      <c r="D72" t="inlineStr">
        <is>
          <t>linkedin</t>
        </is>
      </c>
      <c r="E72">
        <f>HYPERLINK("https://www.linkedin.com/jobs/view/4364027596", "https://www.linkedin.com/jobs/view/4364027596")</f>
        <v/>
      </c>
      <c r="F72">
        <f>HYPERLINK("https://careers.mckesson.com/en/job/-/-/733/90425900912?source=rd_linkedin&amp;urlHash=wtno", "https://careers.mckesson.com/en/job/-/-/733/90425900912?source=rd_linkedin&amp;urlHash=wtno")</f>
        <v/>
      </c>
      <c r="G72" t="inlineStr">
        <is>
          <t>Columbus, OH</t>
        </is>
      </c>
      <c r="H72" t="inlineStr"/>
      <c r="I72"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Full Stack Software Engineer \- SCP
**Job Summary**
 We are seeking a talented Full\-Stack Software Engineer to join our dynamic team within the SCP (Shared Capabilities \&amp; Partnerships) Suite focused on transforming the Medical Prior Authorization process through innovative technology solutions. In this role, you will help build scalable, secure, and efficient applications that streamline healthcare workflows, reduce administrative burden, and improve patient outcomes. Your work will include data transformation and aggregation to enable seamless integration across systems, ensuring compliance with healthcare standards while delivering exceptional user experiences. While experience with AI technologies—such as Large Language Models, data\-driven automation, or intelligent workflows—
 **is preferred but not required** 
 , we value curiosity and a willingness to learn. If you are passionate about solving complex problems and making a meaningful impact in the healthcare industry, we’d love to hear from you.
 Job Responsibilities
* Design, develop, test, deploy, and maintain full\-stack applications using a variety of technologies and frameworks (e.g., Ruby on Rails, Elixir, React, Angular, Java, .NET).
* Collaborate closely with product managers, designers, and other engineers to understand requirements, define technical specifications, and deliver user\-centric solutions.
* Ability to develop and maintain responsive and intuitive user interfaces using modern front\-end technologies (e.g., React, Angular, Vue.js).
* Capacity to develop and manage robust back\-end services, APIs, and databases.
* Write clean, well\-documented, and efficient code, adhering to best practices and coding standards.
* Participate in code reviews, providing constructive feedback and ensuring code quality.
* Troubleshoot, debug, and resolve software defects and performance issues.
* Contribute to the entire software development lifecycle, from concept to deployment and beyond.
* Stay up\-to\-date with emerging technologies and industry trends to continuously improve our technical stack and development processes.
* Potentially mentor junior engineers and share knowledge within the team.
* Design, implement, and optimize data transformation and aggregation processes for seamless integration across systems.
* Work with on\-prem servers and Azure cloud environments to deploy and manage applications.
* Implement and manage Kafka for reliable messaging and event\-driven architectures.
 Minimum Requirements:
 Degree or equivalent and typically requires 4\+ years of relevant experience
**Job Qualifications**
* Bachelor's degree in Computer Science, Software Engineering, or a related field, or equivalent practical experience.
* 3\+ years of experience in full\-stack software development.
* Strong experience with a full\-stack or back\-end programming language (e.g., Ruby on Rails, Elixir, Java, Python, C\#) and relevant frameworks.
* Solid understanding of relational databases (e.g., PostgreSQL, MySQL, SQL Server) and/or NoSQL databases (e.g., MongoDB, DynamoDB).
* Experience with RESTful API design and development.
* Familiarity with version control systems (e.g., Git).
* Understanding of agile development methodologies.
* Excellent problem\-solving skills and attention to detail.
* Familiarity with at least one modern front\-end framework (e.g., React, Angular, Vue.js) and associated technologies (HTML5, CSS3, JavaScript/TypeScript).
* Strong communication and collaboration skills, with the ability to work effectively in a team environment.
* Experience with cloud platforms (e.g., AWS, Azure, Google Cloud) is a plus.
* Knowledge of testing frameworks and methodologies (e.g., Jest, Mocha, Cypress, Selenium) is a plus.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$100,100 \- $166,900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t>
        </is>
      </c>
    </row>
    <row r="73">
      <c r="A73" t="inlineStr">
        <is>
          <t>li-4363788338</t>
        </is>
      </c>
      <c r="B73" t="inlineStr">
        <is>
          <t>Software Engineer - Early Career</t>
        </is>
      </c>
      <c r="C73" t="inlineStr">
        <is>
          <t>Lensa</t>
        </is>
      </c>
      <c r="D73" t="inlineStr">
        <is>
          <t>linkedin</t>
        </is>
      </c>
      <c r="E73">
        <f>HYPERLINK("https://www.linkedin.com/jobs/view/4363788338", "https://www.linkedin.com/jobs/view/4363788338")</f>
        <v/>
      </c>
      <c r="F73" t="inlineStr"/>
      <c r="G73" t="inlineStr">
        <is>
          <t>Manassas, VA</t>
        </is>
      </c>
      <c r="H73" t="inlineStr"/>
      <c r="I7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Lockheed Martin Corporation. Clicking "Apply Now" or "Read more" on Lensa redirects you to the job board/employer site. Any information collected there is subject to their terms and privacy notice.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Rotary \&amp; Mission Systems is seeking a full\-time Early Career Software Engineer. In this role, you will perform software development tasks supporting Navy programs. The successful candidate will have experience and knowledge of coding in Java on a Linux Operating System.
 Must be a US Citizen.
 This position will require a government security clearance.
 This position is located at a facility that requires special access.
**Basic Qualifications**
 BS in Computer Science, Software Engineering, or Computer Engineering
 Demonstrated ability to work within a Linux operating system
 Academic or professional experience with object\-oriented programming using Java
 Must be a US Citizen; this position will require a government security clearance. This position is located on\-site at a facility that requires special access
**Desired Skills**
 Understanding of containerization technologies (Docker, Kubernetes), Ansible, GitLab, Virtualization (VMWare, etc.)
 Basic understanding of Agile Software Development
 Academic or Professional experience using MATLAB, Python
 Academic or professional experience in Database design and development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 and apply for roles that align with your qualifications.
**Experience Level:** 
 4 yr and up College
**Business Unit:** 
 RMS
**Relocation Available:** 
 Possible
**Career Area:** 
 Software Engineering
**Type:** 
 Full\-Time
**Shift:** 
 First
 If you have questions about this posting, please contact support@lensa.com</t>
        </is>
      </c>
    </row>
    <row r="74">
      <c r="A74" t="inlineStr">
        <is>
          <t>li-4363808014</t>
        </is>
      </c>
      <c r="B74" t="inlineStr">
        <is>
          <t>Java Software Engineer</t>
        </is>
      </c>
      <c r="C74" t="inlineStr">
        <is>
          <t>Lensa</t>
        </is>
      </c>
      <c r="D74" t="inlineStr">
        <is>
          <t>linkedin</t>
        </is>
      </c>
      <c r="E74">
        <f>HYPERLINK("https://www.linkedin.com/jobs/view/4363808014", "https://www.linkedin.com/jobs/view/4363808014")</f>
        <v/>
      </c>
      <c r="F74" t="inlineStr"/>
      <c r="G74" t="inlineStr">
        <is>
          <t>Austin, TX</t>
        </is>
      </c>
      <c r="H74" t="inlineStr"/>
      <c r="I7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Charles Schwab. Clicking "Apply Now" or "Read more" on Lensa redirects you to the job board/employer site. Any information collected there is subject to their terms and privacy notice.
**Your opportunity**
 At Schwab, you're empowered to make an impact on your career. Here, innovative thought meets creative problem solving, helping us "challenge the status quo" and transform the finance industry together. Schwab Technology Services enables the future of how clients manage their money by providing innovative and reliable technology products and services as a part of our ongoing commitment to democratize access to investing and financial planning. We believe in the importance of in\-office collaboration and fully intend for the selected candidate for this role to work on site in the specified location(s).
 Wealth and Advice Solutions Technology (WAS Tech) is an organization within Schwab Technology Services aligned to support the technology needs of Wealth and Advice Solutions (WAS) business which is a growth area for Schwab.
 This newly created role will support the future growth of the WAS business. As a Software Engineer, you will enable WAS Tech to achieve consistent, predictable, high\-quality delivery by implementing best practices, tools, metrics, automation frameworks, and provide oversight in the areas of software development and testing. You'll serve as a strong and versatile hands\-on technical engineer. You will deliver high\-quality solutions that meet business objectives in a flexible, collaborative, and rapidly changing environment.
 You will play a critical role in supporting key stakeholders across the WAS organization which is focused on high\-net worth and ultra\-high net worth retail investors. Supported business functions span Schwab's Wealth and Investment Solutions including Schwab Wealth Advisory. You will be working with a team of talented and highly motivated technologists that strive to make technology a strategic differentiator for Schwab's WAS business and their clients.
****What You Have****
* BA/BS degree in Computer Science or equivalent work experience.
* 10\+ years of hands\-on software development experience.
* Strong experience developing RESTful APIs with Java, Spring Boot, and Hibernate.
* Strong knowledge of object\-oriented principals and design patterns
* Application development using TDD Practices like unit testing and Behavior/Feature testing
* Experience writing unit, integration, and automation tests.
* Understanding of Agile software development principles, including experience participating in a Scrum\-based delivery team
* Experience with continuous integration and delivery tools \- GitHub/GitActions.
* Relational database experience within MSSQL, PostgreSQL, or Oracle.
* Understanding cloud\-native enterprise applications deployed in PCF, AWS, GCP or Azure.
* Proactively detect, troubleshoot, and remediate issues affecting production applications.
* Provide clear, concise, and timely communication to affected parties during the investigation and resolution of any individual or system\-wide outage.
* Exceptional interpersonal skills, including team interaction and communication skills.
**Preferred Qualifications:**
* Experience with configuring feature flag using Launch Darkly and with web Adobe Analytics tagging.
* Demonstrated knowledge in troubleshooting issues using Splunk, including logging, and creating Splunk alerts.
* Application performance evaluation and tuning skills
* Experience in building nonfunctional frameworks or libraries.
* Wealth Management and/or Financial Services industry experience.
* Ability to quickly learn \&amp; become proficient with new technologies.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
**What's In It For You:**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401(k) with company match and Employee stock purchase plan
 Paid time for vacation, volunteering, and 28\-day sabbatical after every 5 years of service for eligible positions
 Paid parental leave and family building benefits
 Tuition reimbursement
 Health, dental, and vision insurance
 Schwab is an affirmative action employer, focused on employing and advancing in employment, qualified women, racial and ethnic minorities, protected veterans, and individuals with disabilities in the workplace. If you have a disability and require reasonable accommodations in the application process, contact Human Resources at applicantaccessibility@schwab.com or call 800\-275\-1281\.
 If you have questions about this posting, please contact support@lensa.com</t>
        </is>
      </c>
    </row>
    <row r="75">
      <c r="A75" t="inlineStr">
        <is>
          <t>li-4363777253</t>
        </is>
      </c>
      <c r="B75" t="inlineStr">
        <is>
          <t>Software Engineer (AI/ML)</t>
        </is>
      </c>
      <c r="C75" t="inlineStr">
        <is>
          <t>CoreWeave</t>
        </is>
      </c>
      <c r="D75" t="inlineStr">
        <is>
          <t>linkedin</t>
        </is>
      </c>
      <c r="E75">
        <f>HYPERLINK("https://www.linkedin.com/jobs/view/4363777253", "https://www.linkedin.com/jobs/view/4363777253")</f>
        <v/>
      </c>
      <c r="F75">
        <f>HYPERLINK("https://www.wiraa.com/job-description/us05822BF92FE1D327F23E29C3D581C036?source=Linkedin&amp;urlHash=gcP9", "https://www.wiraa.com/job-description/us05822BF92FE1D327F23E29C3D581C036?source=Linkedin&amp;urlHash=gcP9")</f>
        <v/>
      </c>
      <c r="G75" t="inlineStr"/>
      <c r="H75" t="inlineStr"/>
      <c r="I75" t="inlineStr">
        <is>
          <t>**About The Company**
 CoreWeave is the essential cloud platform designed specifically for artificial intelligence (AI) pioneers. Established in 2017 and publicly traded on Nasdaq (CRWV) since March 2025, CoreWeave delivers a robust infrastructure of technology, tools, and expert teams that empower innovators to build and scale AI solutions with confidence. Trusted by leading AI laboratories, startups, and global enterprises, the company combines high\-performance infrastructure with deep technical expertise to accelerate breakthroughs and transform computational capabilities into tangible results. CoreWeave’s mission is to enable seamless, reliable, and efficient AI workloads at scale, fostering an environment where innovation thrives and complex AI challenges are met with cutting\-edge solutions.
**About The Role**
 As a Staff Software Engineer specializing in Cluster Orchestration, you will be a pivotal member of CoreWeave’s engineering team, focusing on advancing the company’s orchestration platform, including SUNK (Slurm on Kubernetes) and related Kubernetes\-native technologies. This role involves shaping the architecture and long\-term strategy of the orchestration layer that powers AI training and inference at an unprecedented scale.
 Your work will directly impact the efficiency, reliability, and scalability of CoreWeave’s GPU clusters, enabling customers to push the boundaries of AI innovation. You will lead the design and development of systems that eliminate infrastructure bottlenecks, introduce new orchestration capabilities, and ensure workloads run seamlessly across hyperscale environments. Additionally, you will mentor senior engineers, influence cross\-team architecture decisions, and establish best practices for reliability, observability, and operational excellence across the organization.
**Qualifications**
* 8\+ years of professional software engineering experience
* Proven track record designing and operating large\-scale distributed systems in production environments
* Deep expertise in Slurm, Kubernetes internals, and cloud\-native development
* Advanced proficiency in Go programming language and distributed systems design
* Experience setting technical direction and influencing cross\-team architecture
* Familiarity with orchestration and workflow technologies such as Ray, Kubeflow, Kueue, Istio, Knative, or Argo Workflows (preferred)
* Experience with distributed workloads, GPU\-based applications, or machine learning pipelines
* Knowledge of scheduling concepts including quota enforcement, pre\-emption, and scaling strategies
* Exposure to reliability practices such as SLOs, alarms, and post\-incident reviews
* Experience with AI infrastructure, including ML training, inference, or high\-performance computing (preferred)
* Strong mentorship skills and the ability to elevate organizational standards
**Responsibilities**
* Define and drive the architectural direction for CoreWeave’s orchestration platform and related managed services
* Own critical components of the orchestration system, ensuring scalability, reliability, and performance
* Lead cross\-organizational initiatives related to scheduling, quota enforcement, and system scaling at hyperscale
* Mentor and guide senior engineers, fostering best practices in reliability, observability, and operational excellence
* Collaborate with product teams to develop new features and capabilities that meet the evolving demands of AI workloads
* Identify and eliminate infrastructure bottlenecks to improve workload efficiency and throughput
* Contribute to the evolution of SUNK and other orchestration technologies to support next\-generation AI applications
* Participate in code reviews, technical discussions, and documentation to uphold high\-quality engineering standards
* Support incident response, troubleshooting, and continuous improvement initiatives
**Benefits**
* Competitive base salary ranging from $185,000 to $275,000, determined by experience and skills
* Discretionary bonus and equity awards
* Comprehensive health benefits including medical, dental, and vision insurance—100% paid by CoreWeave
* Company\-paid life insurance and voluntary supplemental life insurance
* Short and long\-term disability insurance
* Flexible Spending Account (FSA) and Health Savings Account (HSA)
* Tuition reimbursement and professional development opportunities
* Participation in the Employee Stock Purchase Program (ESPP)
* Mental wellness benefits through Spring Health
* Family\-forming support provided by Carrot
* Paid parental leave and flexible, full\-service childcare support with Kinside
* 401(k) plan with a generous employer match
* Flexible paid time off (PTO) policy
* Daily catered lunch at office locations and data centers
* Casual work environment and a culture focused on innovation and disruption
 Equal Opportunity
 CoreWeave is an equal opportunity employer committed to fostering an inclusive and diverse workplace. We welcome applications from all qualified individuals regardless of race, color, religion, sex, disability, age, sexual orientation, gender identity, national origin, veteran status, or genetic information. We ensure reasonable accommodations are provided during the hiring process in accordance with the Americans with Disabilities Act (ADA).</t>
        </is>
      </c>
    </row>
    <row r="76">
      <c r="A76" t="inlineStr">
        <is>
          <t>li-4363758080</t>
        </is>
      </c>
      <c r="B76" t="inlineStr">
        <is>
          <t>Software Engineer, Perception (Robotics)</t>
        </is>
      </c>
      <c r="C76" t="inlineStr">
        <is>
          <t>Lensa</t>
        </is>
      </c>
      <c r="D76" t="inlineStr">
        <is>
          <t>linkedin</t>
        </is>
      </c>
      <c r="E76">
        <f>HYPERLINK("https://www.linkedin.com/jobs/view/4363758080", "https://www.linkedin.com/jobs/view/4363758080")</f>
        <v/>
      </c>
      <c r="F76" t="inlineStr"/>
      <c r="G76" t="inlineStr">
        <is>
          <t>Fremont, CA</t>
        </is>
      </c>
      <c r="H76" t="inlineStr"/>
      <c r="I7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Pony.ai. Clicking "Apply Now" or "Read more" on Lensa redirects you to the job board/employer site. Any information collected there is subject to their terms and privacy notice.
 Founded in 2016 in Silicon Valley, Pony.ai has quickly become a global leader in autonomous mobility and is a pioneer in extending autonomous mobility technologies and services at a rapidly expanding footprint of sites around the world. Operating Robotaxi, Robotruck and Personally Owned Vehicles (POV) business units, Pony.ai is an industry leader in the commercialization of autonomous driving and is committed to developing the safest autonomous driving capabilities on a global scale. Pony.ai’s leading position has been recognized, with CNBC ranking Pony.ai \#10 on its CNBC Disruptor list of the 50 most innovative and disruptive tech companies of 2022\. In June 2023, Pony.ai was recognized on the XPRIZE and Bessemer Venture Partners inaugural “XB100” 2023 list of the world’s top 100 private deep tech companies, ranking \#12 globally. As of August 2023, Pony.ai has accumulated nearly 21 million miles of autonomous driving globally. Pony.ai went public at NASDAQ in November 2024\.
**About The Role**
 As part of the Perception team, you will help design and build the sensor data pipeline that powers our self\-driving vehicles. Our team is responsible for turning raw sensor signals into reliable, real\-time information that enables advanced perception models. You’ll work across multiple sensing modalities — cameras, lidars, radars, IMUs, microphones, and more — and help ensure that our autonomous driving system can perceive the world with accuracy and robustness. This role is a great fit for engineers excited about robotics, sensor systems, and building the bridge between hardware and AI models.
**Responsibilities**
* Work on algorithms, tools, and models that extract critical information from multi\-modal sensors in real time.
* Develop and validate systems that ensure sensor data is accurate, synchronized, and reliable, including calibration, error detection, and health monitoring.
* Integrate sensor data into the perception stack and build efficient data flows that power real\-time algorithms.
* Preprocess multi\-sensor inputs to improve perception performance, such as time synchronization and ground detection.
* Contribute to the overall perception pipeline, from raw sensor integration to AI\-ready features.
**Requirements**
* Bachelor’s, Master’s, or PhD degree in Computer Science, Robotics, Computer Vision, or related fields.
* Solid programming skills in C\+\+ and/or Python.
* Strong problem\-solving and debugging skills, with exposure to real\-time or systems\-level software a plus.
* Familiarity with one or more areas: robotics, computer vision, signal processing, or deep learning.
* Excellent communication skills and ability to work in a collaborative, fast\-paced environment.
**Compensation And Benefits**
 Base Salary Range: $120,000 \- $200,000 Annually
 Compensation may vary outside of this range depending on many factors, including the candidate’s qualifications, skills, competencies, experience, and location. Base pay is one part of the Total Compensation and this role may be eligible for bonuses/incentives and restricted stock units.
 Also, we provide the following benefits to the eligible employees:
* Health Care Plan (Medical, Dental \&amp; Vision)
* Retirement Plan (Traditional and Roth 401k)
* Life Insurance (Basic, Voluntary \&amp; AD\&amp;D)
* Paid Time Off (Vacation \&amp; Public Holidays)
* Family Leave (Maternity, Paternity)
* Short Term \&amp; Long Term Disability
* Free Food \&amp; Snacks
 Please click here (https://pony.ai/privacyNotice?lang\=en) for our privacy disclosure.
 If you have questions about this posting, please contact support@lensa.com</t>
        </is>
      </c>
    </row>
    <row r="77">
      <c r="A77" t="inlineStr">
        <is>
          <t>li-4353677863</t>
        </is>
      </c>
      <c r="B77" t="inlineStr">
        <is>
          <t>Software Engineer, Android</t>
        </is>
      </c>
      <c r="C77" t="inlineStr">
        <is>
          <t>Meta</t>
        </is>
      </c>
      <c r="D77" t="inlineStr">
        <is>
          <t>linkedin</t>
        </is>
      </c>
      <c r="E77">
        <f>HYPERLINK("https://www.linkedin.com/jobs/view/4353677863", "https://www.linkedin.com/jobs/view/4353677863")</f>
        <v/>
      </c>
      <c r="F77">
        <f>HYPERLINK("https://jsv3.recruitics.com/redirect?rx_cid=3239&amp;rx_jobId=a1KDp00000E2ZMGMA3_1005&amp;rx_url=https%3A%2F%2Fwww.metacareers.com%2Fjobs%2F717282874019165%2F%3Frx_campaign%3DLinkedin1%26rx_ch%3Dconnector%26rx_group%3D126320%26rx_id%3D693c7072-f3c9-11f0-bf27-996b94a5d921%26rx_job%3Da1KDp00000E2ZMGMA3_1005%26rx_medium%3Dpost%26rx_r%3Dnone%26rx_source%3DLinkedin%26rx_ts%3D20260118T001202Z%26rx_vp%3Dslots%26utm_campaign%3DJob%252Bboard%26utm_medium%3Djobs%26utm_source%3DLIpaid&amp;urlHash=KrD5", "https://jsv3.recruitics.com/redirect?rx_cid=3239&amp;rx_jobId=a1KDp00000E2ZMGMA3_1005&amp;rx_url=https%3A%2F%2Fwww.metacareers.com%2Fjobs%2F717282874019165%2F%3Frx_campaign%3DLinkedin1%26rx_ch%3Dconnector%26rx_group%3D126320%26rx_id%3D693c7072-f3c9-11f0-bf27-996b94a5d921%26rx_job%3Da1KDp00000E2ZMGMA3_1005%26rx_medium%3Dpost%26rx_r%3Dnone%26rx_source%3DLinkedin%26rx_ts%3D20260118T001202Z%26rx_vp%3Dslots%26utm_campaign%3DJob%252Bboard%26utm_medium%3Djobs%26utm_source%3DLIpaid&amp;urlHash=KrD5")</f>
        <v/>
      </c>
      <c r="G77" t="inlineStr">
        <is>
          <t>San Francisco, CA</t>
        </is>
      </c>
      <c r="H77" t="inlineStr"/>
      <c r="I77"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Android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1\+ years of experience building complex applications targeting Android in production using its native languages and frameworks
* Experience with multithreading programming and mobile memory management
* Experience building maintainable and testable code bases, including API design and unit testing techniques
* 2\+ years of experience building Android applications in Java or Kotlin using Android SDK
* Shipped at least one large\-scale product to production, supporting millions of active users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$56\.25/hour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8">
      <c r="A78" t="inlineStr">
        <is>
          <t>li-4363768023</t>
        </is>
      </c>
      <c r="B78" t="inlineStr">
        <is>
          <t>Java Full Stack Engineer</t>
        </is>
      </c>
      <c r="C78" t="inlineStr">
        <is>
          <t>Lensa</t>
        </is>
      </c>
      <c r="D78" t="inlineStr">
        <is>
          <t>linkedin</t>
        </is>
      </c>
      <c r="E78">
        <f>HYPERLINK("https://www.linkedin.com/jobs/view/4363768023", "https://www.linkedin.com/jobs/view/4363768023")</f>
        <v/>
      </c>
      <c r="F78">
        <f>HYPERLINK("https://lensa.com/cgw/aafbbd21a8f1459c8362e5d05a079134tjo1?jpsi=directemployers_no_redirect&amp;publisher_preference=easier_apply&amp;utm_campaign=Computer%20Occupations&amp;utm_medium=slot&amp;utm_source=linkedin&amp;utm_term=jse&amp;urlHash=Wm5p", "https://lensa.com/cgw/aafbbd21a8f1459c8362e5d05a079134tjo1?jpsi=directemployers_no_redirect&amp;publisher_preference=easier_apply&amp;utm_campaign=Computer%20Occupations&amp;utm_medium=slot&amp;utm_source=linkedin&amp;utm_term=jse&amp;urlHash=Wm5p")</f>
        <v/>
      </c>
      <c r="G78" t="inlineStr">
        <is>
          <t>Boston, MA</t>
        </is>
      </c>
      <c r="H78" t="inlineStr"/>
      <c r="I7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**Java Full Stack Engineer**
**Category:** 
 Software Development/ Engineering
**Main location:** 
 United States, New Hampshire, Merrimack
**Alternate Location(s):** 
 United States, Massachusetts, Boston
**Position ID:** 
 J0126\-0922
**Employment Type:** 
 Full Time
 U.S.\- CGI Partner story: Full stack your career (https://youtu.be/GMYbPun1Lpg)
 By playing this video you consent to Google/YouTube processing your data and using cookies \-Learn more (xweb.asp?clid\=21001\&amp;page\=cookiespolicy\#integrationofyoutube) .
**Position Description**
 We're seeking a highly skilled and motivated Full Stack Engineer to join our dynamic technology team. You'll play a critical role in designing, developing, and deploying enterprise\-grade web applications and backend services that power our digital transformation initiatives. This is a hands\-on engineering role with opportunities to shape the future of our platform architecture.
 This position must be performed on site in Merrimack, NH. or Boston MA.
**Your Future Duties And Responsibilities**
* Design and develop multi\-layered systems using Java, Spring Boot, Angular and PL/SQL
* Build RESTful APIs and microservices with a focus on scalability, performance, and maintainability
* Optimize database stored procedures, and transactional SQL (Oracle/DB2\)
* Drive CI/CD automation using Jenkins, Git, and uDeploy
* Collaborate with DevOps teams to implement monitoring, resiliency, and release pipelines
* Lead code reviews, unit testing, and integration testing to ensure delivery quality
* Resolve cross\-technology roadblocks and contribute to process improvements that enhance team velocity
**Required Qualifications To Be Successful In This Role**
* 6\+ years of backend programming experience with Java, Spring, and Spring Boot
* Proven experience designing and developing RESTful APIs and multi\-layered enterprise applications.
* Strong Angular (v17 and above) experience hands on experience.
* Strong SQL/PL\-SQL experience and experience writing complex stored procedures, moving data, performance tuning queries in relation databases (Oracle preferred).
* Good understanding of ORM frameworks (Hibernate, JPA).
* Strong command of cloud platforms (AWS \- EKS, S3, Lambda), containerization (Docker), and orchestration (Kubernetes).
* Proficiency with CI/CD tools and practices (GitHub, Jenkins, uDeploy, Git strategies).
* Experience using Copilot or similar Gen AI Development tool to generate code, automated tests, and accelerate other development tasks.
* Experience resolving complex technical challenges across distributed systems and hybrid cloud environments.
* Excellent communication and problem\-solving
**Good To Have**
* Experience in financial services.
 EDUCATION: Bachelor's degree in computer science or related field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$89,600\.00 \- $156,700\.00\.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**Skills**
* Angular
* Java
* Kubernetes
* RESTful (Rest\-APIs)
* GIT
* Hibernate
* Jenkins
* Oracle
* Spring Boot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79">
      <c r="A79" t="inlineStr">
        <is>
          <t>li-4360270316</t>
        </is>
      </c>
      <c r="B79" t="inlineStr">
        <is>
          <t>Backend Software Engineer</t>
        </is>
      </c>
      <c r="C79" t="inlineStr">
        <is>
          <t>Onyx Odds</t>
        </is>
      </c>
      <c r="D79" t="inlineStr">
        <is>
          <t>linkedin</t>
        </is>
      </c>
      <c r="E79">
        <f>HYPERLINK("https://www.linkedin.com/jobs/view/4360270316", "https://www.linkedin.com/jobs/view/4360270316")</f>
        <v/>
      </c>
      <c r="F79">
        <f>HYPERLINK("https://jobs.ashbyhq.com/Onyx%20Games%20LLC/aedc88f3-8a00-4c87-bf85-9450f802f591&amp;urlHash=Xroo", "https://jobs.ashbyhq.com/Onyx%20Games%20LLC/aedc88f3-8a00-4c87-bf85-9450f802f591&amp;urlHash=Xroo")</f>
        <v/>
      </c>
      <c r="G79" t="inlineStr">
        <is>
          <t>New York, NY</t>
        </is>
      </c>
      <c r="H79" t="inlineStr"/>
      <c r="I79" t="inlineStr">
        <is>
          <t>**Compensation** 
 : $170k – $250k \+ meaningful equity
**Company Overview** 
 Onyx Odds is a social sports prediction platform poised to shake up the world of sports. Onyx has seen immense growth in user activity and positive feedback resulting in an expansion of the team.
 Onyx is a venture backed startup, having raised millions in VC funding. The founder is a Harvard grad with a background at Jane Street.
 Onyx Odds is based in New York City with its offices in downtown Manhattan.
**Job Description** 
 We’re looking to add a key engineering hire to our very lean team. We are looking for someone who’s excited to work directly with the founding team to build, own, and scale the core product. As a Software Engineer, you’ll have end\-to\-end responsibility across the stack, significant product input, and the opportunity to shape both the technical architecture and company from day one.
* Own projects from inception to production, including architecture decisions, implementation, and observability
* Collaborate directly with cross business functions and leadership on product direction, roadmap, and prioritization
**Background** 
* Computer Science degree from a top university
* Strong backend skill set: Node, Typescript
* Familiarity with frontend frameworks for web and mobile (React and React Native)
* **3–6\+ years of experience** 
 as a software engineer
* A background developing low\-latency systems or performance sensitive applications is a plus
* Thrive in startup environments — you’re entrepreneurial, resourceful, and get energy from building things that users love
* A background or interest in sports, trading, predictions, or crypto is a plus
* **Visa Sponsorship:** 
 We are unable to offer employment visa sponsorship for this position
**What You'll Get** 
* Very competitive compensation bands with regular growth in payscales
* Robust health, dental, and vision plans, covering 100% of health, dental, and vision premiums
* Meaningful equity
* HSA account with significant company contributions
* Free in office lunch daily
**Location** 
 We are based in FiDi in New York City. The team member can work in\-person or hybrid.
* *Please note: We do not offer employment visa sponsorship for this position.*</t>
        </is>
      </c>
    </row>
    <row r="80">
      <c r="A80" t="inlineStr">
        <is>
          <t>li-4364037165</t>
        </is>
      </c>
      <c r="B80" t="inlineStr">
        <is>
          <t>Software Engineer (Java, C++)</t>
        </is>
      </c>
      <c r="C80" t="inlineStr">
        <is>
          <t>Stripe</t>
        </is>
      </c>
      <c r="D80" t="inlineStr">
        <is>
          <t>linkedin</t>
        </is>
      </c>
      <c r="E80">
        <f>HYPERLINK("https://www.linkedin.com/jobs/view/4364037165", "https://www.linkedin.com/jobs/view/4364037165")</f>
        <v/>
      </c>
      <c r="F80">
        <f>HYPERLINK("https://www.wiraa.com/job-description/us06D0BC70D8CD0DA68C748EA00B41C602?source=Linkedin&amp;urlHash=Rff7", "https://www.wiraa.com/job-description/us06D0BC70D8CD0DA68C748EA00B41C602?source=Linkedin&amp;urlHash=Rff7")</f>
        <v/>
      </c>
      <c r="G80" t="inlineStr"/>
      <c r="H80" t="inlineStr"/>
      <c r="I80" t="inlineStr">
        <is>
          <t>**About The Company**
 Stripe is a leading financial infrastructure platform that empowers businesses of all sizes to accept payments, grow revenue, and innovate within the digital economy. Serving millions of companies worldwide, from large enterprises to ambitious startups, Stripe's mission is to increase the GDP of the internet by providing reliable, scalable, and developer\-friendly financial tools. The company's innovative solutions facilitate seamless payment processing, fraud prevention, and business growth, making it a trusted partner for digital commerce.
**About The Role**
 The Staff Software Engineer, Developer Productivity at Stripe plays a pivotal role in enhancing the core engineering infrastructure that underpins Stripe’s rapid development velocity. This position involves designing, building, and maintaining cutting\-edge tools and systems that support Stripe’s engineering teams, particularly focusing on the codebase management, storage, and retrieval systems.
 The role requires a deep understanding of distributed systems, systems programming, and scalable infrastructure to optimize and innovate on Stripe’s monorepo environment. As a senior technical leader, you will collaborate with cross\-functional teams, mentor engineers, and contribute to the long\-term strategic vision of developer tools and infrastructure. This is a unique opportunity to influence the foundational systems that enable Stripe’s engineers to deliver high\-quality software efficiently and reliably.
**Qualifications**
* BS or MS in Computer Science, Engineering, or a related field
* 10\+ years of professional experience in software development, with a focus on systems programming, operating systems, or storage infrastructure
* Proven experience building infrastructure as a product with a focus on user needs
* Strong collaboration and communication skills, capable of engaging with both technical and non\-technical stakeholders
* Curiosity and enthusiasm for learning new technologies and business processes
* Passion for delivering user\-first solutions through creative problem\-solving and teamwork
**Responsibilities**
* Design, develop, and maintain innovative solutions that prioritize reliability, scalability, and usability for Stripe’s internal infrastructure
* Define architectural strategies, policies, and abstractions to create sustainable, long\-term solutions for internal teams
* Diagnose and resolve performance challenges within core infrastructure, utilizing low\-level profiling and systems programming techniques
* Apply distributed systems principles to architect the next generation of Stripe’s code storage platform, ensuring high availability and low latency in a large\-scale monorepo environment
* Collaborate with cross\-functional teams, product managers, and stakeholders to support key initiatives and organizational goals
* Lead, mentor, and manage a team of talented engineers, providing technical guidance and fostering professional growth
* Contribute to open\-source projects and performance patches related to core systems and infrastructure
**Benefits**
* Competitive annual salary range of $224,000 \- $336,000 (US)
* Equity options and potential bonuses or sales commissions
* Comprehensive health benefits including medical, dental, and vision coverage
* 401(k) retirement plan
* Wellness stipends and support for work\-life balance
* Flexible hybrid work arrangements, allowing for remote or in\-office work based on location and preference
 Equal Opportunity
 Stripe is committed to creating an inclusive environment and is proud to be an equal opportunity employer. We do not discriminate based on race, ethnicity, gender, sexual orientation, age, disability, religion, or any other protected characteristic. We believe diverse perspectives and experiences foster innovation and strengthen our community. All qualified applicants are encouraged to apply.</t>
        </is>
      </c>
    </row>
    <row r="81">
      <c r="A81" t="inlineStr">
        <is>
          <t>li-4363868314</t>
        </is>
      </c>
      <c r="B81" t="inlineStr">
        <is>
          <t>Software Engineer, Security</t>
        </is>
      </c>
      <c r="C81" t="inlineStr">
        <is>
          <t>Lensa</t>
        </is>
      </c>
      <c r="D81" t="inlineStr">
        <is>
          <t>linkedin</t>
        </is>
      </c>
      <c r="E81">
        <f>HYPERLINK("https://www.linkedin.com/jobs/view/4363868314", "https://www.linkedin.com/jobs/view/4363868314")</f>
        <v/>
      </c>
      <c r="F81">
        <f>HYPERLINK("https://lensa.com/cgw/c71b0419e8314836a5cd35fc5ef75caftjo1?jpsi=directemployers&amp;publisher_preference=easier_apply&amp;utm_campaign=Computer%20Occupations&amp;utm_medium=slot&amp;utm_source=linkedin&amp;utm_term=jse&amp;urlHash=Lo9q", "https://lensa.com/cgw/c71b0419e8314836a5cd35fc5ef75caftjo1?jpsi=directemployers&amp;publisher_preference=easier_apply&amp;utm_campaign=Computer%20Occupations&amp;utm_medium=slot&amp;utm_source=linkedin&amp;utm_term=jse&amp;urlHash=Lo9q")</f>
        <v/>
      </c>
      <c r="G81" t="inlineStr">
        <is>
          <t>Boston, MA</t>
        </is>
      </c>
      <c r="H81" t="inlineStr"/>
      <c r="I8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Coinbase. Clicking "Apply Now" or "Read more" on Lensa redirects you to the job board/employer site. Any information collected there is subject to their terms and privacy notice.
 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The Application Security organization at Coinbase is seeking to hire an experienced Software Engineer to design, implement, and deploy baseline security solutions to improve the security of all Coinbase apps and services. In this role, you will collaborate closely with engineering teams, product managers, and security engineers to embed security best practices throughout the software development lifecycle to efficiently remediate classes of security vulnerabilities at scale.
**What You’ll Be Doing**
* Design, implement and deploy baseline security controls to secure all of Coinbase apps and services.
* Design, implement and deploy security guardrails to eliminate classes of security vulnerabilities at scale.
* Build automation to scale the security review process.
* Support strategic security initiatives focused on improving overall security maturity and efficiency through automation.
**What We Look For In You**
* A Bachelor’s degree in Computer Science, Computer Engineering, or a related field.
* 3\+ years of experience in software development
* Experience with designing and implementing automated tools in Python or Go.
* Proficiency in designing and implementing solutions across various technology stacks and cloud environments (e.g., AWS, GCP, Azure).
* Excellent communication and interpersonal skills, with the ability to effectively articulate complex concepts to both technical and non\-technical audiences.
* Proven ability to work independently and collaboratively in a fast\-paced, dynamic environment.
**Nice To Haves**
* Master’s degree in Computer Science or a related field.
* AI security experience.
* Experience with building security\-related systems.
* Experience with threat modeling methodologies and security design reviews, used to inform system development.
* Experience with Web3 security concepts, blockchain technologies, and smart contract security.
 Position ID: P70661
*Pay Transparency Notice:* 
 Depending on your work location, the target annual salary for this position can range as detailed below. Full time offers from Coinbase also include bonus eligibility \+ equity eligibility\*\*\+ benefits (including medical, dental, vision and 401(k)).
**Pay Range**
 $152,405—$179,300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
 If you have questions about this posting, please contact support@lensa.com</t>
        </is>
      </c>
    </row>
    <row r="82">
      <c r="A82" t="inlineStr">
        <is>
          <t>li-4363778287</t>
        </is>
      </c>
      <c r="B82" t="inlineStr">
        <is>
          <t>Associate Embedded Software Engineer</t>
        </is>
      </c>
      <c r="C82" t="inlineStr">
        <is>
          <t>Lensa</t>
        </is>
      </c>
      <c r="D82" t="inlineStr">
        <is>
          <t>linkedin</t>
        </is>
      </c>
      <c r="E82">
        <f>HYPERLINK("https://www.linkedin.com/jobs/view/4363778287", "https://www.linkedin.com/jobs/view/4363778287")</f>
        <v/>
      </c>
      <c r="F82" t="inlineStr"/>
      <c r="G82" t="inlineStr">
        <is>
          <t>Bedford, MA</t>
        </is>
      </c>
      <c r="H82" t="inlineStr"/>
      <c r="I8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The MITRE Corporation. Clicking "Apply Now" or "Read more" on Lensa redirects you to the job board/employer site. Any information collected there is subject to their terms and privacy notice.
 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**Department Summary**
 Would you like to join a team of world class researchers and engineers commencing Summer of 2026 collectively focused on developing systems critical to national security?. Are you seeking an opportunity to work in an environment where big ideas, sound technical arguments and sponsor impacts are valued?. Then MITRE might be the place for you!
 At MITRE, we believe that good ideas lead to great solutions through testing, exploration, development, and demonstration. In MITRE's Electronic System Development department , we apply this principle as we dig deep into hard problems to find innovative, practical ways to solve tough challenges for a variety of government sponsors across a range of technical applications.
 We are currently seeking entry\-level candidates to grow our team, specifically those with experience implementing embedded software on SoC or other embedded platforms. As part of our team, you will have the opportunity to design and implement technical solutions for a wide range of challenges currently faced by our government sponsors. We specialize in rapid prototyping of advanced sensor, communication and navigation systems on real\-time embedded platforms. As an applied research organization, we focus on capability development and demonstration while remaining decoupled from protracted product lifecycles and system support roles. Our world class labs provide a canvas for our team to conduct hands\-on research and develop tangible solutions to support our military leaders and reinforce our nation’s defense. If this sounds interesting to you, then we would love to speak with you. Apply for this position!
**Roles \&amp; Responsibilities**
 This position provides an exciting opportunity to design and prototype state of the art embedded systems using commercial and custom platforms. Key opportunities include:
* Working on cross\-disciplinary teams of similarly bright and motivated engineers on projects of national importance
* Real\-time communication and sensor systems leveraging state of the art processors, FPGA \&amp; SoC technology and cutting\-edge SDR platforms
* Advanced architectures for high throughput signal processing
* Low size, weight, power and cost (SWaP\-C), highly integrated custom platforms
* A supportive culture of learning, professional growth, and development
* Opportunities to build on skills and work on a diverse range of projects
* Outstanding continuing education programs
**Basic Qualifications**
* Typically requires less than 1 year of related experience with a related Bachelor’s degree, or equivalent combination of related education and work experience.
* A Bachelor’s degree in Computer Engineering, Computer Science, Electrical Engineering, or an equivalent combination of related education and work experience.
* Strong oral and written communication skills.
* Proficiency in C and/or C\+\+ programming languages.
* Familiarity with good software development practices, including: approaches to design, implementation, testing, documentation, and debugging.
* Understanding of embedded systems and hardware/software interaction.
* Basic knowledge of low\-level processor architectures, operating system concepts, and hardware interfacing.
* Applicants selected for this position will be subject to a US government security investigation and must be able to obtain and maintain a Department of Defense SECRET clearance, which requires US citizenship
* In addition, candidates must meet requirements to support project work onsite in our labs and classified facilities on the Bedford Campus
* This position requires a minimum of 4 days a week on\-site at our Bedford, MA facility.
**Preferred Qualifications**
* M.S. in Computer Engineering, Computer Science, Electrical Engineering or similar field
* Active Secret Clearance
* Familiarity with object\-oriented programming principles and working knowledge of one or more higher\-level languages such as Python, MATLAB, or Perl.
* Exposure to modern reconfigurable SoC platforms (AMD Xilinx MPSoC, RFSoC, Versal, or Intel Agilex SoC)
* Familiarity with common software development tools (e.g., Git, Make, CMake).
* Understanding of development best practices including code reviews, regression testing, and user documentation.
* Familiarity with real\-time operating systems, POSIX, embedded Linux (user\- and kernel\-space development).
* Experience with low\-level hardware/software system debugging.
* Solid foundation of basic digital signal processing (DSP) concepts and experience implementing real\-time algorithms for communication, radar, or navigation systems.
* Familiarity with networking protocols (wired and wireless)
* Basic knowledge of one or more hardware description languages (HDLs) such as VHDL, Verilog, or System Verilog
 This requisition requires the candidate to have a minimum of the following clearance(s):
 Not Applicable
 This Requisition Requires The Hired Candidate To Have Or Obtain, Within One Year From The Date Of Hire, The Following Clearance(s)
 Secret
**Salary Compensation Range And Midpoint**
 $89,200 \- $111,500 \- $133,800 Annual
 Work Location Type:
 Onsite
 It is unlawful in Massachusetts to require or administer a lie detector test as a condition of employment or continued employment. An employer who violates this law shall be subject to criminal penalties and civil liability.Commitment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recruitinghelp@mitre.org for general support and collegerecruiting@mitre.org for intern positions. This service is for individuals requiring reasonable accommodation requests. Please note that vendor solicitations will not receive a reply.
 Benefits information may be found here (https://careers.mitre.org/us/en/benefits) .
 Copyright © 1997\-2026, The MITRE Corporation. All rights reserved. MITRE is a registered trademark of The MITRE Corporation. Material on this site may be copied and distributed with permission only.
 If you have questions about this posting, please contact support@lensa.com</t>
        </is>
      </c>
    </row>
    <row r="83">
      <c r="A83" t="inlineStr">
        <is>
          <t>li-4363897974</t>
        </is>
      </c>
      <c r="B83" t="inlineStr">
        <is>
          <t>343 - Software Engineer</t>
        </is>
      </c>
      <c r="C83" t="inlineStr">
        <is>
          <t>Lensa</t>
        </is>
      </c>
      <c r="D83" t="inlineStr">
        <is>
          <t>linkedin</t>
        </is>
      </c>
      <c r="E83">
        <f>HYPERLINK("https://www.linkedin.com/jobs/view/4363897974", "https://www.linkedin.com/jobs/view/4363897974")</f>
        <v/>
      </c>
      <c r="F83" t="inlineStr"/>
      <c r="G83" t="inlineStr">
        <is>
          <t>Laurel, MD</t>
        </is>
      </c>
      <c r="H83" t="inlineStr"/>
      <c r="I8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ARSIEM Corporation. Clicking "Apply Now" or "Read more" on Lensa redirects you to the job board/employer site. Any information collected there is subject to their terms and privacy notice.
**About ARSIEM Corporation**
 At ARSIEM Corporation we are committed to fostering a proven and trusted partnership with our government clients. We provide support to multiple agencies across the United States Government. ARSIEM has an experienced workforce of qualified professionals committed to providing the best possible support.
 As demand increases, ARSIEM continues to provide reliable and cutting\-edge technical solutions at the best value to our clients. That means a career packed with opportunities to grow and the ability to have an impact on every client you work with.
 ARSIEM is looking for a Front\-End Developer that can sustain and migrate existing mission tracking application into a robust tool suite to satisfy the customer's growing needs. This position will support one of our government clients in Laurel, MD.
**Responsibilities**
* Develop solutions in support of Defensive Cybersecurity Operations.
* Develop prototypes, answering new questions, as well as providing better answers to existing questions.
* Work directly with the customer in a highly collaborative, integrated fast\-paced environment using leading technologies.
* Act as the development teams' primary point of contact for individual Cybersecurity missions as requested.
* This position's primary support is to Blue Team missions with opportunities to support Red, Hunt and JCMA missions as required.
* Provide mentorship to other developers and be open to learning techniques and tools from other developers.
**Minimum Qualifications**
* A Doctoral degree and no experience
* Or a Master's degree plus 3 years of relevant experience
* Or a Bachelor's degree plus 5 years of relevant experience
* Or an Associate's degree plus 7 years of relevant experience
* Or a High School diploma/GED plus 9 years of relevant experience may be considered for individuals with in\-depth experience that is clearly related to the position.
**Preferred Qualifications**
* JavaScript
* React
* Experience migrating existing applications to newer technologies
* Experience working directly with customers to implement solutions for their processes
**Additional Qualifications**
* CyberSecurity experience
* AngularJS
* Experience with Material UI framework is a plus
* Python
* Containerization
* Docker
* Kubernetes
* Rancher
* GitLab
* GitRunners
* Ci/CD processes
* Splunk Dashboard development
 The ARSIEM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laws.
**Benefits**
 For an overview of our benefits, please visit our benefits tab.
 https://www.arsiem.com/careers/
**Original Posting Date**
 2025\-12\-18
 Clearance Requirement: This position requires an active TS/SCI with a polygraph. You must be a US Citizen for consideration.
 Candidate Referral: Do you know someone who would be GREAT at this role? If you do, ARSIEM has a way for you to earn a bonus through our referral program for persons presenting NEW (not in our resume database) candidates who are successfully placed on one of our projects. The bonus for this position is $10,000, and the referrer is eligible to receive the sum for any applicant we can place within 12 months of referral. The bonus is paid after the referred employee reaches six months of employment.
 ARSIEM is proud to be an Equal Opportunity and Affirmative Action Employer. All qualified applicants will receive consideration for employment without regard to race, color, religion, sex, sexual orientation, gender identity, national origin, disability or veteran status, age, or any other federally protected class.
 If you have questions about this posting, please contact support@lensa.com</t>
        </is>
      </c>
    </row>
    <row r="84">
      <c r="A84" t="inlineStr">
        <is>
          <t>li-4363858234</t>
        </is>
      </c>
      <c r="B84" t="inlineStr">
        <is>
          <t>Product Software Engineer, .NET AI Prompt Engineering</t>
        </is>
      </c>
      <c r="C84" t="inlineStr">
        <is>
          <t>Lensa</t>
        </is>
      </c>
      <c r="D84" t="inlineStr">
        <is>
          <t>linkedin</t>
        </is>
      </c>
      <c r="E84">
        <f>HYPERLINK("https://www.linkedin.com/jobs/view/4363858234", "https://www.linkedin.com/jobs/view/4363858234")</f>
        <v/>
      </c>
      <c r="F84" t="inlineStr"/>
      <c r="G84" t="inlineStr">
        <is>
          <t>Dallas, TX</t>
        </is>
      </c>
      <c r="H84" t="inlineStr"/>
      <c r="I8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Wolters Kluwer. Clicking "Apply Now" or "Read more" on Lensa redirects you to the job board/employer site. Any information collected there is subject to their terms and privacy notice.
 Wolters Kluwer Tax and Accounting division, provides tax and accounting professionals and businesses of all sizes solutions that drive productivity, navigate change, and deliver better outcomes.
 As a
 **Product Software Engineer** 
 , you will work in a product development team that develops highly configurable software in a collaborative environment employing agile development methodologies. You will participate in the entire life cycle of product development and contribute to building quality product offerings. You will also help design and implement strategies and tools for efficient and comprehensive automated testing.
 In this role, you will report to the Manager, Product Software Engineering, and work a hybrid schedule (2 days in office, 3 days from home).
**Essential Duties And Responsibilities**
* Develop and deploy applications to Azure using Azure DevOps and Azure PaaS.
* Contribute to architecture documentation and participate in gate reviews including infrastructure, security, and performance.
* Collaborate with product owners, designers, and developers to understand requirements and deliver user\-friendly solutions.
* Write clean, maintainable, and efficient code following best practices.
* Perform unit testing and integration testing.
* Troubleshoot, debug, and resolve production issues in a timely manner.
* Ensure deliverables are self\-certified before transitioning to QA and customers.
* Perform other duties as assigned by the Manager.
**Qualifications And Skills**
* Bachelor's degree in IT or related field with 3\+ years of software development experience.
* Proficient in C\#/.Net Core/.Net Framework, PowerShell, Visual Studio, and RESTful APIs.
* Strong skills in code optimization, multi\-threading, scalability, and application security.
* Experience with SQL Server, Git, CI/CD pipelines, and Agile methodologies.
* Familiarity with AngularJS, HTML5, CSS, JSON, and Azure cloud platform.
* Exposure to microservices, event\-driven architectures, and automated testing.
* Working knowledge of AI technologies including prompt engineering, generative AI (GenAI), large/small/vision\-language models (LLM, SLM, VLM), and OCR integration.
* Integrate AI\-driven features such as OCR and GenAI into software solutions.
* Collaborate on training and fine\-tuning AI models including LLMs, SLMs, and VLMs.
* Explore and apply AI prompting techniques to enhance product functionality.
* Excellent communication and collaboration skills.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
**Compensation**
 $60,600\.00 \- $103,900\.00 USD
 This role is eligible for Bonus.
*Compensation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
 EQUAL EMPLOYMENT OPPORTUNITY Wolters Kluwer U. S. Corporation and all of its subsidiaries, divisions and customer/business units is an Equal Opportunity / Affirmative Action employer. All qualified applicants will receive consideration for employment without regard to race, color, religion, sex, sexual orientation, gender identity, national origin, disability, or protected veteran status.
 If you have questions about this posting, please contact support@lensa.com</t>
        </is>
      </c>
    </row>
    <row r="85">
      <c r="A85" t="inlineStr">
        <is>
          <t>li-4353730723</t>
        </is>
      </c>
      <c r="B85" t="inlineStr">
        <is>
          <t>Forward Deployed Software Engineer</t>
        </is>
      </c>
      <c r="C85" t="inlineStr">
        <is>
          <t>Salient</t>
        </is>
      </c>
      <c r="D85" t="inlineStr">
        <is>
          <t>linkedin</t>
        </is>
      </c>
      <c r="E85">
        <f>HYPERLINK("https://www.linkedin.com/jobs/view/4353730723", "https://www.linkedin.com/jobs/view/4353730723")</f>
        <v/>
      </c>
      <c r="F85">
        <f>HYPERLINK("https://jobs.ashbyhq.com/salient/a213eea8-ef18-40cb-b693-67ca3900c7fb/application?utm_source=unique_code%2C+e.g.+utm_source%3DLinkedInPaid&amp;urlHash=ihHF", "https://jobs.ashbyhq.com/salient/a213eea8-ef18-40cb-b693-67ca3900c7fb/application?utm_source=unique_code%2C+e.g.+utm_source%3DLinkedInPaid&amp;urlHash=ihHF")</f>
        <v/>
      </c>
      <c r="G85" t="inlineStr">
        <is>
          <t>San Francisco, CA</t>
        </is>
      </c>
      <c r="H85" t="inlineStr"/>
      <c r="I85" t="inlineStr">
        <is>
          <t>**About Us**
 We’re building the AI infrastructure powering the future of financial operations \- starting with automating the most painful and complex workflows in loan servicing.
* Backed by a16z and Y Combinator, with $65M raised in Series A funding.
* 8\-figure ARR \&lt; 2 years already serving \&gt; 20% of the auto lending industry, and processing millions of real customer calls and transactions daily.
* Fully deployed with major financial institutions \- not just PoCs.
* We are expanding into new financial services segments!
* In\-person office culture in San Francisco, CA.
 We're fully integrated with our customers, own the full stack, and are moving fast to bring modern AI into regulated industries where precision, reliability, and performance matter most.
**About The Role**
 We're seeking a Forward Deployed Software Engineer to work directly with our customers to implement our technology and build any required customizations. In this role, you will apply your problem\-solving ability, creativity, and technical skills to be a customer’s first resource for implementing AI agents in their company. This role is critical in helping us deliver reliable, compliant, and efficient customer service solutions to millions of borrowers.
**Responsibilities**
* You will own the end\-to\-end implementation and execution of high\-stakes customer engagements and projects, determining what the customer requirements are and how best to apply our Voice AI Agent solution
* Implement and build new features with customers, and implement them in the core engineering product
**Requirements**
* Relevant college and post\-college work experience in a fast moving work environment
* Customer\-facing polish, with ability to extract requirements and run discovery \- strong communicator
* Ownership mindset — someone who treats every deployment like a mission\-critical project
* Strong hands on coder with proven proficiency in programming languages in either Python, Typescript or Javascript
* Excellence in technical documentation and cross\-team communication
* Ability to collaborate with technical and non\-technical customers, and comfortable working in a dynamic environment with evolving objectives and many iterations with customers
* Ability to work 4 days a week from our San Francisco office (open to candidates willing to relocate)
 At Salient, we’re building at the edge of AI \- fast, focused, and with real ownership. Sprints and major launches move quickly, and we look for people who are energized by that pace and ready to collaborate
 **in person 4 days a week in our San Francisco office** 
 .
 We also offer a benefits package designed to support our full\-time employees:
 **medical, dental, and vision coverage** 
 , a
 **generous 401(k)** 
 ,
 **and catered lunches** 
 .
 Compensation Range: $140K \- $200K</t>
        </is>
      </c>
    </row>
    <row r="86">
      <c r="A86" t="inlineStr">
        <is>
          <t>li-4360300705</t>
        </is>
      </c>
      <c r="B86" t="inlineStr">
        <is>
          <t>Senior Full Stack Engineer (Java/React)</t>
        </is>
      </c>
      <c r="C86" t="inlineStr">
        <is>
          <t>General Dynamics Mission Systems</t>
        </is>
      </c>
      <c r="D86" t="inlineStr">
        <is>
          <t>linkedin</t>
        </is>
      </c>
      <c r="E86">
        <f>HYPERLINK("https://www.linkedin.com/jobs/view/4360300705", "https://www.linkedin.com/jobs/view/4360300705")</f>
        <v/>
      </c>
      <c r="F86" t="inlineStr"/>
      <c r="G86" t="inlineStr">
        <is>
          <t>Dedham, MA</t>
        </is>
      </c>
      <c r="H86" t="inlineStr"/>
      <c r="I86" t="inlineStr">
        <is>
          <t>**Basic Qualifications**
 Requires a Bachelor’s degree in Software Engineering, or a related Science, Engineering, Technology or Mathematics field. Also requires 5\+ years of job\-related experience, or a Master's degree plus 3 years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Job Description:
**Advanced Software Engineer**
 Make the world’s most advanced Encryptor Manager even smarter
**ROLE AND POSITION OBJECTIVES:**
 As an Advanced Software Engineer, working on the Encryptor Manager, you’ll be a member of a cross functional team responsible for developing mission critical Cybersecurity Manager Applications for a rapidly growing product line. You’ll be working at the cutting edge of Application development using the latest tools and technologies.
**We encourage you to apply if you have any of these preferred skills or experiences:**
* Working knowledge of software engineering concepts, principles, and theories
* Database Experience (SQL, Postgre SQL )
* 3\-5 Years experience with Java, Enterprise Java working with Java beans
* Experience with JavaScript (React)
* Experience with Hibernate, Spring toolkit
**Nice to have:**
* Experience working with the Wildfly Application Web Server
* Experience working with REST API s
* Experience working with RESTCONF Interfaces
* Experience working with Material UI
* Experience developing application code using security principles
* Working knowledge of Public Key Infrastructure and Digital Certificate usage
* Working knowledge of SNMP
**What sets you apart:**
* Passion for designing complicated systems and working on problems of diverse scope.
* Ability to define the scope, schedule, and expectations for the work you execute.
* Shows initiative on assignments and executes projects with little guidance and can provide technical direction and leadership.
* Ability to interact effectively within project teams
* Solid ability to grasp and apply new information quickly and handle increasing responsibilities with growing complexity
**Our Commitment to You:**
* An exciting career path with opportunities for continuous learning and development.
* Research oriented work, alongside award winning teams developing practical solutions for our nation’s security
* Competitive benefits, including 401k matching, flex time off, paid parental leave, healthcare benefits, health \&amp; wellness programs (including on\-site gym), employee resource and social groups, and more
* See more at gdmissionsystems.com/careers/why\-work\-for\-us/benefits
**Workplace Options:**
**This position is a fully on\-site position with no possibility for remote work at our Taunton, MA location.**
 \#CJ3
 Target salary range: USD $130,371\.00/Yr. \- USD $137,501\.00/Yr.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87">
      <c r="A87" t="inlineStr">
        <is>
          <t>li-4364048025</t>
        </is>
      </c>
      <c r="B87" t="inlineStr">
        <is>
          <t>Senior Product Software Engineer | C# | .Net |Angular</t>
        </is>
      </c>
      <c r="C87" t="inlineStr">
        <is>
          <t>Lensa</t>
        </is>
      </c>
      <c r="D87" t="inlineStr">
        <is>
          <t>linkedin</t>
        </is>
      </c>
      <c r="E87">
        <f>HYPERLINK("https://www.linkedin.com/jobs/view/4364048025", "https://www.linkedin.com/jobs/view/4364048025")</f>
        <v/>
      </c>
      <c r="F87" t="inlineStr"/>
      <c r="G87" t="inlineStr">
        <is>
          <t>Coppell, TX</t>
        </is>
      </c>
      <c r="H87" t="inlineStr"/>
      <c r="I8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Wolters Kluwer. Clicking "Apply Now" or "Read more" on Lensa redirects you to the job board/employer site. Any information collected there is subject to their terms and privacy notice.
 \*\*\*\*\* Hybrid \- 2 days per week in Coppell, TX office \*\*\*\*\*
 We are seeking a highly skilled and experienced
 **Senior Software Engineer** 
 with a strong background in
 **.NET Framework** 
 ,
 **.NET Core** 
 , and
 **C\#** 
 , along with
 **RESTful API development** 
 . The ideal candidate will also have at least
 **3 years of hands\-on experience with Angular, TypeScript, and HTML5** 
 , and a solid understanding of
 **Test\-Driven Development (TDD)** 
 and
 **unit testing** 
 practices. You will play a key role in designing, developing, and maintaining scalable cloud based enterprise applications.
**Key Responsibilities**
* Show initiative and motivation to solve problems, adapt to changes, and follow through on tasks
* Work in Agile teams following Agile \+ SAFe methodologies to deliver high quality products on time
* Develop cloud application (PaaS) that support high availability, high scalability, and parallel processing
* Apply TDD principles and write comprehensive unit tests to ensure code quality and reliability.
* Improve your skills via self\-learning, brown bag sessions, and other group learning opportunities
* Use the latest development tools and follow industry and Wolters Kluwer technical standards.
* Understand the use of technology and how its implementation affects strategic business goals.
**Key Requirements**
* Have a bachelor’s degree or equivalent combination of education and work experience in software development
* 5\+ years of programming experience with the .NET Framework, .NET Core, C\#, REST APIs
* 3\+ years of programming experience with Angular, TypeScript, HTML5
* Proficient in object\-oriented design and development using best practices and patterns.
* Experience with quality up\-front initiatives such as TDD, CI, and automated unit test frameworks.
* Successful track record delivering high quality code on time while working in Agile Teams and following Agile methodologies.
* Production experience developing cloud applications from inception to completion.
* Expertise designing, coding, and implementing architectures and applications that have 24/7 stability, performance, scalability, and localization requirements in mind
* Developing and deploying microservices and/or Service Oriented Architecture.
* Building YAML Pipelines in Azure DevOps.
**Nice To Have**
* Experience with cloud platforms (e.g., Azure, AWS).
* Experience with Microsoft Orleans for building distributed apps
* Familiarity with microservices architecture.
* Knowledge of containerization tools like Docker or Kubernetes.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
**Compensation**
 $83,600\.00 \- $145,900\.00 USD
 This role is eligible for Bonus.
*Compensation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
 EQUAL EMPLOYMENT OPPORTUNITY Wolters Kluwer U. S. Corporation and all of its subsidiaries, divisions and customer/business units is an Equal Opportunity / Affirmative Action employer. All qualified applicants will receive consideration for employment without regard to race, color, religion, sex, sexual orientation, gender identity, national origin, disability, or protected veteran status.
 If you have questions about this posting, please contact support@lensa.com</t>
        </is>
      </c>
    </row>
    <row r="88">
      <c r="A88" t="inlineStr">
        <is>
          <t>li-4364048012</t>
        </is>
      </c>
      <c r="B88" t="inlineStr">
        <is>
          <t>Software Engineering, Assistant Vice President</t>
        </is>
      </c>
      <c r="C88" t="inlineStr">
        <is>
          <t>Lensa</t>
        </is>
      </c>
      <c r="D88" t="inlineStr">
        <is>
          <t>linkedin</t>
        </is>
      </c>
      <c r="E88">
        <f>HYPERLINK("https://www.linkedin.com/jobs/view/4364048012", "https://www.linkedin.com/jobs/view/4364048012")</f>
        <v/>
      </c>
      <c r="F88" t="inlineStr"/>
      <c r="G88" t="inlineStr">
        <is>
          <t>Jersey City, NJ</t>
        </is>
      </c>
      <c r="H88" t="inlineStr"/>
      <c r="I8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MUFG. Clicking "Apply Now" or "Read more" on Lensa redirects you to the job board/employer site. Any information collected there is subject to their terms and privacy notice.
**Do you want your voice heard and your actions to count?**
 Discover your opportunity with Mitsubishi UFJ Financial Group (MUFG), one of the world’s leading financial groups. Across the globe, we’re 150,000 colleagues, striving to make a difference for every client, organization, and community we serve. We stand for our values, building long\-term relationships, serving society, and fostering shared and sustainable growth for a better world.
 With a vision to be the world’s most trusted financial group, it’s part of our culture to put people first, listen to new and diverse ideas and collaborate toward greater innovation, speed and agility. This means investing in talent, technologies, and tools that empower you to own your career.
 Join MUFG, where being inspired is expected and making a meaningful impact is rewarded.
 The selected colleague will work at an MUFG office or client sites four days per week and work remotely one day. A member of our recruitment team will provide more details.
**Job Description**
 We are seeking a highly skilled and motivated Software Engineer to join our dynamic team in the Transaction Banking Technology space. The ideal candidate will have hands\-on experience working across multiple software platforms and implementing SaaS solutions. This role involves contributing to the design, development, and integration of enterprise systems across various initiatives.
 The successful candidate will demonstrate strong technical proficiency, a collaborative mindset, and a commitment to delivering scalable and high\-availability solutions. You will work closely with global cross\-functional teams to ensure seamless system integration and platform reliability.
**Key Responsibilities**
* Contribute to technical planning and architectural decisions for mission\-critical systems, ensuring scalability, reliability, and performance improvements (e.g., achieving significant efficiency gains in processing speed).
* Work closely with stakeholders to understand project requirements, scope, and objectives, translating them into actionable technical solutions.
* Develop and maintain Java\-based web and enterprise applications using frameworks like Spring Boot and integrate messaging systems such as Kafka and IBM MQ.
* Implement performance tuning strategies and monitor system health using tools like Splunk and SonarQube, driving continuous improvement and incident resolution.
* Support system upgrades and platform scalability initiatives across legacy and modern architectures.
* Implement SaaS\-based platforms and ensure adherence to best practices for secure, high\-quality delivery.
* Maintain compliance with industry standards and internal governance, ensuring robust security and regulatory alignment.
* Partner with other technology teams to uphold development best practices, code quality, and test coverage.
**Qualifications**
* 5\+ years of software engineering experience across enterprise systems.
* Proven expertise in Java, Spring Boot, and SQL, with additional experience in REST API, Angular, JavaScript, and Docker.
* Experience in Agile DevOps teams as Lead developer.
* Strong background in enterprise application development, including backend API design, microservices, and database architecture.
* Demonstrated success in optimizing system performance.
* Skilled in cloud\-based development and hybrid infrastructure.
* Strong communication and interpersonal skills, with a track record of delivering high\-impact solutions.
* Adept at cross\-functional collaboration, stakeholder engagement, and incident resolution.
* Experience in adapting to evolving requirements and driving product innovation.
**Education**
* Bachelor's degree in Computer Science or a closely\-related discipline, or an equivalent combination of formal education and experience
**“** 
**Visa sponsorship/support is based on business needs. We do not anticipate providing visa sponsorship/support for this position.”**
 The typical base pay range for this role is between $108k \- $145k depending on job\-related knowledge, skills, experience, and location. This role may also be eligible for certain discretionary performance\-based bonuses and/or incentive compensation. Additionally, our Total Rewards program provides colleagues with a competitive benefits package (in accordance with the eligibility requirements and respective terms of each) that includes comprehensive health and wellness benefits, retirement plans, educational assistance and training programs, income replacement for qualified employees with disabilities, paid maternity and parental bonding leave, and paid vacation, sick days, and holidays. For more information on our Total Rewards package, please click the link below.
 MUFG Benefits Summary (https://careers.mufgamericas.com/sites/default/files/document/2023\-01/mb\-live\-well\-work\-well.pdf)
 We will consider for employment all qualified applicants, including those with criminal histories, in a manner consistent with the requirements of applicable state and local laws (including (i) the San Francisco Fair Chance Ordinance, (ii) the City of Los Angeles’ Fair Chance Initiative for Hiring Ordinance, (iii) the Los Angeles County Fair Chance Ordinance, and (iv) the California Fair Chance Act) to the extent that (a) an applicant is not subject to a statutory disqualification pursuant to Section 3(a)(39\) of the Securities and Exchange Act of 1934 or Section 8a(2\) or 8a(3\) of the Commodity Exchange Act, and (b) they do not conflict with the background screening requirements of the Financial Industry Regulatory Authority (FINRA) and the National Futures Association (NFA). The major responsibilities listed above are the material job duties of this role for which the Company reasonably believes that criminal history may have a direct, adverse and negative relationship potentially resulting in the withdrawal of conditional offer of employment, if any.
 The above statements are intended to describe the general nature and level of work being performed. They are not intended to be construed as an exhaustive list of all responsibilities duties and skills required of personnel so classified.
 We are proud to be an Equal Opportunity Employer and committed to leveraging the diverse backgrounds, perspectives and experience of our workforce to create opportunities for our colleagues and our business. We do not discriminate on the basis of race, color, national origin, religion, gender expression, gender identity, sex, age, ancestry, marital status, protected veteran and military status, disability, medical condition, sexual orientation, genetic information, or any other status of an individual or that individual’s associates or relatives that is protected under applicable federal, state, or local law.
 At MUFG, our colleagues are our greatest assets. Our Culture Principles provide a roadmap for how each of our colleagues must think and act to become more client\-obsessed, inclusive and innovative. They reflect who we are, who we want to be and what we expect from one another. We are excited to see you take the next step in exploring a career with us and encourage you to spend more time reviewing them!
**Our Culture Principles**
* Client Centric
* People Focused
* Listen Up. Speak Up.
* Innovate \&amp; Simplify
* Own \&amp; Execute
 If you have questions about this posting, please contact support@lensa.com</t>
        </is>
      </c>
    </row>
    <row r="89">
      <c r="A89" t="inlineStr">
        <is>
          <t>li-4364048054</t>
        </is>
      </c>
      <c r="B89" t="inlineStr">
        <is>
          <t>IT Software Engineer I</t>
        </is>
      </c>
      <c r="C89" t="inlineStr">
        <is>
          <t>Lensa</t>
        </is>
      </c>
      <c r="D89" t="inlineStr">
        <is>
          <t>linkedin</t>
        </is>
      </c>
      <c r="E89">
        <f>HYPERLINK("https://www.linkedin.com/jobs/view/4364048054", "https://www.linkedin.com/jobs/view/4364048054")</f>
        <v/>
      </c>
      <c r="F89" t="inlineStr"/>
      <c r="G89" t="inlineStr">
        <is>
          <t>Boise, ID</t>
        </is>
      </c>
      <c r="H89" t="inlineStr"/>
      <c r="I8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Idaho Division of Human Resources. Clicking "Apply Now" or "Read more" on Lensa redirects you to the job board/employer site. Any information collected there is subject to their terms and privacy notice.
 Information Technology Services \- ITS
 State of Idaho Opportunity
 IT Software Engineer I
 If you have previously applied for a position, select Reset/Forgot Password and follow the prompts to access your account. For additional assistance, refer to the Candidate Guide located under Candidate Resources on the State of Idaho Careers page.
**Summary**
 The Office of Information Technology Services (ITS) is a team of dedicated professionals providing core technology and cybersecurity services to agencies statewide, enabling state employees to serve Idaho's citizens. We sincerely hope you will consider being a part of our success!
 ITS currently has an opportunity for IT Software Engineer I to join our team at our Chinden Office in Boise. This position will provide software development services for a wide range of applications in support of state agency missions.
 The selected individual must have software development experience, active troubleshooting skills, the ability to collaborate across teams, and good knowledge of SDLC best practices. The successful candidate will be familiar with secure coding principles, and working in an Agile team environment.
 Please note: The successful candidate will be required to pass multiple, comprehensive fingerprint\-based background checks specific to the agencies ITS supports. Applicants must be authorized to work for any employer in the United States. The Idaho Office of Information Technology Services is unable to sponsor or assume sponsorship of an employment visa or participate in Optional Practical Training (OPT).
**Example Of Duties**
* Develops and delivers software applications to fulfill business needs;
* Enhances and maintains existing systems;
* Participates in code reviews;
* Collaborates with customer and ITS teams to define system requirements;
* Provides application support and issue resolution;
* Performs testing and quality assurance activities;
* Participates in process improvement activities;
* Creates documentation for system and user support;
* Provides excellent customer service and communication.
**Minimum Qualifications**
 Good knowledge of:
* Multiple programming languages and software development tool suites.
* Typically gained by one course of classroom instruction at an accredited college or vocational\-tech level directly related to one programming language and software development tool suites AND 6 months of work experience using programming languages and software development tools OR one year of work experience using programming languages and software development tools.
* Software development processes and software testing practices.
* Typically gained by a valid IT certification in software testing and development OR at least one year of work experience testing and developing software.
**Experience**
* Creating, interpreting and documenting user requirements.
* Typically gained by at least one year of work experience on at least one development project.
* Testing and deploying production systems.
* Typically gained by at least one year of work experience testing and deploying production systems.
**Preferred Qualifications**
* Proficiency in at least one modern programming language (e.g., C\#, Java, JavaScript) and familiarity with frameworks like .NET Core or React.
* Experience consuming RESTful APIs in software solutions.
* Experience working with relational databases (SQL) and knowledge of Object\-Relational Mapping (ORM) frameworks such as Entity Framework Core.
* Understanding of Agile development practices and secure coding principles.
* Familiarity with cloud platforms (Azure or AWS) and containerization (Docker).
* Awareness of AI\-assisted development tools (e.g., GitHub Copilot) and best practices for integrating AI\-generated code securely.
 Applications will be accepted through 4:59 PM MST on the posting end date.
**Benefits**
 The State of Idaho offers a robust total compensation package, including medical, vision, and dental insurance; PERSI retirement benefits; paid sick, vacation, and parental leave; and 11 paid holidays per year. For additional information related to benefits and/or State programs, please visit https://dhr.idaho.gov/StateEmployees/Benefits.html.\*
**EEO/ADA/Veteran**
 The State of Idaho is committed to providing equal employment opportunities and prohibit discrimination against qualified individuals based on their status as protected veterans or individuals with disabilities and prohibit discrimination against all individuals based on their race, color, religion, political affiliation or belief, sex, national origin, genetics, or any other status protected under applicable federal, state, or local laws.
 The State of Idaho is committed to access and reasonable accommodations for individuals with disabilities, auxiliary aids and services are available upon request. If you require an accommodation at any step in our recruitment process, you are encouraged to contact (208\) 334\-2263 (TTY/TTD: 711\), or email ada.coordinator@dhr.idaho.gov.
 Preference may be given to veterans who qualify under state and federal laws and regulations.
 If you have questions about this posting, please contact support@lensa.com</t>
        </is>
      </c>
    </row>
    <row r="90">
      <c r="A90" t="inlineStr">
        <is>
          <t>li-4363738260</t>
        </is>
      </c>
      <c r="B90" t="inlineStr">
        <is>
          <t>a Principal Software Engineer or a Sr. Principal Software Engineer</t>
        </is>
      </c>
      <c r="C90" t="inlineStr">
        <is>
          <t>Lensa</t>
        </is>
      </c>
      <c r="D90" t="inlineStr">
        <is>
          <t>linkedin</t>
        </is>
      </c>
      <c r="E90">
        <f>HYPERLINK("https://www.linkedin.com/jobs/view/4363738260", "https://www.linkedin.com/jobs/view/4363738260")</f>
        <v/>
      </c>
      <c r="F90" t="inlineStr"/>
      <c r="G90" t="inlineStr">
        <is>
          <t>San Diego, CA</t>
        </is>
      </c>
      <c r="H90" t="inlineStr"/>
      <c r="I9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Northrop Grumman. Clicking "Apply Now" or "Read more" on Lensa redirects you to the job board/employer site. Any information collected there is subject to their terms and privacy notice.
 RELOCATION ASSISTANCE: Relocation assistance may be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has an opening for a
 **Principal Software Engineer or a Sr. Principal Software Engineer** 
 to join our team of qualified, diverse individuals within our Software organization. The location for this opportunity is in
 **Redondo Beach, CA, El Segundo, CA or Rancho Bernardo, CA** 
 and will be primarily based within our office spaces to support the program and business needs. Operating on our 9/80 schedule means you will get every other Friday off. The position has
 **NO** 
 Remote or Hybrid work available .
 This role is in support for the Seven Deuces contract. The job entails defining the mission autonomy architecture for manned\-unmanned teaming operating in contested environments; identifying enabling functions with requirements based on OA analysis of missions; and developing solution concepts and interfaces aligned with the government reference architecture. This also includes surveying existing NG capabilities, as well as 3rd parties to develop a mission autonomy solution to perform the identified mission. The scope also entails developing a roadmap and cost to develop and field the proposed solution.
* This requisition may be filled at a Principal Software Engineer (Level 3\) OR a Sr. Principal Software Engineer (Level 4\) level based on the qualifications below\*\*
**Basic Qualifications**
* Principal Software Engineer: Bachelor’s Degree in a Science, Technology, Engineering or Mathematics (STEM) discipline from an accredited university with 5 Years experience; OR a master’s degree in a Science, Technology, Engineering or Mathematics (STEM) discipline from an accredited university with 3 Years experience; OR a PhD in a Science, Technology, Engineering or Mathematics (STEM) discipline from an accredited university with 1 Years experience
* Sr. Principal Software Engineer: Bachelor’s Degree in a Science, Technology, Engineering or Mathematics (STEM) discipline from an accredited university with 8 Years experience; OR a master’s degree in a Science, Technology, Engineering or Mathematics (STEM) discipline from an accredited university with 6 Years experience; OR a PhD in a Science, Technology, Engineering or Mathematics (STEM) discipline from an accredited university with 4 Years experience
* Experience with various autonomy algorithms for single and multi\-vehicle operations
* Familiar with Agile development practices
* Experience with OMS/UCI and ability to understand XML schema
* Familiar with Air Dominance missions
* Strong systems engineering background including requirements development, mission engineering threads, and functional decomposition
* Your ability to obtain and/or transfer and maintain the final adjudicated government Secret clearance, and any program access(es) required for the position within a reasonable period of time, as determined by the company
**Preferred Qualifications**
* Communication skills to collaborate with 3rd parties to leverage their capabilities to bridge any gaps with NG's capabilities
* Existing Department of Defense Secret level security clearance
* Proven experience in Mission Autonomy
* Proficient in Control Theory and Optimization
* Experience with Cameo, SysML
* Understanding of contested environment operations, EW/EMCON constraints
 Primary Level Salary Range: $11,400\.00 \- $171,000\.00
 Secondary Level Salary Range: $142,200\.00 \- $213,400\.00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
 If you have questions about this posting, please contact support@lensa.com</t>
        </is>
      </c>
    </row>
    <row r="91">
      <c r="A91" t="inlineStr">
        <is>
          <t>li-4360107321</t>
        </is>
      </c>
      <c r="B91" t="inlineStr">
        <is>
          <t>Software Engineer III - AWS Application</t>
        </is>
      </c>
      <c r="C91" t="inlineStr">
        <is>
          <t>hackajob</t>
        </is>
      </c>
      <c r="D91" t="inlineStr">
        <is>
          <t>linkedin</t>
        </is>
      </c>
      <c r="E91">
        <f>HYPERLINK("https://www.linkedin.com/jobs/view/4360107321", "https://www.linkedin.com/jobs/view/4360107321")</f>
        <v/>
      </c>
      <c r="F91" t="inlineStr"/>
      <c r="G91" t="inlineStr">
        <is>
          <t>Jersey City, NJ</t>
        </is>
      </c>
      <c r="H91" t="inlineStr"/>
      <c r="I91" t="inlineStr">
        <is>
          <t>***hackajob** 
 is collaborating with
 **J.P. Morgan** 
 to connect them with exceptional tech professionals for this role.*
**Job Description**
 We have an exciting and rewarding opportunity for you to take your software engineering career to the next level.
 As a Software Engineer III at JPMorganChase within the Corporate Technology \- Corporate Data Analytics Services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Hands\-on practical experience in system design, application development, testing, and operational stability
* Experience with having worked on and deployed AWS applications
* Proficient in coding in Java /J2EE or Python
* Experience with Spring / Springboot, RestfulAPI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Experience with MongoDB, Databricks or Datalake
* Familiarity with modern front\-end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92">
      <c r="A92" t="inlineStr">
        <is>
          <t>li-4363728056</t>
        </is>
      </c>
      <c r="B92" t="inlineStr">
        <is>
          <t>[Remote] Principal Software Engineer - Agent Toolkits &amp; Cloud Infrastructure, Healthcare AI</t>
        </is>
      </c>
      <c r="C92" t="inlineStr">
        <is>
          <t>Lensa</t>
        </is>
      </c>
      <c r="D92" t="inlineStr">
        <is>
          <t>linkedin</t>
        </is>
      </c>
      <c r="E92">
        <f>HYPERLINK("https://www.linkedin.com/jobs/view/4363728056", "https://www.linkedin.com/jobs/view/4363728056")</f>
        <v/>
      </c>
      <c r="F92">
        <f>HYPERLINK("https://lensa.com/cgw/d2db1fc039174fc6801e946484127418tjo1?jpsi=directemployers&amp;publisher_preference=easier_apply&amp;utm_campaign=Computer%20Occupations&amp;utm_medium=slot&amp;utm_source=linkedin&amp;utm_term=jse&amp;urlHash=yxRF", "https://lensa.com/cgw/d2db1fc039174fc6801e946484127418tjo1?jpsi=directemployers&amp;publisher_preference=easier_apply&amp;utm_campaign=Computer%20Occupations&amp;utm_medium=slot&amp;utm_source=linkedin&amp;utm_term=jse&amp;urlHash=yxRF")</f>
        <v/>
      </c>
      <c r="G92" t="inlineStr">
        <is>
          <t>Phoenix, AZ</t>
        </is>
      </c>
      <c r="H92" t="inlineStr"/>
      <c r="I9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**Responsibilities**
 Responsibilities
* Develop and maintain robust software toolkits in Python and Java to support applied scientists in building, testing, and deploying machine learning models and agents.
* Design, implement, and optimize cloud\-based services for running applied science models, with an emphasis on scalability, reliability, and security in Oracle Cloud Infrastructure (OCI).
* Collaborate closely with scientists and engineers to deliver user\-friendly APIs, libraries, and documentation enabling effective model experimentation and deployment.
* Build and support asynchronous communication patterns (user\-agent, agent\-agent and multimodal) using message queues and data streaming systems.
* Use and extend containerization practices with Docker; deploy and orchestrate services via Kubernetes.
* Produce well\-structured sample code and reference implementations—including basic integration with LLM APIs—demonstrating toolkit best practices.
* Apply strong knowledge of algorithms, data structures, concurrent programming, and distributed systems fundamentals (including asyncio and threading) in the development of performant and maintainable software.
* Incorporate feedback, write comprehensive documentation, and contribute to code reviews to continuously improve quality and usability.
* Monitor and instrument solutions for performance, debugging, and reliability in production environments.
* Stay current with the latest software engineering and AI toolchain practices, advocating for adoption where appropriate.
**Qualifications**
* 8\-12 years of relevant software development experience, with a focus on backend and AI first applications.
* BS/MS in Computer Science or a related field, or equivalent practical experience.
* Proficiency in both Python and Java, with experience developing and maintaining production software in both languages.
* Solid foundations in software engineering—especially concurrent and distributed systems, data structures, and algorithms.
* Professional experience with asynchronous communications (e.g., message queues, pub/sub, data streaming platforms such as Kafka or OCI Streaming).
* Hands\-on experience with Docker and deploying containerized applications in Kubernetes environments (strongly preferred).
* Experience developing enabling tools, frameworks, or APIs for applied scientists, data scientists, or machine learning practitioners (highly desirable).
* Working knowledge of AI/LLM APIs and best practices, with the ability to create sample and reference code for scientific users.
* Familiarity with Oracle Cloud Infrastructure, or other cloud platforms, with a willingness to specialize in OCI.
* Strong communication skills; able to collaborate in a distributed and asynchronous team environment.
* Track record of documentation, mentorship, or technical leadership is a plus.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93">
      <c r="A93" t="inlineStr">
        <is>
          <t>li-4360170527</t>
        </is>
      </c>
      <c r="B93" t="inlineStr">
        <is>
          <t>Principal Software Engineer in Test</t>
        </is>
      </c>
      <c r="C93" t="inlineStr">
        <is>
          <t>Leadership Triangle</t>
        </is>
      </c>
      <c r="D93" t="inlineStr">
        <is>
          <t>linkedin</t>
        </is>
      </c>
      <c r="E93">
        <f>HYPERLINK("https://www.linkedin.com/jobs/view/4360170527", "https://www.linkedin.com/jobs/view/4360170527")</f>
        <v/>
      </c>
      <c r="F93" t="inlineStr"/>
      <c r="G93" t="inlineStr">
        <is>
          <t>Durham, NC</t>
        </is>
      </c>
      <c r="H93" t="inlineStr"/>
      <c r="I93" t="inlineStr">
        <is>
          <t>Fidelity
 Software Engineering
 Durham, NC, USA
 Posted on Jan 17, 2026
 Apply now
**Job Description**
**Principal Software Engineer in Test**
**The Role**
 As a Software Engineer in Test you will be applying your strong software development and test automation skills to design, develop, test, deploy, maintain and improve Fidelity investments customer\-facing software solutions. You will also be supporting your team in adopting test automation frameworks and best practices to ensure we are building the right product and we are building it right.
**The Expertise And Skills You Bring**
* 7\+ years of experience with a Bachelor’s degree or Master’s degree in Computer Science, Software Engineering, or related field
* Experience with designing and building web application and using test automation frameworks
* Working experience with test automation frameworks (Cypress, Selenium, Protractor or Puppeteer Framework), AngularJS/ReactJS, NodeJS, HTML5
* Devops\- Experience using Jenkins, Jira, Stash
* Mobile Development and testing experience is a plus
* Expertise in using mock frameworks and service virtualization
* Good knowledge of Resiliency Software Engineering and Observability patterns
* Certifications in, or working experience with, AWS/Azure
* Use your knowledge of testing and testability to influence better software design, promote proper software engineering and bug prevention strategies, testability and security
* Actively participate in the development process through writing and maintain application features and automated tests including unit tests, component tests, integration tests, functional tests, performance tests, scenario tests and interoperability tests
* Support the team in designing reliable, portable, accurate and trustworthy tests, and in integrating them into CI/CD pipelines
* Collaborate with team members on improving team's test coverage, release velocity and production health
* Participate in application code and test code reviews with rest of the Scrum team
**The Value you deliver**
* Obsessed with creating the best end\-to\-end customer experience
* Owns the outcome by taking personal accountability for delivering strong results
* Full\-stack engineer with knowledge in a breadth of technologies and test automation frameworks
* Self\-directed, willing to take initiative, pragmatic and results\-oriented
* Accountable for consistent delivery of functional software – sprint to sprint, release to release
* Excellence in software development practices and procedures
* Participates in application level architecture
* Develops original and creative technical solutions to on\-going development efforts
* Responsible for QA readiness of software deliverables (end\-to\-end tests, unit tests, automation)
* Responsible for supporting implementation of moderate\-scope projects or major initiatives
* Works on complex assignments and often multiple phases of a project
**The Team**
 Are you interested in serving the needs of millions of customers in tax efficient savings, protection and guaranteed income in retirement?
 Fidelity Insurance Group Technology team in Personal Investing is seeking a hardworking engineer to join us in modernizing and building innovative and cloud\-native experiences, capabilities and platforms in support of this mission.
**Certifications**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Technology careers at Fidelity
 00:58
 Imagine and create the next generation of financial products and tools.
 Welcome to the Triangle
 01:34
**Company Overview**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is an equal opportunity employer. Fidelity will reasonably accommodate applicants with disabilities who need adjustments to complete the application or interview process.
 AI Guidelines
 Learn about our guidelines for use of AI when applying for a Fidelity job
**If you would like to request an accommodation, please contact us at:**
 accommodations@fmr.com
 Apply
 Join us
 At Fidelity, you’ll find endless opportunities to build a meaningful career that positively impacts peoples’ lives, including yours. You can take advantage of flexible benefits that support you through every stage of your career, empowering you to thrive at work and at home. Honored with a Glassdoor Employees’ Choice Award, we have been recognized by our employees as a top 10 Best Place to Work in 2024\. And you don’t need a finance background to succeed at Fidelity—we offer a range of opportunities for learning so you can build the career you’ve always imagined.
 Fidelity's working model blends the best of working offsite with maximizing time together in person to meet associate and business needs. Currently, most hybrid roles require associates to work onsite all business days of one assigned week per four\-week period (beginning in September 2024, the requirement will be two full assigned weeks).
 We invite you to
 **Find Your Fidelity** 
 at fidelitycareers.com.
 Fidelity Investments is an equal opportunity employer. We believe that the most effective way to attract, develop and retain a diverse workforce is to build an enduring culture of inclusion and belonging.
 Fidelity will reasonably accommodate applicants with disabilities who need adjustments to participate in the application or interview process. To initiate a request for an accommodation, contact the HR Accommodation Team by sending an email to accommodations@fmr.com, or by calling 800\-835\-5099, prompt 2, option 3\.
 At Fidelity, we value honesty, integrity, and the safety of our associates and customers within a heavily regulated industry. Certain roles may require candidates to go through a preliminary credit check during the screening process. Candidates who are presented with a Fidelity offer will need to go through a background investigation and may be asked to provide additional documentation as requested. This investigation includes but is not limited to a criminal, civil litigations and regulatory review, employment, education, and credit review (role dependent). These investigations will account for 7 years or more of history, depending on the role. Where permitted by federal or state law, Fidelity will also conduct a pre\-employment drug screen, which will review for the following substances: Amphetamines, THC (marijuana), cocaine, opiates, phencyclidine.
**Benefits**
 Learning \&amp; development
 Culture
 Benefits that adapt to everything life sends your way
 401(k) with company match
 Medical, dental, vision and prescription drug coverage
 16\-week maternity leave \&amp; 12\-week parental leave
 Student loan assistance
 Fidelity is invested in you
 Committed to Professional Development
 At Fidelity, we are constantly adapting to the changing needs of our customers, new technologies, and better ways of working. And we empower our employees to do the same, with an emphasis on developing skills and connections that will help propel you forward in your career while being able to make an impact for Fidelity’s customers around the world.
 We offer a wide range of options for professional development including online, in\-person, and mentor driven solutions. Special interest and networking groups are also part of our culture of empowerment, personal and professional enrichment, diversity and inclusion, and knowledge sharing.
 Continuing Education \&amp; Training
* Assess, build, and align your development plan through resources like our skill\-building classroom and online courses.
* Video\-based training for technology, leadership, management \&amp; more.
* Ongoing skills development and coaching opportunities.
* Paid training with a facilitator who is dedicated to your onboarding and will track and evaluate your progress, giving you strategies to improve.
* A range of talent development programs to support career mobility.
 Mentoring
* Utilize the skills of experienced leaders to enrich your career.
* Dedicated mentors to help you grow into new areas of Fidelity’s business as you develop new skills.
* An open atmosphere of knowledge sharing and collaboration.
* Opportunities to pay it forward, sharing the knowledge you develop and as you help others define how they want their career to take shape.
 Our Commitment
 Discover opportunities to build a fulfilling career within a supportive culture that celebrates individuality. We empower our associates to pursue career paths that align with their unique goals and personalities.
 Giving back to our communities
 Throughout Fidelity, you’ll find a genuine commitment to social responsibility – where we strive to make an impact for customers, while also making an impact on the world.
 Fidelity Cares
* Provides associates with opportunities to actively volunteer and share their talents.
* Hosts numerous company\-wide volunteer events (in\-person and virtual).
* Partners with nonprofit organizations to support our local communities.
* More than 12,500 associates donate time annually – from interns to SVPs.
* Impact includes refurbishing schools, donating books and supplies, and teaching financial literacy.
 Fidelity Charitable®
* Created to make it easy for people to support charitable organizations they care about.
* Helped deliver $14\.9billion in donor\-recommended grants to charity in 2024\.
* Supported more than 433,000 unique charities around the world.
* Since its inception, more than $100 billion has been given to public charities.
 Technology careers at Fidelity
 00:44
 Imagine and create the next generation of financial products and tools.
 Similar Jobs
 Principal Software Engineer/Developer
* Technology
* Durham, NC, US
 Details
 Principal Software Engineer
* Technology
* Westlake, TX, US
 Details
 Apply
 Return to job search
 Apply now
 See more open positions at Fidelity</t>
        </is>
      </c>
    </row>
    <row r="94">
      <c r="A94" t="inlineStr">
        <is>
          <t>li-4353439439</t>
        </is>
      </c>
      <c r="B94" t="inlineStr">
        <is>
          <t>Staff Frontend Engineer - MTS 2</t>
        </is>
      </c>
      <c r="C94" t="inlineStr">
        <is>
          <t>myGwork - LGBTQ+ Business Community</t>
        </is>
      </c>
      <c r="D94" t="inlineStr">
        <is>
          <t>linkedin</t>
        </is>
      </c>
      <c r="E94">
        <f>HYPERLINK("https://www.linkedin.com/jobs/view/4353439439", "https://www.linkedin.com/jobs/view/4353439439")</f>
        <v/>
      </c>
      <c r="F94" t="inlineStr"/>
      <c r="G94" t="inlineStr">
        <is>
          <t>San Jose, CA</t>
        </is>
      </c>
      <c r="H94" t="inlineStr"/>
      <c r="I94" t="inlineStr">
        <is>
          <t>**This job is with eBay, an inclusive employer and a member of myGwork – the largest global platform for the LGBTQ\+ business community. Please do not contact the recruiter directly.**
 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You'll be part of the team building
 **eBay Live** 
 , eBay's newest shopping experience and live shopping platform. Live shopping is a natural extension of eBay's ethos \-highlighting unique items, collectibles, and fashion while enabling real\-time interaction between buyers and sellers. This is a relatively new trend in the US and Europe, growing quickly, and is already broadly established in APAC.
 We are looking to hire a passionate, collaborative and motivated Frontend Software Engineer, who will help us develop and evolve eBay Live to be a market leader in live shopping and become a key part of the global eBay platform.
 Join us to make an impact on one of the world's largest e\-commerce websites.
**What You'll Do And Learn**
* Translate requirements to software design and create clean, efficient, extensible, maintainable code.
* Responsible for a large functional area possessing in\-depth knowledge and expertise.
* Influencer across domain teams and guiding others towards the right technical decisions.
* Improves team productivity by identifying and evangelizing opportunities for productivity improvements.
* Identifying areas in the team applications likely to change and integrating flexibility in the design for these areas improving engineering velocity.
* Collaborate effectively with cross\-functional partners to develop innovative solutions that adhere to development goals and principles.
* Practices evidence\-centered design making features testable, ensuring high quality and improving velocity in continuous delivery.
* Manage project features, break into sub\-tasks, identify and resolve issues for efficient execution.
* Provide technical guidance, code review for immediate team and other teams, contribute and review ADRs (Architecture Decision Records), coaching, and mentorship to individual team members within and outside teams.
* Identify gaps and issues across systems and functional areas, propose solutions, build the engineering roadmap, and drive resolution.
* Lead engineering support, release, and on\-call responsibilities for an "always\-on" 24/7 site.
****What you bring:****
* Excellent decision\-making skills, thrive on dealing with ambiguities and changes.
* Strong sense of ownership with outstanding interpersonal skills to work effectively across teams \&amp; multiple division stakeholders
* Deeply care about growing others, great at mentoring and coaching, creating a large positive impact on organizational culture.
* Strong learning ability, self\-driven
* Attending knowledge sharing sessions, both within the company and externally
* Learning transferable skills
* Growth mindset and constantly looking for opportunities to learn
****What we bring:****
* Exciting Product Mission with Impactful Technical Challenges \- Dive into the heart of eCommerce innovation at Buyer Experiences, where we're transforming eBay's shopping journey. By focusing on simplification, personalization, and modernization, we aim to build world\-class buyer and seller experiences on eBay marketplaces with creativity and passion. Utilizing cutting\-edge technologies like Generative AI, you'll tackle complex challenges that directly improve the shopping experience for millions of eBay users everyday.
* Vibrant Culture \- At Buyer Experiences, our strength lies in our diversity, transparency, and collaborative spirit. Our open culture ensures every voice is valued and heard. We celebrate our successes together and approach each challenge as an opportunity for collective growth. Be a part of a dynamic community that not only values your expertise but is also committed to your personal and professional growth.
* Flexible Working \- Enjoy exceptional support for remote work, allowing you to balance your professional and personal life seamlessly.
* Competitive Compensation and Benefit \- No matter where you are in the world, eBay supports your health and wellbeing with benefits as unique as you. Explore the benefits that help you be your best self. Check out our benefits here: https://www.ebaybenefits.com/index.html.
****Qualifications****
* Bachelor's degree in EE, CS or other related field.
* 8\+ years of experience designing front\-end systems and development using Javascript/Typescript, React, NodeJS, Server\-side rendering using one of the open\-sourced UI libraries (Material UI/Angular Material),Integration with REST/GraphQL APIs
* Experience in BEM\-structured CSS, Webpack and Express.js
* Contributions to common libraries/components
* Designs and builds scalable, distributed and high\-available systems, ensuring high\-performant, responsive website and accessibility.
* Experience taking a lead role delivering complex software systems and have a strong opinion on how backend systems should work and be integrated seamlessly.
 The base pay range for this position is expected in the range below:
 $196,800 \- $262,700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
 ]]\&gt;</t>
        </is>
      </c>
    </row>
    <row r="95">
      <c r="A95" t="inlineStr">
        <is>
          <t>li-4363877946</t>
        </is>
      </c>
      <c r="B95" t="inlineStr">
        <is>
          <t>Software Engineer – Systems/Signal Processing</t>
        </is>
      </c>
      <c r="C95" t="inlineStr">
        <is>
          <t>Leidos</t>
        </is>
      </c>
      <c r="D95" t="inlineStr">
        <is>
          <t>linkedin</t>
        </is>
      </c>
      <c r="E95">
        <f>HYPERLINK("https://www.linkedin.com/jobs/view/4363877946", "https://www.linkedin.com/jobs/view/4363877946")</f>
        <v/>
      </c>
      <c r="F95" t="inlineStr"/>
      <c r="G95" t="inlineStr">
        <is>
          <t>Huntsville, AL</t>
        </is>
      </c>
      <c r="H95" t="inlineStr"/>
      <c r="I95" t="inlineStr">
        <is>
          <t>**Description**
 Leidos is seeking a talented Mid\-Level Software Engineer to join our growing team. The ideal candidate is a strong C\+\+ developer with a solid foundation in Linux\-based systems and multi\-threaded application development. You will contribute to the design, development, and maintenance of high\-performance, real\-time software systems. We have offices across the United States engaging in the defense, space, cyber and commercial fields, We provide responsive, cost\-effective engineering, scientific and IT solutions.
**Primary Responsibilities**
 As a Mid\-Level Software Engineer, you will design, develop, and maintain high\-performance, real\-time C\+\+ applications on Linux using modern object\-oriented principles, robust multi\-threaded architectures, Google Test\-driven unit testing, and GitLab\-based workflows, while leveraging MATLAB for prototyping and occasionally accelerating performance with CUDA, signal\-processing techniques, or radar\-related algorithms. You’ll take full ownership of features from concept to deployment, contribute to system design (potentially using UML), and enhance tooling with Python, Bash, and containers—all while writing clean, well\-documented code and collaborating closely in a high\-trust team. We’re looking for a proactive problem\-solver with excellent communication skills, a passion for quality and performance, and genuine enthusiasm for tackling challenging problems the right way in a Linux/C\+\+ centric environment.
**Basic Qualifications**
* Candidate must possess a Bachelor's Degree in Computer Science, Computer Engineering, or equivalent degree from an ABET\-accredited university and 4\+ years of professional software development experience or Masters with 2\+ years of prior relevant experience.
* Strong proficiency in modern C\+\+ (C\+\+11/14/17/20\)
* Deep experience with object\-oriented design and programming
* Proven expertise in multi\-threaded application development
* Solid understanding of Linux development and debugging tools
* Proficiency with GitLab for version control, CI/CD pipelines, and code reviews
* Experience writing unit tests using Google Test (gtest) or similar frameworks
* Familiarity with MATLAB for prototyping or data analysis
* Experience with Agile/Scrum methodologies and task management
* Candidate must be a resident of the North Alabama area or willing to relocate to the Huntsville \- North Alabama, AL area.
* Must be able to obtain and maintain a DoD Secret security clearance.
**Preferred Qualifications**
 Additionally, a candidate with experience in the following areas is desired, however not necessarily required.
* Hands\-on experience with CUDA and GPU programming
* Background in digital signal processing (DSP)
* Exposure to radar systems or RF applications
* Experience with containerization (Docker, Podman, etc.) and orchestration tools
* Proficiency or familiarity with Python
* Bash/shell scripting for automation and tooling
* Knowledge of UML for software design and documentation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16,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96">
      <c r="A96" t="inlineStr">
        <is>
          <t>li-4353871380</t>
        </is>
      </c>
      <c r="B96" t="inlineStr">
        <is>
          <t>Software Engineer/ IDAM - Active TS/SCI with CI POLY</t>
        </is>
      </c>
      <c r="C96" t="inlineStr">
        <is>
          <t>ENS Solutions, LLC</t>
        </is>
      </c>
      <c r="D96" t="inlineStr">
        <is>
          <t>linkedin</t>
        </is>
      </c>
      <c r="E96">
        <f>HYPERLINK("https://www.linkedin.com/jobs/view/4353871380", "https://www.linkedin.com/jobs/view/4353871380")</f>
        <v/>
      </c>
      <c r="F96" t="inlineStr"/>
      <c r="G96" t="inlineStr">
        <is>
          <t>Washington Highlands, MD</t>
        </is>
      </c>
      <c r="H96" t="inlineStr"/>
      <c r="I96" t="inlineStr">
        <is>
          <t>As a Software Development Engineer with a focus on Identity and Access Management (IDAM), you will leverage your expertise in both software development and IDAM to provide operational support and advanced engineering solutions for Identity Access Management, including provisioning, authentication, and access management for both cloud and on\-premise environments.
**In This Role, a Typical Day Will Include**
* Participating in system development to include design, modeling, security, integration, and formal testing of an IDAM solution such as Radiant Logic and/or SailPoint
* Supporting an Attribute Based Access Control ABAC application development, integration, deployment, and maintenance. Design, develop, build, and test IT engineering solutions utilize for aggregation of attributes from authoritative sources, integration with Virtual LDAP Directory, Web Services
* Developing advanced engineering ideas and guiding their development into a final product
* Creating and maintaining programmatic and technical documentation
* Implementing system enhancements resulting in improved IT enterprise performance
* Analyzing customer requirements, specifications, and proposing solutions that fit to standards, compliance, and operational requirements
* Create, manage and update issues related to development tasks in JIRA
* Version control and source code management with Bitbucket
* Code testing and integration with CI/CD pipelines
**Requirements**
* Master's degree with 8\+ years of experience / Bachelor's degree with 10\+ years of experience.
* Active TS/SCI clearance and ability to obtain and maintain a CI poly.
* Must meet DoD 8570 IAT Level II requirements including one of the following: Security\+ CE, CND, SSCP, GSEC, GICSP, CySA\+, or CCNA Security
* Experience supporting commercial\-off\-the\-shelf (COTS) Identity Access Management (IAM) tools within an IT enterprise environment
* Knowledge of Java, JavaScript, XML, SOAP, and REST development
* Knowledge of Oracle Database
* Knowledge of Docker Containers and Ansible
* Knowledge of Active Directory, Lightweight Directory Access Protocol, and Single\-Sign\-On across multiple domains, as well as Multi\-Factor Authentication and Personal Identity Verification authentication
* Experience with Linux based systems and Bash scripting
* Ability to diagnose and solve complex issues
* DevOps principles for developing, testing and deploying applications
* Knowledge of Oracle OID
* Experience working within government enterprise environment
**Nice To Have**
* Experience with Radiant Logic and/or SailPoint products
* Experience with supporting IAM in a Cloud environment, including Azure or AWS
* Experience with SQL database administration or management
* Experience with integrating Radiant Logic with third party data sources
**Benefits**
 Essential Network Security (ENS) Solutions, LLC is a service\-disabled veteran owned, highly regarded IT consulting and management firm. ENS consults for the Department of Defense (DoD) and Intelligence Community (IC) providing innovative solutions in the core competency area of Identity, Credential and Access Management (ICAM), Software Development, Cyber and Network Security, System Engineering, Program/Project Management, IT support, Solutions, and Services that yield enduring results. Our strong technical and management experts have been able to maintain a standard of excellence in their relationships while delivering innovative, scalable and collaborative infrastructure to our clients.
 Why ENS?
* Free Platinum\-Level Medical/Dental/Vision coverage, 100% paid for by ENS
* 401k Contribution from Day 1
* PTO \+ 11 Paid Federal Holidays
* Long \&amp; Short Term Disability Insurance
* Group Term Life Insurance
* Tuition, Certification \&amp; Professional Development Assistance
* Workers’ Compensation
* Relocation Assistance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2026-01-18T03:03:25Z</dcterms:created>
  <dcterms:modified xsi:type="dcterms:W3CDTF">2026-01-18T03:03:25Z</dcterms:modified>
</cp:coreProperties>
</file>