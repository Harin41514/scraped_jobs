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in-dc8d78ea82f75c67</t>
        </is>
      </c>
      <c r="B2" t="inlineStr">
        <is>
          <t>C210- CONTINGENT – Program Manager (PM)</t>
        </is>
      </c>
      <c r="C2" t="inlineStr">
        <is>
          <t>Resource Metrix</t>
        </is>
      </c>
      <c r="D2" t="inlineStr">
        <is>
          <t>indeed</t>
        </is>
      </c>
      <c r="E2" t="inlineStr"/>
      <c r="F2" t="inlineStr"/>
      <c r="G2" t="inlineStr">
        <is>
          <t>Fort Belvoir, VA, US</t>
        </is>
      </c>
      <c r="H2" s="2" t="n">
        <v>46039</v>
      </c>
      <c r="I2" t="inlineStr">
        <is>
          <t>**Benefits:**
* Bonus based on performance
* Competitive salary
* Paid time off
**Summary:**  
The U.S. Army Intelligence and Security Command (INSCOM) provides global intelligence, security, communications, and information operations in support of Army, Joint, and national\-level missions. Headquartered at Fort Belvoir, VA, INSCOM operates in highly secure SCIF and SAP environments and maintains critical IT, C2, and network infrastructure across CONUS and OCONUS locations. The Command \&amp; Control Infrastructure Operations (C2IO) mission ensures uninterrupted delivery of networks, hardware, software, and communications capabilities that support worldwide intelligence operations.  
Location: Fort Belvoir, VA  
**Overview**
Manages enterprise IT Change Management in accordance with ITIL and INSCOM policy, ensuring all RFCs meet configuration, accreditation, and security requirements.  
**Responsibilities**
* Review/evaluate RFCs
* Maintain CM documentation, SOPs, and TTPs
* Support CAB/CEB processes
* Ensure accreditation/inspection readiness
* Coordinate changes with system owners
**Required Qualifications**
* Bachelor’s \+ 4 years or Master’s \+ 2 years
* ITIL v4 certification preferred
* Experience with enterprise CM
* Understanding of Army IT policy and RMF
* TS/SCI required</t>
        </is>
      </c>
    </row>
    <row r="3">
      <c r="A3" t="inlineStr">
        <is>
          <t>in-53688222b07ef051</t>
        </is>
      </c>
      <c r="B3" t="inlineStr">
        <is>
          <t>Recovery Support Program Manager</t>
        </is>
      </c>
      <c r="C3" t="inlineStr">
        <is>
          <t>Corazon Ministries, Inc.</t>
        </is>
      </c>
      <c r="D3" t="inlineStr">
        <is>
          <t>indeed</t>
        </is>
      </c>
      <c r="E3" t="inlineStr"/>
      <c r="F3" t="inlineStr"/>
      <c r="G3" t="inlineStr">
        <is>
          <t>San Antonio, TX, US</t>
        </is>
      </c>
      <c r="H3" s="2" t="n">
        <v>46039</v>
      </c>
      <c r="I3" t="inlineStr">
        <is>
          <t>Corazon Ministries
Position: Recovery Support Program Manager, PSS
Job Type: Full\-Time, Salary
Hours of Employment: Monday\- Friday 8am\-5pm
Reports To: Senior Program Director
The Recovery Support Drop\-In Center Manager provides leadership, compassionate care, and essential supervision of daily operations to ensure effective program outcomes that fulfill the mission of Corazón San Antonio. This position oversees the Drop\-In Center’s programs, recovery support staff, and volunteers while fostering a culture grounded in trauma\-informed care, and cultural humility. The Manager ensures the delivery of high\-quality, low\-barrier services and supports the well\-being and professional growth of staff through ongoing supervision, collaboration, and reflective practice.
Essential Duties and Responsibilities
* Operational Management: Oversee daily operations of the Drop\-In Center, ensuring it is open and staffed during business hours. Ensure the cleanliness and safety of the center, including regular maintenance of facilities and equipment.
* Staff and Volunteer Coordination: Facilitate weekly staff meetings and weekly peer supervision for Peer Recovery Support staff. Supervise, train, and support staff and volunteers to ensure high\-quality service delivery. Conduct regular check\-ins and monthly performance evaluations. Foster a positive and collaborative working environment.
* Client Services: Provide a welcoming and non\-judgmental space for all clients, ensuring they receive respectful and compassionate care. Conduct intake assessments, coordinate case management services, and refer clients to appropriate external resources (e.g., detox, inpatient treatment, medical services). Oversee the provision of supporting other departments regarding the serving of daily hot meals, showers, ID recovery assistance, and peer recovery support. Build rapport with clients through motivational interviewing and a strengths\-based, client\-centered approach that promotes self\-determination and long\-term stability.
* Program Development: Collaborate with leadership to develop, implement, and evaluate programs that respond to community needs and participant feedback. Support planning and facilitation of peer recovery support groups and educational workshops. Track outcomes and identify opportunities for service enhancement and innovation.
* Community Outreach and Partnerships: Represent Corazón at community events, coalitions, and partner meetings to promote services and strengthen referral networks. Maintain partnerships with healthcare providers, housing agencies, educational institutions, and community organizations to expand access to resources and coordinated care.
* Administration and Reporting: Ensure all participant data is accurately collected, entered, and reported in compliance with grant and agency requirements. Prepare regular reports on activities, outcomes, and areas for improvement. Ensure compliance with all organizational policies and procedures and relevant local, state, and federal regulations.
Qualifications:
* TX Driver's License and Reliable Transportation
* Peer Support Supervisor Certification (PSS)\- active
* Ability to work collaboratively with diverse populations.
* Proficiency in Microsoft Office Suite and data management systems.
Skills \&amp; Attributes:
* Empathy and compassion for individuals experiencing substance use and mental health challenges.
* Ability to work independently and as part of a team.
* Strong organizational and multitasking abilities.
* Commitment to promoting equity, reducing stigma, and empowering clients.
Work Environment:
* This position involves both office work (90%) and fieldwork (10%), including street outreach and community engagement activities.
* Regular participation in community events and training sessions is required.
Applicant Information Please be advised that all contractors and staff of Corazon Ministries will require a background check. The existence of a criminal record does not automatically disqualify you from employment.
Job Responsibilities Notes: The above statements reflect the general duties, responsibilities and competencies considered necessary to perform the essential duties \&amp; responsibilities of the job and should not be considered as a detailed description of all the work requirements of the position. Corazon Ministries may change the specific job duties with or without notice based on the organization's needs.
Corazon Ministries is an equal opportunity employer. We celebrate diversity and are committed to creating an inclusive environment for all employees.
Application Process: Interested candidates should submit a resume and cover letter detailing their experience and qualifications for the position to Madelein@corazonsa.org
Job Type: Full\-time
Pay: $50,000\.00 \- $52,000\.00 per year
Benefits:
* 403(b)
* Dental insurance
* Health insurance
* Life insurance
* Paid time off
* Vision insurance
People with a criminal record are encouraged to apply
Work Location: In person</t>
        </is>
      </c>
    </row>
    <row r="4">
      <c r="A4" t="inlineStr">
        <is>
          <t>in-e4d6ab6b698546ee</t>
        </is>
      </c>
      <c r="B4" t="inlineStr">
        <is>
          <t>Bilingual Program Manager of Victim Services</t>
        </is>
      </c>
      <c r="C4" t="inlineStr">
        <is>
          <t>Families to Freedom</t>
        </is>
      </c>
      <c r="D4" t="inlineStr">
        <is>
          <t>indeed</t>
        </is>
      </c>
      <c r="E4" t="inlineStr"/>
      <c r="F4" t="inlineStr"/>
      <c r="G4" t="inlineStr">
        <is>
          <t>Dallas, TX, US</t>
        </is>
      </c>
      <c r="H4" s="2" t="n">
        <v>46039</v>
      </c>
      <c r="I4" t="inlineStr">
        <is>
          <t>**Dallas Office 2026**
JOB DESCRIPTION
The Program Manager position serves to guide a team of staff and volunteers located in DFW to accomplish the mission of victim transportation services across North TX. The person in the role balances providing services to be victim centric, safe for all parties involved, and financially efficient.
The candidate in this position reports to the Chief Executive Officer, and will represent the local office activities and interests to the Board of Directors when called to attend Board Meetings.
**Description of Core Priorities:**
● Actively attract and recruit volunteers located in Dallas County, Collin County, Denton County, and North Texas counties east of DFW. Onboard and engage new volunteers.
* Promote the volunteer role using a variety of methods and channels
* Conduct volunteer orientation and driver training
* Engage with volunteers to encourage participation
* Report on volunteer hours monthly and prepare fuel reimbursement reports
* Problem\-solve for some travel scenarios and serve as POC for volunteers who need assistance
* Ensure volunteer drivers have materials and information needed for travel
● Oversee victim\-serving office staff for effectiveness and retention, including
* Coaching and training when improvement is needed
* Ensuring admin system inputs are accurate and complete
* Ensuring team communication with volunteers, clients, other staff, and service providers is effective and professional
* Creating and issuing Employee Evaluations and Performance Improvement Plans for direct reports
● Provide guidance to staff when infrastructure services fail (power, internet, card services)
● Ensure all communications and documents meet state and federal standards for victim confidentiality
● Serve as backup for staff scheduling gaps and workload including answering hotline calls during moments of high call volume
● Serve as driver for victims to arrive at shelter in the service area when the need is urgent, when it is practicable, and when no volunteer driver is available
● Monitor program expenses and activities to reduce costs where possible while balancing a positive travel experience for clients and volunteers; includes protecting major assets
● Maintain and cultivate positive working relationships with area shelter contacts, other social services agencies, and law enforcement allies
● Periodically present to law enforcement and victim serving council/coalition groups informing and promoting our services to attendees
● Always promote a positive public relations image
● Take initiatives toward professional development
**Working Conditions:** This position requires physical movements including lifting and stairs. Occasional early morning, evening and weekend work activities are required. Schedule flexibility to accommodate victim\-services staff schedule gaps, volunteer needs, and client transport (when urgent) is a requirement. We offer flextime to balance working extra\-long workdays. Typical weeks average 45\-50 hours; however, working 45 hours per week is the norm. We have an open concept layout in a small office where everyone can see and hear everything (no private office, no cube walls, no privacy).
**Compensation:** Starts at $65,000 salary paid bi\-monthly; ICHRA health benefits available.
**Dress Code:** Business casual is encouraged.
**Technology Requirements:** Proficiency with MS Word, MS Excel and PowerPoint; Google C\-Suite for Docs, Sheets and Slides; Able to toggle and manage several browser tabs. Typing while engaged in a phone conversation is needed. You’ll be required to download multiple work\-related apps to your smartphone for navigation, weather, and communications.
**Experience \&amp; Education:** Prior professional experience successfully managing programs and staff is a must. Preference will be given for Bachelor’s degree or higher, to military service (SrA, PO3s, Sergeant, or higher), or to nonprofit management.
**Preference will be given to candidates with:**
● Conversational bilingual communication skills both in English and Spanish
● At least 3 years of leadership over a team in delivery of a project, program or services
● Familiarity with the DFW metroplex area. \*\*\*Applicants residing outside the metroplex, new to DFW, or relocating to the Dallas area will not be considered.
● Ability to empathize with women’s challenges in American culture embracing feminism
● Ability to align staff towards achieving positive performance
● Skills in motivating and inspiring potential volunteers to engage in service
● Public speaking and presentation skills with stakeholders and prospective volunteers
**About Families to Freedom:**
Families to Freedom is a 501(c)(3\) nonprofit providing free transportation services to victims and their children who have experienced abuse. We make it possible for victims and new survivors to get far away from abusive relationships. Families to Freedom’s life\-saving services include car rides to domestic violence shelters, road trips to family homes in other states, multi\-state bus tickets, and fuel assistance to relocate far away. We serve non\-sheltered victims and shelter survivors across North Texas, East Texas and the Gulf Coast. Families to Freedom serves hundreds of victims and children each year and relies on the generous support of the community to provide these services at no cost to our clients.
It is the policy of Families to Freedom to provide equal opportunities for service, volunteerism and employment without regard to heritage, national origin, religion, gender, body size, personal attraction, age, or disability. We expect the same tolerance from our volunteers, staff and leadership team.
Visit our website for information about what we do: familiestofreedom.org
Pay: From $65,000\.00 per year
Benefits:
* Health insurance
* Mileage reimbursement
Work Location: In person</t>
        </is>
      </c>
    </row>
    <row r="5">
      <c r="A5" t="inlineStr">
        <is>
          <t>in-debce10e6af66ac3</t>
        </is>
      </c>
      <c r="B5" t="inlineStr">
        <is>
          <t>Therapy Program Manager</t>
        </is>
      </c>
      <c r="C5" t="inlineStr">
        <is>
          <t>BLUEGRASS CONSULTING</t>
        </is>
      </c>
      <c r="D5" t="inlineStr">
        <is>
          <t>indeed</t>
        </is>
      </c>
      <c r="E5" t="inlineStr"/>
      <c r="F5" t="inlineStr"/>
      <c r="G5" t="inlineStr">
        <is>
          <t>Owensboro, KY, US</t>
        </is>
      </c>
      <c r="H5" s="2" t="n">
        <v>46039</v>
      </c>
      <c r="I5" t="inlineStr">
        <is>
          <t>**Therapy Program Manager**
Wellington Parc Nursing \&amp; Rehab is looking for a Therapy Program Manager to join our teams’ mission and believe in our core values! Our mission: Through the hearts of our Care Team Members, we provide excellent healthcare to those we serve.
Our Core Values...
L \- Listening
E \- Empathy
A \- Accountability
D \- Decisiveness
This is how we create a culture to LEAD with Love.
**Leadership and Operations**
* Provide direct supervision and support to therapy team members including PTs, OTs, SLPs, and assistants.
* Oversee daily therapy operations including staffing, scheduling, and productivity management.
* Monitor clinical performance and outcomes to ensure excellence in therapy service delivery.
* Coordinate therapy care planning with interdisciplinary teams to support resident\-centered outcomes.
* Serve as liaison between therapy services, nursing, administration, and external partners.
* Participate in census development efforts through effective therapy programming and marketing support.
* Ensure compliance with all applicable federal, state, and facility regulations, including Medicare/Medicaid and PDPM guidelines.
* Support accurate and timely documentation, billing, and coding practices.
* Maintain proficiency in EMR systems and ensure documentation meets regulatory standards.
* Participate in quality assurance and performance improvement initiatives within the rehab department.
**Education**
* Master’s or Doctorate degree from an accredited institution
* Current state licensure as an Occupational Therapist, Physical Therapist, or Speech\-Language Pathologist.
* Certified Occupational Therapy Assistant or Physical Therapy Assistant may be considered.
**Experience**
* Minimum 2 years of experience in occupational therapy, preferably in a long\-term care or geriatric setting.
**Bluegrass Benefits**
* Quarterly Pay Increase
* Daily Pay
* Company\-Paid Life Insurance
* Telehealth Services
* Double Pay on Holiday
* Care Team Member Relief Fund
Join the Wellington Care team where compassion meets excellence!</t>
        </is>
      </c>
    </row>
    <row r="6">
      <c r="A6" t="inlineStr">
        <is>
          <t>in-ce13cbba365776e2</t>
        </is>
      </c>
      <c r="B6" t="inlineStr">
        <is>
          <t>Mi Academy Program Manager - Mission Increase</t>
        </is>
      </c>
      <c r="C6" t="inlineStr">
        <is>
          <t>Christian Career</t>
        </is>
      </c>
      <c r="D6" t="inlineStr">
        <is>
          <t>indeed</t>
        </is>
      </c>
      <c r="E6" t="inlineStr"/>
      <c r="F6" t="inlineStr"/>
      <c r="G6" t="inlineStr">
        <is>
          <t>Remote, US</t>
        </is>
      </c>
      <c r="H6" s="2" t="n">
        <v>46038</v>
      </c>
      <c r="I6" t="inlineStr">
        <is>
          <t>Mi Academy Program Manager \- Mission Increase
**About Mission Increase**
Mission Increase partners with Christian ministry leaders worldwide to transform fundraising from transactional necessity into authentic relationship\-based ministry. We equip nonprofits to build sustainable, healthy organizations through our Champion Development approach—rooted in biblical principles and proven best practices.
As we expand our impact through **Mi Academy** , our comprehensive online learning platform, we're seeking someone passionate about creating transformational learning experiences that equip ministry leaders to thrive.
**About This Role**
The Mi Academy Program Manager is the operational heartbeat of our online learning community. One will manage every aspect of the learner experience—from registration through course completion and beyond. This isn't a curriculum development or people management role; it's a hands\-on program management role focused on creating an exceptional online learning environment where ministry leaders can grow and succeed.
One will work closely with the Sr. Director of Innovation and Growth to build, maintain, and continuously improve Mi Academy as we scale from launch to serving 5,000\+ ministry leaders over the next two years.
**What One Will Do**
**Learning Experience Management (40%)**
* Build and configure courses in LearnWorlds LMS from existing curriculum materials
* Guide new users through registration, orientation, and platform navigation
* Moderate discussion forums and facilitate meaningful peer\-to\-peer learning
* Respond to learner questions, technical issues, and support requests with excellence
* Create and manage automated email sequences that keep learners engaged and progressing
* Coordinate with Area Directors on learner progress, needs, and success stories
**Technical Platform Administration (30%)**
* Administer LearnWorlds platform, including user management, course configuration, and integrations
* Maintain integrations with tools like chatbots, resource libraries, Zoom, and other learning technologies.
* Build and manage organized libraries for courses, resources, webinars, and downloadable materials
* Monitor platform performance and troubleshoot technical issues
* Implement platform improvements and new features as Mi Academy evolves
**Program Optimization \&amp; Growth (30%)**
* Analyze user activity data to identify learning barriers, drop\-off points, and opportunities for improvement
* Generate reports on enrollment, completion rates, user engagement, and program effectiveness
* Collaborate with the Marketing \&amp; Communications team to promote Mi Academy and grow our user base
* Partner with the Training \&amp; Curriculum team to implement course updates and ensure alignment with Mi's methodology
* Recommend and implement process improvements to enhance the learner experience
* Stay current on e\-learning best practices and bring innovative ideas to the team
**What We're Looking For**
**Required Experience**
* **3–5 years** in roles involving online learning, program management, or digital community management
* **LMS administration experience** (LearnWorlds experience not required, but LMS platform experience preferred)
* **Nonprofit ministry experience** —you understand how Christian nonprofits operate, their challenges, and their culture
* **Customer service excellence** —you genuinely enjoy helping people succeed and solving problems
* **Content management** —experience organizing, structuring, and maintaining digital content libraries
* **Virtual community facilitation** —you know how to foster engagement, encourage participation, and create belonging online
**Preferred Experience**
* Adult learning principles and instructional design concepts
* Marketing automation and email campaign management
* Forum moderation or online community management
* Website management or content management systems
* Project management for digital initiatives
**Technical Skills**
* Strong proficiency with web\-based platforms and learning management systems
* Comfortable learning new software tools quickly
* Basic troubleshooting abilities for common technical issues
* Experience with automation tools, integrations, and workflow optimization
* Data analysis skills—able to extract insights from platform analytics
**Personal Qualities \&amp; Fit**
* **Vibrant Christian faith** — actively growing in one's relationship with Christ and believe in Mission Increase's calling to foster generosity and grow healthy ministries. All employees must sign a statement of faith annually.
* **Learner\-centered mindset** —genuinely care about ministry leaders' success and celebrate their progress
* **Detail\-oriented** —nothing falls through the cracks on your watch
* **Proactive problem\-solver** — anticipates the needs and address issues before they become problems
* **Excellent communicator** —clear, encouraging, and responsive in written and verbal communication
* **Self\-directed** — works independently with minimal supervision while knowing when to collaborate
* **Adaptable** — thrives in a growing program where priorities shift and new challenges emerge
* **Passion for transformational learning** — believes online education can create genuine life and ministry change
**Educational Background**
Bachelor's degree preferred; however, equivalent practical experience will be strongly considered.
**Work Environment \&amp; Team Interaction**
This is a **fully remote position** requiring reliable internet, a professional workspace, and availability during U.S. business hours.
While one works independently most of the time, one will have:
* **Frequent check\-ins** with the Sr. Director of Innovation and Growth
* **Occasional collaboration** with Marketing, Training, and Curriculum teams
* **Weekly participation** in staff meetings and organization\-wide Team Time calls
One will be joining a mission\-driven team that values collaboration, innovation, and Kingdom impact.
**Why Join Mission Increase?**
* **Kingdom impact** : One's work directly equips ministry leaders to fund their God\-given vision and serve their communities more effectively
* **Innovation opportunity** : One will help build Mi Academy from its early stages and shape its future
* **Mission alignment** : Work for an organization where faith isn't separate from your job—it's central to everything we do
* **Remote flexibility** : Work from anywhere in the U.S. with a team that trusts one to manage one's time
* **Growing organization** : Be part of an organization expanding its global impact through digital innovation
**Compensation \&amp; Benefits**
**Salary Range:** $55,000–$65,000 annually, based on experience
Benefit packages include either an HSA eligible health plan or a PPO health plan, as well as dental, vision, life, disability, 401K with company match after 1 year of employment. 2 weeks of vacation, 12 paid holidays as well as voluntary supplemental benefits offered through Principal.
**How to Apply**
Submit a resume and a brief cover letter (no more than one page) to Amber Wedin. In your cover letter, please address:
* Why Mission Increase's mission resonates with one's personally
* One example of how one improved an online learning or community experience
* What excites one most about this role
**Application Deadline:** **1/30/2026**
Mission Increase is an equal opportunity employer. We celebrate diversity and are committed to creating an inclusive environment for all employees.</t>
        </is>
      </c>
    </row>
    <row r="7">
      <c r="A7" t="inlineStr">
        <is>
          <t>in-fc646aff537bb64c</t>
        </is>
      </c>
      <c r="B7" t="inlineStr">
        <is>
          <t>Technology Program Manager</t>
        </is>
      </c>
      <c r="C7" t="inlineStr">
        <is>
          <t>J.D. Power</t>
        </is>
      </c>
      <c r="D7" t="inlineStr">
        <is>
          <t>indeed</t>
        </is>
      </c>
      <c r="E7" t="inlineStr"/>
      <c r="F7" t="inlineStr"/>
      <c r="G7" t="inlineStr">
        <is>
          <t>Remote, US</t>
        </is>
      </c>
      <c r="H7" s="2" t="n">
        <v>46038</v>
      </c>
      <c r="I7" t="inlineStr">
        <is>
          <t>**Job Description:**
**Title:** Technology Program Manager
**Location:** Remote US
**Reports to:** Senior Director of Technology \&amp; Product Portfolio Management
**The Role**
We are seeking a Technology Program Manager to report to the Senior Director of Technology \&amp; Product Portfolio Management. This role will drive consistency, operational excellence, and strategic alignment across J.D. Power’s technology and engineering organization by implementing and managing standardized processes, governance frameworks, and delivery practices that span all technology teams.
You will serve as the primary champion for technology delivery consistency—ensuring that capacity planning, resource allocation, release management, and execution standards are applied uniformly across the engineering organization. Working in close partnership with the Product Program Manager, you will create seamless coordination between engineering and product delivery, enabling cross\-functional alignment and efficient end\-to\-end execution from concept through production.
This is a remote position for a seasoned program management professional who excels at bringing structure to technical delivery, driving adoption of engineering best practices, and building strong relationships across development teams. You will operate at the enterprise level, working horizontally across technology teams while maintaining deep visibility into engineering capacity, release health, technical dependencies, and delivery performance.
**Key Responsibilities**
**Technology Portfolio Delivery \&amp; Governance**
* Drive Consistent Technology Delivery Practices: Implement and manage standardized engineering delivery processes, technical governance checkpoints, and execution frameworks across all technology teams.
* Manage Cross\-Technology Portfolio Coordination: Maintain comprehensive visibility across the technology portfolio, tracking engineering progress, identifying technical dependencies, and ensuring alignment with product roadmaps and strategic priorities.
* Facilitate Technical Governance Reviews: Lead and coordinate technical readiness assessments, architecture reviews, and quality gates to ensure engineering initiatives meet standards before progressing through delivery phases.
* Support Technology Resource Allocation: Partner with engineering leadership to ensure technical resources, skills, and capacity are strategically allocated to highest\-priority initiatives.
* Monitor Technology Portfolio Health: Proactively identify technical risks, resource constraints, architectural blockers, and delivery challenges; escalate issues and drive resolution through appropriate channels.
**Product\-Technology Partnership**
* Partner with Product Program Manager: Work in lockstep to ensure product and technology delivery processes are aligned, complementary, and enable seamless cross\-functional execution from planning through release.
* Bridge Engineering and Product Organizations: Facilitate coordination, communication, and joint planning between engineering teams and product managers to ensure unified delivery approaches and realistic commitments.
* Align on Shared Standards: Collaborate to establish consistent definitions, metrics, reporting formats, and governance practices that work across both technology and product domains.
* Enable End\-to\-End Visibility: Create integrated views of technology and product delivery that provide comprehensive portfolio insights to leadership and stakeholders.
* Drive Cross\-Functional Problem Solving: Work together to address systemic delivery challenges, process gaps, technical debt prioritization, and coordination issues that span product and engineering teams.
**Engineering Capacity Planning \&amp; Resource Management**
* Unify Capacity Planning Practices: Establish and implement standardized capacity planning processes across all engineering teams, ensuring consistent approaches to forecasting, allocation, and utilization tracking.
* Create Capacity Visibility: Develop and maintain dashboards and reporting that provide real\-time visibility into engineering capacity, allocation to strategic initiatives, utilization rates, and availability for new work.
* Optimize Resource Allocation: Work with engineering leaders to balance capacity across strategic product development, maintenance, technical debt reduction, and innovation initiatives.
* Forecast Technical Resource Needs: Partner with product and portfolio leadership to anticipate future capacity requirements based on roadmap priorities and strategic objectives.
* Manage Technical Dependencies: Identify and track cross\-team dependencies, shared services, and infrastructure requirements to prevent delivery bottlenecks and enable predictable execution.
* Support Skill Gap Analysis: Collaborate with engineering leadership to identify capability gaps and support workforce planning decisions.
**Release Management \&amp; Execution Excellence**
* Standardize Release Rollout Methodology: Design and implement consistent release management practices, deployment frameworks, and production rollout procedures across all engineering teams.
* Manage Release Coordination: Orchestrate cross\-team releases, ensuring proper sequencing, dependency management, environment readiness, and stakeholder communication.
* Establish Release Quality Gates: Define and enforce quality standards, testing requirements, production readiness criteria, and rollback procedures for all releases.
* Drive Release Planning and Scheduling: Facilitate release planning sessions, maintain release calendars, and coordinate timing across multiple teams to minimize risk and maximize business value delivery.
* Monitor Release Performance: Track release metrics including frequency, success rates, defect escape rates, and rollback incidents; drive continuous improvement in release reliability.
* Enable Production Readiness: Ensure teams have proper runbooks, monitoring, observability, and support processes in place before production releases.
* Coordinate Release Communications: Manage stakeholder communication regarding release schedules, impacts, risks, and outcomes across the organization.
**Process Standardization \&amp; Operational Excellence**
* Implement Technology Intake Processes: Establish structured workflows for evaluating technical initiatives, architecture proposals, and infrastructure requests to ensure alignment with enterprise standards and strategic priorities.
* Create Transparency Through Reporting: Develop and maintain engineering dashboards, status reports, and portfolio views that communicate delivery progress, technical risks, capacity constraints, and value realization.
* Build Engineering Delivery Frameworks: Document standard operating procedures, best practices, and delivery frameworks that enable consistent execution across technology teams.
* Drive DevOps and Automation Adoption: Champion the adoption of CI/CD practices, automation, and modern engineering practices that improve delivery speed, quality, and reliability.
* Drive Continuous Improvement: Gather feedback, analyze delivery metrics, and iterate on processes to enhance engineering efficiency, quality, and team experience over time.
**Stakeholder Management \&amp; Change Leadership**
* Engage Cross\-Functionally: Partner with engineering leaders, architects, product managers, infrastructure teams, and operations to ensure portfolio alignment and execution transparency.
* Influence Without Authority: Build credibility and trust across the engineering organization, guiding teams to adopt standardized practices through coaching, facilitation, and demonstrated value.
* Lead Change Management Efforts: Support the adoption of new delivery models, release practices, capacity planning approaches, and governance structures through clear communication, training, and stakeholder engagement.
* Facilitate Cross\-Technology Collaboration: Create forums, communities of practice, and communication channels that enable knowledge sharing, technical alignment, and problem\-solving across engineering teams.
* Communicate to Senior Leadership: Provide regular, concise updates to executive stakeholders on technology portfolio status, engineering capacity, release performance, technical risks, and recommended actions.
**Qualifications**
* 8–10 years of experience in technology program management, engineering operations, or delivery management, with significant responsibility in software development or technology\-centric organizations.
* Proven expertise in managing complex, cross\-functional technology programs and driving consistency across multiple engineering teams, platforms, or technology stacks.
* Deep understanding of software development lifecycle, including hands\-on experience with modern engineering practices.
* Demonstrated success in capacity planning, resource management, and optimizing engineering team allocation across competing priorities.
* Strong experience with release management, including coordinating multi\-team releases, establishing deployment standards, and driving production reliability.
* Proven ability to partner across product and engineering organizations to create unified delivery approaches and resolve technical and cross\-functional challenges.
* Strong process design and implementation skills, with a track record of standardizing engineering practices and driving adoption at scale.
* Exceptional stakeholder management abilities, with experience influencing senior engineering leaders and building alignment across diverse technical teams.
* Excellent analytical and problem\-solving skills, with the ability to synthesize complex technical information, identify patterns, and drive data\-informed decisions.
* Outstanding communication skills, both written and verbal, with the ability to translate technical concepts for non\-technical audiences and tailor messages for engineers, product managers, and executive stakeholders.
* Experience with engineering tools and platforms (e.g., Jira, GitHub/GitLab, Jenkins, Azure DevOps, Confluence, Tableau, capacity planning tools) and the ability to leverage them for visibility, automation, and reporting.
* Bachelor’s degree in Computer Science, Engineering, Information Technology, or related technical field.
* Program/Project Management, Agile, or DevOps certifications (e.g., PMP, PgMP, SAFe, Certified Scrum Master, DevOps Institute) are a plus but not required.
**Why You’ll Love This Role**
* Drive Enterprise\-Wide Technical Excellence: Shape how engineering work is executed across J.D. Power, ensuring technology delivery is consistent, predictable, and strategically aligned.
* Work at the Intersection of Product and Technology: Partner closely with product program management to create seamless, integrated delivery across the enterprise.
* Optimize Engineering Effectiveness: Implement capacity planning and release management practices that maximize engineering productivity and enable teams to deliver their best work.
* Build Scalable Engineering Practices: Create processes, standards, and frameworks that will scale with the organization and elevate engineering maturity over time.
* Collaborate with Engineering Leadership: Gain high visibility and exposure to senior technology leaders while influencing strategic technology portfolio direction.
* Enable Faster, More Reliable Releases: Drive improvements in release frequency, quality, and reliability that directly impact customer value and business outcomes.
* Grow in a Culture of Excellence: Join an organization committed to operational excellence, continuous improvement, and empowering talented professionals to make meaningful contributions to technology delivery
**Company Mission**
J.D. Power is clear about what we do to ensure our success into the future. We unite industry leading data and insights with world\-class technology to solve our clients’ toughest challenges.
**Our Values**
We POWER Our Customer's Success
We are Innovative, Collaborative and Grounded in Data
We Make Things Easy
We Get It Done
We Start with Trust \&amp; Prove it Everyday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8">
      <c r="A8" t="inlineStr">
        <is>
          <t>in-5f068c86bab8ad8d</t>
        </is>
      </c>
      <c r="B8" t="inlineStr">
        <is>
          <t>Digital Product Manager</t>
        </is>
      </c>
      <c r="C8" t="inlineStr">
        <is>
          <t>UMB Financial Corporation</t>
        </is>
      </c>
      <c r="D8" t="inlineStr">
        <is>
          <t>indeed</t>
        </is>
      </c>
      <c r="E8" t="inlineStr"/>
      <c r="F8" t="inlineStr"/>
      <c r="G8" t="inlineStr">
        <is>
          <t>Kansas City, MO, US</t>
        </is>
      </c>
      <c r="H8" s="2" t="n">
        <v>46038</v>
      </c>
      <c r="I8" t="inlineStr">
        <is>
          <t>The Digital Channels Product group delivers online and mobile solutions for the Bank’s clients, including consumers, small businesses, and corporates.
As the Senior Digital Product Manager, you will be a thought leader around the execution of our digital strategy and responsible for prioritizing and managing the delivery of the Bank’s online solutions.
This role is hybrid (Mon through Thu on\-site / Fri remote) for candidates in the Kansas City metropolitan area and open to qualified remote candidates outside of the Kansas City area but only within the US.*How you’ll spend your time:** Create product roadmaps for the Digital Channel using industry trends, market research, Voice of Client feedback, and input from key stakeholders.
* Manage multiple aspects of vendor relationships, especially exerting influence over vendors’ product roadmaps to align with the Bank’s priorities.
* Hold internal and external technology partners and vendors accountable to deliver online solutions.
* Analyze and report on channel usage and trends.
* Partner with teams to create and prioritize features for delivery.
* Serve as a Channel Subject Matter Expert for internal teams, including Line of Business partners, sales, servicing, and support groups.
* Educate and communicate with partners on existing channel solutions as well as planned upcoming enhancements and progress regarding planned delivery of roadmap items.
* Develop and maintain close relationships with Line of Business leaders, working collaboratively to understand and validate market needs and opportunities.
* Define and create segment specific online solutions, balancing client needs while mitigating risk.
* Work closely with other Product Managers to deliver new functionality and capabilities through the Digital Channels.
* Identify and partner with key vendors, fin\-techs, etc. to develop and expand the go\-to market offerings.
* Partner with internal departments (compliance and legal) to ensure that all product features and functionality meet company and regulatory standards.
* Ensure all internal and external product documentation and due diligence is current.
* Be an advocate for change and process improvement within and beyond the digital product team.
*We’re excited to talk if you have:** An undergraduate degree and 7\+ years of product management experience and 5\+ years digital channel experience OR any combination of education and experience that would provide an equivalent background.
* Demonstrated strong interpersonal and communication skills.
* Experience to gain influence and cross functional consensus.
* Experience interpreting market and financial data to align strategies as well as build innovation around the products.
* Success in prioritizing your daily workload to meet expected deadlines.
* Proven history of results leading teams to deliver projects on time, within budget, and according to plan.
* Crafted strategic plans as well as translating those plans into action resulting in successful implementations.
* Successfully prioritized product backlogs by assessing the value, effort and risk of various items, including new features and functionality, channel enhancements and improvements, project cross impacts, defects and bug fixes, etc.
* Created compelling business cases for digital channels, including accurate assessment of ROI based on income related to increased deposits, and/or revenue, and/or interest.
* Experience in Financial Services or a related field.
* Solid understanding of Payments, inclusive of P2P, B2C, C2B and B2B payments.
* Experience leading channel or system conversions and/or upgrades.
*Bonus Points if you have:** Digital product experience within the banking industry.
Applicants must have legal authority to work in the United States. Work Visa sponsorship is not available for this position.
Application Deadline: March 19, 202
Compensation Range:
$83,200\.00 \- $178,800\.00*The posted compensation range on this listing represents UMB’s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request.**If you are a California resident, please visit our* Privacy Notice for California Job Candidates *to understand how we collect and use your personal information when you apply for employment with UMB.*</t>
        </is>
      </c>
    </row>
    <row r="9">
      <c r="A9" t="inlineStr">
        <is>
          <t>in-2bee92c82ebd5173</t>
        </is>
      </c>
      <c r="B9" t="inlineStr">
        <is>
          <t>Director, Finance - Test and Release Program Manager</t>
        </is>
      </c>
      <c r="C9" t="inlineStr">
        <is>
          <t>Sumitomo Group</t>
        </is>
      </c>
      <c r="D9" t="inlineStr">
        <is>
          <t>indeed</t>
        </is>
      </c>
      <c r="E9" t="inlineStr"/>
      <c r="F9" t="inlineStr"/>
      <c r="G9" t="inlineStr">
        <is>
          <t>Charlotte, NC, US</t>
        </is>
      </c>
      <c r="H9" s="2" t="n">
        <v>46038</v>
      </c>
      <c r="I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$179,000\.00 and $230,000\.00\.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The Finance Change Management Director Test and Release Manager is responsible for planning, coordinating, and managing all testing and release activities within complex, multi\-stream financial programs. This role ensures software solutions meet quality standards and are released in a controlled, reliable, and compliant manner, in alignment with regulatory and business requirements.
The main areas of coverage:
 **Test Management:**  
Define test strategy, plans, and approach across multiple workstreams and platforms.  
Coordinate and manage end\-to\-end testing cycles including system integration, UAT, regression, and performance testing.  
Oversee test environment readiness, data provisioning, and defect management.  
Ensure adherence to quality standards and audit requirements.  
Collaborate with internal QA teams and external vendors.
 **Release Management:**  
Develop and manage the release schedule for large\-scale program deployments.  
Coordinate release readiness reviews, implementation plans, and change control processes.  
Maintain and manage the release calendar with clear visibility of dependencies.  
Ensure rollback strategies, release documentation, and post\-deployment validation are in place.
 **Stakeholder \&amp; Risk Management:**  
Act as a central point of contact for testing and release\-related communications across business, IT, and third\-party stakeholders.  
Identify, escalate, and manage testing and release risks, issues, and dependencies.  
Provide regular reporting and insights on test progress, release health, and quality metrics.
 **Audit engagement:**  
Manage audit enquiries across projects.  
Work with team to ensure quality of documentation
 **Skills \&amp; Qualifications:**  
Proven experience (8\+ years) in test and release management within complex, regulated environments (ideally financial services).  
Strong knowledge of test methodologies, tools (e.g., ALM, JIRA, Selenium, LoadRunner), and release tools (e.g., Jenkins, Git, Azure DevOps).  
Deep understanding of SDLC, Agile, and Waterfall methodologies.  
Experience managing multiple releases, environments, and cross\-functional testing teams.  
Excellent stakeholder communication and coordination skills.
 **Preferred:**  
Experience in Finance LOB and understanding of accounting concepts, GL technologies, core banking systems, trading platforms, or payments.  
ISTQB Certification or equivalent.  
ITIL certification for Release \&amp; Deployment Management.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0">
      <c r="A10" t="inlineStr">
        <is>
          <t>in-86efd924ddf40544</t>
        </is>
      </c>
      <c r="B10" t="inlineStr">
        <is>
          <t>Technical Program Manager - Mac</t>
        </is>
      </c>
      <c r="C10" t="inlineStr">
        <is>
          <t>Apple</t>
        </is>
      </c>
      <c r="D10" t="inlineStr">
        <is>
          <t>indeed</t>
        </is>
      </c>
      <c r="E10" t="inlineStr"/>
      <c r="F10" t="inlineStr"/>
      <c r="G10" t="inlineStr">
        <is>
          <t>Cupertino, CA, US</t>
        </is>
      </c>
      <c r="H10" s="2" t="n">
        <v>46038</v>
      </c>
      <c r="I10" t="inlineStr">
        <is>
          <t>Imagine what you could do here. At Apple, we believe new ideas have a way of becoming phenomenal products, services, and customer experiences very quickly. Bring passion and dedication to your job and there's no telling what you could accomplish.  
We don’t just create products \- we create the kind of wonder that’s revolutionized entire industries. It’s the diversity of our people and their ideas that inspires the innovation that runs through everything we do, from amazing technology to industry\-leading environmental efforts. Join Apple, and help us leave the world better than we found it.  
**Description**  
It takes deeply dedicated, intelligent and hard\-working individuals to maintain and exceed the high expectations for the exciting brand at Apple. You will lead a team of engineers (DFx, DFm, test, SQE, PQE, etc.) and others in support of new product development as well as sustaining operations and ensuring the contract manufacturer readiness for very high volume production. You will bring your knack and thirst to drive all technical operational issues related to SMT and system integration processes to ensure effective closure of all issues to enable operational success of the entire new product introduction cycle and into the mass production phase.  
* Technical lead for manufacturing operations at multiple vendors and sites.
* Driving contract manufacturer preparation for pre\-production builds.
* Production process development, documentation, optimization and validation.
* Development and implementation of new technologies to improve production quality, capacity and efficiency.
* Sets standard practices and independently settles impact to design approaches and parameters to the final product.
* Provides direction, mentorship and resources to other engineering groups and project leaders as well as factory technicians.
* Act as lead engineer on a variety of projects and participates in the project planning of major sub\-projects.
* Provide regular VP level communication of technical health of program
* International travel 20\-25% Performs assignments in several of the following manufacturing engineering functions:
* Design for Manufacturability: Provide early and ongoing manufacturing involvement to ensure manufacturability of new products.
* Product Engineering: Works all phases of a product from concept to repeat manufacturing to end of life. Provides production support engineering with respect to technically complex testing methods, procedures and failure analysis.
* Process Engineering: Designs and develops technically complex processes to improve quality and efficiency.
* Failure/Data Analysis: Plans, develops and implements technically complex procedures for the testing and evaluation of soon to be released products. Specifies test to be performed, compiles data and makes recommendations for product design changes and final assembly standards. This will include the use of Design of Experiments (DOE) and statistical analysis using Six Sigma principles.
**Preferred Qualifications**  
MS in related Engineering field  
Experience in introducing products into manufacturing, or high volume production is a huge plus.  
Excellent project management skills, experience working in a matrix organization. (Planning, Cost, \&amp; Delivery).  
Direct experience leading any of the following functional engineering teams a plus (ME, EE, TE, DFX, Etc.).  
Experience working with International OEM partners.  
Ability to communicate effectively in a worldwide environment.  
New Product Introduction and Manufacturing Operations experience desired.  
Validated working experience with DFm \&amp; DFx.  
Proven track record of cost reduction, project management and engineering design required.  
Required to understand and tolerance stack ups for assemblies and part level.  
Solid understanding of GD\&amp;T principles a plus.  
Proven understanding of pneumatics, servomotors, PLC and PC\-based control systems a plus.  
JMP, Minitab \&amp; Six Sigma experience a plus.  
**Minimum Qualifications**  
BS in related Engineering field  
3\+ years experience in engineering and manufacturing.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1">
      <c r="A11" t="inlineStr">
        <is>
          <t>in-6f42a6ac217c9a59</t>
        </is>
      </c>
      <c r="B11" t="inlineStr">
        <is>
          <t>AIML Engineering Program Manager</t>
        </is>
      </c>
      <c r="C11" t="inlineStr">
        <is>
          <t>Apple</t>
        </is>
      </c>
      <c r="D11" t="inlineStr">
        <is>
          <t>indeed</t>
        </is>
      </c>
      <c r="E11" t="inlineStr"/>
      <c r="F11" t="inlineStr"/>
      <c r="G11" t="inlineStr">
        <is>
          <t>Cupertino, CA, US</t>
        </is>
      </c>
      <c r="H11" s="2" t="n">
        <v>46038</v>
      </c>
      <c r="I11"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develop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Apple's Retail Decision Automation team is looking for an outstanding and experienced AIML Engineering Program Manager who is passionate about delivering production\-grade machine learning and analytics solutions. You'll partner across technical and business teams to manage a wide range of machine learning solutions, each aligned to deliver to different goals, experiences and processes. Our work in decision automation and performance optimization powers a broad portfolio of Retail initiatives, all with the common goal of enriching and reimagining our customer experience.  
**Description**  
Technical Program Managers at Apple define, lead, and execute data\-driven solutions that have significant business impact. In this role, you will:  
* Own a diverse portfolio of agentic features and machine learning decision points, ensuring they are aligned with broader program objectives and delivering measurable value.
\- Drive strategy, prioritization, and delivery of ML\- and analytics\-powered solutions across multiple business areas.  
* Guide programs from inception through implementation by collaborating with data scientists, analysts, engineers, and business partners.
* Serve as a program leader who encourages accountability, high performance, and continuous improvement.","responsibilities":"Identify risks, resolve roadblocks, and keep teams focused and aligned on goals.
Translate business needs into clear requirements, project plans, and success metrics.  
Develop a culture of trust, collaboration, and inclusion across the program team.  
Communicate technical and analytical results clearly to both technical audiences and senior business partners.  
Bring structure and awareness of sophisticated programs with many parallel workstreams and moving parts.  
Establish and track business\-critical metrics and ensure data\-driven decisions at every stage.  
**Preferred Qualifications**  
Experience managing multiple ML or analytics decision points within a large\-scale or enterprise program.  
Familiarity with modern data and ML tooling (e.g., Airflow, Spark, Snowflake, model monitoring tools).  
Strong problem\-solving skills with an ability to balance short\-term urgency with long\-term strategy.  
Track record of influencing through metrics, vision, and collaborative leadership.  
Clear, confident communicator who can adapt between technical detail and executive\-level storytelling.  
Passion for building high\-performing teams and encouraging inclusive, purposeful program culture.  
**Minimum Qualifications**  
Bachelor’s degree in Computer Science, Engineering, Mathematics, or a related technical field.  
7\+ years of technical program or product management experience.  
Strong experience working with machine learning, analytics, or data science\-driven programs.  
Proven track record to lead high\-impact, cross\-functional initiatives with multiple decision points and success metrics.  
Skilled at translating ambiguous business needs into well\-scoped, data\-driven projects.  
Excellent organizational, prioritization, and communication skills.  
Comfortable operating in fast\-paced environments with evolving requirements.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2">
      <c r="A12" t="inlineStr">
        <is>
          <t>in-748b3e0570278985</t>
        </is>
      </c>
      <c r="B12" t="inlineStr">
        <is>
          <t>Audio New Product Introduction Operations Program Manager (NPI-OPM)</t>
        </is>
      </c>
      <c r="C12" t="inlineStr">
        <is>
          <t>Apple</t>
        </is>
      </c>
      <c r="D12" t="inlineStr">
        <is>
          <t>indeed</t>
        </is>
      </c>
      <c r="E12" t="inlineStr"/>
      <c r="F12" t="inlineStr"/>
      <c r="G12" t="inlineStr">
        <is>
          <t>Cupertino, CA, US</t>
        </is>
      </c>
      <c r="H12" s="2" t="n">
        <v>46038</v>
      </c>
      <c r="I12"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build products \- they craft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The Audio NPI PM organization role will lead the team within WW Operations and be the primary operations interface to the core product development team and other functional organizations within Apple.  
As the owner of the product, the NPI PM will ensure the successful launch of products towards meeting its stated cost, quality, schedule, availability and customer experience goals. The NPI PM is responsible for all facets of the project launch which includes:  
Leading ramp availability for all product modules with Materials, Quality, Engineering and other internal and external teams.  
Ensuring security, materials, equipment, fixtures, staffing, training, documentation plans are in place at our partners.  
Drive responsive supply chains that optimize lowest costs, operational flexibility and high quality.  
Assesses, analyzes, consolidates, and communicates risk and status clearly and succinctly to management, calling out key issues and presenting options for resolution to the cross\-functional executive team trough the new product reviews and other executive forums.  
Provides links from the Cupertino Ops \&amp; Engineering Teams to the Factory teams from various development builds through new product introduction, including product hand\-off to Sustaining Operations Management.  
**Preferred Qualifications**  
Experience working with off\-shore manufacturers and traveling to manufacturing sites  
Strong interpersonal skills and ability to present to management  
Extraordinary ability to build relationships  
Clear, consistent communication  
Use data to drive decisions and be willing to take action  
Enthusiastic and motivated  
High level of detail while running several work\-streams  
Ability to travel internationally up to 25%  
Technical expertise and prior OEM management experience  
MS preferred  
MBA a plus  
**Minimum Qualifications**  
7\+ years experience in manufacturing, process engineering or product development  
BS in Industrial, Mechanical or related engineering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3">
      <c r="A13" t="inlineStr">
        <is>
          <t>in-a91d067cb81a63b9</t>
        </is>
      </c>
      <c r="B13" t="inlineStr">
        <is>
          <t>Program Manager and Event Coordinator</t>
        </is>
      </c>
      <c r="C13" t="inlineStr">
        <is>
          <t>Leaders Credit Union</t>
        </is>
      </c>
      <c r="D13" t="inlineStr">
        <is>
          <t>indeed</t>
        </is>
      </c>
      <c r="E13" t="inlineStr"/>
      <c r="F13" t="inlineStr"/>
      <c r="G13" t="inlineStr">
        <is>
          <t>Jackson, TN, US</t>
        </is>
      </c>
      <c r="H13" s="2" t="n">
        <v>46038</v>
      </c>
      <c r="I13" t="inlineStr">
        <is>
          <t>Thank you for taking the time to review our Program Manager and Event Coordinator position. At Leaders Credit Union, our mission is to “Power your passion and make lives better.” We are very intentional about the hiring and interview process, which means we take our time. We want to make sure that you find the perfect career path! We truly appreciate your interest in Leaders Credit Union.
**Who is Leaders Credit Union?** We are a member\-owned financial cooperative. This means that we exist to serve the needs of the consumers who own accounts at Leaders Credit Union. They are owners, and their financial well\-being is at the heart of every decision we make. We are one of the largest credit unions in West Tennessee, and one of the most stable. Our purpose is simple: to provide a sound, convenient alternative to traditional banking.
**What are our core values?** As a team member of Leaders Credit Union, you would be asked to adhere to a specific set of core values. These values should govern all decisions that are made when serving our members’ needs. These values are:
* Member Focused
* Team Oriented
* Community Minded
* Forward Thinking
* Trusted Partner
**Why Leaders?** Leaders Credit Union has been ranked one of the Best Credit Unions to Work for three years in a row. So, what makes Leaders such a great place to work?
* **Great benefits!** We offer healthcare, vacation time, sick time, 401k options, and a profit\-sharing plan (just to name a few!) Our Human Resources team is always looking to ensure that our benefit packages are competitive.
* **Work with a mission!** Our mission statement isn’t just something written on a billboard, we truly look to “power your passion and make lives better.” That mission is lived out by member\-facing personnel as well as our back\-office employees.
* **Extensive training!** We go to great lengths to make sure you know your job responsibilities and are comfortable through a very thorough training process. But our training goes beyond that. We offer monthly classes on everything from mortgage products to conflict resolution. We give you the tools you need to succeed.
* **Room for growth!** At Leaders, you are only limited by your own ambition. Being part of a quickly growing financial institution leaves room for personal growth, and we do our best to promote from within whenever possible.
 **What does a day as a Program Manager and Event Coordinator look like?**
As a member of the Marketing team, you may perform a variety of responsibilities. Responsibilities include, but are not limited to:
* Supporting the Leaders Education Foundation with scholarships, grants, and donor engagement.
* Planning and executing a wide range of events, managing budgets, logistics, and resources to ensure alignment with organizational goals and standards.
* Managing vendor relationships and contracts to ensure timely delivery and seamless coordination.
* Coordinating community initiatives, sponsorships, and volunteer activities while representing Leaders Credit Union and the Leaders Education Foundation at events and building strong relationships with community partners.
* Communicating professionally with vendors and partners, managing schedules and event documentation, managing calendars, budgets, reports and assisting with promotions, and maintaining organized records.
 **What is the schedule?** Our hours for this position are 8:00 am to 5:00 pm Monday through Friday. This position combines both office\-based work as well as on\-site event support. Sometimes giving top\-notch member service may require a little overtime, but we value work\-life\-balance and do our best to limit this. Occasional evening and weekend work may be required for events and community activities for this position.
 **Does your skillset and experience line up?** For this role, we are looking for someone who has:
* Bachelor’s degree in Event Management, Communications, Marketing, Nonprofit Management, or a related field (or equivalent experience)
* 2–5 years of experience in event coordination, program management, or a related role
* Demonstrated experience working with vendors and managing event logistics
* Strong organizational skills with the ability to manage multiple projects and deadlines
* Excellent written and verbal communication skills
* High attention to detail and strong problem\-solving abilities
* Comfortable working both independently and collaboratively across teams
* Proficiency in Microsoft Office, or similar tools; experience with event management software is a plus
 **What is next?** If you think this role is the perfect fit for you, please apply, and upload your resume online. Once you have applied you will receive an email from our system saying your application has been received. Keep an eye on your email over the next few weeks as this is our main form of communication. If the next step for you is an interview, we will reach out via email. If this position isn’t the right fit at this time, we will keep your resume on file in case anything else comes available that you might be a great fit for.
Thank you for choosing Leaders!</t>
        </is>
      </c>
    </row>
    <row r="14">
      <c r="A14" t="inlineStr">
        <is>
          <t>in-d2ef4a50a3ccf23f</t>
        </is>
      </c>
      <c r="B14" t="inlineStr">
        <is>
          <t>Associate Product Manager, 2026 Graduate U.S.</t>
        </is>
      </c>
      <c r="C14" t="inlineStr">
        <is>
          <t>Atlassian</t>
        </is>
      </c>
      <c r="D14" t="inlineStr">
        <is>
          <t>indeed</t>
        </is>
      </c>
      <c r="E14" t="inlineStr"/>
      <c r="F14" t="inlineStr"/>
      <c r="G14" t="inlineStr">
        <is>
          <t>San Francisco, CA, US</t>
        </is>
      </c>
      <c r="H14" s="2" t="n">
        <v>46038</v>
      </c>
      <c r="I14"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Org**
Atlassian’s Grad\+\+ program combines hands\-on technical training, professional growth opportunities, dedicated mentorship, and strong social connections. This holistic approach empowers students to hit the ground running and sets them up for a successful and impactful career at Atlassian!
This role is located in the Pacific Time Zone. You must be willing and able to work out of this time zone to qualify.
This position is not eligible for F1 and J1 students. It is not available for any work sponsorship.
**Your Future Team**
Are you dedicated to extraordinary user experience, have awesome technical experience and relish variety? If so, Atlassian has a phenomenal opportunity for you as part of our Associate Product Manager (APM) Program.This opportunity as an APM will give your career in product management a head start with great support from an entrepreneurial team and experience steering the direction of our products.
In this role, you'll have the opportunity to wear multiple hats while crafting creative solutions for our customer's greatest challenges. We promise you'll never be bored! Our APM grad program is crafted and designed to accelerate the growth of exceptionally creative problem solvers into the next generation of global leaders.Our APMs experience two, one\-year long rotations with different Atlassian product teams.
To learn more about the APM program go to Associate Product Manager Program \| Atlassian.
Responsibilities:
* Conducting customer and partner interviews that translate insight into action
* Creating product specs that meet user and business needs
* Researching and communicating competitive analysis
* Researching and communicating new market and product opportunities
Qualifications:
**Minimum Qualifications**
* Currently enrolled full time in a Bachelor's or Master’s degree program and are graduating by Spring 2026\.
* Have a passion for building and analyzing technology products, customer needs, and market dynamics
* Have an interest in translating customer insights into meaningful results for our engineering teams
* Be able to think from multiple perspectives, including our customers and development teams
* Deep understanding of the value of collaboration and teamwork
**Preferred Qualifications**
* Entrepreneurial experience in any domain
* Internship experience in product management, software or consulting
* Knowledge of the technical aspects of software development
* An understanding of what constitutes good design, either through design/UI work of your own or working with designers in a team
* Experience driving decisions in the face of ambiguity and change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$117,000 \- $152,750
Zone B: $105,300 \- $137,475
Zone C: $97,200 \- $126,900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Atlassian Internships: Students and New Grads \| Atlassian.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row>
    <row r="15">
      <c r="A15" t="inlineStr">
        <is>
          <t>in-91e74f278664da6c</t>
        </is>
      </c>
      <c r="B15" t="inlineStr">
        <is>
          <t>Associate Product Manager, 2026 Graduate U.S.</t>
        </is>
      </c>
      <c r="C15" t="inlineStr">
        <is>
          <t>Atlassian</t>
        </is>
      </c>
      <c r="D15" t="inlineStr">
        <is>
          <t>indeed</t>
        </is>
      </c>
      <c r="E15" t="inlineStr"/>
      <c r="F15" t="inlineStr"/>
      <c r="G15" t="inlineStr">
        <is>
          <t>San Francisco, CA, US</t>
        </is>
      </c>
      <c r="H15" s="2" t="n">
        <v>46038</v>
      </c>
      <c r="I15"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Org**
Atlassian’s Grad\+\+ program combines hands\-on technical training, professional growth opportunities, dedicated mentorship, and strong social connections. This holistic approach empowers students to hit the ground running and sets them up for a successful and impactful career at Atlassian!
This role is located in the Pacific Time Zone. You must be willing and able to work out of this time zone to qualify.
This position is not eligible for F1 and J1 students. It is not available for any work sponsorship.
**Your Future Team**
Are you dedicated to extraordinary user experience, have awesome technical experience and relish variety? If so, Atlassian has a phenomenal opportunity for you as part of our Associate Product Manager (APM) Program.This opportunity as an APM will give your career in product management a head start with great support from an entrepreneurial team and experience steering the direction of our products.
In this role, you'll have the opportunity to wear multiple hats while crafting creative solutions for our customer's greatest challenges. We promise you'll never be bored! Our APM grad program is crafted and designed to accelerate the growth of exceptionally creative problem solvers into the next generation of global leaders.Our APMs experience two, one\-year long rotations with different Atlassian product teams.
To learn more about the APM program go to Associate Product Manager Program \| Atlassian.
Responsibilities:
* Conducting customer and partner interviews that translate insight into action
* Creating product specs that meet user and business needs
* Researching and communicating competitive analysis
* Researching and communicating new market and product opportunities
Qualifications:
**Minimum Qualifications**
* Currently enrolled full time in a Bachelor's or Master’s degree program and are graduating by Spring 2026\.
* Have a passion for building and analyzing technology products, customer needs, and market dynamics
* Have an interest in translating customer insights into meaningful results for our engineering teams
* Be able to think from multiple perspectives, including our customers and development teams
* Deep understanding of the value of collaboration and teamwork
**Preferred Qualifications**
* Entrepreneurial experience in any domain
* Internship experience in product management, software or consulting
* Knowledge of the technical aspects of software development
* An understanding of what constitutes good design, either through design/UI work of your own or working with designers in a team
* Experience driving decisions in the face of ambiguity and change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$117,000 \- $152,750
Zone B: $105,300 \- $137,475
Zone C: $97,200 \- $126,900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Atlassian Internships: Students and New Grads \| Atlassian.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row>
    <row r="16">
      <c r="A16" t="inlineStr">
        <is>
          <t>in-2b195fc45788b98a</t>
        </is>
      </c>
      <c r="B16" t="inlineStr">
        <is>
          <t>Associate Product Manager, 2026 Graduate U.S.</t>
        </is>
      </c>
      <c r="C16" t="inlineStr">
        <is>
          <t>Atlassian</t>
        </is>
      </c>
      <c r="D16" t="inlineStr">
        <is>
          <t>indeed</t>
        </is>
      </c>
      <c r="E16" t="inlineStr"/>
      <c r="F16" t="inlineStr"/>
      <c r="G16" t="inlineStr">
        <is>
          <t>San Francisco, CA, US</t>
        </is>
      </c>
      <c r="H16" s="2" t="n">
        <v>46038</v>
      </c>
      <c r="I16"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Org**
Atlassian’s Grad\+\+ program combines hands\-on technical training, professional growth opportunities, dedicated mentorship, and strong social connections. This holistic approach empowers students to hit the ground running and sets them up for a successful and impactful career at Atlassian!
This role is located in the Pacific Time Zone. You must be willing and able to work out of this time zone to qualify.
This position is not eligible for F1 and J1 students. It is not available for any work sponsorship.
**Your Future Team**
Are you dedicated to extraordinary user experience, have awesome technical experience and relish variety? If so, Atlassian has a phenomenal opportunity for you as part of our Associate Product Manager (APM) Program.This opportunity as an APM will give your career in product management a head start with great support from an entrepreneurial team and experience steering the direction of our products.
In this role, you'll have the opportunity to wear multiple hats while crafting creative solutions for our customer's greatest challenges. We promise you'll never be bored! Our APM grad program is crafted and designed to accelerate the growth of exceptionally creative problem solvers into the next generation of global leaders.Our APMs experience two, one\-year long rotations with different Atlassian product teams.
To learn more about the APM program go to Associate Product Manager Program \| Atlassian.
Responsibilities:
* Conducting customer and partner interviews that translate insight into action
* Creating product specs that meet user and business needs
* Researching and communicating competitive analysis
* Researching and communicating new market and product opportunities
Qualifications:
**Minimum Qualifications**
* Currently enrolled full time in a Bachelor's or Master’s degree program and are graduating by Spring 2026\.
* Have a passion for building and analyzing technology products, customer needs, and market dynamics
* Have an interest in translating customer insights into meaningful results for our engineering teams
* Be able to think from multiple perspectives, including our customers and development teams
* Deep understanding of the value of collaboration and teamwork
**Preferred Qualifications**
* Entrepreneurial experience in any domain
* Internship experience in product management, software or consulting
* Knowledge of the technical aspects of software development
* An understanding of what constitutes good design, either through design/UI work of your own or working with designers in a team
* Experience driving decisions in the face of ambiguity and change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$117,000 \- $152,750
Zone B: $105,300 \- $137,475
Zone C: $97,200 \- $126,900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Atlassian Internships: Students and New Grads \| Atlassian.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row>
    <row r="17">
      <c r="A17" t="inlineStr">
        <is>
          <t>in-eb5b9fda4899a782</t>
        </is>
      </c>
      <c r="B17" t="inlineStr">
        <is>
          <t>Program Manager 2-LDH (Sustainability Director)</t>
        </is>
      </c>
      <c r="C17" t="inlineStr">
        <is>
          <t>State of Louisiana</t>
        </is>
      </c>
      <c r="D17" t="inlineStr">
        <is>
          <t>indeed</t>
        </is>
      </c>
      <c r="E17" t="inlineStr"/>
      <c r="F17" t="inlineStr"/>
      <c r="G17" t="inlineStr">
        <is>
          <t>Baton Rouge, LA, US</t>
        </is>
      </c>
      <c r="H17" s="2" t="n">
        <v>46037</v>
      </c>
      <c r="I17" t="inlineStr">
        <is>
          <t>**Salary**
$5,751\.00 \- $11,284\.00 Monthly
**Location**Baton Rouge, LA
**Job Type**
Classified
**Job Number**
OS/PAW/216575
**Department**
LDH\-Office of Secretary
**Opening Date**
01/16/2026
**Closing Date**
1/26/2026 11:59 PM Central
**About this Job**
------------------
The mission of the Louisiana Department of Health is to protect and promote health and to ensure access to medical, preventive, and rehabilitative services for all residents of the State of Louisiana. **Learn more about Louisiana Department of Health**  
This position plays a critical role in advancing rural health transformation by leading the design and execution of a comprehensive surveillance and evaluation system for a statewide grant. The role oversees key performance indicators, data analytics, and outcomes reporting while managing budget and fiscal operations in compliance with state and federal requirements. Working closely with executive leadership, the position ensures data\-driven decision\-making by proactively identifying trends, risks, and opportunities. This is a unique opportunity to shape rural health outcomes through strategic oversight, analytics, and program leadership.
**Minimum Qualifications**
--------------------------
Seven years of experience in developing, managing, or evaluating health or social service programs; or in public health, public relations, social services, health services, health regulation, or administrative services; OR  
Six years of full\-time work experience in any field plus four years of experience in developing, managing, or evaluating health or social service programs; or in public health, public relations, social services, health services, health regulation, or administrative services; OR  
A bachelor’s degree plus four years of experience in developing, managing, or evaluating health or social service programs; or in public health, public relations, social services, health services, health regulation, or administrative services; OR  
An advanced degree or a Juris Doctorate plus three years of experience in developing, managing, or evaluating health or social service programs; or in public health, public relations, social services, health services, health regulation, or administrative services.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
The official job specifications for this role, as defined by the State Civil Service, can be found here.
**Job Duties and Other Information**
------------------------------------
Job Duties:
 **Design and Execution of Rural Health Transformation Program Surveillance System*** Oversees the design evaluation plan and identifies key process and performance indicators in consultation with Program staff and appropriate stakeholders for all initiatives and strategies in the Rural Health Transformation Program.
* Develops standards of Evaluation practice and data collection protocols along with instruments necessary to gather valid and rigorous data for annual reporting to Centers for Medicaid and Medicare Services (CMS) and quarterly reporting to Rural Health Transformation Program Advisory Council.
 **Management of Budget and Fiscal Operations*** Oversees all budget and fiscal operations for federal and state reporting, including but not limited to tracking of use of funds for federal grant, management of funding to sub\-grantees, and development of reports for Joint Legislative Committee on Budget.
* Directs monthly budget projections and development of annual budget requests through the grant period.
* Supervises and coordinates the daily activities of budget manager and procurement/contract staff to meet organizational objectives.
 **Management of Data Analytics and Outcomes Reporting*** Oversees all grant operations for reporting of outcome metrics, including development of baseline data and ongoing tracking mechanisms.
* Ensures data reporting is established in a manner in which sub\-grantees are able to respond and the general public is able to comprehend in order to demonstrate success or need for improvement in identified initiative areas.
 **Reporting and Communications*** Develops and manages monthly tracking databases to track program activities, use of funds, and outcomes pertaining to the rural health transformation program grant.
Position\-Specific Details:  
**Location:** Office of Secretary / Executive / East Baton Rouge Parish**Appointment Type:** This position may be filled as aProbationary appointment, Promotional appointment orJob appointment (temporary appointment that may last up to 48 months)**Cost Center:** 30710003000010**Position Number(s):** 50693065  
How To Apply:  
No Civil Service test score is required in order to be considered for this vacancy.  
 Applicants are responsible for checking the status of their application to determine where they are in the recruitment process. Further status message information is located under the Information section of the Current Job Opportunities page.* Information to support your eligibility for the position must be included in the application (i.e., relevant, detailed experience/education).Resumes will not be accepted in lieu of completed education and experience sections. Applications may be rejected if incomplete.
Contact Information:
Patricia Walker
Patricia.Walker.DCFS@la.gov
LA Department of Health (LDH)
Division of Human Resources
PO Box 4818
Baton Rouge, LA 70821
225\-342\-6477 **This organization participates in E\-verify, and for more information on E\-verify, please contact DHS at 1\-888\-464\-4218\.** **LDH supports Louisiana’s commitment to being a State as a Model Employer (SAME) by promoting the recruitment, hiring, and retention of individuals with disabilities.** ***Information on the Louisiana Works, Louisiana Rehabilitation Services is available*** **here*****.***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18">
      <c r="A18" t="inlineStr">
        <is>
          <t>in-59b8faf00c3d4c5e</t>
        </is>
      </c>
      <c r="B18" t="inlineStr">
        <is>
          <t>Program Manager</t>
        </is>
      </c>
      <c r="C18" t="inlineStr">
        <is>
          <t>HealthPRO Heritage</t>
        </is>
      </c>
      <c r="D18" t="inlineStr">
        <is>
          <t>indeed</t>
        </is>
      </c>
      <c r="E18" t="inlineStr"/>
      <c r="F18" t="inlineStr"/>
      <c r="G18" t="inlineStr">
        <is>
          <t>Youngsville, NC, US</t>
        </is>
      </c>
      <c r="H18" s="2" t="n">
        <v>46037</v>
      </c>
      <c r="I18" t="inlineStr">
        <is>
          <t>Overview:
**HealthPro Heritage has a great Part time Program Manager Opportunity at Franklin Manor Assisted Living setting in Youngsville, North Carolina.**
* Open to PT, OT, SLP, COTA, and PTA candidates
\-Part time position with flexible schedule \- Weekdays
* Pay range is $35\-$40 for Assistants and $45\-50 for PT, OT, SLP
* Supportive Management with a great rehab team!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19">
      <c r="A19" t="inlineStr">
        <is>
          <t>in-f3e7213515bd60b8</t>
        </is>
      </c>
      <c r="B19" t="inlineStr">
        <is>
          <t>Federal Energy Program Manager (Energy)</t>
        </is>
      </c>
      <c r="C19" t="inlineStr">
        <is>
          <t>State of Louisiana</t>
        </is>
      </c>
      <c r="D19" t="inlineStr">
        <is>
          <t>indeed</t>
        </is>
      </c>
      <c r="E19" t="inlineStr"/>
      <c r="F19" t="inlineStr"/>
      <c r="G19" t="inlineStr">
        <is>
          <t>Baton Rouge, LA, US</t>
        </is>
      </c>
      <c r="H19" s="2" t="n">
        <v>46034</v>
      </c>
      <c r="I19" t="inlineStr">
        <is>
          <t>**Salary**
$4,458\.00 \- $8,027\.00 Monthly
**Location**Baton Rouge, LA
**Job Type**
Classified
**Job Number**
DCE\-OEN\-2026\-123740\-FRD
**Department**
DCE\-Department of Conservation and Energy
**Division**
Office of Energy
**Opening Date**
01/13/2026
**Closing Date**
1/23/2026 11:59 PM Central
**About this Job**
------------------
**Office of Energy**
The Office of Energy promotes the efficient use and responsible management of energy in the state. It helps maximize Louisiana's energy potential by exploring all energy sources and by reducing current energy consumption through education, energy\-use studies, and demonstrations of energy\-efficient technologies.
**LOCATION AND POSITION INFORMATION:**
This position is located in within the Office of Energy in Baton Rouge, LA. The Federal Energy Program Manager is a senior level program manager responsible for assisting the Statewide Program Manager 2 in the administration and execution of federal funded energy programs.
**Minimum Qualifications**
--------------------------
A bachelor’s degree in a physical, biological, or environmental science, engineering, computer science, or a business\-related field plus four years of experience in natural resources management, environmental science, computer science, or administrative services; OR  
A master's degree in a physical, biological, or environmental science, engineering, computer science, or a business\-related field plus three years of experience in natural resources management, environmental science, computer science, or administrative services; OR  
A doctorate in a physical, biological, or environmental science, engineering, computer science, or a business\-related field plus two years of experience in natural resources management, environmental science, computer science, or administrative services.
**Job Specification**
---------------------
The official job specifications for this role, as defined by the State Civil Service, can be found here.
**Job Duties and Other Information**
------------------------------------
This role requires a dynamic professional with a diverse skill set, strong analytical capabilities, and the ability to manage multiple projects across a wide range of energy initiatives. Duties and responsibilities include, but are not limited to the following:
* Serves as in\-house expert and technical advisor on alternative energy technologies and methods to improve energy efficiency.
* Provides direction and review of funds to ensure proper allocation and expenditure of funds, alignment with budget, and compliance with funding source requirements; monitors performance of contractors and grantees.
* Develops and implements policies and procedures to ensure program/project compliance with applicable laws.
* Provides financial oversight of federal and state energy programs, including fund allocation, budget tracking, and expenditure analysis to ensure accountability and compliance with all funding source requirements.
* Serves as a liaison for all federal and state energy initiatives, collaborating with internal teams, external stakeholders, nonprofit partners, and governmental entities to coordinate energy\-related projects and funding opportunities.
* Applies analytical skills to evaluate program performance.
* Prepares, reviews, and submits performance reports, including required quarterly and annual reports to the U.S. Department of Energy (USDOE).
* Develops, drafts, and oversees contracts and procurement instruments, including Requests for Proposals (RFPs), ensuring alignment with program objectives, budgetary constraints, and compliance with federal and state procurement regulations.
* Monitors contractor and subrecipient performance, including timely reporting, adherence to deliverables, and compliance with scope of work.
* May represent the agency on boards, coalitions, associations and panels in meetings with private industry, nonprofit organizations, and governmental officials in matters relative to energy.
* Performs other related duties as assigned by the manager.
 **PREFERRED QUALIFICATIONS:**
* Experience and or knowledge managing federal grants
 **Appointment Type:** Probational
**Career Progression:** This position does not participate in a Career Progression Group.
**Compensation:** The salary offered will be determined based on qualifications and experience.
 ***This vacancy is being announced as a classified position and is open to all qualified applicants.*** *This position requires the selected applicant to serve a minimum probationary period of twelve (12\) months. A current, permanent status state employee may be required to accept a probational appointment in lieu of promotion. Additional Vacancies may be filled from this announcement within 90 days of the closing date.*
**APPLICATION PROCESS:**
**No Civil Service test score** is required in order to be considered for this vacancy.
***Applicants are responsible for checking the status of their applications to determine where they are in the recruitment process.*** Further status message information is located under the Information section of the Current Job Opportunities page.
**A copy of your college transcript MUST be submitted by the closing date of this announcement. This may be done by way of an attachment to your online application and/or by fax/mail.** Applicants possessing an international degree must submit an equivalency evaluation statement with their application. This may be done by way of an attachment to your online application.
**Transcripts can either be mailed or faxed to the Louisiana Department of State Civil Service. Fax: 225\-219\-1041\. Mailing Address: Department of State Civil Service, P.O. Box 94111, Capitol Station, Baton Rouge, LA 70804\-9111\.**
*\*****Resumes WILL NOT be accepted in lieu of completed education and experience sections on your application. Applications may be rejected if incomplete.\****
For further information about this vacancy contact:
Human Resources
Department of Conservation and Energy
PO Box 94396
Baton Rouge, LA 70804\-9396
Email: \_DCE\-HumanResources@LA.Gov
The Department of Conservation and Energy is a State As a Model Employer (SAME) agency that supports improved employment opportunities for individuals with disabilities. For more information on employment\-related resources available for those with disabilities, refer to the Louisiana Employment Resources Guide at http://www.laworks.net/Downloads/LRS/EmploymentResourceGuide\_2018\.pdf .
 *The Department of Conservation and Energy is a participant in the E\-Verify system for identification and employment eligibility purposes.*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20">
      <c r="A20" t="inlineStr">
        <is>
          <t>in-bde79b862ae33f17</t>
        </is>
      </c>
      <c r="B20" t="inlineStr">
        <is>
          <t>Program Manager - Barnstable County</t>
        </is>
      </c>
      <c r="C20" t="inlineStr">
        <is>
          <t>Community Systems, Inc</t>
        </is>
      </c>
      <c r="D20" t="inlineStr">
        <is>
          <t>indeed</t>
        </is>
      </c>
      <c r="E20" t="inlineStr"/>
      <c r="F20" t="inlineStr"/>
      <c r="G20" t="inlineStr">
        <is>
          <t>Plymouth, MA, US</t>
        </is>
      </c>
      <c r="H20" s="2" t="n">
        <v>46026</v>
      </c>
      <c r="I20" t="inlineStr">
        <is>
          <t>**ESSENTIAL FUNCTIONS, DUTIES, AND RESPONSIBILITIES**
* Support and implement the CSI mission while empowering each person supported to direct his or her own life.
* The Program Manager A supervises the assistant manager and the direct support professionals.
* Maintain supports in compliance with DDS (DE\-DDDS) Licensure Standards and any other standards and regulations which apply. Maintain and account for all documentation for certification, regulations, standards, and CSI policy.
* Ensure effective operation of supports by leading and scheduling staff; assigning and evaluating their work; and providing them professional guidance.
* Hire, evaluate, reward, discipline, and terminate employees.
* Plan, encourage, and support training and staff development programs, using knowledge of the effectiveness of methods such as classroom training, demonstrations, on\-the\-job training, meetings, conferences, mentoring and workshops.
* Ensuring staff attends and completes all required training and ongoing professional development activities.
* Oversee routine maintenance of a person’s home, furnishings, and equipment.
* Oversee routine maintenance and safety of CSI owned or leased vehicles.
* Oversee the proper accounting of CSI resources and funds of the persons supported according to CSI’s policies and procedures.
* Complete required documentation in a timely manner.
* Schedule and lead team meetings on a weekly or bi\-weekly basis and participate in Managers’ meetings as requested by the Executive Director or designee.
* Maintain optimal communication and cooperative working relationships with the team, family, guardians and other stakeholders.
* Always represent CSI in a positive and professional manner.
* Accept and perform on\-call responsibilities.
* Coordinate the appropriate staffing coverage to assure mission focused supports.
* Computer skills including but not limited to Microsoft Office, web based applications, general windows skills.
* Perform other duties as assigned.
**WORK ENVIRONMENT**
The Program Manager A’s environment may vary widely each day. He/she may function within a person’s home, including the kitchen and specially equipped bath. He/she may drive a vehicle to support the community activities of a person supported; the vehicle may be CSI’s or the employee’s personal vehicle. Such activities may include, but not be limited to, shopping, attending medical appointments, dining out, athletic activities, concerts, movies or religious services. He/she will be expected to travel for business or with a person supported both in and out of state.
Hazardous material exposure is generally limited to household items such as cleaning items. The duties may present an exposure to bloodborne pathogens.
**REQUIRED TRAININGS**
The Program Manager will maintain all state/CSI mandated trainings as per CSI policy.
**JOB QUALIFICATIONS**
Prior experience working in the field of supporting persons with disabilities is preferred. The minimum requirements are a high school diploma or GED, minimum age requirement 20 years, functional literacy in math and reading, and a valid driver’s license. Candidates must also have a satisfactory criminal, driving and employment history per CSI personnel policy. An Associate’s degree in a related field of study is preferred.
**PHYSICAL REQUIREMENTS**
The physical demands described here are representative of those that must be met by an employee to successfully perform the essential functions of the position. Reasonable accommodation may be made to enable employees with disabilities to perform the essential functions.
* The ability to physically assist people out of a structure in the event of an emergency.
* Communicate effectively using English both verbally and in writing
* Sufficient strength to lift up to 50 pounds for intermittent/ occasional periods and as necessary so as to, for example, carry several bags of groceries
* Sufficient dexterity to operate standard business equipment and other specialized equipment
* Vision for everyday reading and the ability to drive as determined by each state.
* Stand/sit for extended periods of time, possibly up to 6 hours at a time.
* The ability as necessary to physically restrain individuals who could be a risk of danger to themselves or others
* Bend to the floor
* Reach above waist level for example, to put groceries away on a shelf
* Twist at the pelvis
* Climb stairs
* Walk ½ mile
* Kneel so as to perform CPR
* Move without restriction so as to perform essential job functions</t>
        </is>
      </c>
    </row>
    <row r="21">
      <c r="A21" t="inlineStr">
        <is>
          <t>in-3664190aaae8eb2c</t>
        </is>
      </c>
      <c r="B21" t="inlineStr">
        <is>
          <t>Retail Product Manager</t>
        </is>
      </c>
      <c r="C21" t="inlineStr">
        <is>
          <t>IT Search Corp</t>
        </is>
      </c>
      <c r="D21" t="inlineStr">
        <is>
          <t>indeed</t>
        </is>
      </c>
      <c r="E21">
        <f>HYPERLINK("https://www.indeed.com/viewjob?jk=3664190aaae8eb2c", "https://www.indeed.com/viewjob?jk=3664190aaae8eb2c")</f>
        <v/>
      </c>
      <c r="F21">
        <f>HYPERLINK("https://it-search-corp.careerplug.com/j/02v0how", "https://it-search-corp.careerplug.com/j/02v0how")</f>
        <v/>
      </c>
      <c r="G21" t="inlineStr">
        <is>
          <t>US</t>
        </is>
      </c>
      <c r="H21" s="3" t="n">
        <v>46039</v>
      </c>
      <c r="I21" t="inlineStr">
        <is>
          <t>**Benefits:**
* 401(k)
* Bonus based on performance
* Dental insurance
* Health insurance
**JOB TITLE: Product Manager**  
**LOCATION: East Coast/Tri\-state area**  
**REPORTS TO: VP, Product \&amp; Merchandising**  
**TYPE: Exempt**  
**SALARY: $100k\-$120k**  
Note: Relocation and any associated costs are the sole responsibility of the person hired for this position.  
**RESPONSIBILITIES**  
* Develops and managers product portfolio consistent with brand values and corporate goals including new product development, SKU count, productivity, markdown strategy and exit strategy.
* Works with global product team during Seasonal development cycle to ensure all product briefs are executed to reach company revenue goals.
* Regularly analyzes and responds to selling trends, inventory reports, sell through detail, etc. to ensure company objectives are met.
* Gathers and analyzes feedback from sales teams, marketing partners, retailers and consumers and implements as appropriate into product and brand portfolio strategies.
* Provides clear and consistent brand vision across all sectors including selling teams, marketing teams, tradeshows, special events and public relations.
* Drives brand presentation standards and values including seasonal presentations, catalog and print media, trade shoes, promotions etc.
* Supports and motivates selling teams with operational tools, selling strategies, sponsorship and brand outlook. Provides regular and consistent communications to stakeholders regarding current strategies, projects and timelines.
* Maintains current knowledge of emerging trends in all relevant industries including footwear, health and wellness, fashion and media. Shares and implements as appropriate.
* Regularly attends trade shoes, professional events, consumer events, and buy meetings representing the brand, product development process, corporate office and larger brand values.
* Represents the brand in professional, trade, consumer, and public relations opportunities including, brand history and values, product design, health and wellness, market trends, and future direction.
* Partners with VP, Product and Merchandising and counterparts to ensure consistent brand messaging and brand value creation.
* Leads, develops and mentors staff.
* Other projects and duties as assigned.
**POSITION REQUIREMENTS/QUALIFICATIONS**  
* Bachelor’s degree (B.A./B.S.) in Business, Industrial Design, Marketing or related field from a four\-year College or university or combination of relevant education, experience and training.
* Three plus years in Category Management to include financial contributions, margin analysis and inventory management.
* Minimum three years’ experience in Product Design and Product Development.
* Experience with wholesale sales, retail management, consumer relations, or ecommerce management, footwear industry preferred.
* Experience with marketing, product merchandising, visual merchandising, branding, footwear industry preferred.
* Solid understanding of fashion industry, color theory, consumer trends and consumer behavior.
* Solid knowledge of regulations in regard to manufacturing, product safety, consumer protection and child safety.
* Experience managing and developing a team of direct reports.
* Strong verbal and written communication skills, including facilitating meetings and presentations with a high degree of integrity. Should be comfortable presenting in front of large groups of people with great presentation skills and the ability to engage and influence.
* Strong Excel skills.
* Proficient in Microsoft Outlook, Word and PowerPoint.
* SAP experience a plus.
* Strong process improvement and problem\-solving skills.
* Works with a sense of urgency and efficiency without sacrificing accuracy and quality.
* Takes ownership for all assigned areas of responsibility.
* Excellent time management skills.
* High attention to detail and accuracy.
* Strong organizational skills.
* Must be able to lift and/or move up to 30 pounds.
* Ability to travel domestically (home offices) and internationally required.
This is a remote position.</t>
        </is>
      </c>
    </row>
    <row r="22">
      <c r="A22" t="inlineStr">
        <is>
          <t>in-17aa17a1318c8be9</t>
        </is>
      </c>
      <c r="B22" t="inlineStr">
        <is>
          <t>Pulmonary Program Manager (CRT or RRT)</t>
        </is>
      </c>
      <c r="C22" t="inlineStr"/>
      <c r="D22" t="inlineStr">
        <is>
          <t>indeed</t>
        </is>
      </c>
      <c r="E22">
        <f>HYPERLINK("https://www.indeed.com/viewjob?jk=17aa17a1318c8be9", "https://www.indeed.com/viewjob?jk=17aa17a1318c8be9")</f>
        <v/>
      </c>
      <c r="F22">
        <f>HYPERLINK("https://jobs.apploi.com/view/1694789?utm_campaign=integration&amp;utm_medium=job-board-feed&amp;utm_source=indeed-apply-feed", "https://jobs.apploi.com/view/1694789?utm_campaign=integration&amp;utm_medium=job-board-feed&amp;utm_source=indeed-apply-feed")</f>
        <v/>
      </c>
      <c r="G22" t="inlineStr">
        <is>
          <t>Salina, KS, US</t>
        </is>
      </c>
      <c r="H22" s="3" t="n">
        <v>46039</v>
      </c>
      <c r="I22" t="inlineStr">
        <is>
          <t>**Respiratory Therapist, We need You**!
**Our Pulmonary Program Coordinatory is a Managment Level position that leads a team of Respiratory Therapist to extend are to our long term and short term residents!**
Our recently aquired skilled nursing facility, is launching a pulmonary program that caters to our residents and future residents’ pulmonary and cardiac needs. Our pulmonary program has had a highly effective impact on preventing re\-hospitilazation, maintaining or improving ADLs, and reducing risk of pulmonary infection. Policies and processes have been created so we can have a proactive focus on bettering the lives we serve. The ideal candidate will be a Certified or Registered Respiratory Therapist, licensed in the State of Kansas, with a love of servant leadership. Alongside the Director of Nursing and Infection Preventionist, the RT will execute treatments and interventions necessary to create an atmosphere of health and wellbeing establishing tangible goals and tracking the progress of those we steward! Apply today!
Hours are Monday through Friday, 8 hour days with on call availability. Pay ranges from $45 to $50 per hour based on experience
**This position is for our Pulmonary Program Manager, which leads a team of Respiratory Therapist and is responsible for providing respiratory care services in accordance with specific physician’s orders, department policies and procedures, and state and federal guidelines.**
**Main Responsibilities:**
Maintains knowledge of the varying aspects of all things pulmonary as allowed within the therapist scope and licensure of the long\-term care facility.
Administers respiratory therapy treatments and interventions, understands the purpose of each and the possible side effects associated with each.
Able to assess patient pain interfering with optimal level of function or participation in rehabilitation. Makes appropriate nursing contact for intervention.
Follows departmental equipment sterilization procedures and maintains effective infection control.
Documents all pertinent data on the patient’s medical record following completion of any extension of the Pulmonary Program
Demonstrates knowledge and understanding of the differences in techniques and treatment modalities as performed on residents of varying acuity,age, and life station.
Manages and operates equipment safely and correctly. Inspects and tests respiratory therapy equipment to ensure that it is functioning safely and efficiently.
Maintains thorough knowledge of hazards of oxygen therapy.
Formulates care plan based on identified learning needs of a patient and evaluates effectiveness of learning, Patient’s family is included in teaching as appropriate.
Treats patients and their families with respect and dignity. Coordinates and directs patient care to ensure patients’ needs are met and that physician orders and facility policy is followed.
Demonstrates ability to assess patient, his/her need, and ability to tolerate treatment and reassessment for response to treatment.
 Demonstrates the ability to navigate pressure to meet deadlines, to be accurate, and to handle constantly changing situations.
 Attends and conducts education in\-service programs to maintain professional competency. Obtains appropriate program\-specific education and training.
 Performs all additional duties assigned by the department manager.
 In charge therapist role, is responsible for the daily operation of the shift, including work assignments, troubleshooting, responding to emergencies, and liaison with nurses, Director of Nursing, the Administrator and Physicians
Other duties, responsibilities and activities may change or be assigned to you at any time with or without notice, from DON or NHA.
**Professional Requirements**
Represents the organization in a positive and professional manner.
 Actively participates in performance improvement and continuous quality improvement (CQI) activities.
 Communicates and complies with the Sweetwater Mission, Vision, and Values as well as the focus statement of the department.
 Complies with State and Federal Guidelines, along with Organizational Policies and Procedures.
 Complies with Health and Safety Standards and Guidelines.
**Qualifications**
**Education/Experience Requirements:**
Current State Respiratory Therapist Licensure.
Graduate of an AMA\-approved School of Respiratory Therapy.
Possesses and maintains an active CRT/ RRT credentialing applicable to the Kansas
Current ACLS and BLS Certification
**Affirmative Action Statement**  
*Sweetwater is an Equal Opportunity Employer committed to fostering a diverse and inclusive workplace. We actively seek to recruit, hire, and promote individuals from all backgrounds, including but not limited to women, minorities, individuals with disabilities, protected veterans, and members of the LGBTQ\+ community. We are proud to be an affirmative action employer and encourage all qualified candidates to apply.*
**Reasonable Accommodation Statement**
*Consistent with the Americans with Disabilities Act (ADA) and Kansas Anti\-Discrimination Act, it is the policy of the facility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the Administrator.*</t>
        </is>
      </c>
    </row>
    <row r="23">
      <c r="A23" t="inlineStr">
        <is>
          <t>in-0328ed6d5c28f0a2</t>
        </is>
      </c>
      <c r="B23" t="inlineStr">
        <is>
          <t>Program Manager</t>
        </is>
      </c>
      <c r="C23" t="inlineStr"/>
      <c r="D23" t="inlineStr">
        <is>
          <t>indeed</t>
        </is>
      </c>
      <c r="E23">
        <f>HYPERLINK("https://www.indeed.com/viewjob?jk=0328ed6d5c28f0a2", "https://www.indeed.com/viewjob?jk=0328ed6d5c28f0a2")</f>
        <v/>
      </c>
      <c r="F23">
        <f>HYPERLINK("https://apply.workable.com/j/D4A8363D2F", "https://apply.workable.com/j/D4A8363D2F")</f>
        <v/>
      </c>
      <c r="G23" t="inlineStr">
        <is>
          <t>Bethesda, MD, US</t>
        </is>
      </c>
      <c r="H23" s="3" t="n">
        <v>46038</v>
      </c>
      <c r="I23" t="inlineStr">
        <is>
          <t>Join the team at Greenberg\-Larraby, Inc. (GLI) as a Program Manager, where you will be an essential part of our mission to deliver high\-quality healthcare services. In this role, you will oversee various programs, ensuring operational excellence, compliance, and performance metrics are consistently met.:
As the Program Manager, your key responsibilities will include:
* Leading the daily operations of assigned programs, providing direction and support to ensure optimal performance.
* Collaborating with stakeholders to develop and maintain project plans, timelines, and resource allocations.
* Developing and implementing training programs to enhance staff skills and knowledge, ensuring all team members are equipped to meet performance standards.
* Monitoring and analyzing program performance data, implementing corrective actions as necessary to achieve established goals.
* Building and maintaining strong relationships with clients, stakeholders, and team members to foster a collaborative environment.
* Ensuring compliance with industry regulations and company policies across all programs.
* Preparing and presenting reports to senior management on program performance, challenges, and opportunities for improvement.
This position is contingent upon award. This position may be remote with some travel as needed.
**Requirements:**  
To qualify for this position, you should meet the following criteria:
* Bachelor's degree in a relevant field, with 5\+ years of experience in program management or related roles.
* Proven track record of managing multiple projects simultaneously and successfully.
* Strong leadership skills with at least 2 years of experience managing teams.
* Excellent communication and interpersonal skills with the ability to engage and motivate a diverse team.
* Proficient in project management tools and Microsoft Office Suite.
* Solid understanding of healthcare processes and compliance regulations is highly preferred.
* Ability to analyze data and make informed decisions to drive program success.
**Additional Experience:**  
* Healthcare technology, medical devices, IT modernization, or cybersecurity programs
* Experience supporting large, distributed programs with multiple stakeholders
* Prior experience in regulated healthcare or enterprise technology environments
**Additional Notes:**  
* This is a contingent position pending contract award
* Position may be remote, with travel as required
* Candidates must be eligible to work in the United States
We are an Equal Opportunity Employer.
**Benefits:**  
* Health Care Plan (Medical, Dental \&amp; Vision)
* Retirement Plan (401k, IRA)
* Life Insurance (Basic, Voluntary \&amp; AD\&amp;D)
* Paid Time Off (Vacation, Sick \&amp; Public Holidays)
* Short Term \&amp; Long\-Term Disability
* Terms apply to Benefit Packages, depending on scope.
**Disclaimer:**  
Greenberg \&amp; Larraby, Inc. will never send offer letters of employment unless a thorough interview process has taken place and all other internal processing has taken place.
If you receive one from an outside party and is not from the URL of our firm at @greenberg\-larraby.com), please do not respond. If you have further questions, please reach out to your administrator.
When you apply to our positions, upon our interest, a recruiter will call you directly and will pre\-screen prior to an interview. Offers of employment are contingent upon a thorough interview process, background check, and security clearance adjudication processing as applicable. Thank you.
We are an Equal Opportunity Employer.</t>
        </is>
      </c>
    </row>
    <row r="24">
      <c r="A24" t="inlineStr">
        <is>
          <t>in-9b982130d91857a5</t>
        </is>
      </c>
      <c r="B24" t="inlineStr">
        <is>
          <t>GENERAL ENGINEERING PROGRAM MANAGER (PUBLIC SERVICE ADMINISTRATOR, OPT 8E)</t>
        </is>
      </c>
      <c r="C24" t="inlineStr">
        <is>
          <t>State of Illinois</t>
        </is>
      </c>
      <c r="D24" t="inlineStr">
        <is>
          <t>indeed</t>
        </is>
      </c>
      <c r="E24">
        <f>HYPERLINK("https://www.indeed.com/viewjob?jk=9b982130d91857a5", "https://www.indeed.com/viewjob?jk=9b982130d91857a5")</f>
        <v/>
      </c>
      <c r="F24">
        <f>HYPERLINK("https://illinois.jobs2web.com/job/Springfield-GENERAL-ENGINEERING-PROGRAM-MANAGER-%28PUBLIC-SERVICE-ADMINISTRATOR%2C-OPT-8E%29-IL-62702/1350992200/?feedId=339800&amp;utm_source=Indeed&amp;utm_campaign=Illinois_Indeed", "https://illinois.jobs2web.com/job/Springfield-GENERAL-ENGINEERING-PROGRAM-MANAGER-%28PUBLIC-SERVICE-ADMINISTRATOR%2C-OPT-8E%29-IL-62702/1350992200/?feedId=339800&amp;utm_source=Indeed&amp;utm_campaign=Illinois_Indeed")</f>
        <v/>
      </c>
      <c r="G24" t="inlineStr">
        <is>
          <t>Springfield, IL, US</t>
        </is>
      </c>
      <c r="H24" s="3" t="n">
        <v>46038</v>
      </c>
      <c r="I24" t="inlineStr">
        <is>
          <t>**Job Requisition ID:** 52103  
**Agency:** Department of Public Health  
**Class Title:** PUBLIC SERVICE ADMINISTRATOR \- 37015
**Office:** Health Protection
**Division:** Environmental Health
**Posting ID:** 53\-26\-0140/ 52103
**Posted:** 01/07/2026 \- 01/22/2026
**Skill Option:** Special License \- Engineer (Professional)  
**Salary:** Anticipated Starting Salary $8,281/month; Full Range $8,281\-$12,223 /month  
**Job Type:** Salaried  
**Category:** Full Time  
**County:** Sangamon  
**Number of Vacancies:** 1  
**Bargaining Unit Code:** RC063 Professional Employees, Educators,Juvenile Justice School Counselors and Special Education Resources Coordinators,and Physicians AFSCME  
**Merit Comp Code:**
 **All applicants who want to be considered for this position** **MUST** **apply electronically through the** **illinois.jobs2web.com** **website. State of Illinois employees should click the link near the top left to apply through the** **SuccessFactors** **employee career portal.**
 **Applications submitted via email or any paper manner (mail, fax, hand delivery) will not be considered.**
**Why Work for Illinois?**
Working with the State of Illinois is a testament to the values of compassion, equity, and dedication that define our state. Whether you’re helping to improve schools, protect our natural resources, or support families in need, you’re part of something bigger—something that touches the lives of every person who calls Illinois home.
No matter what state career you’re looking for, we offer jobs that fit your life and your schedule—flexible jobs that provide the gold standard of benefits. Our employees can take advantage of various avenues to advance their careers and realize their dreams. Our top\-tier benefits and great retirement packages can help you build a rewarding career and lasting future with the State of Illinois.
**Position Overview**
---------------------
The Illinois Department of Public Health is seeking a highly motivated individual to serve as the manager of the General Engineering Program responsible for managing division programs, including Manufactured Housing, Migrant Labor Camps, Youth Camps and Campground licensure. Reviews plans for regulated facilities to assure compliance with State laws, codes, and policies.**Benefits Statement**
----------------------
As a State of Illinois Employee, you will receive a robust benefit package that includes the following:* Flexible and hybrid work schedules are available in many program areas (when available and dependent upon position)
* Competitive Group Insurance benefits including health, life, dental and vision plans.
* Pension plan through the State Employees Retirement System
* Deferred Compensation Program – voluntary supplemental retirement plan
* Optional pre\-tax programs \-Medical Care Assistance Plan (MCAP) \&amp; Dependent Care Assistant Plan (DCAP)
* 10\-25 days of paid vacation time annually (10 days for first year of state employment)
* 12 paid sick days annually which carryover year to year
* 3 paid personal business days per calendar year (pro\-rated dependent on start date)
* 13\-14 paid holidays per year
* 12 weeks of paid parental leave
* Employee Assistance Program and/or mental health resources
These are just a few of the many perks available to all State employees. For more information about our benefits please follow this link: https://www2\.illinois.gov/cms/benefits/Pages/default.aspx
**Essential Function 3**
------------------------
* Under the general direction of the Chief of the General Engineering Section of the Division of Environmental Health, manages the General Engineering Program which includes engineering plan review and evaluating the statewide Manufactured Housing Installation, Migrant Labor Camps, Youth Camps and Campground licensure services for the Division.
* Reviews and evaluates all inspection reports for the installation of manufactured homes to assure technical accuracy, compliance with State laws, codes, policies, and manufactured specifications.
* Serves as working supervisor
* Oversees, reviews, approves, and monitors manufactured home installation courses and assists with sponsors or schedules continuing education classes for the installers in conformance with the code and HUD guidelines.
* Reviews and issues approvals when conformance to the adopted code is met for manufactured home tie\-down equipment.
* Schedules and travels to attend and report on all advisory board meetings and oversees and processes travel expenditures for the board members.
* Attends continuing education and professional development training.
* Performs other duties as required or assigned, which are reasonably within the scope of the duties enumerated above.
**Minimum Qualifcations**
-------------------------
* Requires knowledge, skill, and mental development equivalent to completion of four (4\) years college.
* Requires prior experience equivalent to three (3\) years of progressively responsible administrative experience in Environmental health investigations and administration of environmental public health programs.
* Requites current Illinois license as a Professional Engineer.
**Preferred Qualifications**
----------------------------
* Three (3\) years of experience reviewing engineering plans and specifications to ensure compliance with all applicable federal, state, and local environmental engineering laws and regulations.
* Three (3\) years of experience preparing and/or reviewing evidence for court proceedings in regards to environmental health regulatory programs and regulated entities.
* Three (3\) years of experience supervising employees, including experience in hiring, discipline, performance improvement, and performance evaluations.
* Three (3\) years of experience establishing, maintaining, and improving cooperative working relationships with entities on environmental health issues.
* Three (3\) years of experience using Microsoft software products including Word, Excel, PowerPoint, etc.
**Conditions of Employment**
----------------------------
* Requires appropriate, valid driver’s license.
* Requires use of personal vehicle for extensive work\-related travel within the State.
*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 This position has been found to meet the requirements in section 4A\-101 of the Illinois Governmental Ethics Act requiring the occupant/employee to file a Statement of Economic Interest. The Illinois Governmental Ethics Act (5 ILCS 420/4A et seq.) requires certain state officials and employees to file annual Statements of Economic Interest with the Office of the Secretary of State that will be made available for examination and copying by the public. All employees required to file a Statement of Economic Interest are also required to file the Supplemental Statement of Economic Interest with Executive Ethics Commission. (See Executive Order 15\-09\) Fines and penalties apply to untimely filings.  
	+ The conditions of employment listed here are incorporated and related to any of the job duties as listed in the job description.
**About the Agency**
--------------------
The Illinois Department of Public Health (IDPH) is tasked with the oversight of communities within Illinois to achieve and maintain optimal health and safety. With an annual budget of over $2 billion in state and federal funds, 6 regional offices, 3 laboratories and over 1,200 employees, IDPH is equipped to fulfill its mission of protecting the health and wellness of the people of Illinois through the prevention, health promotion, regulation and control of disease and injury.**Work Hours:** Monday \- Friday 8:30am to 5:00pm  
**Headquarter Location:** 525 W Jefferson St, Springfield, Illinois, 62702\-5056  
**Work County:** Sangamon  
**Agency Contact:** DPH.HRRecruiter@illinois.gov  
**Posting Group:** Leadership \&amp; Management
This position DOES NOT contain “Specialized Skills” (as that term is used in CBAs).
 **Revolving Door:**
Certain provisions of the revolving door restrictions contained in 5 ILCS 430/5\-45 apply to this position. As a result, the employee should be aware that if offered non\-State employment during State employment or within one year immediately after ending State employment, the employee shall, prior to accepting any such non\-State employment offer, notify the Office of the Executive Inspector General for the Agencies of the Illinois Governor (“OEIG”) or may be subject to a fine.
 **APPLICATION INSTRUCTIONS:**
Use the “Apply” button at the top right or bottom right of this posting to begin the application process.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donotreply@SIL\-P1\.ns2cloud.com
systems@SIL\-P1\.ns2cloud.com</t>
        </is>
      </c>
    </row>
    <row r="25">
      <c r="A25" t="inlineStr">
        <is>
          <t>in-85e9f003a1fa3390</t>
        </is>
      </c>
      <c r="B25" t="inlineStr">
        <is>
          <t>Senior Program Manager (Value Stream Leader) - Weapons Datalinks (Remote)</t>
        </is>
      </c>
      <c r="C25" t="inlineStr">
        <is>
          <t>Collins Aerospace</t>
        </is>
      </c>
      <c r="D25" t="inlineStr">
        <is>
          <t>indeed</t>
        </is>
      </c>
      <c r="E25">
        <f>HYPERLINK("https://www.indeed.com/viewjob?jk=85e9f003a1fa3390", "https://www.indeed.com/viewjob?jk=85e9f003a1fa3390")</f>
        <v/>
      </c>
      <c r="F25">
        <f>HYPERLINK("https://jsv3.recruitics.com/redirect?rx_cid=3426&amp;rx_jobId=01817698&amp;rx_url=https%3A%2F%2Fcareers.rtx.com%2Fglobal%2Fen%2Fjob%2F01817698%3Frx_a%3D0%26rx_c%3D%26rx_ch%3Djobp4p%26rx_group%3D122223%26rx_id%3D99569d60-f3d1-11f0-811b-4963aac98f98%26rx_job%3D01817698%26rx_medium%3Dcpc%26rx_r%3Dnone%26rx_source%3Dindeed%26rx_ts%3D20260118T000439Z%26rx_vp%3Dcpc", "https://jsv3.recruitics.com/redirect?rx_cid=3426&amp;rx_jobId=01817698&amp;rx_url=https%3A%2F%2Fcareers.rtx.com%2Fglobal%2Fen%2Fjob%2F01817698%3Frx_a%3D0%26rx_c%3D%26rx_ch%3Djobp4p%26rx_group%3D122223%26rx_id%3D99569d60-f3d1-11f0-811b-4963aac98f98%26rx_job%3D01817698%26rx_medium%3Dcpc%26rx_r%3Dnone%26rx_source%3Dindeed%26rx_ts%3D20260118T000439Z%26rx_vp%3Dcpc")</f>
        <v/>
      </c>
      <c r="G25" t="inlineStr">
        <is>
          <t>Cedar Rapids, IA, US</t>
        </is>
      </c>
      <c r="H25" s="3" t="n">
        <v>46038</v>
      </c>
      <c r="I25" t="inlineStr">
        <is>
          <t>**Date Posted:**
2026\-01\-17**Country:**
United States of America**Location:**
US\-IA\-CEDAR RAPIDS\-137 \~ 855 35Th St NE \~ BLDG 137**Position Role Type:**
Remote**U.S. Citizen, U.S. Person, or Immigration Status Requirements:**
Active and transferable U.S. government issued security clearance is required prior to start date. U.S. citizenship is required, as only U.S. citizens are eligible for a security clearance
**Security Clearance:**
Top Secret \- Current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Looking for an experienced Value Stream Leader to support all phases of the value stream within the Data Links department of Mission Systems. Candidates will be responsible for leading pursuit and capture opportunities, executing both internal (IR\&amp;D) and external development programs, supporting new product introduction and production transition activities while managing the total life cycle of new and existing product lines. As a Value Stream Leader you will also be an integral part of developing strategies and actions related to SFP and establishing baselines and ensuring performance to our AOP. Coordination with many organizations across Collins Aerospace and Raytheon Technologies will be expected as well as interaction with Government customers and contractors. Ideal candidates will have previous experience working DOW programs and travel will be expected.
**What You Will Do**
* Leads the re\-application of a product or program and potentially new programs.
* Manages change or non\-complex new functionality more frequently on multiple product lines and services.
* Interfaces with multiple customers / potential customers for various product lines and services, with moderate material impact to the enterprise.
* Ability to have a growing impact on customer satisfaction due to regular customer interface and project scope.
* Regularly influences and negotiates to achieve and/or exceed enterprise commitments.
* Will establish a medium to high level OEM/customer relationship.
* Consulted as an advisor across the portfolios within a SBU.
* Has advanced, applied theory level knowledge of the management system.
* Leads complex teams with some matrixed responsibilities.
* Accountable for entire performance of the assigned value stream.
* Leads decision making for the IPTs and applies critical thinking where incomplete data exists.
* Develops internal and external networks and effectively communicates vision to their IPT, connecting how the vision fits within the enterprise strategies. Impact over projects large in scope.
* Plans, directs, and monitors collateral budget.
* Typically leads critically strategic value streams.
* Strategic R\&amp;D investments may span over 1\-5 years, as appropriate.
* Provides inputs to the strategic plan for their specific project and has medium influence to SFP.
**Qualifications You Must Have**
* Typically requires a University Degree and minimum 10 years prior relevant experience or an Advanced Degree in a related field and minimum 7 years of experience
* **Active** and **transferable** U.S. government issued **Top Secret Security Clearance** is required **prior to start date**. U.S. citizenship is required, as only U.S. citizens are eligible for a security clearance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**Remote:** Employees who are working in Remote roles will work primarily offsite (from home). An employee may be expected to travel to the site location as needed.
* *Position is remote; however, if you live within a reasonable commute of a Collins site with other colleagues you interact with, your manager will discuss whether there is a degree of onsite presence associated with this role.*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6">
      <c r="A26" t="inlineStr">
        <is>
          <t>in-d8a05ff7f593aad7</t>
        </is>
      </c>
      <c r="B26" t="inlineStr">
        <is>
          <t>ACCESS PROGRAM MANAGER</t>
        </is>
      </c>
      <c r="C26" t="inlineStr">
        <is>
          <t>Froedtert Health</t>
        </is>
      </c>
      <c r="D26" t="inlineStr">
        <is>
          <t>indeed</t>
        </is>
      </c>
      <c r="E26">
        <f>HYPERLINK("https://www.indeed.com/viewjob?jk=d8a05ff7f593aad7", "https://www.indeed.com/viewjob?jk=d8a05ff7f593aad7")</f>
        <v/>
      </c>
      <c r="F26">
        <f>HYPERLINK("https://jobs.froedtert.com/job/160058/ACCESS-PROGRAM-MANAGER", "https://jobs.froedtert.com/job/160058/ACCESS-PROGRAM-MANAGER")</f>
        <v/>
      </c>
      <c r="G26" t="inlineStr">
        <is>
          <t>Menomonee Falls, WI, US</t>
        </is>
      </c>
      <c r="H26" s="3" t="n">
        <v>46038</v>
      </c>
      <c r="I26" t="inlineStr">
        <is>
          <t>Discover. Achieve. Succeed. \#BeHere  
Location: US:WI:MENOMONEE FALLS at our WOODLAND PRIME 400 facility.
This job is HYBRID.
FTE: 1\.000000
Standard Hours: 40\.00
Shift: Shift 1
Shift Details:
Professional hours, usually between 8\-5, with occasional early or late meetings to accommodate physician or clinical schedules
Job Summary
The Access Program Manager oversees the successful execution of a portfolio of strategic projects within the Access team, emphasizing proactive communication, stakeholder management, and organizational alignment.
Key responsibilities include:
* Translating enterprise strategic goals into programmatic and departmental priorities.
* Developing creative, audience\-focused communication strategies based on purpose, available tools, and adult learning principles.
* Planning, organizing, monitoring, and overseeing multiple projects to meet business specifications.
* Defining, tracking, and managing critical inputs (e.g., communication timelines, audience\-specific content, venues, and change impact assessments).
* Applying accepted project and change management methodologies to drive adoption of key enterprise programs.
* Crafting compelling narratives, developing presentation materials (primarily PowerPoint) using stories and data, and coordinating targeted messaging.
* Integrating strategic planning, performance measurement, stakeholder engagement, tailored communication protocols, and robust change management throughout the project lifecycle.
* Proactively identifying opportunities to improve efficiency and effectiveness for the team
EXPERIENCE DESCRIPTION:
A minimum of 5 years of relevant experience managing programs or key processes related to Access, healthcare transformation, or healthcare technology implementation required. Experience in customer\-facing role (internal or external) is required. Experience in developing functional specifications is also required. A minimum of 7 years of direct experience in project or program management (or related responsibilities) within the health care field is highly preferred. Experience with organizational change is highly preferred. Previous experience with larger scale enterprise\-wide strategic initiatives. Experience with Microsoft Project, Microsoft Visio preferred. Experience with transformation related to Epic or other healthcare software preferred.
EDUCATION DESCRIPTION:
Bachelor's Degree required. Master's Degree preferred.
TRAINING DESCRIPTION:
Epic Cadence.
SPECIAL SKILLS DESCRIPTION:
Demonstrated proficiency with tools such as Microsoft Office (Word, Excel, PowerPoint, and Access) or related software packages to analyze data and report on/present conclusions while maximizing the benefits of technology to complete the job. Writing, analytical and leadership skills, as well as ability to present detailed information in large group and executive level settings. Excellent time management and organizational skills. Ability to work with leaders at all levels of the organization, including senior leadership. Very strong in majority if not all of these categories: • Critical thinking/problem\-solving skills: capable of leading broad set of executives through a complex problem\-solving process; • Analytical skills: needs to be able to structure and guide complex analytics using scheduling, financial, patient experience, and call center data to support project needs; • Presentation skills: capable of developing and writing complex presentations for any audience using multiple formats; • Client relationship skills: able to build peer\-like relationships with senior executives and provide critical thought partnership on intellectual/organizational/political questions; • Project management skills: capable of leading large enterprise teams of senior stakeholders efficiently through process to manage relationship work or complete projects; • Team/office leadership: capable of inspiring teams of people to achieve results; accountability for Office culture. Ability to lead strategic projects, including design, analysis of data and presentation to senior leadership is preferred.
Perks \&amp; Benefits at Froedtert Health
Froedtert Health Offers a variety of perks \&amp; benefits to staff, depending on your role you may be eligible for the following:
* Paid time off
* Growth opportunity\- Career Pathways \&amp; Career Tuition Assistance, CEU opportunities
* Academic Partnership with the Medical College of Wisconsin
* Referral bonuses
* Retirement plan \- 403b
* Medical, Dental, Vision, Life Insurance, Short \&amp; Long Term Disability, Free Workplace Clinics
Employee Assistance Programs, Adoption Assistance, Healthy Contributions, Care@Work, Moving Assistance, Discounts on gym memberships, travel and other work life benefits available  
* 
The Froedtert \&amp; the Medical College of Wisconsin regional health network is a partnership between Froedtert Health and the Medical College of Wisconsin supporting a shared mission of patient care, innovation, medical research and education. Our health network operates eastern Wisconsin's only academic medical center and adult Level I Trauma center engaged in thousands of clinical trials and studies. The Froedtert \&amp; MCW health network, which includes ten hospitals, nearly 2,000 physicians and more than 45 health centers and clinics draw patients from throughout the Midwest and the nation.
*We are proud to be an Equal Opportunity Employer who values and maintains an environment that attracts, recruits, engages and retains a diverse workforce. We welcome protected veterans to share their priority consideration status with us at 262\-439\-1961\. We maintain a drug\-free workplace and perform pre\-employment substance abuse testing. During your application and interview process, if you have a need that requires an accommodation, please contact us at 262\-439\-1961\. We will attempt to fulfill all reasonable accommodation requests.*</t>
        </is>
      </c>
    </row>
    <row r="27">
      <c r="A27" t="inlineStr">
        <is>
          <t>in-3ea83f0c232834de</t>
        </is>
      </c>
      <c r="B27" t="inlineStr">
        <is>
          <t>Quality Patient Safety Program Manager Licensed</t>
        </is>
      </c>
      <c r="C27" t="inlineStr">
        <is>
          <t>CommonSpirit Health</t>
        </is>
      </c>
      <c r="D27" t="inlineStr">
        <is>
          <t>indeed</t>
        </is>
      </c>
      <c r="E27">
        <f>HYPERLINK("https://www.indeed.com/viewjob?jk=3ea83f0c232834de", "https://www.indeed.com/viewjob?jk=3ea83f0c232834de")</f>
        <v/>
      </c>
      <c r="F27">
        <f>HYPERLINK("https://jsv3.recruitics.com/redirect?rx_cid=3292&amp;rx_jobId=451634&amp;rx_url=https%3A%2F%2Fwww.commonspirit.careers%2Fjob%2F-%2F-%2F35300%2F90670244944%3Fiis%3DJob_Board%26iisn%3DIndeed%26mode%3Djob%26rx_campaign%3Dindeed0%26rx_ch%3Djobp4p%26rx_group%3D117213%26rx_id%3D2f609af1-f3ac-11f0-ba10-214e05d8e4c0%26rx_job%3D451634%26rx_medium%3Dcpc%26rx_r%3Dnone%26rx_source%3DIndeed%26rx_ts%3D20260118T000045Z%26rx_vp%3Dcpc%26utm_medium%3Dorganic%26utm_source%3DIndeed", "https://jsv3.recruitics.com/redirect?rx_cid=3292&amp;rx_jobId=451634&amp;rx_url=https%3A%2F%2Fwww.commonspirit.careers%2Fjob%2F-%2F-%2F35300%2F90670244944%3Fiis%3DJob_Board%26iisn%3DIndeed%26mode%3Djob%26rx_campaign%3Dindeed0%26rx_ch%3Djobp4p%26rx_group%3D117213%26rx_id%3D2f609af1-f3ac-11f0-ba10-214e05d8e4c0%26rx_job%3D451634%26rx_medium%3Dcpc%26rx_r%3Dnone%26rx_source%3DIndeed%26rx_ts%3D20260118T000045Z%26rx_vp%3Dcpc%26utm_medium%3Dorganic%26utm_source%3DIndeed")</f>
        <v/>
      </c>
      <c r="G27" t="inlineStr">
        <is>
          <t>Oxnard, CA, US</t>
        </is>
      </c>
      <c r="H27" s="3" t="n">
        <v>46038</v>
      </c>
      <c r="I27" t="inlineStr">
        <is>
          <t>**Job Summary and Responsibilities** **The Quality Patient Safety Program Manager** is a key leader responsible for supporting and implementing the organization's comprehensive quality and patient safety programs. This role collaborates closely with various departments, clinical teams, and stakeholders to proactively identify opportunities for improvement, rigorously analyze data, and implement evidence\-based practices to enhance patient outcomes, minimize risks, and foster a culture of safety. The ideal candidate will be a Registered Nurse with a strong clinical background, a demonstrated passion for quality improvement, exceptional analytical and communication skills, and proven leadership experience.  
* Support the implementation and maintenance of the organization's quality and patient safety programs, ensuring alignment with regulatory requirements, accreditation standards, and best practices.
* Collect, analyze, and interpret data related to patient safety, quality metrics, and clinical outcomes.
* Participate in the investigation and analysis of adverse events, near misses, and sentinel events.
* Develop and implement evidence\-based protocols and guidelines to improve clinical practice.
* Develop and deliver training programs on quality improvement, patient safety, and risk management to clinical and non\-clinical staff.
* Communicate effectively with all levels of the organization, including senior leadership, regarding quality and patient safety issues.
* Ensure compliance with all applicable regulatory requirements, accreditation standards, and organizational policies.
* Provide coaching, mentoring, and performance feedback to team members.
**Job Requirements** **Minimum Qualifications*** Bachelors degree
* Minimum of five (5\) years of risk management, patient safety, quality compliance, and/or other related professional experience, and a minimum of five (5\) years of experience managing/supervising employees and/or vendors.
* CA RN Licence
Skills \&amp; Abilities:* Strong clinical background and understanding of healthcare operations.
* Demonstrated knowledge of quality improvement methodologies (e.g., Lean, Six Sigma, PDSA).
* Excellent analytical and problem\-solving skills.
* Proficiency in data analysis and reporting.
* Strong communication, interpersonal, and presentation skills.
* Ability to work effectively in a team environment.
* Knowledge of regulatory requirements and accreditation standards (e.g., The Joint Commission, CMS).
* Proficient in Microsoft Office Suite (Word, Excel, PowerPoint).
**Where You'll Work**  
St. John’s Regional Medical Center, located in Oxnard, California is a recognized as a Top 250 Hospital in the Nation and as one of America’s 100 Best Hospitals for Cardiac Care by Healthgrades. St. John’s Regional is a part of Dignity Health’s Southern California Division and is a member of CommonSpirit Health, the largest not\-for\-profit health care system in the nation, boasting an integrated network of top quality hospitals, with physicians from the most prestigious medical schools, and comprehensive outpatient services \- all recognized for quality, safety, and service. Each hospital is supported by an active philanthropic Foundation to help meet the growing health care needs of our communities. Learn more here at www.dignityhealth.org/StJohnsRegional.
One Community. One Mission. One California **Pay Range**  
$52\.15 \- $77\.58 /hour</t>
        </is>
      </c>
    </row>
    <row r="28">
      <c r="A28" t="inlineStr">
        <is>
          <t>in-742e401920895a15</t>
        </is>
      </c>
      <c r="B28" t="inlineStr">
        <is>
          <t>Medicaid Program Manager 1-A</t>
        </is>
      </c>
      <c r="C28" t="inlineStr">
        <is>
          <t>State of Louisiana</t>
        </is>
      </c>
      <c r="D28" t="inlineStr">
        <is>
          <t>indeed</t>
        </is>
      </c>
      <c r="E28">
        <f>HYPERLINK("https://www.indeed.com/viewjob?jk=742e401920895a15", "https://www.indeed.com/viewjob?jk=742e401920895a15")</f>
        <v/>
      </c>
      <c r="F28">
        <f>HYPERLINK("https://www.governmentjobs.com/careers/louisiana/jobs/5201626/medicaid-program-manager-1-a", "https://www.governmentjobs.com/careers/louisiana/jobs/5201626/medicaid-program-manager-1-a")</f>
        <v/>
      </c>
      <c r="G28" t="inlineStr">
        <is>
          <t>Baton Rouge, LA, US</t>
        </is>
      </c>
      <c r="H28" s="3" t="n">
        <v>46037</v>
      </c>
      <c r="I28" t="inlineStr">
        <is>
          <t>**Salary**
$5,023\.00 \- $9,856\.00 Monthly
**Location**Baton Rouge, LA
**Job Type**
Classified
**Job Number**
MVA/SP/216555
**Department**
LDH\-Medical Vendor Administration
**Opening Date**
01/16/2026
**Closing Date**
1/23/2026 11:59 PM Central
**About this Job**
------------------
The mission of the Louisiana Department of Health is to protect and promote health and to ensure access to medical, preventive, and rehabilitative services for all residents of the State of Louisiana.
**Learn more about Louisiana Department of Health**
This programmatic management position within Bureau of Health Services Financing (BHSF), Financial Management and Operations (FMO) plays a key role in supporting the financial and operational oversight of Medicaid programs. Working closely with section leadership, the position assists with managing the MVA budget, including funding allocation, expenditure tracking, and compliance monitoring. The incumbent collaborates with multiple LDH offices to ensure fiscal accountability, reviews personnel and contract\-related budget actions, and oversees key financial operations such as accounts payable, procurement, and special projects. This is an excellent opportunity for a detail\-oriented professional to contribute to the effective stewardship of Medicaid resources and support BHSF’s mission.
**Minimum Qualifications**
--------------------------
Seven years of experience in developing, managing, or evaluating health or social service programs; or in public health, public relations, social services, health services, health regulation, or administrative services; OR  
Six years of full\-time work experience in any field plus four years of experience in developing, managing, or evaluating health or social service programs; or in public health, public relations, social services, health services, health regulation, or administrative services; OR  
A bachelor’s degree plus four years of experience in developing, managing, or evaluating health or social service programs; or in public health, public relations, social services, health services, health regulation, or administrative services; OR  
An advanced degree or a Juris Doctorate plus three years of experience in developing, managing, or evaluating health or social service programs; or in public health, public relations, social services, health services, health regulation, or administrative services.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
The official job specifications for this role, as defined by the State Civil Service, can be found here.
**Job Duties and Other Information**
------------------------------------
Job Duties:
* Performs daily financial management and operational oversight for assigned budget units, including tracking expenditures, evaluating budget adjustments, verifying revenue sources, and maintaining cost allocation plans.
* Supports section leadership with strategic initiatives and special projects by conducting fiscal research, improving processes, preparing guidance materials, and producing reports for executive decision\-making.
* Collects, verifies, and prepares data for the annual BHSF budget request, including developing briefing materials, presentations, and reviewing budget submissions for alignment with Medicaid goals and regulatory standards.
* Analyzes proposed federal, state, and local legislation to assess fiscal impacts, prepares recommendations for leadership, and ensures compliance with relevant policies.
* Prepares and distributes monthly budget monitoring and projection reports, identifies trends and potential surpluses or deficits, and collaborates with leadership on necessary adjustments.
* Coordinates budget processes for contracts, including reviewing funding requests, preparing budget documents, performing procurement functions, and assisting with special projects and representation at state and federal meetings.
Position\-Specific Details:**Location:** Medical Vendor Administration / Financial Management and Operations / East Baton Rouge Parish
**Appointment Type:** This position may be filled as aProbationary or Promotional appointment
**Cost Center:** 3052070200
**Position Number(s):** 188755
How To Apply:
No Civil Service test score is required in order to be considered for this vacancy.
 Applicants are responsible for checking the status of their application to determine where they are in the recruitment process. Further status message information is located under the Information section of the Current Job Opportunities page.
* Information to support your eligibility for the position must be included in the application (i.e., relevant, detailed experience/education).Resumes will not be accepted in lieu of completed education and experience sections. Applications may be rejected if incomplete.
Contact Information:
Shambrielle Pooler
Shambrielle.Pooler@la.gov
LA Department of Health (LDH)
Division of Human Resources
PO Box 4818
Baton Rouge, LA 70821
225\-342\-6477
**This organization participates in E\-verify, and for more information on E\-verify, please contact DHS at 1\-888\-464\-4218\.**
LDH supports Louisiana’s commitment to being a State as a Model Employer (SAME) by promoting the recruitment, hiring, and retention of individuals with disabilities.
*Information on the Louisiana Works, Louisiana Rehabilitation Services is available* **here***.*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29">
      <c r="A29" t="inlineStr">
        <is>
          <t>in-f4c2579c6b68c413</t>
        </is>
      </c>
      <c r="B29" t="inlineStr">
        <is>
          <t>Interim Program Manager (Veteran'S Center)</t>
        </is>
      </c>
      <c r="C29" t="inlineStr">
        <is>
          <t>Victor Valley College</t>
        </is>
      </c>
      <c r="D29" t="inlineStr">
        <is>
          <t>indeed</t>
        </is>
      </c>
      <c r="E29">
        <f>HYPERLINK("https://www.indeed.com/viewjob?jk=f4c2579c6b68c413", "https://www.indeed.com/viewjob?jk=f4c2579c6b68c413")</f>
        <v/>
      </c>
      <c r="F29">
        <f>HYPERLINK("https://apptrkr.com/6862490", "https://apptrkr.com/6862490")</f>
        <v/>
      </c>
      <c r="G29" t="inlineStr">
        <is>
          <t>Victorville, CA, US</t>
        </is>
      </c>
      <c r="H29" s="3" t="n">
        <v>46037</v>
      </c>
      <c r="I29" t="inlineStr">
        <is>
          <t>Victor Valley College
**Salary:** $100,644\.00 \- $141,624\.00 Annually
**Job Type:** Full\-Time (Exempt)
**Job Number:** 2026\-602 GPMNGR10
**Location:** CA 92395, CA
**Department:**  
**Closing:** 1/23/2026 11:59 PM Pacific
Basic Functions
INTERIM APPOINTMENT (LIMITED DURATION UP TO ONE YEAR)
FIRST DATE OF REVIEW IS SCHEDLED FOR JANUARY 23, 2026
FAIR LABOR STANDARDS ACT (FLSA) POSITION STATUS EXEMPT
This position will be responsible for day\-to\-day management of the VETERAN'S CENTER
EMPLOYEE BENEFITS \- Comprehensive benefit package which includes:
District paid medical, dental and vision insurance for the employee and dependents.
District paid $100,000 life insurance policy for the employee.
Classified Administrators participation in CalPERS Retirement System.
20 paid holidays; 22 vacation days For the most updated information please visit our benefits web page.
DEFINITION
Under general direction, provides leadership and oversight for the implementation and administration of programs, including grants and/or other projects; manages, coordinates, and provides leadership for the successful operations of state and federal programs; coordinates program services; works as a liaison with college departments, local school districts, community leaders, and agencies/organizations which provide resources to students; ensures compliance with all federal and state program requirements; and performs related duties, as assigned.
SUPERVISION RECEIVED AND EXERCISED
Receives general direction from assigned supervisory management personnel. Exercises direct supervision over professional, technical, administrative support staff, and student workers.
CLASS CHARACTERISTICS
This classification is responsible for one or more programs related to ongoing District operations, initiatives, and services ensuring alignment with the attraction, retention, and academic success of students. Incumbents are responsible for designing, planning, implementing, evaluating, and modifying the program, including short\- and long\-term planning activities; preparing and implementing program budgets; supporting and analyzing programmatic practices and procedures; and developing and implementing recommendations for program operational or procedural improvements. Incumbents serve as a specialist, liaison, and advocate for the assigned program(s) requiring the use of initiative and resourcefulness, considerable independent judgment, and regular contact with program stakeholders.
Representative Duties
EXAMPLES OF TYPICAL JOB FUNCTIONS (Illustrative Only)
Management reserves the right to add, modify, change, or rescind the work assignments of different positions and to make reasonable accommodations so that qualified employees can perform the essential functions of the job.
Plans, manages, and oversees the daily functions, operations, and activities of the assigned program(s) and/or projects designed to contribute to student success, including but not limited to students who are disadvantaged in terms of language and social and economic hardships, or who have been/are in the foster care program.
Participates in the development and implementation of goals, objectives, policies, and priorities for the program; recommends within program policy, appropriate service levels and resources; recommends and administers policies and procedures.
Participates in the development, administration, and oversight of the program budget; monitors program expenditures to ensure compliance with established laws and regulations, as well as funding agency requirements.
Develops and standardizes procedures and methods to improve and continuously monitor the efficiency and effectiveness of the assigned program, service delivery methods, and procedures; identifies opportunities for improvement and makes recommendations to management.
Participates in the selection of, trains, motivates, and evaluates assigned personnel; works with employees on performance issues; recommends discipline to management.
Develops and implements annual program recruitment and publicity plans; conducts evaluation studies and prepares annual and progress reports to federal or state control agencies, as well as District administrators and community school site partners.
Establishes and maintains relationships with school district officials, community leaders, various organizations, and public agencies to encourage participation, stimulate interest, and coordinate campus projects with assigned programs and activities.
Initiates, oversees, and directs the collection and reporting of student data to measure and evaluate student success, including retention and persistence rates, passing rates, high school graduation rates, academic achievement scores, and college entrance information; develops and maintains student tracking systems to ensure compliance with program eligibility standards.
Develops grant proposals that meet funding agency requirements and priorities, including writing the grant narrative and completing all required forms and documents; establishes and maintains contacts with funding agency personnel and potential grant partners.
Works collaboratively to provide resources to meet student needs and remove barriers; develops and implements interventions for students struggling to succeed; assesses the need for other programs to bridge the gaps which impact students' ability to achieve academic success.
Attends and participates in professional group meetings and various committees and advisory groups to provide input on program operations and student needs; stays abreast of new trends and innovations in the attraction, retention and success of students.
Monitors changes in laws, regulations, and technology that may affect District or program operations; implements policy and procedural changes as required.
Prepares, reviews, and presents staff reports and business documents; advises, provides guidance, and prepares and delivers presentations on issues pertaining to program operations and goals.
Works productively and cooperatively with others by demonstrating respect, patience and equitable treatment of all internal and external customers.
Observes and complies with District and mandated safety rules, regulations, and protocols.
Performs other duties as assigned.
Requirements
**Education and Experience:**  
Any combination of training and experience that would provide the required knowledge, skills, and abilities is qualifying. A typical way to obtain the required qualifications would be:
**Education:**  
Equivalent to a bachelor's degree from an accredited college or university with major coursework in public administration, education, social services, or a closely related field.
**Experience:**  
Four (4\) years of increasingly responsible professional experience in management of education support programs focused on retention and academic performance, of which two (2\) years should be in programs or projects relevant to assigned areas of responsibility.
**Licenses and Certifications:**  
Possession of a valid California Driver's License, to be maintained throughout employment.
**DESIRED QUALIFICATIONS:**  
Knowledge of veterans' resources, including community college and local community support services for student veterans.
PHYSICAL DEMANDS
Must possess mobility to work in a standard office setting and use standard office equipment, including a computer; to operate a motor vehicle and visit various District sites; vision to read printed materials and a computer screen; and hearing and speech to communicate in person and over the telephone. This is primarily a sedentary office classification although standing in work areas and walking between work areas may be required. Finger dexterity is needed to access, enter, and retrieve data using a computer keyboard or calculator and to operate standard office equipment. Positions in this classification occasionally bend, stoop, kneel, reach, push, and pull drawers open and closed to retrieve and file information. Employees must possess the ability to lift, carry, push, and pull materials and objects up to 10 pounds.
ENVIRONMENTAL CONDITIONS
Employees work in an office environment with moderate noise levels, controlled temperature conditions, and no direct exposure to hazardous physical substances. Employees may interact with upset staff and/or public and private representatives in interpreting and enforcing departmental policies and procedures. May need to drive to a variety of locations to conduct work.
Knowledge and Abilities
QUALIFICATIONS
**KNOWLEDGE OF:**  
Operations and services of a diverse range of programs designed to assist students in academic success relevant to assigned areas of responsibility.
Organization and management practices as applied to the development, analysis, and evaluation of program policies, goals, operational needs, and effectiveness.
Principles and techniques for working with groups and fostering effective team interaction to ensure teamwork is conducted smoothly.
Principles and practices of leadership.
Budget principles and practices.
Principles and practices of grant funding, including techniques and methods of researching grant opportunities.
Planning and resource allocation principles.
Counseling and guidance principles.
Principles and practices of grant and/or contract administration.
Principles and practices of employee supervision, including work planning, assignment review and evaluation, discipline, and the training of staff in work procedures.
Community resources available to meet student needs.
Methods and techniques of developing business, administrative and technical reports, correspondence and presentations.
Applicable Federal, State, and local laws, regulatory codes, ordinances, and procedures relevant to assigned areas of responsibility.
Principles and procedures of record keeping.
Techniques for effectively representing the District in contact with government agencies, community groups, and various business, professional, educational, regulatory, and legislative organizations.
District and mandated safety rules, regulations, and protocols.
Techniques of providing a high level of customer service by effectively interacting with students, staff, faculty, representatives of outside organizations, and members of the public, including individuals of diverse academic, socio\-economic, ethnic, religious and cultural backgrounds, physical ability, and sexual orientation.
The structure and content of the English language, including the meaning and spelling of words, rules of composition, and grammar.
Modern equipment and communication tools used for business functions and program, project, and task coordination, including computers and software programs relevant to work performed.
**ABILITY TO:**  
Develop and implement goals, objectives, practices, policies, procedures, and work standards.
Provide administrative, management, and professional leadership for assigned programs.
Prepare and administer budgets; allocate limited resources in a cost\-effective manner.
Research, apply for, and manage grant funding/reporting.
Effectively administer a variety of grant program(s) projects, events, and administrative activities.
Select and supervise staff, provide training and development opportunities, ensure work is performed effectively, and evaluate performance in an objective and positive manner.
Research, analyze, and evaluate new service delivery methods, procedures, and techniques.
Work with community groups to provide services to students.
Prepare clear and concise reports, correspondence, policies, procedures, and other written materials.
Conduct complex research projects, evaluate alternatives, and make sound recommendations.
Prepare administrative and technical reports and business correspondence.
Understand, interpret, and apply all pertinent laws, codes, regulations, policies and procedures, and standards relevant to work performed.
Effectively represent the department and the District in meetings with governmental agencies; community groups; various business, professional, and regulatory organizations; and in meetings with individuals.
Independently organize work, set priorities, meet critical deadlines, and follow\-up on assignments.
Use tact, initiative, prudence, and independent judgment within general policy, procedural, and legal guidelines.
Effectively use computer systems, software applications, and modern business equipment to perform a variety of work tasks.
Communicate clearly and concisely, both orally and in writing, using appropriate English grammar and syntax. (One on one, group, and/or presentations)
Demonstrate sensitivity to, and understanding of, the diverse academic, socio\-economic, ethnic, religious, and cultural backgrounds of community college students.
Establish, maintain, and foster positive and effective working relationships with those contacted in the course of work.
**APPLICATIONPROCEDURES:**  
VISA
Victor Valley Community College does not sponsor Visas such as H1B Visas.
To be considered a candidate for this position, all materials required should be received in the Victor Valley College Office of Human Resources by the First Review Date. If a file is not complete by the First Review Date, the application may not be considered by the Screening Committee.
It is the applicant's responsibility to ensure that all requested materials are received. All material included in the application packet become District property, will not be returned, and will not be copied.
All information qualifying an applicant for the position must be included on the Victor Valley College application. If it is unclear whether an applicant meets the minimum qualifications for the position from the application, that applicant will be disqualified.
Please note, the only form of communication you will receive throughout the recruiting and hiring process will be through email. It is your responsibility to check your email for any upcoming testing and/or interview dates. This recruitment may be used to fill future vacancies.
Please note that the information provided on the application must be complete and will be the only information used to determine qualifications for the position. If it is unclear whether an applicant meets the minimum qualifications for the position from the application, that applicant will be disqualified.
To request a reasonable accommodation due to a disability to assist with completing an application, please contact the Human Resources Department before the listed closing date at (760\) 245\-4271, extension 2500 or by email at: jobs@vvc.edu .
**A complete file consists of all of the following:**  
1\. A completed Victor Valley College application electronic form
2\. A letter expressing interest in the position
3\. A current resume
4\. Copies of transcripts showing college degrees and coursework. NOTE: Degrees must be from an accredited institution. Applicants with foreign transcripts must have transcripts evaluated for U.S. equivalency by one of the following agencies. Open the link below for a list of agencies that have been approved by the Commission on Teacher Credentialing to provide evaluation of college or university coursework completed at an institution in a country other than the United States: Commission Approved Foreign Transcript Evaluating Agencies This evaluation must be completed and submitted prior to your application being included in the application pool. A copy of the evaluation must be attached to each application package. Please note there is a fee for the evaluation service.
You may check your status at any time by logging into Victor Valley College Online Application Site at https://www.schooljobs.com with your username and password.
Candidates wishing to apply for more than one position must apply for each position separately.
Victor Valley College is an Equal Opportunity Employer. The Board of Trustees is committed to supporting recruitment activities that are intentional, professional development opportunities that are meaningful, and instructional processes that support the goals of equal opportunity, equity, and diversity by providing equal consideration for all qualified candidates including but not limited to federally and state protected class, race, color, national origin, disability (mental and physical, including HIV/AIDS, cancer, and genetic characteristics), ancestry, sex/gender (includes pregnancy, childbirth, breastfeeding and/or related medical conditions), gender identity, gender expression, sexual orientation, religion (includes religious dress and grooming practices), age (over 40\), marital status, medical condition (genetic characteristics, cancer or a record or history of cancer), military or veteran status, and genetic information.
To apply, please visit https://www.schooljobs.com/careers/vvc/jobs/5200165/interim\-program\-manager\-veterans\-center
jeid\-f6096defe41c574fb729d0c3f097ba2f</t>
        </is>
      </c>
    </row>
    <row r="30">
      <c r="A30" t="inlineStr">
        <is>
          <t>in-f7d4a15f6721ecb9</t>
        </is>
      </c>
      <c r="B30" t="inlineStr">
        <is>
          <t>ADMINISTRATIVE PROGRAM MANAGER 3 (SLIDELL)</t>
        </is>
      </c>
      <c r="C30" t="inlineStr">
        <is>
          <t>State of Louisiana</t>
        </is>
      </c>
      <c r="D30" t="inlineStr">
        <is>
          <t>indeed</t>
        </is>
      </c>
      <c r="E30">
        <f>HYPERLINK("https://www.indeed.com/viewjob?jk=f7d4a15f6721ecb9", "https://www.indeed.com/viewjob?jk=f7d4a15f6721ecb9")</f>
        <v/>
      </c>
      <c r="F30">
        <f>HYPERLINK("https://www.governmentjobs.com/careers/louisiana/jobs/5194835/administrative-program-manager-3-slidell", "https://www.governmentjobs.com/careers/louisiana/jobs/5194835/administrative-program-manager-3-slidell")</f>
        <v/>
      </c>
      <c r="G30" t="inlineStr">
        <is>
          <t>Slidell, LA, US</t>
        </is>
      </c>
      <c r="H30" s="3" t="n">
        <v>46036</v>
      </c>
      <c r="I30" t="inlineStr">
        <is>
          <t>**Salary**
$4,099\.00 \- $8,044\.00 Monthly
**Location**Slidell, LA
**Job Type**
Classified
**Job Number**
DVA216345\-ADMPROMAN\-011526
**Department**
DVA\-Department of Veterans' Affairs
**Opening Date**
01/15/2026
**Closing Date**
1/29/2026 11:59 PM Central
**About this Job**
------------------
*The Louisiana Department of Veterans Affairs' mission is to relentlessly advocate for Louisiana veterans and their families to ensure they receive superior customer service and support by connecting them to the benefits they have earned in service to our country, while meeting the economic, educational, and employment needs of transitioning service members looking to make Louisiana their home.*  
The Administrative Program Manager 3 position is responsible for the overall direction, management and coordination of all operating functions at the Southeast Louisiana Veterans Cemetery. This cemetery consists of thirty (30\) acres of land with a minimum of 12,122 grave sites, which will primarily serve deceased veterans and qualified dependents. This position directly supervises the Horticultural Attendant Superintendent and an Administrative Coordinator 4 position.
**Minimum Qualifications**
--------------------------
Six years of experience in administrative services; OR  
Six years of full\-time work experience in any field plus three years of experience in administrative services; OR  
A bachelor's degree plus three years of experience in administrative services; OR  
An advanced degree plus two years of experience in administrative services.  
EXPERIENCE SUBSTITUTION:  
Every 30 semester hours earned from an accredited college or university will be credited as one year of experience towards the six years of full\-time work experience in any field. The maximum substitution allowed is 120 semester hours which substitutes for a maximum of four years of experience in any field.
**Job Specification**
---------------------
The official job specifications for this role, as defined by the State Civil Service, can be found here.
**Job Duties and Other Information**
------------------------------------
Job Duties:  
As an Administrative Program Manager 3, you will be responsible for overseeing the operations of the Southeast Louisiana Veterans Cemetery. In this role you will:
* Provide direct supervision to Administrative Coordinator and Horticultural Attendant Superintendent.
* Manage and oversee all aspects of burial services, from arranging grave openings and closings to coordinating re\-interments, dis\-interments, and the placement of headstones and markers.
* Coordinate with funeral directors, veterans' organizations, and military installations to ensure military honor services are conducted properly.
* Manage and direct the Horticultural Attendant Superintendent in the upkeep of grounds, roads, and buildings, which includes aligning headstones, making repairs, and surveying the facilities for deficiencies.
* Oversee all administrative office procedures performed by the Administrative Coordinator 4, such as coordinating funeral arrangements, managing interments, and handling documentation for eligibility and plot allowance applications.
* Complete the Continuous Performance Management (CPM) for employees that you directly supervise and make the appropriate ratings, comments, and recommendations as needed
Position\-Specific Details:  
**Appointment Type:** The position will be filled by Job Appointment  
**Domicile:** Southeast Louisiana Veterans Cemetery in Slidell, LA (St. Tammany Parish)  
**Compensation:**The salary offered will be determined based on qualifications and experience.  
How To Apply:**No Civil Service test score** is required in order to be considered for this vacancy.
 Applicants are responsible for checking the status of their application to determine where they are in the recruitment process. Further status message information is located under the Information section of the Current Job Opportunities page.* Information to support your eligibility for this job title must be included in the application (i.e., relevant, detailed experience/education).Resumes will not be accepted in lieu of completed education and experience sections on your application. Applications may be rejected if incomplete.
Contact Information:
For further information about this vacancy, contact:**Tierra Giviens****Human Resources Analyst** **tierra.butler6@la.gov****The Louisiana Department of Veterans Affairs is an Equal Opportunity Employer and State as a Model Employer (SAME) to promote diversity and inclusion in the workplace.****Louisiana is a State as a Model Employer (SAME) that supports the recruitment, hiring, and retention of individuals with disabilities.**
Louisiana State Government represents a wide variety of career options and offers an outstanding opportunity to *make a difference* through public service. With an array of career opportunities in every major metropolitan center and in many rural areas, state employment provides an outstanding option to begin or continue your career.   
As a state employee, you will earn competitive pay, choose from a variety of benefits, and have access to a great professional development program:  
**Insurance Coverage** More information can be found at https://info.groupbenefits.org/  
**Parental Leave** – Up to six weeks paid parental leave  
More information can be found at https://www.civilservice.louisiana.gov/Parental\-Leave/Default.aspx  
**Holidays and Leave** – State employees receive the following paid holidays each year:* New Year's Day
* Martin Luther King, Jr. Day,
* Mardi Gras,
* Good Friday,
* Memorial Day,
* Independence Day,
* Labor Day,
* Veteran's Day,
* Thanksgiving Day and Christmas Day.
\*\*\*\*\* Additional holidays may be proclaimed by the Governor  
State employees earn sick and annual leave which can be accumulated and saved for future use. Your accrual rate increases as your years of service increase.  
**Retirement**– State of Louisiana employees are eligible to participate in various retirement systems (based on the type of appointment and agency for which an employee works). These retirement systems provide retirement allowances and other benefits for state officers and employees and their beneficiaries. State retirement systems may include (but are not limited to):* Louisiana State Employees Retirement System (www.lasersonline.org*). LASERS has provided this* *video* *to give you more detailed information about their system*
* Teacher's Retirement System of Louisiana (www.trsl.org),
* Louisiana School Employees Retirement System (www.lsers.net), among others</t>
        </is>
      </c>
    </row>
    <row r="31">
      <c r="A31" t="inlineStr">
        <is>
          <t>in-ab011a656dd8bc1d</t>
        </is>
      </c>
      <c r="B31" t="inlineStr">
        <is>
          <t>Sr. Product Manager</t>
        </is>
      </c>
      <c r="C31" t="inlineStr">
        <is>
          <t>Amazon.com</t>
        </is>
      </c>
      <c r="D31" t="inlineStr">
        <is>
          <t>indeed</t>
        </is>
      </c>
      <c r="E31">
        <f>HYPERLINK("https://www.indeed.com/viewjob?jk=ab011a656dd8bc1d", "https://www.indeed.com/viewjob?jk=ab011a656dd8bc1d")</f>
        <v/>
      </c>
      <c r="F31">
        <f>HYPERLINK("https://www.amazon.jobs/jobs/3129468/sr-product-manager?cmpid=DA_INAD200785B", "https://www.amazon.jobs/jobs/3129468/sr-product-manager?cmpid=DA_INAD200785B")</f>
        <v/>
      </c>
      <c r="G31" t="inlineStr">
        <is>
          <t>Irvine, CA, US</t>
        </is>
      </c>
      <c r="H31" s="3" t="n">
        <v>45979</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in-c4e3fe0d30f6ffeb</t>
        </is>
      </c>
      <c r="B32" t="inlineStr">
        <is>
          <t>Sr. Product Manager</t>
        </is>
      </c>
      <c r="C32" t="inlineStr">
        <is>
          <t>Amazon.com</t>
        </is>
      </c>
      <c r="D32" t="inlineStr">
        <is>
          <t>indeed</t>
        </is>
      </c>
      <c r="E32">
        <f>HYPERLINK("https://www.indeed.com/viewjob?jk=c4e3fe0d30f6ffeb", "https://www.indeed.com/viewjob?jk=c4e3fe0d30f6ffeb")</f>
        <v/>
      </c>
      <c r="F32">
        <f>HYPERLINK("https://www.amazon.jobs/jobs/3129468/sr-product-manager?cmpid=DA_INAD200785B", "https://www.amazon.jobs/jobs/3129468/sr-product-manager?cmpid=DA_INAD200785B")</f>
        <v/>
      </c>
      <c r="G32" t="inlineStr">
        <is>
          <t>San Francisco, CA, US</t>
        </is>
      </c>
      <c r="H32" s="3" t="n">
        <v>45979</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in-2fee16bf891496d4</t>
        </is>
      </c>
      <c r="B33" t="inlineStr">
        <is>
          <t>Sr. Product Manager</t>
        </is>
      </c>
      <c r="C33" t="inlineStr">
        <is>
          <t>Amazon.com</t>
        </is>
      </c>
      <c r="D33" t="inlineStr">
        <is>
          <t>indeed</t>
        </is>
      </c>
      <c r="E33">
        <f>HYPERLINK("https://www.indeed.com/viewjob?jk=2fee16bf891496d4", "https://www.indeed.com/viewjob?jk=2fee16bf891496d4")</f>
        <v/>
      </c>
      <c r="F33">
        <f>HYPERLINK("https://www.amazon.jobs/jobs/3129468/sr-product-manager?cmpid=DA_INAD200785B", "https://www.amazon.jobs/jobs/3129468/sr-product-manager?cmpid=DA_INAD200785B")</f>
        <v/>
      </c>
      <c r="G33" t="inlineStr">
        <is>
          <t>New York, NY, US</t>
        </is>
      </c>
      <c r="H33" s="3" t="n">
        <v>45979</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in-f9545b81d9fe5e0a</t>
        </is>
      </c>
      <c r="B34" t="inlineStr">
        <is>
          <t>Sr. Product Manager</t>
        </is>
      </c>
      <c r="C34" t="inlineStr">
        <is>
          <t>Amazon.com</t>
        </is>
      </c>
      <c r="D34" t="inlineStr">
        <is>
          <t>indeed</t>
        </is>
      </c>
      <c r="E34">
        <f>HYPERLINK("https://www.indeed.com/viewjob?jk=f9545b81d9fe5e0a", "https://www.indeed.com/viewjob?jk=f9545b81d9fe5e0a")</f>
        <v/>
      </c>
      <c r="F34">
        <f>HYPERLINK("https://www.amazon.jobs/jobs/3129468/sr-product-manager?cmpid=DA_INAD200785B", "https://www.amazon.jobs/jobs/3129468/sr-product-manager?cmpid=DA_INAD200785B")</f>
        <v/>
      </c>
      <c r="G34" t="inlineStr">
        <is>
          <t>Los Angeles, CA, US</t>
        </is>
      </c>
      <c r="H34" s="3" t="n">
        <v>45979</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in-70cc4e6c73be4e0e</t>
        </is>
      </c>
      <c r="B35" t="inlineStr">
        <is>
          <t>Sr. Product Manager</t>
        </is>
      </c>
      <c r="C35" t="inlineStr">
        <is>
          <t>Amazon.com</t>
        </is>
      </c>
      <c r="D35" t="inlineStr">
        <is>
          <t>indeed</t>
        </is>
      </c>
      <c r="E35">
        <f>HYPERLINK("https://www.indeed.com/viewjob?jk=70cc4e6c73be4e0e", "https://www.indeed.com/viewjob?jk=70cc4e6c73be4e0e")</f>
        <v/>
      </c>
      <c r="F35">
        <f>HYPERLINK("https://www.amazon.jobs/jobs/3129468/sr-product-manager?cmpid=DA_INAD200785B", "https://www.amazon.jobs/jobs/3129468/sr-product-manager?cmpid=DA_INAD200785B")</f>
        <v/>
      </c>
      <c r="G35" t="inlineStr">
        <is>
          <t>Seattle, WA, US</t>
        </is>
      </c>
      <c r="H35" s="3" t="n">
        <v>45979</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in-ef744e4bb0173490</t>
        </is>
      </c>
      <c r="B36" t="inlineStr">
        <is>
          <t>Program Manager, Executive Content and Programs, Global Executive Marketing</t>
        </is>
      </c>
      <c r="C36" t="inlineStr">
        <is>
          <t>Amazon Web Services</t>
        </is>
      </c>
      <c r="D36" t="inlineStr">
        <is>
          <t>indeed</t>
        </is>
      </c>
      <c r="E36">
        <f>HYPERLINK("https://www.indeed.com/viewjob?jk=ef744e4bb0173490", "https://www.indeed.com/viewjob?jk=ef744e4bb0173490")</f>
        <v/>
      </c>
      <c r="F36">
        <f>HYPERLINK("https://www.amazon.jobs/jobs/3125520/program-manager-executive-content-and-programs-global-executive-marketing?cmpid=DA_INAD200785B", "https://www.amazon.jobs/jobs/3125520/program-manager-executive-content-and-programs-global-executive-marketing?cmpid=DA_INAD200785B")</f>
        <v/>
      </c>
      <c r="G36" t="inlineStr">
        <is>
          <t>Arlington, VA, US</t>
        </is>
      </c>
      <c r="H36" s="3" t="n">
        <v>45970</v>
      </c>
      <c r="I3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in-d4348c937e741d8e</t>
        </is>
      </c>
      <c r="B37" t="inlineStr">
        <is>
          <t>Sr. Product Manager, AWS Server Supply Chain</t>
        </is>
      </c>
      <c r="C37" t="inlineStr">
        <is>
          <t>Amazon.com</t>
        </is>
      </c>
      <c r="D37" t="inlineStr">
        <is>
          <t>indeed</t>
        </is>
      </c>
      <c r="E37">
        <f>HYPERLINK("https://www.indeed.com/viewjob?jk=d4348c937e741d8e", "https://www.indeed.com/viewjob?jk=d4348c937e741d8e")</f>
        <v/>
      </c>
      <c r="F37">
        <f>HYPERLINK("https://www.amazon.jobs/jobs/3117342/sr-product-manager-aws-server-supply-chain?cmpid=DA_INAD200785B", "https://www.amazon.jobs/jobs/3117342/sr-product-manager-aws-server-supply-chain?cmpid=DA_INAD200785B")</f>
        <v/>
      </c>
      <c r="G37" t="inlineStr">
        <is>
          <t>Cupertino, CA, US</t>
        </is>
      </c>
      <c r="H37" s="3" t="n">
        <v>45956</v>
      </c>
      <c r="I3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in-22ca111c83021d64</t>
        </is>
      </c>
      <c r="B38" t="inlineStr">
        <is>
          <t>Sr. Product Manager, AWS Server Supply Chain</t>
        </is>
      </c>
      <c r="C38" t="inlineStr">
        <is>
          <t>Amazon.com</t>
        </is>
      </c>
      <c r="D38" t="inlineStr">
        <is>
          <t>indeed</t>
        </is>
      </c>
      <c r="E38">
        <f>HYPERLINK("https://www.indeed.com/viewjob?jk=22ca111c83021d64", "https://www.indeed.com/viewjob?jk=22ca111c83021d64")</f>
        <v/>
      </c>
      <c r="F38">
        <f>HYPERLINK("https://www.amazon.jobs/jobs/3117342/sr-product-manager-aws-server-supply-chain?cmpid=DA_INAD200785B", "https://www.amazon.jobs/jobs/3117342/sr-product-manager-aws-server-supply-chain?cmpid=DA_INAD200785B")</f>
        <v/>
      </c>
      <c r="G38" t="inlineStr">
        <is>
          <t>Austin, TX, US</t>
        </is>
      </c>
      <c r="H38" s="3" t="n">
        <v>45956</v>
      </c>
      <c r="I3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in-650fe51ff2a92997</t>
        </is>
      </c>
      <c r="B39" t="inlineStr">
        <is>
          <t>Sr. Product Manager, AWS Server Supply Chain</t>
        </is>
      </c>
      <c r="C39" t="inlineStr">
        <is>
          <t>Amazon.com</t>
        </is>
      </c>
      <c r="D39" t="inlineStr">
        <is>
          <t>indeed</t>
        </is>
      </c>
      <c r="E39">
        <f>HYPERLINK("https://www.indeed.com/viewjob?jk=650fe51ff2a92997", "https://www.indeed.com/viewjob?jk=650fe51ff2a92997")</f>
        <v/>
      </c>
      <c r="F39">
        <f>HYPERLINK("https://www.amazon.jobs/jobs/3117342/sr-product-manager-aws-server-supply-chain?cmpid=DA_INAD200785B", "https://www.amazon.jobs/jobs/3117342/sr-product-manager-aws-server-supply-chain?cmpid=DA_INAD200785B")</f>
        <v/>
      </c>
      <c r="G39" t="inlineStr">
        <is>
          <t>Seattle, WA, US</t>
        </is>
      </c>
      <c r="H39" s="3" t="n">
        <v>45956</v>
      </c>
      <c r="I3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in-81dc042694a67f1d</t>
        </is>
      </c>
      <c r="B40" t="inlineStr">
        <is>
          <t>Sr. Program Manager, Planning &amp; Automation, Global Fleet and Products Electrification and Infrastructure</t>
        </is>
      </c>
      <c r="C40" t="inlineStr">
        <is>
          <t>Amazon.com</t>
        </is>
      </c>
      <c r="D40" t="inlineStr">
        <is>
          <t>indeed</t>
        </is>
      </c>
      <c r="E40">
        <f>HYPERLINK("https://www.indeed.com/viewjob?jk=81dc042694a67f1d", "https://www.indeed.com/viewjob?jk=81dc042694a67f1d")</f>
        <v/>
      </c>
      <c r="F40">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40" t="inlineStr">
        <is>
          <t>Nashville, TN, US</t>
        </is>
      </c>
      <c r="H40" s="3" t="n">
        <v>45949</v>
      </c>
      <c r="I4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in-512a861e149a8d1b</t>
        </is>
      </c>
      <c r="B41" t="inlineStr">
        <is>
          <t>Sr. Program Manager, Planning &amp; Automation, Global Fleet and Products Electrification and Infrastructure</t>
        </is>
      </c>
      <c r="C41" t="inlineStr">
        <is>
          <t>Amazon.com</t>
        </is>
      </c>
      <c r="D41" t="inlineStr">
        <is>
          <t>indeed</t>
        </is>
      </c>
      <c r="E41">
        <f>HYPERLINK("https://www.indeed.com/viewjob?jk=512a861e149a8d1b", "https://www.indeed.com/viewjob?jk=512a861e149a8d1b")</f>
        <v/>
      </c>
      <c r="F41">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41" t="inlineStr">
        <is>
          <t>San Francisco, CA, US</t>
        </is>
      </c>
      <c r="H41" s="3" t="n">
        <v>45949</v>
      </c>
      <c r="I41"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in-1e7da25261925b23</t>
        </is>
      </c>
      <c r="B42" t="inlineStr">
        <is>
          <t>Sr. Program Manager, Planning &amp; Automation, Global Fleet and Products Electrification and Infrastructure</t>
        </is>
      </c>
      <c r="C42" t="inlineStr">
        <is>
          <t>Amazon.com</t>
        </is>
      </c>
      <c r="D42" t="inlineStr">
        <is>
          <t>indeed</t>
        </is>
      </c>
      <c r="E42">
        <f>HYPERLINK("https://www.indeed.com/viewjob?jk=1e7da25261925b23", "https://www.indeed.com/viewjob?jk=1e7da25261925b23")</f>
        <v/>
      </c>
      <c r="F42">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42" t="inlineStr">
        <is>
          <t>Bellevue, WA, US</t>
        </is>
      </c>
      <c r="H42" s="3" t="n">
        <v>45949</v>
      </c>
      <c r="I4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in-e6d44d24d83fce25</t>
        </is>
      </c>
      <c r="B43" t="inlineStr">
        <is>
          <t>Workforce Development Program Manager III, Reliability &amp; Engineering Maintenance Strategic Workforce Development (SWD) Team</t>
        </is>
      </c>
      <c r="C43" t="inlineStr">
        <is>
          <t>Amazon.com</t>
        </is>
      </c>
      <c r="D43" t="inlineStr">
        <is>
          <t>indeed</t>
        </is>
      </c>
      <c r="E43">
        <f>HYPERLINK("https://www.indeed.com/viewjob?jk=e6d44d24d83fce25", "https://www.indeed.com/viewjob?jk=e6d44d24d83fce25")</f>
        <v/>
      </c>
      <c r="F43">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43" t="inlineStr">
        <is>
          <t>Nashville, TN, US</t>
        </is>
      </c>
      <c r="H43" s="3" t="n">
        <v>45946</v>
      </c>
      <c r="I43"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44">
      <c r="A44" t="inlineStr">
        <is>
          <t>in-3e401bf01278a87a</t>
        </is>
      </c>
      <c r="B44" t="inlineStr">
        <is>
          <t>Workforce Development Program Manager III, Reliability &amp; Engineering Maintenance Strategic Workforce Development (SWD) Team</t>
        </is>
      </c>
      <c r="C44" t="inlineStr">
        <is>
          <t>Amazon.com</t>
        </is>
      </c>
      <c r="D44" t="inlineStr">
        <is>
          <t>indeed</t>
        </is>
      </c>
      <c r="E44">
        <f>HYPERLINK("https://www.indeed.com/viewjob?jk=3e401bf01278a87a", "https://www.indeed.com/viewjob?jk=3e401bf01278a87a")</f>
        <v/>
      </c>
      <c r="F44">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44" t="inlineStr">
        <is>
          <t>Denver, CO, US</t>
        </is>
      </c>
      <c r="H44" s="3" t="n">
        <v>45946</v>
      </c>
      <c r="I44"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45">
      <c r="A45" t="inlineStr">
        <is>
          <t>in-d68789b162b97e1e</t>
        </is>
      </c>
      <c r="B45" t="inlineStr">
        <is>
          <t>Workforce Development Program Manager III, Reliability &amp; Engineering Maintenance Strategic Workforce Development (SWD) Team</t>
        </is>
      </c>
      <c r="C45" t="inlineStr">
        <is>
          <t>Amazon.com</t>
        </is>
      </c>
      <c r="D45" t="inlineStr">
        <is>
          <t>indeed</t>
        </is>
      </c>
      <c r="E45">
        <f>HYPERLINK("https://www.indeed.com/viewjob?jk=d68789b162b97e1e", "https://www.indeed.com/viewjob?jk=d68789b162b97e1e")</f>
        <v/>
      </c>
      <c r="F45">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45" t="inlineStr">
        <is>
          <t>Dallas, TX, US</t>
        </is>
      </c>
      <c r="H45" s="3" t="n">
        <v>45946</v>
      </c>
      <c r="I45"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46">
      <c r="A46" t="inlineStr">
        <is>
          <t>in-5162c17d751229ba</t>
        </is>
      </c>
      <c r="B46" t="inlineStr">
        <is>
          <t>Workforce Development Program Manager III, Reliability &amp; Engineering Maintenance Strategic Workforce Development (SWD) Team</t>
        </is>
      </c>
      <c r="C46" t="inlineStr">
        <is>
          <t>Amazon.com</t>
        </is>
      </c>
      <c r="D46" t="inlineStr">
        <is>
          <t>indeed</t>
        </is>
      </c>
      <c r="E46">
        <f>HYPERLINK("https://www.indeed.com/viewjob?jk=5162c17d751229ba", "https://www.indeed.com/viewjob?jk=5162c17d751229ba")</f>
        <v/>
      </c>
      <c r="F46">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46" t="inlineStr">
        <is>
          <t>Tampa, FL, US</t>
        </is>
      </c>
      <c r="H46" s="3" t="n">
        <v>45946</v>
      </c>
      <c r="I46"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47">
      <c r="A47" t="inlineStr">
        <is>
          <t>in-a85f93d2dc5b6791</t>
        </is>
      </c>
      <c r="B47" t="inlineStr">
        <is>
          <t>Workforce Development Program Manager III, Reliability &amp; Engineering Maintenance Strategic Workforce Development (SWD) Team</t>
        </is>
      </c>
      <c r="C47" t="inlineStr">
        <is>
          <t>Amazon.com</t>
        </is>
      </c>
      <c r="D47" t="inlineStr">
        <is>
          <t>indeed</t>
        </is>
      </c>
      <c r="E47">
        <f>HYPERLINK("https://www.indeed.com/viewjob?jk=a85f93d2dc5b6791", "https://www.indeed.com/viewjob?jk=a85f93d2dc5b6791")</f>
        <v/>
      </c>
      <c r="F47">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47" t="inlineStr">
        <is>
          <t>Erlanger, KY, US</t>
        </is>
      </c>
      <c r="H47" s="3" t="n">
        <v>45946</v>
      </c>
      <c r="I47"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48">
      <c r="A48" t="inlineStr">
        <is>
          <t>in-88e1e0bfb230ac6c</t>
        </is>
      </c>
      <c r="B48" t="inlineStr">
        <is>
          <t>Workforce Development Program Manager III, Reliability &amp; Engineering Maintenance Strategic Workforce Development (SWD) Team</t>
        </is>
      </c>
      <c r="C48" t="inlineStr">
        <is>
          <t>Amazon.com</t>
        </is>
      </c>
      <c r="D48" t="inlineStr">
        <is>
          <t>indeed</t>
        </is>
      </c>
      <c r="E48">
        <f>HYPERLINK("https://www.indeed.com/viewjob?jk=88e1e0bfb230ac6c", "https://www.indeed.com/viewjob?jk=88e1e0bfb230ac6c")</f>
        <v/>
      </c>
      <c r="F48">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48" t="inlineStr">
        <is>
          <t>Indianapolis, IN, US</t>
        </is>
      </c>
      <c r="H48" s="3" t="n">
        <v>45946</v>
      </c>
      <c r="I48"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49">
      <c r="A49" t="inlineStr">
        <is>
          <t>in-8c88bfe847b3fa32</t>
        </is>
      </c>
      <c r="B49" t="inlineStr">
        <is>
          <t>Workforce Development Program Manager III, Reliability &amp; Engineering Maintenance Strategic Workforce Development (SWD) Team</t>
        </is>
      </c>
      <c r="C49" t="inlineStr">
        <is>
          <t>Amazon.com</t>
        </is>
      </c>
      <c r="D49" t="inlineStr">
        <is>
          <t>indeed</t>
        </is>
      </c>
      <c r="E49">
        <f>HYPERLINK("https://www.indeed.com/viewjob?jk=8c88bfe847b3fa32", "https://www.indeed.com/viewjob?jk=8c88bfe847b3fa32")</f>
        <v/>
      </c>
      <c r="F49">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49" t="inlineStr">
        <is>
          <t>Seattle, WA, US</t>
        </is>
      </c>
      <c r="H49" s="3" t="n">
        <v>45946</v>
      </c>
      <c r="I49"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50">
      <c r="A50" t="inlineStr">
        <is>
          <t>in-b6184ad9563805e7</t>
        </is>
      </c>
      <c r="B50" t="inlineStr">
        <is>
          <t>Senior Program Manager III, Planning, Amazon Leo, Global Service Compliance</t>
        </is>
      </c>
      <c r="C50" t="inlineStr">
        <is>
          <t>Amazon.com</t>
        </is>
      </c>
      <c r="D50" t="inlineStr">
        <is>
          <t>indeed</t>
        </is>
      </c>
      <c r="E50">
        <f>HYPERLINK("https://www.indeed.com/viewjob?jk=b6184ad9563805e7", "https://www.indeed.com/viewjob?jk=b6184ad9563805e7")</f>
        <v/>
      </c>
      <c r="F50">
        <f>HYPERLINK("https://www.amazon.jobs/jobs/3106118/senior-program-manager-iii-planning-amazon-leo-global-service-compliance?cmpid=DA_INAD200785B", "https://www.amazon.jobs/jobs/3106118/senior-program-manager-iii-planning-amazon-leo-global-service-compliance?cmpid=DA_INAD200785B")</f>
        <v/>
      </c>
      <c r="G50" t="inlineStr">
        <is>
          <t>Arlington, VA, US</t>
        </is>
      </c>
      <c r="H50" s="3" t="n">
        <v>45939</v>
      </c>
      <c r="I50"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in-1f7fa4c5d6df84e2</t>
        </is>
      </c>
      <c r="B51" t="inlineStr">
        <is>
          <t>Senior Program Manager III, Planning, Amazon Leo, Global Service Compliance</t>
        </is>
      </c>
      <c r="C51" t="inlineStr">
        <is>
          <t>Amazon.com</t>
        </is>
      </c>
      <c r="D51" t="inlineStr">
        <is>
          <t>indeed</t>
        </is>
      </c>
      <c r="E51">
        <f>HYPERLINK("https://www.indeed.com/viewjob?jk=1f7fa4c5d6df84e2", "https://www.indeed.com/viewjob?jk=1f7fa4c5d6df84e2")</f>
        <v/>
      </c>
      <c r="F51">
        <f>HYPERLINK("https://www.amazon.jobs/jobs/3106118/senior-program-manager-iii-planning-amazon-leo-global-service-compliance?cmpid=DA_INAD200785B", "https://www.amazon.jobs/jobs/3106118/senior-program-manager-iii-planning-amazon-leo-global-service-compliance?cmpid=DA_INAD200785B")</f>
        <v/>
      </c>
      <c r="G51" t="inlineStr">
        <is>
          <t>Bellevue, WA, US</t>
        </is>
      </c>
      <c r="H51" s="3" t="n">
        <v>45939</v>
      </c>
      <c r="I51"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in-7b48a731836f0a77</t>
        </is>
      </c>
      <c r="B52" t="inlineStr">
        <is>
          <t>Principal Product Manager, Ship with Amazon</t>
        </is>
      </c>
      <c r="C52" t="inlineStr">
        <is>
          <t>Amazon.com</t>
        </is>
      </c>
      <c r="D52" t="inlineStr">
        <is>
          <t>indeed</t>
        </is>
      </c>
      <c r="E52">
        <f>HYPERLINK("https://www.indeed.com/viewjob?jk=7b48a731836f0a77", "https://www.indeed.com/viewjob?jk=7b48a731836f0a77")</f>
        <v/>
      </c>
      <c r="F52">
        <f>HYPERLINK("https://www.amazon.jobs/jobs/3107449/principal-product-manager-ship-with-amazon?cmpid=DA_INAD200785B", "https://www.amazon.jobs/jobs/3107449/principal-product-manager-ship-with-amazon?cmpid=DA_INAD200785B")</f>
        <v/>
      </c>
      <c r="G52" t="inlineStr">
        <is>
          <t>Arlington, VA, US</t>
        </is>
      </c>
      <c r="H52" s="3" t="n">
        <v>45938</v>
      </c>
      <c r="I52"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in-830331c9f7527a6f</t>
        </is>
      </c>
      <c r="B53" t="inlineStr">
        <is>
          <t>Principal Product Manager, Ship with Amazon</t>
        </is>
      </c>
      <c r="C53" t="inlineStr">
        <is>
          <t>Amazon.com</t>
        </is>
      </c>
      <c r="D53" t="inlineStr">
        <is>
          <t>indeed</t>
        </is>
      </c>
      <c r="E53">
        <f>HYPERLINK("https://www.indeed.com/viewjob?jk=830331c9f7527a6f", "https://www.indeed.com/viewjob?jk=830331c9f7527a6f")</f>
        <v/>
      </c>
      <c r="F53">
        <f>HYPERLINK("https://www.amazon.jobs/jobs/3107449/principal-product-manager-ship-with-amazon?cmpid=DA_INAD200785B", "https://www.amazon.jobs/jobs/3107449/principal-product-manager-ship-with-amazon?cmpid=DA_INAD200785B")</f>
        <v/>
      </c>
      <c r="G53" t="inlineStr">
        <is>
          <t>Bellevue, WA, US</t>
        </is>
      </c>
      <c r="H53" s="3" t="n">
        <v>45938</v>
      </c>
      <c r="I53"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in-ad0dc31226adb20a</t>
        </is>
      </c>
      <c r="B54" t="inlineStr">
        <is>
          <t>Principal Product Manager, Ship with Amazon</t>
        </is>
      </c>
      <c r="C54" t="inlineStr">
        <is>
          <t>Amazon.com</t>
        </is>
      </c>
      <c r="D54" t="inlineStr">
        <is>
          <t>indeed</t>
        </is>
      </c>
      <c r="E54">
        <f>HYPERLINK("https://www.indeed.com/viewjob?jk=ad0dc31226adb20a", "https://www.indeed.com/viewjob?jk=ad0dc31226adb20a")</f>
        <v/>
      </c>
      <c r="F54">
        <f>HYPERLINK("https://www.amazon.jobs/jobs/3107447/principal-product-manager-ship-with-amazon?cmpid=DA_INAD200785B", "https://www.amazon.jobs/jobs/3107447/principal-product-manager-ship-with-amazon?cmpid=DA_INAD200785B")</f>
        <v/>
      </c>
      <c r="G54" t="inlineStr">
        <is>
          <t>Nashville, TN, US</t>
        </is>
      </c>
      <c r="H54" s="3" t="n">
        <v>45936</v>
      </c>
      <c r="I54"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in-69c7899903a0b961</t>
        </is>
      </c>
      <c r="B55" t="inlineStr">
        <is>
          <t>Principal Product Manager, Ship with Amazon</t>
        </is>
      </c>
      <c r="C55" t="inlineStr">
        <is>
          <t>Amazon.com</t>
        </is>
      </c>
      <c r="D55" t="inlineStr">
        <is>
          <t>indeed</t>
        </is>
      </c>
      <c r="E55">
        <f>HYPERLINK("https://www.indeed.com/viewjob?jk=69c7899903a0b961", "https://www.indeed.com/viewjob?jk=69c7899903a0b961")</f>
        <v/>
      </c>
      <c r="F55">
        <f>HYPERLINK("https://www.amazon.jobs/jobs/3107447/principal-product-manager-ship-with-amazon?cmpid=DA_INAD200785B", "https://www.amazon.jobs/jobs/3107447/principal-product-manager-ship-with-amazon?cmpid=DA_INAD200785B")</f>
        <v/>
      </c>
      <c r="G55" t="inlineStr">
        <is>
          <t>Bellevue, WA, US</t>
        </is>
      </c>
      <c r="H55" s="3" t="n">
        <v>45936</v>
      </c>
      <c r="I55"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in-6c2500d00b1b48e2</t>
        </is>
      </c>
      <c r="B56" t="inlineStr">
        <is>
          <t>Principal Product Manager, Ship with Amazon</t>
        </is>
      </c>
      <c r="C56" t="inlineStr">
        <is>
          <t>Amazon.com</t>
        </is>
      </c>
      <c r="D56" t="inlineStr">
        <is>
          <t>indeed</t>
        </is>
      </c>
      <c r="E56">
        <f>HYPERLINK("https://www.indeed.com/viewjob?jk=6c2500d00b1b48e2", "https://www.indeed.com/viewjob?jk=6c2500d00b1b48e2")</f>
        <v/>
      </c>
      <c r="F56">
        <f>HYPERLINK("https://www.amazon.jobs/jobs/3107447/principal-product-manager-ship-with-amazon?cmpid=DA_INAD200785B", "https://www.amazon.jobs/jobs/3107447/principal-product-manager-ship-with-amazon?cmpid=DA_INAD200785B")</f>
        <v/>
      </c>
      <c r="G56" t="inlineStr">
        <is>
          <t>Arlington, VA, US</t>
        </is>
      </c>
      <c r="H56" s="3" t="n">
        <v>45936</v>
      </c>
      <c r="I56"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in-6be00438278f2ffa</t>
        </is>
      </c>
      <c r="B57" t="inlineStr">
        <is>
          <t>Sr. Supply Chain Product Manager, Amazon Custom Modules</t>
        </is>
      </c>
      <c r="C57" t="inlineStr">
        <is>
          <t>Amazon.com</t>
        </is>
      </c>
      <c r="D57" t="inlineStr">
        <is>
          <t>indeed</t>
        </is>
      </c>
      <c r="E57">
        <f>HYPERLINK("https://www.indeed.com/viewjob?jk=6be00438278f2ffa", "https://www.indeed.com/viewjob?jk=6be00438278f2ffa")</f>
        <v/>
      </c>
      <c r="F57">
        <f>HYPERLINK("https://www.amazon.jobs/jobs/3109372/sr-supply-chain-product-manager-amazon-custom-modules?cmpid=DA_INAD200785B", "https://www.amazon.jobs/jobs/3109372/sr-supply-chain-product-manager-amazon-custom-modules?cmpid=DA_INAD200785B")</f>
        <v/>
      </c>
      <c r="G57" t="inlineStr">
        <is>
          <t>Cupertino, CA, US</t>
        </is>
      </c>
      <c r="H57" s="3" t="n">
        <v>45935</v>
      </c>
      <c r="I5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in-1bf0c588dee2d9a4</t>
        </is>
      </c>
      <c r="B58" t="inlineStr">
        <is>
          <t>Sr. Supply Chain Product Manager, Amazon Custom Modules</t>
        </is>
      </c>
      <c r="C58" t="inlineStr">
        <is>
          <t>Amazon.com</t>
        </is>
      </c>
      <c r="D58" t="inlineStr">
        <is>
          <t>indeed</t>
        </is>
      </c>
      <c r="E58">
        <f>HYPERLINK("https://www.indeed.com/viewjob?jk=1bf0c588dee2d9a4", "https://www.indeed.com/viewjob?jk=1bf0c588dee2d9a4")</f>
        <v/>
      </c>
      <c r="F58">
        <f>HYPERLINK("https://www.amazon.jobs/jobs/3109372/sr-supply-chain-product-manager-amazon-custom-modules?cmpid=DA_INAD200785B", "https://www.amazon.jobs/jobs/3109372/sr-supply-chain-product-manager-amazon-custom-modules?cmpid=DA_INAD200785B")</f>
        <v/>
      </c>
      <c r="G58" t="inlineStr">
        <is>
          <t>Austin, TX, US</t>
        </is>
      </c>
      <c r="H58" s="3" t="n">
        <v>45935</v>
      </c>
      <c r="I5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in-c503039cbd22d28c</t>
        </is>
      </c>
      <c r="B59" t="inlineStr">
        <is>
          <t>Sr. Supply Chain Product Manager, Amazon Custom Modules</t>
        </is>
      </c>
      <c r="C59" t="inlineStr">
        <is>
          <t>Amazon.com</t>
        </is>
      </c>
      <c r="D59" t="inlineStr">
        <is>
          <t>indeed</t>
        </is>
      </c>
      <c r="E59">
        <f>HYPERLINK("https://www.indeed.com/viewjob?jk=c503039cbd22d28c", "https://www.indeed.com/viewjob?jk=c503039cbd22d28c")</f>
        <v/>
      </c>
      <c r="F59">
        <f>HYPERLINK("https://www.amazon.jobs/jobs/3109372/sr-supply-chain-product-manager-amazon-custom-modules?cmpid=DA_INAD200785B", "https://www.amazon.jobs/jobs/3109372/sr-supply-chain-product-manager-amazon-custom-modules?cmpid=DA_INAD200785B")</f>
        <v/>
      </c>
      <c r="G59" t="inlineStr">
        <is>
          <t>Seattle, WA, US</t>
        </is>
      </c>
      <c r="H59" s="3" t="n">
        <v>45935</v>
      </c>
      <c r="I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in-eed40b6a49c82ac7</t>
        </is>
      </c>
      <c r="B60" t="inlineStr">
        <is>
          <t>SR. Technical Program Manager, Connectivity, Connectivity SW DeviceOS</t>
        </is>
      </c>
      <c r="C60" t="inlineStr">
        <is>
          <t>Amazon.com</t>
        </is>
      </c>
      <c r="D60" t="inlineStr">
        <is>
          <t>indeed</t>
        </is>
      </c>
      <c r="E60">
        <f>HYPERLINK("https://www.indeed.com/viewjob?jk=eed40b6a49c82ac7", "https://www.indeed.com/viewjob?jk=eed40b6a49c82ac7")</f>
        <v/>
      </c>
      <c r="F60">
        <f>HYPERLINK("https://www.amazon.jobs/jobs/3102471/sr-technical-program-manager-connectivity-connectivity-sw-deviceos?cmpid=DA_INAD200785B", "https://www.amazon.jobs/jobs/3102471/sr-technical-program-manager-connectivity-connectivity-sw-deviceos?cmpid=DA_INAD200785B")</f>
        <v/>
      </c>
      <c r="G60" t="inlineStr">
        <is>
          <t>Irvine, CA, US</t>
        </is>
      </c>
      <c r="H60" s="3" t="n">
        <v>45932</v>
      </c>
      <c r="I60"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in-20e6f1eca28054e0</t>
        </is>
      </c>
      <c r="B61" t="inlineStr">
        <is>
          <t>SR. Technical Program Manager, Connectivity, Connectivity SW DeviceOS</t>
        </is>
      </c>
      <c r="C61" t="inlineStr">
        <is>
          <t>Amazon.com</t>
        </is>
      </c>
      <c r="D61" t="inlineStr">
        <is>
          <t>indeed</t>
        </is>
      </c>
      <c r="E61">
        <f>HYPERLINK("https://www.indeed.com/viewjob?jk=20e6f1eca28054e0", "https://www.indeed.com/viewjob?jk=20e6f1eca28054e0")</f>
        <v/>
      </c>
      <c r="F61">
        <f>HYPERLINK("https://www.amazon.jobs/jobs/3102471/sr-technical-program-manager-connectivity-connectivity-sw-deviceos?cmpid=DA_INAD200785B", "https://www.amazon.jobs/jobs/3102471/sr-technical-program-manager-connectivity-connectivity-sw-deviceos?cmpid=DA_INAD200785B")</f>
        <v/>
      </c>
      <c r="G61" t="inlineStr">
        <is>
          <t>Austin, TX, US</t>
        </is>
      </c>
      <c r="H61" s="3" t="n">
        <v>45932</v>
      </c>
      <c r="I61"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in-e76b9cf0a9e21f0a</t>
        </is>
      </c>
      <c r="B62" t="inlineStr">
        <is>
          <t>SR. Technical Program Manager, Connectivity, Connectivity SW DeviceOS</t>
        </is>
      </c>
      <c r="C62" t="inlineStr">
        <is>
          <t>Amazon.com</t>
        </is>
      </c>
      <c r="D62" t="inlineStr">
        <is>
          <t>indeed</t>
        </is>
      </c>
      <c r="E62">
        <f>HYPERLINK("https://www.indeed.com/viewjob?jk=e76b9cf0a9e21f0a", "https://www.indeed.com/viewjob?jk=e76b9cf0a9e21f0a")</f>
        <v/>
      </c>
      <c r="F62">
        <f>HYPERLINK("https://www.amazon.jobs/jobs/3102471/sr-technical-program-manager-connectivity-connectivity-sw-deviceos?cmpid=DA_INAD200785B", "https://www.amazon.jobs/jobs/3102471/sr-technical-program-manager-connectivity-connectivity-sw-deviceos?cmpid=DA_INAD200785B")</f>
        <v/>
      </c>
      <c r="G62" t="inlineStr">
        <is>
          <t>Sunnyvale, CA, US</t>
        </is>
      </c>
      <c r="H62" s="3" t="n">
        <v>45932</v>
      </c>
      <c r="I6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in-bef87d215a7f23a3</t>
        </is>
      </c>
      <c r="B63" t="inlineStr">
        <is>
          <t>Sr. Program Manager, Same Day Programs</t>
        </is>
      </c>
      <c r="C63" t="inlineStr">
        <is>
          <t>Amazon.com</t>
        </is>
      </c>
      <c r="D63" t="inlineStr">
        <is>
          <t>indeed</t>
        </is>
      </c>
      <c r="E63">
        <f>HYPERLINK("https://www.indeed.com/viewjob?jk=bef87d215a7f23a3", "https://www.indeed.com/viewjob?jk=bef87d215a7f23a3")</f>
        <v/>
      </c>
      <c r="F63">
        <f>HYPERLINK("https://www.amazon.jobs/jobs/3106355/sr-program-manager-same-day-programs?cmpid=DA_INAD200785B", "https://www.amazon.jobs/jobs/3106355/sr-program-manager-same-day-programs?cmpid=DA_INAD200785B")</f>
        <v/>
      </c>
      <c r="G63" t="inlineStr">
        <is>
          <t>Nashville, TN, US</t>
        </is>
      </c>
      <c r="H63" s="3" t="n">
        <v>45931</v>
      </c>
      <c r="I6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in-751ab212c6261c97</t>
        </is>
      </c>
      <c r="B64" t="inlineStr">
        <is>
          <t>Sr. Program Manager, Same Day Programs</t>
        </is>
      </c>
      <c r="C64" t="inlineStr">
        <is>
          <t>Amazon.com</t>
        </is>
      </c>
      <c r="D64" t="inlineStr">
        <is>
          <t>indeed</t>
        </is>
      </c>
      <c r="E64">
        <f>HYPERLINK("https://www.indeed.com/viewjob?jk=751ab212c6261c97", "https://www.indeed.com/viewjob?jk=751ab212c6261c97")</f>
        <v/>
      </c>
      <c r="F64">
        <f>HYPERLINK("https://www.amazon.jobs/jobs/3106355/sr-program-manager-same-day-programs?cmpid=DA_INAD200785B", "https://www.amazon.jobs/jobs/3106355/sr-program-manager-same-day-programs?cmpid=DA_INAD200785B")</f>
        <v/>
      </c>
      <c r="G64" t="inlineStr">
        <is>
          <t>Bellevue, WA, US</t>
        </is>
      </c>
      <c r="H64" s="3" t="n">
        <v>45931</v>
      </c>
      <c r="I6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in-dc92f2b462184cbc</t>
        </is>
      </c>
      <c r="B65" t="inlineStr">
        <is>
          <t>Sr. Program Manager, Same Day Programs,</t>
        </is>
      </c>
      <c r="C65" t="inlineStr">
        <is>
          <t>Amazon.com</t>
        </is>
      </c>
      <c r="D65" t="inlineStr">
        <is>
          <t>indeed</t>
        </is>
      </c>
      <c r="E65">
        <f>HYPERLINK("https://www.indeed.com/viewjob?jk=dc92f2b462184cbc", "https://www.indeed.com/viewjob?jk=dc92f2b462184cbc")</f>
        <v/>
      </c>
      <c r="F65">
        <f>HYPERLINK("https://www.amazon.jobs/jobs/3106368/sr-program-manager-same-day-programs--?cmpid=DA_INAD200785B", "https://www.amazon.jobs/jobs/3106368/sr-program-manager-same-day-programs--?cmpid=DA_INAD200785B")</f>
        <v/>
      </c>
      <c r="G65" t="inlineStr">
        <is>
          <t>Bellevue, WA, US</t>
        </is>
      </c>
      <c r="H65" s="3" t="n">
        <v>45931</v>
      </c>
      <c r="I6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in-57c8b219d88f9eb9</t>
        </is>
      </c>
      <c r="B66" t="inlineStr">
        <is>
          <t>Sr. Program Manager, Same Day Programs,</t>
        </is>
      </c>
      <c r="C66" t="inlineStr">
        <is>
          <t>Amazon.com</t>
        </is>
      </c>
      <c r="D66" t="inlineStr">
        <is>
          <t>indeed</t>
        </is>
      </c>
      <c r="E66">
        <f>HYPERLINK("https://www.indeed.com/viewjob?jk=57c8b219d88f9eb9", "https://www.indeed.com/viewjob?jk=57c8b219d88f9eb9")</f>
        <v/>
      </c>
      <c r="F66">
        <f>HYPERLINK("https://www.amazon.jobs/jobs/3106368/sr-program-manager-same-day-programs--?cmpid=DA_INAD200785B", "https://www.amazon.jobs/jobs/3106368/sr-program-manager-same-day-programs--?cmpid=DA_INAD200785B")</f>
        <v/>
      </c>
      <c r="G66" t="inlineStr">
        <is>
          <t>Nashville, TN, US</t>
        </is>
      </c>
      <c r="H66" s="3" t="n">
        <v>45931</v>
      </c>
      <c r="I6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in-7300175321d513a4</t>
        </is>
      </c>
      <c r="B67" t="inlineStr">
        <is>
          <t>Sr. Product Manager - Tech , AFX - Sales Planning Tools</t>
        </is>
      </c>
      <c r="C67" t="inlineStr">
        <is>
          <t>Amazon Web Services</t>
        </is>
      </c>
      <c r="D67" t="inlineStr">
        <is>
          <t>indeed</t>
        </is>
      </c>
      <c r="E67">
        <f>HYPERLINK("https://www.indeed.com/viewjob?jk=7300175321d513a4", "https://www.indeed.com/viewjob?jk=7300175321d513a4")</f>
        <v/>
      </c>
      <c r="F67">
        <f>HYPERLINK("https://www.amazon.jobs/jobs/3104992/sr-product-manager--tech--afx--sales-planning-tools?cmpid=DA_INAD200785B", "https://www.amazon.jobs/jobs/3104992/sr-product-manager--tech--afx--sales-planning-tools?cmpid=DA_INAD200785B")</f>
        <v/>
      </c>
      <c r="G67" t="inlineStr">
        <is>
          <t>Seattle, WA, US</t>
        </is>
      </c>
      <c r="H67" s="3" t="n">
        <v>45923</v>
      </c>
      <c r="I67"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in-a94262e7c6cc576f</t>
        </is>
      </c>
      <c r="B68" t="inlineStr">
        <is>
          <t>Sr. Product Manager - Tech , AFX - Sales Planning Tools</t>
        </is>
      </c>
      <c r="C68" t="inlineStr">
        <is>
          <t>Amazon Web Services</t>
        </is>
      </c>
      <c r="D68" t="inlineStr">
        <is>
          <t>indeed</t>
        </is>
      </c>
      <c r="E68">
        <f>HYPERLINK("https://www.indeed.com/viewjob?jk=a94262e7c6cc576f", "https://www.indeed.com/viewjob?jk=a94262e7c6cc576f")</f>
        <v/>
      </c>
      <c r="F68">
        <f>HYPERLINK("https://www.amazon.jobs/jobs/3104992/sr-product-manager--tech--afx--sales-planning-tools?cmpid=DA_INAD200785B", "https://www.amazon.jobs/jobs/3104992/sr-product-manager--tech--afx--sales-planning-tools?cmpid=DA_INAD200785B")</f>
        <v/>
      </c>
      <c r="G68" t="inlineStr">
        <is>
          <t>Dallas, TX, US</t>
        </is>
      </c>
      <c r="H68" s="3" t="n">
        <v>45923</v>
      </c>
      <c r="I68"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in-523b264878201fd8</t>
        </is>
      </c>
      <c r="B69" t="inlineStr">
        <is>
          <t>Amazon Last Mile Fleet Program Manager, In Life Services-Recalls, Retrofits, and Tires</t>
        </is>
      </c>
      <c r="C69" t="inlineStr">
        <is>
          <t>Amazon.com</t>
        </is>
      </c>
      <c r="D69" t="inlineStr">
        <is>
          <t>indeed</t>
        </is>
      </c>
      <c r="E69">
        <f>HYPERLINK("https://www.indeed.com/viewjob?jk=523b264878201fd8", "https://www.indeed.com/viewjob?jk=523b264878201fd8")</f>
        <v/>
      </c>
      <c r="F69">
        <f>HYPERLINK("https://www.amazon.jobs/jobs/3083275/amazon-last-mile-fleet-program-manager-in-life-servicesrecalls-retrofits-and-tires?cmpid=DA_INAD200785B", "https://www.amazon.jobs/jobs/3083275/amazon-last-mile-fleet-program-manager-in-life-servicesrecalls-retrofits-and-tires?cmpid=DA_INAD200785B")</f>
        <v/>
      </c>
      <c r="G69" t="inlineStr">
        <is>
          <t>Arlington, VA, US</t>
        </is>
      </c>
      <c r="H69" s="3" t="n">
        <v>45911</v>
      </c>
      <c r="I6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in-fd4a89b7526789bc</t>
        </is>
      </c>
      <c r="B70" t="inlineStr">
        <is>
          <t>Amazon Last Mile Fleet Program Manager, In Life Services-Recalls, Retrofits, and Tires</t>
        </is>
      </c>
      <c r="C70" t="inlineStr">
        <is>
          <t>Amazon.com</t>
        </is>
      </c>
      <c r="D70" t="inlineStr">
        <is>
          <t>indeed</t>
        </is>
      </c>
      <c r="E70">
        <f>HYPERLINK("https://www.indeed.com/viewjob?jk=fd4a89b7526789bc", "https://www.indeed.com/viewjob?jk=fd4a89b7526789bc")</f>
        <v/>
      </c>
      <c r="F70">
        <f>HYPERLINK("https://www.amazon.jobs/jobs/3083275/amazon-last-mile-fleet-program-manager-in-life-servicesrecalls-retrofits-and-tires?cmpid=DA_INAD200785B", "https://www.amazon.jobs/jobs/3083275/amazon-last-mile-fleet-program-manager-in-life-servicesrecalls-retrofits-and-tires?cmpid=DA_INAD200785B")</f>
        <v/>
      </c>
      <c r="G70" t="inlineStr">
        <is>
          <t>Bellevue, WA, US</t>
        </is>
      </c>
      <c r="H70" s="3" t="n">
        <v>45911</v>
      </c>
      <c r="I7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in-5ff46a3637791446</t>
        </is>
      </c>
      <c r="B71" t="inlineStr">
        <is>
          <t>Amazon Last Mile Fleet Program Manager, In Life Services-Recalls, Retrofits, and Tires</t>
        </is>
      </c>
      <c r="C71" t="inlineStr">
        <is>
          <t>Amazon.com</t>
        </is>
      </c>
      <c r="D71" t="inlineStr">
        <is>
          <t>indeed</t>
        </is>
      </c>
      <c r="E71">
        <f>HYPERLINK("https://www.indeed.com/viewjob?jk=5ff46a3637791446", "https://www.indeed.com/viewjob?jk=5ff46a3637791446")</f>
        <v/>
      </c>
      <c r="F71">
        <f>HYPERLINK("https://www.amazon.jobs/jobs/3083275/amazon-last-mile-fleet-program-manager-in-life-servicesrecalls-retrofits-and-tires?cmpid=DA_INAD200785B", "https://www.amazon.jobs/jobs/3083275/amazon-last-mile-fleet-program-manager-in-life-servicesrecalls-retrofits-and-tires?cmpid=DA_INAD200785B")</f>
        <v/>
      </c>
      <c r="G71" t="inlineStr">
        <is>
          <t>Nashville, TN, US</t>
        </is>
      </c>
      <c r="H71" s="3" t="n">
        <v>45911</v>
      </c>
      <c r="I7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in-adaa234baf0c8de5</t>
        </is>
      </c>
      <c r="B72" t="inlineStr">
        <is>
          <t>Sr Materials Program Manager, Ring Supply Chain and Operations</t>
        </is>
      </c>
      <c r="C72" t="inlineStr">
        <is>
          <t>Amazon.com</t>
        </is>
      </c>
      <c r="D72" t="inlineStr">
        <is>
          <t>indeed</t>
        </is>
      </c>
      <c r="E72">
        <f>HYPERLINK("https://www.indeed.com/viewjob?jk=adaa234baf0c8de5", "https://www.indeed.com/viewjob?jk=adaa234baf0c8de5")</f>
        <v/>
      </c>
      <c r="F72">
        <f>HYPERLINK("https://www.amazon.jobs/jobs/3076487/sr-materials-program-manager-ring-supply-chain-and-operations?cmpid=DA_INAD200785B", "https://www.amazon.jobs/jobs/3076487/sr-materials-program-manager-ring-supply-chain-and-operations?cmpid=DA_INAD200785B")</f>
        <v/>
      </c>
      <c r="G72" t="inlineStr">
        <is>
          <t>Sunnyvale, CA, US</t>
        </is>
      </c>
      <c r="H72" s="3" t="n">
        <v>45898</v>
      </c>
      <c r="I72"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in-987a9ce5c34d6471</t>
        </is>
      </c>
      <c r="B73" t="inlineStr">
        <is>
          <t>Sr Materials Program Manager, Ring Supply Chain and Operations</t>
        </is>
      </c>
      <c r="C73" t="inlineStr">
        <is>
          <t>Amazon.com</t>
        </is>
      </c>
      <c r="D73" t="inlineStr">
        <is>
          <t>indeed</t>
        </is>
      </c>
      <c r="E73">
        <f>HYPERLINK("https://www.indeed.com/viewjob?jk=987a9ce5c34d6471", "https://www.indeed.com/viewjob?jk=987a9ce5c34d6471")</f>
        <v/>
      </c>
      <c r="F73">
        <f>HYPERLINK("https://www.amazon.jobs/jobs/3076487/sr-materials-program-manager-ring-supply-chain-and-operations?cmpid=DA_INAD200785B", "https://www.amazon.jobs/jobs/3076487/sr-materials-program-manager-ring-supply-chain-and-operations?cmpid=DA_INAD200785B")</f>
        <v/>
      </c>
      <c r="G73" t="inlineStr">
        <is>
          <t>Hawthorne, CA, US</t>
        </is>
      </c>
      <c r="H73" s="3" t="n">
        <v>45898</v>
      </c>
      <c r="I73"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in-ab6bf000d7c44c99</t>
        </is>
      </c>
      <c r="B74" t="inlineStr">
        <is>
          <t>Sr. Product Manager, Sub-Same Day (SSD) - DOT, SSD Delivery Ops Tech</t>
        </is>
      </c>
      <c r="C74" t="inlineStr">
        <is>
          <t>Amazon.com</t>
        </is>
      </c>
      <c r="D74" t="inlineStr">
        <is>
          <t>indeed</t>
        </is>
      </c>
      <c r="E74">
        <f>HYPERLINK("https://www.indeed.com/viewjob?jk=ab6bf000d7c44c99", "https://www.indeed.com/viewjob?jk=ab6bf000d7c44c99")</f>
        <v/>
      </c>
      <c r="F74">
        <f>HYPERLINK("https://www.amazon.jobs/jobs/3063966/sr-product-manager-subsame-day-ssd--dot-ssd-delivery-ops-tech?cmpid=DA_INAD200785B", "https://www.amazon.jobs/jobs/3063966/sr-product-manager-subsame-day-ssd--dot-ssd-delivery-ops-tech?cmpid=DA_INAD200785B")</f>
        <v/>
      </c>
      <c r="G74" t="inlineStr">
        <is>
          <t>Nashville, TN, US</t>
        </is>
      </c>
      <c r="H74" s="3" t="n">
        <v>45876</v>
      </c>
      <c r="I74"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in-5ed63258cce4d7c9</t>
        </is>
      </c>
      <c r="B75" t="inlineStr">
        <is>
          <t>Sr. Product Manager, Sub-Same Day (SSD) - DOT, SSD Delivery Ops Tech</t>
        </is>
      </c>
      <c r="C75" t="inlineStr">
        <is>
          <t>Amazon.com</t>
        </is>
      </c>
      <c r="D75" t="inlineStr">
        <is>
          <t>indeed</t>
        </is>
      </c>
      <c r="E75">
        <f>HYPERLINK("https://www.indeed.com/viewjob?jk=5ed63258cce4d7c9", "https://www.indeed.com/viewjob?jk=5ed63258cce4d7c9")</f>
        <v/>
      </c>
      <c r="F75">
        <f>HYPERLINK("https://www.amazon.jobs/jobs/3063966/sr-product-manager-subsame-day-ssd--dot-ssd-delivery-ops-tech?cmpid=DA_INAD200785B", "https://www.amazon.jobs/jobs/3063966/sr-product-manager-subsame-day-ssd--dot-ssd-delivery-ops-tech?cmpid=DA_INAD200785B")</f>
        <v/>
      </c>
      <c r="G75" t="inlineStr">
        <is>
          <t>Bellevue, WA, US</t>
        </is>
      </c>
      <c r="H75" s="3" t="n">
        <v>45876</v>
      </c>
      <c r="I75"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in-fcbb9867cd843b22</t>
        </is>
      </c>
      <c r="B76" t="inlineStr">
        <is>
          <t>Sr. Product Manager, Sub-Same Day (SSD) - DOT, SSD Delivery Ops Tech</t>
        </is>
      </c>
      <c r="C76" t="inlineStr">
        <is>
          <t>Amazon.com</t>
        </is>
      </c>
      <c r="D76" t="inlineStr">
        <is>
          <t>indeed</t>
        </is>
      </c>
      <c r="E76">
        <f>HYPERLINK("https://www.indeed.com/viewjob?jk=fcbb9867cd843b22", "https://www.indeed.com/viewjob?jk=fcbb9867cd843b22")</f>
        <v/>
      </c>
      <c r="F76">
        <f>HYPERLINK("https://www.amazon.jobs/jobs/3063966/sr-product-manager-subsame-day-ssd--dot-ssd-delivery-ops-tech?cmpid=DA_INAD200785B", "https://www.amazon.jobs/jobs/3063966/sr-product-manager-subsame-day-ssd--dot-ssd-delivery-ops-tech?cmpid=DA_INAD200785B")</f>
        <v/>
      </c>
      <c r="G76" t="inlineStr">
        <is>
          <t>New York, NY, US</t>
        </is>
      </c>
      <c r="H76" s="3" t="n">
        <v>45876</v>
      </c>
      <c r="I7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in-3b58986e9c03bf1a</t>
        </is>
      </c>
      <c r="B77" t="inlineStr">
        <is>
          <t>Sr. Product Manager, Sub-Same Day (SSD) Delivery</t>
        </is>
      </c>
      <c r="C77" t="inlineStr">
        <is>
          <t>Amazon.com</t>
        </is>
      </c>
      <c r="D77" t="inlineStr">
        <is>
          <t>indeed</t>
        </is>
      </c>
      <c r="E77">
        <f>HYPERLINK("https://www.indeed.com/viewjob?jk=3b58986e9c03bf1a", "https://www.indeed.com/viewjob?jk=3b58986e9c03bf1a")</f>
        <v/>
      </c>
      <c r="F77">
        <f>HYPERLINK("https://www.amazon.jobs/jobs/3062157/sr-product-manager-subsame-day-ssd-delivery?cmpid=DA_INAD200785B", "https://www.amazon.jobs/jobs/3062157/sr-product-manager-subsame-day-ssd-delivery?cmpid=DA_INAD200785B")</f>
        <v/>
      </c>
      <c r="G77" t="inlineStr">
        <is>
          <t>Bellevue, WA, US</t>
        </is>
      </c>
      <c r="H77" s="3" t="n">
        <v>45874</v>
      </c>
      <c r="I77"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in-a7723cee9113e972</t>
        </is>
      </c>
      <c r="B78" t="inlineStr">
        <is>
          <t>Sr. Product Manager, Sub-Same Day (SSD) Delivery</t>
        </is>
      </c>
      <c r="C78" t="inlineStr">
        <is>
          <t>Amazon.com</t>
        </is>
      </c>
      <c r="D78" t="inlineStr">
        <is>
          <t>indeed</t>
        </is>
      </c>
      <c r="E78">
        <f>HYPERLINK("https://www.indeed.com/viewjob?jk=a7723cee9113e972", "https://www.indeed.com/viewjob?jk=a7723cee9113e972")</f>
        <v/>
      </c>
      <c r="F78">
        <f>HYPERLINK("https://www.amazon.jobs/jobs/3062157/sr-product-manager-subsame-day-ssd-delivery?cmpid=DA_INAD200785B", "https://www.amazon.jobs/jobs/3062157/sr-product-manager-subsame-day-ssd-delivery?cmpid=DA_INAD200785B")</f>
        <v/>
      </c>
      <c r="G78" t="inlineStr">
        <is>
          <t>Nashville, TN, US</t>
        </is>
      </c>
      <c r="H78" s="3" t="n">
        <v>45874</v>
      </c>
      <c r="I78"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in-bc6c4a37e4fb5a9b</t>
        </is>
      </c>
      <c r="B79" t="inlineStr">
        <is>
          <t>Sr. Product Manager, Sub-Same Day (SSD) Delivery</t>
        </is>
      </c>
      <c r="C79" t="inlineStr">
        <is>
          <t>Amazon.com</t>
        </is>
      </c>
      <c r="D79" t="inlineStr">
        <is>
          <t>indeed</t>
        </is>
      </c>
      <c r="E79">
        <f>HYPERLINK("https://www.indeed.com/viewjob?jk=bc6c4a37e4fb5a9b", "https://www.indeed.com/viewjob?jk=bc6c4a37e4fb5a9b")</f>
        <v/>
      </c>
      <c r="F79">
        <f>HYPERLINK("https://www.amazon.jobs/jobs/3062157/sr-product-manager-subsame-day-ssd-delivery?cmpid=DA_INAD200785B", "https://www.amazon.jobs/jobs/3062157/sr-product-manager-subsame-day-ssd-delivery?cmpid=DA_INAD200785B")</f>
        <v/>
      </c>
      <c r="G79" t="inlineStr">
        <is>
          <t>New York, NY, US</t>
        </is>
      </c>
      <c r="H79" s="3" t="n">
        <v>45874</v>
      </c>
      <c r="I79"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in-4ab89da84c367f5c</t>
        </is>
      </c>
      <c r="B80" t="inlineStr">
        <is>
          <t>Senior Product Manager - Tech, Fire TV</t>
        </is>
      </c>
      <c r="C80" t="inlineStr">
        <is>
          <t>Amazon.com</t>
        </is>
      </c>
      <c r="D80" t="inlineStr">
        <is>
          <t>indeed</t>
        </is>
      </c>
      <c r="E80">
        <f>HYPERLINK("https://www.indeed.com/viewjob?jk=4ab89da84c367f5c", "https://www.indeed.com/viewjob?jk=4ab89da84c367f5c")</f>
        <v/>
      </c>
      <c r="F80">
        <f>HYPERLINK("https://www.amazon.jobs/jobs/3058473/senior-product-manager--tech-fire-tv?cmpid=DA_INAD200785B", "https://www.amazon.jobs/jobs/3058473/senior-product-manager--tech-fire-tv?cmpid=DA_INAD200785B")</f>
        <v/>
      </c>
      <c r="G80" t="inlineStr">
        <is>
          <t>Sunnyvale, CA, US</t>
        </is>
      </c>
      <c r="H80" s="3" t="n">
        <v>45855</v>
      </c>
      <c r="I80"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in-1d616a378f4d3113</t>
        </is>
      </c>
      <c r="B81" t="inlineStr">
        <is>
          <t>Senior Product Manager - Tech, Fire TV</t>
        </is>
      </c>
      <c r="C81" t="inlineStr">
        <is>
          <t>Amazon.com</t>
        </is>
      </c>
      <c r="D81" t="inlineStr">
        <is>
          <t>indeed</t>
        </is>
      </c>
      <c r="E81">
        <f>HYPERLINK("https://www.indeed.com/viewjob?jk=1d616a378f4d3113", "https://www.indeed.com/viewjob?jk=1d616a378f4d3113")</f>
        <v/>
      </c>
      <c r="F81">
        <f>HYPERLINK("https://www.amazon.jobs/jobs/3058473/senior-product-manager--tech-fire-tv?cmpid=DA_INAD200785B", "https://www.amazon.jobs/jobs/3058473/senior-product-manager--tech-fire-tv?cmpid=DA_INAD200785B")</f>
        <v/>
      </c>
      <c r="G81" t="inlineStr">
        <is>
          <t>Seattle, WA, US</t>
        </is>
      </c>
      <c r="H81" s="3" t="n">
        <v>45855</v>
      </c>
      <c r="I8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in-b95a6026fd0edf25</t>
        </is>
      </c>
      <c r="B82" t="inlineStr">
        <is>
          <t>Senior Product Manager - Technical, Alexa Communications</t>
        </is>
      </c>
      <c r="C82" t="inlineStr">
        <is>
          <t>Amazon.com</t>
        </is>
      </c>
      <c r="D82" t="inlineStr">
        <is>
          <t>indeed</t>
        </is>
      </c>
      <c r="E82">
        <f>HYPERLINK("https://www.indeed.com/viewjob?jk=b95a6026fd0edf25", "https://www.indeed.com/viewjob?jk=b95a6026fd0edf25")</f>
        <v/>
      </c>
      <c r="F82">
        <f>HYPERLINK("https://www.amazon.jobs/jobs/3034220/senior-product-manager--technical-alexa-communications?cmpid=DA_INAD200785B", "https://www.amazon.jobs/jobs/3034220/senior-product-manager--technical-alexa-communications?cmpid=DA_INAD200785B")</f>
        <v/>
      </c>
      <c r="G82" t="inlineStr">
        <is>
          <t>Sunnyvale, CA, US</t>
        </is>
      </c>
      <c r="H82" s="3" t="n">
        <v>45851</v>
      </c>
      <c r="I8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in-016c7d0018833c1a</t>
        </is>
      </c>
      <c r="B83" t="inlineStr">
        <is>
          <t>Senior Product Manager - Technical, Alexa Communications</t>
        </is>
      </c>
      <c r="C83" t="inlineStr">
        <is>
          <t>Amazon.com</t>
        </is>
      </c>
      <c r="D83" t="inlineStr">
        <is>
          <t>indeed</t>
        </is>
      </c>
      <c r="E83">
        <f>HYPERLINK("https://www.indeed.com/viewjob?jk=016c7d0018833c1a", "https://www.indeed.com/viewjob?jk=016c7d0018833c1a")</f>
        <v/>
      </c>
      <c r="F83">
        <f>HYPERLINK("https://www.amazon.jobs/jobs/3034220/senior-product-manager--technical-alexa-communications?cmpid=DA_INAD200785B", "https://www.amazon.jobs/jobs/3034220/senior-product-manager--technical-alexa-communications?cmpid=DA_INAD200785B")</f>
        <v/>
      </c>
      <c r="G83" t="inlineStr">
        <is>
          <t>Seattle, WA, US</t>
        </is>
      </c>
      <c r="H83" s="3" t="n">
        <v>45851</v>
      </c>
      <c r="I8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in-5025a9b000f2688c</t>
        </is>
      </c>
      <c r="B84" t="inlineStr">
        <is>
          <t>Principal Product Manager Tech - Devices, Fire TV Devices</t>
        </is>
      </c>
      <c r="C84" t="inlineStr">
        <is>
          <t>Amazon.com</t>
        </is>
      </c>
      <c r="D84" t="inlineStr">
        <is>
          <t>indeed</t>
        </is>
      </c>
      <c r="E84">
        <f>HYPERLINK("https://www.indeed.com/viewjob?jk=5025a9b000f2688c", "https://www.indeed.com/viewjob?jk=5025a9b000f2688c")</f>
        <v/>
      </c>
      <c r="F84">
        <f>HYPERLINK("https://www.amazon.jobs/jobs/3029783/principal-product-manager-tech--devices-fire-tv-devices?cmpid=DA_INAD200785B", "https://www.amazon.jobs/jobs/3029783/principal-product-manager-tech--devices-fire-tv-devices?cmpid=DA_INAD200785B")</f>
        <v/>
      </c>
      <c r="G84" t="inlineStr">
        <is>
          <t>Sunnyvale, CA, US</t>
        </is>
      </c>
      <c r="H84" s="3" t="n">
        <v>45844</v>
      </c>
      <c r="I84"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in-fb93b64c3e5aa92d</t>
        </is>
      </c>
      <c r="B85" t="inlineStr">
        <is>
          <t>Principal Product Manager Tech - Devices, Fire TV Devices</t>
        </is>
      </c>
      <c r="C85" t="inlineStr">
        <is>
          <t>Amazon.com</t>
        </is>
      </c>
      <c r="D85" t="inlineStr">
        <is>
          <t>indeed</t>
        </is>
      </c>
      <c r="E85">
        <f>HYPERLINK("https://www.indeed.com/viewjob?jk=fb93b64c3e5aa92d", "https://www.indeed.com/viewjob?jk=fb93b64c3e5aa92d")</f>
        <v/>
      </c>
      <c r="F85">
        <f>HYPERLINK("https://www.amazon.jobs/jobs/3029783/principal-product-manager-tech--devices-fire-tv-devices?cmpid=DA_INAD200785B", "https://www.amazon.jobs/jobs/3029783/principal-product-manager-tech--devices-fire-tv-devices?cmpid=DA_INAD200785B")</f>
        <v/>
      </c>
      <c r="G85" t="inlineStr">
        <is>
          <t>Seattle, WA, US</t>
        </is>
      </c>
      <c r="H85" s="3" t="n">
        <v>45844</v>
      </c>
      <c r="I8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in-58b0bbd48027c5c5</t>
        </is>
      </c>
      <c r="B86" t="inlineStr">
        <is>
          <t>Principal Product Manager-Technical, AGI, Artificial General Intellgence</t>
        </is>
      </c>
      <c r="C86" t="inlineStr">
        <is>
          <t>Amazon.com</t>
        </is>
      </c>
      <c r="D86" t="inlineStr">
        <is>
          <t>indeed</t>
        </is>
      </c>
      <c r="E86">
        <f>HYPERLINK("https://www.indeed.com/viewjob?jk=58b0bbd48027c5c5", "https://www.indeed.com/viewjob?jk=58b0bbd48027c5c5")</f>
        <v/>
      </c>
      <c r="F86">
        <f>HYPERLINK("https://www.amazon.jobs/jobs/3017572/principal-product-managertechnical-agi-artificial-general-intellgence?cmpid=DA_INAD200785B", "https://www.amazon.jobs/jobs/3017572/principal-product-managertechnical-agi-artificial-general-intellgence?cmpid=DA_INAD200785B")</f>
        <v/>
      </c>
      <c r="G86" t="inlineStr">
        <is>
          <t>Sunnyvale, CA, US</t>
        </is>
      </c>
      <c r="H86" s="3" t="n">
        <v>45824</v>
      </c>
      <c r="I8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in-a9f1f3a8251cabb8</t>
        </is>
      </c>
      <c r="B87" t="inlineStr">
        <is>
          <t>Principal Product Manager-Technical, AGI, Artificial General Intellgence</t>
        </is>
      </c>
      <c r="C87" t="inlineStr">
        <is>
          <t>Amazon.com</t>
        </is>
      </c>
      <c r="D87" t="inlineStr">
        <is>
          <t>indeed</t>
        </is>
      </c>
      <c r="E87">
        <f>HYPERLINK("https://www.indeed.com/viewjob?jk=a9f1f3a8251cabb8", "https://www.indeed.com/viewjob?jk=a9f1f3a8251cabb8")</f>
        <v/>
      </c>
      <c r="F87">
        <f>HYPERLINK("https://www.amazon.jobs/jobs/3017572/principal-product-managertechnical-agi-artificial-general-intellgence?cmpid=DA_INAD200785B", "https://www.amazon.jobs/jobs/3017572/principal-product-managertechnical-agi-artificial-general-intellgence?cmpid=DA_INAD200785B")</f>
        <v/>
      </c>
      <c r="G87" t="inlineStr">
        <is>
          <t>Bellevue, WA, US</t>
        </is>
      </c>
      <c r="H87" s="3" t="n">
        <v>45824</v>
      </c>
      <c r="I8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in-0249e0c2dc3ce88b</t>
        </is>
      </c>
      <c r="B88" t="inlineStr">
        <is>
          <t>Principal Product Manager-Technical, AGI, Artificial General Intellgence</t>
        </is>
      </c>
      <c r="C88" t="inlineStr">
        <is>
          <t>Amazon.com</t>
        </is>
      </c>
      <c r="D88" t="inlineStr">
        <is>
          <t>indeed</t>
        </is>
      </c>
      <c r="E88">
        <f>HYPERLINK("https://www.indeed.com/viewjob?jk=0249e0c2dc3ce88b", "https://www.indeed.com/viewjob?jk=0249e0c2dc3ce88b")</f>
        <v/>
      </c>
      <c r="F88">
        <f>HYPERLINK("https://www.amazon.jobs/jobs/3017572/principal-product-managertechnical-agi-artificial-general-intellgence?cmpid=DA_INAD200785B", "https://www.amazon.jobs/jobs/3017572/principal-product-managertechnical-agi-artificial-general-intellgence?cmpid=DA_INAD200785B")</f>
        <v/>
      </c>
      <c r="G88" t="inlineStr">
        <is>
          <t>Boston, MA, US</t>
        </is>
      </c>
      <c r="H88" s="3" t="n">
        <v>45824</v>
      </c>
      <c r="I8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in-1738f9e50ca06ab1</t>
        </is>
      </c>
      <c r="B89" t="inlineStr">
        <is>
          <t>Senior Technical Program Manager, EC2 Capacity Customer Experience</t>
        </is>
      </c>
      <c r="C89" t="inlineStr">
        <is>
          <t>Amazon Web Services</t>
        </is>
      </c>
      <c r="D89" t="inlineStr">
        <is>
          <t>indeed</t>
        </is>
      </c>
      <c r="E89">
        <f>HYPERLINK("https://www.indeed.com/viewjob?jk=1738f9e50ca06ab1", "https://www.indeed.com/viewjob?jk=1738f9e50ca06ab1")</f>
        <v/>
      </c>
      <c r="F89">
        <f>HYPERLINK("https://www.amazon.jobs/jobs/2884625/senior-technical-program-manager-ec-capacity-customer-experience?cmpid=DA_INAD200785B", "https://www.amazon.jobs/jobs/2884625/senior-technical-program-manager-ec-capacity-customer-experience?cmpid=DA_INAD200785B")</f>
        <v/>
      </c>
      <c r="G89" t="inlineStr">
        <is>
          <t>Seattle, WA, US</t>
        </is>
      </c>
      <c r="H89" s="3" t="n">
        <v>45683</v>
      </c>
      <c r="I89"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in-14d5f7c6f7e3f432</t>
        </is>
      </c>
      <c r="B90" t="inlineStr">
        <is>
          <t>Senior Technical Program Manager, EC2 Capacity Customer Experience</t>
        </is>
      </c>
      <c r="C90" t="inlineStr">
        <is>
          <t>Amazon Web Services</t>
        </is>
      </c>
      <c r="D90" t="inlineStr">
        <is>
          <t>indeed</t>
        </is>
      </c>
      <c r="E90">
        <f>HYPERLINK("https://www.indeed.com/viewjob?jk=14d5f7c6f7e3f432", "https://www.indeed.com/viewjob?jk=14d5f7c6f7e3f432")</f>
        <v/>
      </c>
      <c r="F90">
        <f>HYPERLINK("https://www.amazon.jobs/jobs/2884625/senior-technical-program-manager-ec-capacity-customer-experience?cmpid=DA_INAD200785B", "https://www.amazon.jobs/jobs/2884625/senior-technical-program-manager-ec-capacity-customer-experience?cmpid=DA_INAD200785B")</f>
        <v/>
      </c>
      <c r="G90" t="inlineStr">
        <is>
          <t>Herndon, VA, US</t>
        </is>
      </c>
      <c r="H90" s="3" t="n">
        <v>45683</v>
      </c>
      <c r="I90"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in-30515bb83f18612d</t>
        </is>
      </c>
      <c r="B91" t="inlineStr">
        <is>
          <t>Senior Technical Program Manager, EC2 Capacity Customer Experience</t>
        </is>
      </c>
      <c r="C91" t="inlineStr">
        <is>
          <t>Amazon Web Services</t>
        </is>
      </c>
      <c r="D91" t="inlineStr">
        <is>
          <t>indeed</t>
        </is>
      </c>
      <c r="E91">
        <f>HYPERLINK("https://www.indeed.com/viewjob?jk=30515bb83f18612d", "https://www.indeed.com/viewjob?jk=30515bb83f18612d")</f>
        <v/>
      </c>
      <c r="F91">
        <f>HYPERLINK("https://www.amazon.jobs/jobs/2884625/senior-technical-program-manager-ec-capacity-customer-experience?cmpid=DA_INAD200785B", "https://www.amazon.jobs/jobs/2884625/senior-technical-program-manager-ec-capacity-customer-experience?cmpid=DA_INAD200785B")</f>
        <v/>
      </c>
      <c r="G91" t="inlineStr">
        <is>
          <t>Arlington, VA, US</t>
        </is>
      </c>
      <c r="H91" s="3" t="n">
        <v>45683</v>
      </c>
      <c r="I91"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in-ad1960edf40d5765</t>
        </is>
      </c>
      <c r="B92" t="inlineStr">
        <is>
          <t>Sr. Product Manager Technical, Deal Tooling &amp; Insights, Strategic Customer Engagements</t>
        </is>
      </c>
      <c r="C92" t="inlineStr">
        <is>
          <t>Amazon Web Services</t>
        </is>
      </c>
      <c r="D92" t="inlineStr">
        <is>
          <t>indeed</t>
        </is>
      </c>
      <c r="E92">
        <f>HYPERLINK("https://www.indeed.com/viewjob?jk=ad1960edf40d5765", "https://www.indeed.com/viewjob?jk=ad1960edf40d5765")</f>
        <v/>
      </c>
      <c r="F92">
        <f>HYPERLINK("https://www.amazon.jobs/jobs/3138889/sr-product-manager-technical-deal-tooling--insights-strategic-customer-engagements?cmpid=DA_INAD200785B", "https://www.amazon.jobs/jobs/3138889/sr-product-manager-technical-deal-tooling--insights-strategic-customer-engagements?cmpid=DA_INAD200785B")</f>
        <v/>
      </c>
      <c r="G92" t="inlineStr">
        <is>
          <t>Dallas, TX, US</t>
        </is>
      </c>
      <c r="H92" s="3" t="n">
        <v>45994</v>
      </c>
      <c r="I9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3">
      <c r="A93" t="inlineStr">
        <is>
          <t>in-b910f3aff424e5d7</t>
        </is>
      </c>
      <c r="B93" t="inlineStr">
        <is>
          <t>Sr. Product Manager Technical, Deal Tooling &amp; Insights, Strategic Customer Engagements</t>
        </is>
      </c>
      <c r="C93" t="inlineStr">
        <is>
          <t>Amazon Web Services</t>
        </is>
      </c>
      <c r="D93" t="inlineStr">
        <is>
          <t>indeed</t>
        </is>
      </c>
      <c r="E93">
        <f>HYPERLINK("https://www.indeed.com/viewjob?jk=b910f3aff424e5d7", "https://www.indeed.com/viewjob?jk=b910f3aff424e5d7")</f>
        <v/>
      </c>
      <c r="F93">
        <f>HYPERLINK("https://www.amazon.jobs/jobs/3138889/sr-product-manager-technical-deal-tooling--insights-strategic-customer-engagements?cmpid=DA_INAD200785B", "https://www.amazon.jobs/jobs/3138889/sr-product-manager-technical-deal-tooling--insights-strategic-customer-engagements?cmpid=DA_INAD200785B")</f>
        <v/>
      </c>
      <c r="G93" t="inlineStr">
        <is>
          <t>Austin, TX, US</t>
        </is>
      </c>
      <c r="H93" s="3" t="n">
        <v>45994</v>
      </c>
      <c r="I9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4">
      <c r="A94" t="inlineStr">
        <is>
          <t>in-42422f6b211936c4</t>
        </is>
      </c>
      <c r="B94" t="inlineStr">
        <is>
          <t>Sr. Product Manager Technical, Deal Tooling &amp; Insights, Strategic Customer Engagements</t>
        </is>
      </c>
      <c r="C94" t="inlineStr">
        <is>
          <t>Amazon Web Services</t>
        </is>
      </c>
      <c r="D94" t="inlineStr">
        <is>
          <t>indeed</t>
        </is>
      </c>
      <c r="E94">
        <f>HYPERLINK("https://www.indeed.com/viewjob?jk=42422f6b211936c4", "https://www.indeed.com/viewjob?jk=42422f6b211936c4")</f>
        <v/>
      </c>
      <c r="F94">
        <f>HYPERLINK("https://www.amazon.jobs/jobs/3138889/sr-product-manager-technical-deal-tooling--insights-strategic-customer-engagements?cmpid=DA_INAD200785B", "https://www.amazon.jobs/jobs/3138889/sr-product-manager-technical-deal-tooling--insights-strategic-customer-engagements?cmpid=DA_INAD200785B")</f>
        <v/>
      </c>
      <c r="G94" t="inlineStr">
        <is>
          <t>Arlington, VA, US</t>
        </is>
      </c>
      <c r="H94" s="3" t="n">
        <v>45994</v>
      </c>
      <c r="I9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5">
      <c r="A95" t="inlineStr">
        <is>
          <t>in-773cbd287ef9efbc</t>
        </is>
      </c>
      <c r="B95" t="inlineStr">
        <is>
          <t>Sr. Product Manager Technical, Deal Tooling &amp; Insights, Strategic Customer Engagements</t>
        </is>
      </c>
      <c r="C95" t="inlineStr">
        <is>
          <t>Amazon Web Services</t>
        </is>
      </c>
      <c r="D95" t="inlineStr">
        <is>
          <t>indeed</t>
        </is>
      </c>
      <c r="E95">
        <f>HYPERLINK("https://www.indeed.com/viewjob?jk=773cbd287ef9efbc", "https://www.indeed.com/viewjob?jk=773cbd287ef9efbc")</f>
        <v/>
      </c>
      <c r="F95">
        <f>HYPERLINK("https://www.amazon.jobs/jobs/3138889/sr-product-manager-technical-deal-tooling--insights-strategic-customer-engagements?cmpid=DA_INAD200785B", "https://www.amazon.jobs/jobs/3138889/sr-product-manager-technical-deal-tooling--insights-strategic-customer-engagements?cmpid=DA_INAD200785B")</f>
        <v/>
      </c>
      <c r="G95" t="inlineStr">
        <is>
          <t>New York, NY, US</t>
        </is>
      </c>
      <c r="H95" s="3" t="n">
        <v>45994</v>
      </c>
      <c r="I9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6">
      <c r="A96" t="inlineStr">
        <is>
          <t>in-060b9712504d6c8f</t>
        </is>
      </c>
      <c r="B96" t="inlineStr">
        <is>
          <t>Sr. Product Manager Technical, Deal Tooling &amp; Insights, Strategic Customer Engagements</t>
        </is>
      </c>
      <c r="C96" t="inlineStr">
        <is>
          <t>Amazon Web Services</t>
        </is>
      </c>
      <c r="D96" t="inlineStr">
        <is>
          <t>indeed</t>
        </is>
      </c>
      <c r="E96">
        <f>HYPERLINK("https://www.indeed.com/viewjob?jk=060b9712504d6c8f", "https://www.indeed.com/viewjob?jk=060b9712504d6c8f")</f>
        <v/>
      </c>
      <c r="F96">
        <f>HYPERLINK("https://www.amazon.jobs/jobs/3138889/sr-product-manager-technical-deal-tooling--insights-strategic-customer-engagements?cmpid=DA_INAD200785B", "https://www.amazon.jobs/jobs/3138889/sr-product-manager-technical-deal-tooling--insights-strategic-customer-engagements?cmpid=DA_INAD200785B")</f>
        <v/>
      </c>
      <c r="G96" t="inlineStr">
        <is>
          <t>Herndon, VA, US</t>
        </is>
      </c>
      <c r="H96" s="3" t="n">
        <v>45994</v>
      </c>
      <c r="I9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7">
      <c r="A97" t="inlineStr">
        <is>
          <t>in-a2549b499bef0d3d</t>
        </is>
      </c>
      <c r="B97" t="inlineStr">
        <is>
          <t>Sr. Product Manager Technical, Deal Tooling &amp; Insights, Strategic Customer Engagements</t>
        </is>
      </c>
      <c r="C97" t="inlineStr">
        <is>
          <t>Amazon Web Services</t>
        </is>
      </c>
      <c r="D97" t="inlineStr">
        <is>
          <t>indeed</t>
        </is>
      </c>
      <c r="E97">
        <f>HYPERLINK("https://www.indeed.com/viewjob?jk=a2549b499bef0d3d", "https://www.indeed.com/viewjob?jk=a2549b499bef0d3d")</f>
        <v/>
      </c>
      <c r="F97">
        <f>HYPERLINK("https://www.amazon.jobs/jobs/3138889/sr-product-manager-technical-deal-tooling--insights-strategic-customer-engagements?cmpid=DA_INAD200785B", "https://www.amazon.jobs/jobs/3138889/sr-product-manager-technical-deal-tooling--insights-strategic-customer-engagements?cmpid=DA_INAD200785B")</f>
        <v/>
      </c>
      <c r="G97" t="inlineStr">
        <is>
          <t>Seattle, WA, US</t>
        </is>
      </c>
      <c r="H97" s="3" t="n">
        <v>45994</v>
      </c>
      <c r="I9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98">
      <c r="A98" t="inlineStr">
        <is>
          <t>in-0ef7de955f29ff7a</t>
        </is>
      </c>
      <c r="B98" t="inlineStr">
        <is>
          <t>Principal Product Manager - Technical, Alexa Communications</t>
        </is>
      </c>
      <c r="C98" t="inlineStr">
        <is>
          <t>Amazon.com</t>
        </is>
      </c>
      <c r="D98" t="inlineStr">
        <is>
          <t>indeed</t>
        </is>
      </c>
      <c r="E98">
        <f>HYPERLINK("https://www.indeed.com/viewjob?jk=0ef7de955f29ff7a", "https://www.indeed.com/viewjob?jk=0ef7de955f29ff7a")</f>
        <v/>
      </c>
      <c r="F98">
        <f>HYPERLINK("https://www.amazon.jobs/jobs/3137022/principal-product-manager--technical-alexa-communications?cmpid=DA_INAD200785B", "https://www.amazon.jobs/jobs/3137022/principal-product-manager--technical-alexa-communications?cmpid=DA_INAD200785B")</f>
        <v/>
      </c>
      <c r="G98" t="inlineStr">
        <is>
          <t>Sunnyvale, CA, US</t>
        </is>
      </c>
      <c r="H98" s="3" t="n">
        <v>45993</v>
      </c>
      <c r="I9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in-17b244dcc6a22b9f</t>
        </is>
      </c>
      <c r="B99" t="inlineStr">
        <is>
          <t>Principal Product Manager - Technical, Alexa Communications</t>
        </is>
      </c>
      <c r="C99" t="inlineStr">
        <is>
          <t>Amazon.com</t>
        </is>
      </c>
      <c r="D99" t="inlineStr">
        <is>
          <t>indeed</t>
        </is>
      </c>
      <c r="E99">
        <f>HYPERLINK("https://www.indeed.com/viewjob?jk=17b244dcc6a22b9f", "https://www.indeed.com/viewjob?jk=17b244dcc6a22b9f")</f>
        <v/>
      </c>
      <c r="F99">
        <f>HYPERLINK("https://www.amazon.jobs/jobs/3137022/principal-product-manager--technical-alexa-communications?cmpid=DA_INAD200785B", "https://www.amazon.jobs/jobs/3137022/principal-product-manager--technical-alexa-communications?cmpid=DA_INAD200785B")</f>
        <v/>
      </c>
      <c r="G99" t="inlineStr">
        <is>
          <t>Irvine, CA, US</t>
        </is>
      </c>
      <c r="H99" s="3" t="n">
        <v>45993</v>
      </c>
      <c r="I9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in-cb758525e8c037b5</t>
        </is>
      </c>
      <c r="B100" t="inlineStr">
        <is>
          <t>Principal Product Manager - Technical, Alexa Communications</t>
        </is>
      </c>
      <c r="C100" t="inlineStr">
        <is>
          <t>Amazon.com</t>
        </is>
      </c>
      <c r="D100" t="inlineStr">
        <is>
          <t>indeed</t>
        </is>
      </c>
      <c r="E100">
        <f>HYPERLINK("https://www.indeed.com/viewjob?jk=cb758525e8c037b5", "https://www.indeed.com/viewjob?jk=cb758525e8c037b5")</f>
        <v/>
      </c>
      <c r="F100">
        <f>HYPERLINK("https://www.amazon.jobs/jobs/3137022/principal-product-manager--technical-alexa-communications?cmpid=DA_INAD200785B", "https://www.amazon.jobs/jobs/3137022/principal-product-manager--technical-alexa-communications?cmpid=DA_INAD200785B")</f>
        <v/>
      </c>
      <c r="G100" t="inlineStr">
        <is>
          <t>Seattle, WA, US</t>
        </is>
      </c>
      <c r="H100" s="3" t="n">
        <v>45993</v>
      </c>
      <c r="I10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in-0539567dc201001f</t>
        </is>
      </c>
      <c r="B101" t="inlineStr">
        <is>
          <t>Principal Product Manager - Tech, Recommender Systems, Prime Video Personalization &amp; Discovery</t>
        </is>
      </c>
      <c r="C101" t="inlineStr">
        <is>
          <t>Amazon.com</t>
        </is>
      </c>
      <c r="D101" t="inlineStr">
        <is>
          <t>indeed</t>
        </is>
      </c>
      <c r="E101">
        <f>HYPERLINK("https://www.indeed.com/viewjob?jk=0539567dc201001f", "https://www.indeed.com/viewjob?jk=0539567dc201001f")</f>
        <v/>
      </c>
      <c r="F101">
        <f>HYPERLINK("https://www.amazon.jobs/jobs/2956622/principal-product-manager--tech-recommender-systems-prime-video-personalization--discovery-?cmpid=DA_INAD200785B", "https://www.amazon.jobs/jobs/2956622/principal-product-manager--tech-recommender-systems-prime-video-personalization--discovery-?cmpid=DA_INAD200785B")</f>
        <v/>
      </c>
      <c r="G101" t="inlineStr">
        <is>
          <t>Washington, DC, US</t>
        </is>
      </c>
      <c r="H101" s="3" t="n">
        <v>45753</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in-bc0d48092b661de3</t>
        </is>
      </c>
      <c r="B102" t="inlineStr">
        <is>
          <t>Principal Product Manager - Tech, Recommender Systems, Prime Video Personalization &amp; Discovery</t>
        </is>
      </c>
      <c r="C102" t="inlineStr">
        <is>
          <t>Amazon.com</t>
        </is>
      </c>
      <c r="D102" t="inlineStr">
        <is>
          <t>indeed</t>
        </is>
      </c>
      <c r="E102">
        <f>HYPERLINK("https://www.indeed.com/viewjob?jk=bc0d48092b661de3", "https://www.indeed.com/viewjob?jk=bc0d48092b661de3")</f>
        <v/>
      </c>
      <c r="F102">
        <f>HYPERLINK("https://www.amazon.jobs/jobs/2956622/principal-product-manager--tech-recommender-systems-prime-video-personalization--discovery-?cmpid=DA_INAD200785B", "https://www.amazon.jobs/jobs/2956622/principal-product-manager--tech-recommender-systems-prime-video-personalization--discovery-?cmpid=DA_INAD200785B")</f>
        <v/>
      </c>
      <c r="G102" t="inlineStr">
        <is>
          <t>Seattle, WA, US</t>
        </is>
      </c>
      <c r="H102" s="3" t="n">
        <v>45753</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in-b181567d2e6cc89a</t>
        </is>
      </c>
      <c r="B103" t="inlineStr">
        <is>
          <t>Technical Program Manager, Leo Security</t>
        </is>
      </c>
      <c r="C103" t="inlineStr">
        <is>
          <t>Amazon.com</t>
        </is>
      </c>
      <c r="D103" t="inlineStr">
        <is>
          <t>indeed</t>
        </is>
      </c>
      <c r="E103">
        <f>HYPERLINK("https://www.indeed.com/viewjob?jk=b181567d2e6cc89a", "https://www.indeed.com/viewjob?jk=b181567d2e6cc89a")</f>
        <v/>
      </c>
      <c r="F103">
        <f>HYPERLINK("https://www.amazon.jobs/jobs/3142213/technical-program-manager-leo-security?cmpid=DA_INAD200785B", "https://www.amazon.jobs/jobs/3142213/technical-program-manager-leo-security?cmpid=DA_INAD200785B")</f>
        <v/>
      </c>
      <c r="G103" t="inlineStr">
        <is>
          <t>Arlington, VA, US</t>
        </is>
      </c>
      <c r="H103" s="3" t="n">
        <v>45991</v>
      </c>
      <c r="I103"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in-7b969b828a216781</t>
        </is>
      </c>
      <c r="B104" t="inlineStr">
        <is>
          <t>Technical Program Manager, Leo Security</t>
        </is>
      </c>
      <c r="C104" t="inlineStr">
        <is>
          <t>Amazon.com</t>
        </is>
      </c>
      <c r="D104" t="inlineStr">
        <is>
          <t>indeed</t>
        </is>
      </c>
      <c r="E104">
        <f>HYPERLINK("https://www.indeed.com/viewjob?jk=7b969b828a216781", "https://www.indeed.com/viewjob?jk=7b969b828a216781")</f>
        <v/>
      </c>
      <c r="F104">
        <f>HYPERLINK("https://www.amazon.jobs/jobs/3142213/technical-program-manager-leo-security?cmpid=DA_INAD200785B", "https://www.amazon.jobs/jobs/3142213/technical-program-manager-leo-security?cmpid=DA_INAD200785B")</f>
        <v/>
      </c>
      <c r="G104" t="inlineStr">
        <is>
          <t>Redmond, WA, US</t>
        </is>
      </c>
      <c r="H104" s="3" t="n">
        <v>45991</v>
      </c>
      <c r="I104"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li-4353720198</t>
        </is>
      </c>
      <c r="B2" t="inlineStr">
        <is>
          <t>Product Manager, Enterprise Systems</t>
        </is>
      </c>
      <c r="C2" t="inlineStr">
        <is>
          <t>Netflix</t>
        </is>
      </c>
      <c r="D2" t="inlineStr">
        <is>
          <t>linkedin</t>
        </is>
      </c>
      <c r="E2" t="inlineStr"/>
      <c r="F2" t="inlineStr"/>
      <c r="G2" t="inlineStr">
        <is>
          <t>New York, United States</t>
        </is>
      </c>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The Role**
 We are seeking a dynamic and experienced Product Manager to lead our efforts in building a data and integration platform that connects enterprise systems and tools, centralizes data, and enables seamless workflow automation across the organization. This role also requires data integration strategy and roadmap for the Travel Technology space including conducting buy vs. build analysis for 3rd party Travel tools. In this high\-impact role, you will drive the strategy, roadmap, and execution for our data platform and enterprise integration initiatives, empowering teams with reliable, accessible, and actionable tools and information.
 You will work at the intersection of data, and enterprise systems, collaborating with engineering, business stakeholders, and external partners to define and deliver on key strategic initiatives. Your leadership will ensure we deliver scalable solutions that integrate disparate systems, streamline data flows, and support our digital transformation goals.
**About You**
 You are curious, creative and have experience applying product management frameworks to create enterprise or consumer products. You have a keen eye for design, are highly adaptable and when faced with challenges, you become more creative, not less. You like solving problems and can drive clarity to build the optimal products. You are biased toward execution and can lead the team to bring projects from concept to completion, doing everything possible to ensure a successful launch. You are data\-driven with a knack for using data to identify business opportunities, have a can\-do attitude, are confident, and a skilled communicator who welcomes honest and candid feedback. You are comfortable working with engineers, customers, and executives and know how to articulate your communication to each audience effectively.
**Key Responsibilities**
* Define and execute the product vision and roadmap for data integration and enterprise systems solutions.
* Oversee the centralization and integration of data with internal centralized data warehouse using APIs.
* Conduct buy vs. build analysis for third\-party tools
* Gather requirements from diverse internal stakeholders and translate them into actionable product features.
* Ensure data quality, consistency, privacy, and compliance across all integrated systems and data flows.
* Partner with analytics and business intelligence teams to enable self\-service reporting and actionable insights from unified data.
* Drive continuous improvement in user experience and integration capabilities.
* Manage vendor relationships to understand and integrate continuous product improvements.
* Communicate progress, priorities, and results to executive leadership and cross\-functional teams.
**Requirements**
* Bachelor's Degree.
* 4\+ years of product management experience with a proven track record in data integration and enterprise systems.
* Strong understanding of data platforms, APIs and enterprise integration patterns.
* Experience conducting buy vs. build analysis for third\-party tools.
* Excellent communication and interpersonal skills
* Ability to operate strategically, envisioning scalable solutions, while also diving deep with engineers into edge cases, technical tradeoffs, and implementation details.
* Self\-directed and comfortable operating in a decentralized, fast\-paced environment
* Empathy for internal users and ability to turn business needs into delightful product experiences.
* Lead product requirements, technical development, product testing, launch, end\-user training, and rollout.
* Ability to drive and influence business decisions based on data and metrics.
* Outstanding written and verbal communication skills.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$300K \- $600K.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
      <c r="A3" t="inlineStr">
        <is>
          <t>li-4344459769</t>
        </is>
      </c>
      <c r="B3" t="inlineStr">
        <is>
          <t>Principal Product Manager - Everbridge 360 Federal</t>
        </is>
      </c>
      <c r="C3" t="inlineStr">
        <is>
          <t>Everbridge</t>
        </is>
      </c>
      <c r="D3" t="inlineStr">
        <is>
          <t>linkedin</t>
        </is>
      </c>
      <c r="E3" t="inlineStr"/>
      <c r="F3" t="inlineStr"/>
      <c r="G3" t="inlineStr"/>
      <c r="H3" t="inlineStr"/>
      <c r="I3" t="inlineStr">
        <is>
          <t>As a Principal Product Manager, you will play a pivotal role in shaping the vision, strategy, and roadmap our Everbridge 360 Federal product. You will be responsible for shaping the long\-term vision, aligning cross\-functional teams, and delivering innovative solutions that solve complex customer challenges. This leadership position demands a combination of strategic thinking, operational excellence, and a deep understanding of market dynamics.
**What You'll Do**
* Strategic Product Leadership:
* Support the long\-term vision and strategy for the product portfolio in alignment with company objectives.
* Lead strategic initiatives, including market expansion and platform innovation.
* Anticipate market trends and identify disruptive opportunities to maintain competitive advantage.
**Portfolio Management**
* Manage the development and execution of multiple product roadmaps across teams.
* Ensure portfolio alignment with organizational goals, balancing short\-term gains with long\-term growth.
* Monitor product development to ensure compliance with federal certifications (e.g., FedRAMP, FISMA) and all applicable government and commercial contract requirements.
**Cross\-Functional Leadership**
* Drive alignment and collaboration across engineering, design, marketing, sales, and customer success teams.
* Act as the ultimate decision\-maker for trade\-offs, balancing business needs with customer expectations.
**Customer And Market Insights**
* Develop a deep understanding of customer needs, pain points, and industry trends.
* Partner with customer\-facing teams to gather insights and validate product hypotheses.
**Data\-Driven Decision Making**
* Establish and refine metrics to measure product performance and business impact.
* Use data analytics to guide decisions and continuously optimize product offerings.
**Executive Reporting And Influence**
* Present product strategies, updates, and outcomes to executive leadership and stakeholders.
* Influence organizational priorities by articulating the value and impact of product initiatives.
**What You'll Bring**
* 8\+ years of experience in product management, with at least 3 years in a principal or equivalent leadership role.
* Proven experience building and managing SaaS products in the U.S. federal technology marketplace, with a strong understanding of procurement processes, contracting, and government customer needs.
* Familiarity with federal compliance frameworks including FedRAMP and DoD Impact Level Authorization process, with demonstrated experience guiding products through authorization and certification.
* Bachelor’s degree in business, engineering, computer science, or a related field (MBA or advanced degree is highly preferred).
* Familiarity with Critical Event Management solutions is a plus.
* Demonstrated success in managing large\-scale, complex product initiatives.
* Strong business acumen and ability to connect product strategy to business outcomes.
* Expertise in product management tools and methodologies, including Agile, Lean, and OKRs.
* Advanced analytical skills, including proficiency in tools like Tableau, SQL, and business intelligence platforms.
* Exceptional communication and presentation skills, with experience influencing C\-level stakeholders.
* Deep passion for innovation and a commitment to delivering world\-class customer experiences.
* Must be a U.S. citizen and able to obtain and maintain a U.S. government security clearance if required.
 The reasonably estimated salary for this role at Everbridge ranges from $139,000 \- $198,000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li-4363737168</t>
        </is>
      </c>
      <c r="B4" t="inlineStr">
        <is>
          <t>Product Manager</t>
        </is>
      </c>
      <c r="C4" t="inlineStr">
        <is>
          <t>James Search Group</t>
        </is>
      </c>
      <c r="D4" t="inlineStr">
        <is>
          <t>linkedin</t>
        </is>
      </c>
      <c r="E4" t="inlineStr"/>
      <c r="F4" t="inlineStr"/>
      <c r="G4" t="inlineStr"/>
      <c r="H4" t="inlineStr"/>
      <c r="I4" t="inlineStr">
        <is>
          <t>**Product Manager – Global Technology Company** 
**About Our Client:** 
 We are working with a
 **leading global technology company** 
 specializing in empowering organizations to leverage the cloud to drive business growth and innovation. With a focus on advanced technologies such as
 **multicloud solutions, Kubernetes, GenAI, and CloudOps** 
 , our client partners with top cloud providers like AWS, Google Cloud, and Microsoft Azure. They are known for their
 **award\-winning cloud intelligence platform** 
 that integrates data, technology, and human expertise to help customers solve complex challenges.
**About the Role:** 
 We are looking for a
 **Product Manager** 
 to join our client’s global team, responsible for shaping the direction of their product offerings and making strategic investments to address customer needs and market opportunities. This
 **remote position** 
 will collaborate closely with cross\-functional teams, using data to drive decisions and deliver impactful results. The ideal candidate is a
 **mid\-level Product Manager** 
 with experience in building B2B products, particularly in technical domains, and has the ability to contribute to the continued growth and success of the company’s innovative solutions.
**Key Responsibilities:** 
* Understand customer needs and identify key opportunities for product innovation and improvement.
* Define and maintain a clear strategy and product roadmap that aligns with company goals, with measurable objectives.
* Write clear product requirements that reflect customer insights, ensuring a superior experience.
* Collaborate with cross\-functional teams (engineering, design, sales, leadership) to align product development with strategic goals.
* Track and communicate progress against plans, adapting as needed to changing priorities based on market trends, customer feedback, or business needs.
* Conduct competitive analysis and stay informed about market trends to ensure sustained product differentiation.
* Ensure product features are ready for release, focusing on high quality and value for customers.
* Leverage data and analytics to evaluate product performance and identify areas for improvement.
**What We’re Looking For:** 
* **Experience:** 
 3\+ years in product management, delivering B2B products, ideally within a technical domain.
* **Skills:** 
 Familiarity with cloud technologies, DevOps tools, observability platforms, containerization, or similar technical areas.
* **Analytical Abilities:** 
 Ability to use data to inform decisions and measure product performance.
* **Collaboration:** 
 Success in working across teams and influencing stakeholders at all levels.
* **Communication:** 
 Exceptional ability to communicate product strategies, decisions, and trade\-offs clearly.
* **Problem\-Solving:** 
 A proactive mindset with the ability to identify opportunities and adapt to changing market conditions.
* **Technical Acumen:** 
 Strong enough to engage with technical stakeholders and understand product architecture.
* **Languages:** 
 Fluency in English (verbal and written).
**Why This Role?** 
* Be part of a forward\-thinking company shaping the future of cloud technologies and business innovation.
* Enjoy a flexible, remote work environment with a focus on work\-life balance.
* Collaborate with a talented team on innovative and impactful products.
* Continuous opportunities for professional growth and development.
**Compensation \&amp; Benefits:** 
* Competitive salary based on experience.
* Unlimited vacation.
* Flexible working options.
* Health insurance.
* Parental leave.
* Employee stock option plan.
* Home office allowance.
* Professional development stipend.
* Peer recognition program.
 If you are a proactive and results\-driven product manager passionate about technology and innovation, we want to hear from you!
**Our client is an equal\-opportunity employer committed to diversity and inclusion.** 
 To apply, follow the instructions below, and a member of our team will reach out to you.</t>
        </is>
      </c>
    </row>
    <row r="5">
      <c r="A5" t="inlineStr">
        <is>
          <t>li-4364017459</t>
        </is>
      </c>
      <c r="B5" t="inlineStr">
        <is>
          <t>Senior Product Manager</t>
        </is>
      </c>
      <c r="C5" t="inlineStr">
        <is>
          <t>KinderSystems</t>
        </is>
      </c>
      <c r="D5" t="inlineStr">
        <is>
          <t>linkedin</t>
        </is>
      </c>
      <c r="E5" t="inlineStr"/>
      <c r="F5" t="inlineStr"/>
      <c r="G5" t="inlineStr">
        <is>
          <t>California, United States</t>
        </is>
      </c>
      <c r="H5" t="inlineStr"/>
      <c r="I5" t="inlineStr">
        <is>
          <t>**What We Do**
 KinderSystems (www.KinderSystems.com) is the leading provider of subsidy management software\-as\-a\-service (SaaS) solutions to state agencies, Head Start programs, and child care providers. Built and supported by industry experts, KinderSystems envisions a world where all families, no matter their income level, have access to high quality child care. Hundreds of agencies in the publicly funded child care sector use KinderSystems applications via the cloud or mobile devices to streamline their operations, ensure compliance with government regulations, and meet the needs of the families they serve.
 As a Senior Product Manager, you will leverage your deep knowledge of product management to guide teams in developing intuitive, easy to use, highly functional software. You will work closely with a broad range of stakeholders from business analysts, development, quality assurance, customer service, sales, and marketing.
**What You'll Do With Us**
* Drive the development of interoperable, multi\-product solutions and performance reporting capabilities for state and local entities administering subsidized child care programs.
* Work cross\-functionally with customers, executives, stakeholders, and engineering teams to define the product vision and strategy.
* Create, execute on, and be accountable to strategic roadmaps.
* Drive market analysis, recognize market trends, perform competitive analysis, lead customer discovery activities, and develop business cases to identify new initiatives.
* Define features and requirements that fulfill initiatives and drive our strategic vision as defined in our roadmaps.
* Prioritize initiatives, features, and development to deliver growth and the highest amount of value to our customers.
* Develop wireframes and interactive prototypes to inform user experience and user interface design requirements.
* Use data\-driven frameworks to evaluate opportunities, guide prioritization, and measure product outcomes, ensuring decisions are grounded in customer and business impact.
* Collaborate cross\-functionally to define and maintain comprehensive product documentation, enabling consistent alignment across engineering, design, customer success, and compliance stakeholders.
* Leverage AI\-based tools and methods to accelerate product discovery, analysis, and delivery.
* Engage and participate in strategic customer briefings, industry events, and industry analyst communication.
* Work closely with our engineering team to incorporate technical feedback early and often
* Drive a lean and agile development process; define meaningful sprint cycles, and run consistent date\-driven experiments.
* Define and own the measurable success metrics and key results for your initiatives; prioritize product development against those metrics.
**Who You Are**
* Prior experience managing and/or bringing new enterprise software applications to market
* Technical aptitude and experience managing software APIs and system integrations; SQL knowledge is a plus
* Curiosity for learning and discovering new ways of doing things
* Vision for developing software around outcomes, not features
* Ability to prioritize between bugs, features
* Advanced written and verbal communication skills
* Ability to see both the forest and the trees: you are detail\-oriented, and can also cast a big picture vision
* Collaborative approach to problem solving and execution
* Ability to lead and influence cross\-functional teams through discussions and workshops
* Prior experience utilizing product management and user interface design tools such as Jira, Confluence, Figma, etc.
* Prior experience with state and local government or education customers is a plus
* Prior experience with understanding and interpretation of legislative and regulatory is a nice to have
**What We Offer**
* The ability to work from anywhere in the US, with approximately 10% travel
* Compensation for this role includes a base salary between $110,000\-130,000
* Comprehensive benefits package including health, vision, and dental insurance, starting the first of the month after start date
* 401(k) retirement plan, with company match
* Paid company holidays and generous PTO
* Friendly, supportive, and adventurous environment with a team of engaged colleagues who are all focused on enabling and improving the child care industry for all families
 KinderSystems actively embraces diversity and equal opportunity in a meaningful way. We are committed to building a team that represents a variety of backgrounds, perspectives, and skills. The more inclusive we are, the better our work will be which is why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row>
    <row r="6">
      <c r="A6" t="inlineStr">
        <is>
          <t>li-4363777352</t>
        </is>
      </c>
      <c r="B6" t="inlineStr">
        <is>
          <t>Principal Product Manager - Partner Platform</t>
        </is>
      </c>
      <c r="C6" t="inlineStr">
        <is>
          <t>Multiplier</t>
        </is>
      </c>
      <c r="D6" t="inlineStr">
        <is>
          <t>linkedin</t>
        </is>
      </c>
      <c r="E6" t="inlineStr"/>
      <c r="F6" t="inlineStr"/>
      <c r="G6" t="inlineStr"/>
      <c r="H6" t="inlineStr"/>
      <c r="I6" t="inlineStr">
        <is>
          <t>**Location:** 
 We are hiring for this role across
 **Europe, UK, US, Canada, and Singapore** 
 . (Remote)
**About Multiplier** 
 The global hiring revolution is shaping a future where talent can thrive everywhere, driving innovation and progress at scale. Multiplier is at the forefront of this change.
 We’re building a world without limits, where ambitious businesses of any size can look beyond borders to build their global dream teams.
 We empower companies with the tools and support to hire, onboard, manage, and pay talent in 150\+ countries, quickly and compliantly \- no legal entities required. By simplifying global hiring, we're creating a level playing field where businesses and individuals – (like you) – can compete, grow, and succeed, regardless of your geography.
 We believe talent knows no borders, and we’ve built the platform that proves it. Our world\-class EOR, COR and Global Payroll products are helping businesses around the world seize the global hiring opportunity – from sales to fintech, small size to enterprise. We’re backed by renowned investors (Sequoia, DST, and Tiger Global), are led by industry\-leading experts, scaling fast, and seeking brilliant like\-minded enthusiasts to join our global team.
 The future is borderless. Let’s build it together.
**What you will be doing** 
 Your mission is to make the Partner Platform a catalyst for Multiplier’s growth by defining and owning the complete partner experience, from discovery through integration, launch, and ongoing post\-launch success. This role sets the roadmap for all partner products, including embedded solutions and SDKs, public APIs, and white\-label experiences — ensuring partners have predictable, reliable, and scalable workflows to build with Multiplier.
 Operate at the intersection of strategy, technical depth, and market impact:
 • Shape how the world builds on Multiplier for global employment
 • Identify and remove the highest\-leverage friction in partner workflows
 • Drive cross\-org alignment (Eng, Design, GTM, Partnerships, Legal, Compliance)
 • Represent the partner voice at the executive table
 • Build the playbooks, standards, and best practices that define how partners successfully build with Multiplier
 You will deepen our understanding of partner workflows, identify where the platform needs to evolve, and translate those insights into capabilities that improve partner adoption, integration quality, and long\-term ecosystem growth.
**What we are looking for** 
* A builder with a strong execution bias. You have taken partner integrations from zero to one and scaled them, bringing structure, clarity, and momentum in ambiguous spaces.
* Someone who understands partner integrations as end\-to\-end value drivers, not just technical connectors. You know how integrations unlock revenue, reduce friction, strengthen partner relationships, and expand ecosystem leverage.
* Deep experience with API, SDK, and white label solutions, including the commercial, operational, compliance, and lifecycle implications.
* A player coach who can dive into flows and edge cases while guiding engineering, partnerships, and operations toward best practices and experiences that deliver real value to partners and end users. You are comfortable moving between details and strategy without losing momentum.
* Experience evaluating and shaping a partner ecosystem, including understanding which partners to prioritize and where platform investments create the most leverage.
**Why Multiplier:** 
* Energetic \&amp; extremely collaborative team.
* Flexible vacation.
* Flexible work times.
* Work from anywhere.
* Equipment you need to do your job
* Health Insurance
* Attractive ESOPs
**Equal Employment Opportunity :** 
 Multiplier is an equal opportunity employer: We value diversity. We do not discriminate on the basis of race, religion, color, national origin, gender, sexual orientation, age, marital status, veteran status, or disability status. Please note that this job description is a general overview and responsibilities may evolve as the company grows and adapts to changing market conditions</t>
        </is>
      </c>
    </row>
    <row r="7">
      <c r="A7" t="inlineStr">
        <is>
          <t>li-4364047554</t>
        </is>
      </c>
      <c r="B7" t="inlineStr">
        <is>
          <t>Product Manager</t>
        </is>
      </c>
      <c r="C7" t="inlineStr">
        <is>
          <t>Swooped</t>
        </is>
      </c>
      <c r="D7" t="inlineStr">
        <is>
          <t>linkedin</t>
        </is>
      </c>
      <c r="E7" t="inlineStr"/>
      <c r="F7" t="inlineStr"/>
      <c r="G7" t="inlineStr"/>
      <c r="H7" t="inlineStr"/>
      <c r="I7" t="inlineStr">
        <is>
          <t>**About Our Client** 
 Our client is a B2B SaaS startup. Its product helps clients turn inbound leads into qualified meetings instantly, assisting revenue teams in connecting with buyers faster. It is a fully remote global team dedicated to solving interesting problems, helping others, and having fun.
 The organization is growing rapidly and is ready to expand its reach.
*Currently only hiring in PST \- GMT\+3* 
**About The Role** 
 This role is seeking a
 **Senior Product Manager** 
 who loves building complex, enterprise\-grade products that users genuinely love. In this position, an individual will own a core product area within the platform, acting as the primary decision\-maker for product direction, prioritization, and outcomes.
 The individual will be responsible for identifying high\-impact problems, shaping product strategy, and working closely with Engineering, Design, Sales, and Marketing to deliver solutions that create meaningful customer and business impact. This role requires strong judgment, comfort with ambiguity, and the ability to translate complex data and workflows into clear, actionable product decisions.
 The individual will play a key role in evolving the platform, ensuring its products create raving fans while solving real problems for sophisticated marketing and revenue teams.
**Key Responsibilities** 
* Own and manage a complex product area end\-to\-end, from discovery through delivery, iteration, and long\-term evolution.
* Define product strategy and roadmap for the area, balancing customer needs, business impact, and technical constraints.
* Translate highly complex data, workflows, and customer needs into clear product direction and actionable insights.
* Partner closely with Engineering and Design to empower teams, align on solutions, and deliver high\-quality experiences.
* Define success metrics for the product area and continuously evaluate performance to inform prioritization and iteration.
* Align with Sales and Marketing to ensure products reach the right customers and deliver on their intended value.
* Drive prioritization and make informed tradeoffs in ambiguous, enterprise\-grade problem spaces.
* Maintain a high bar for product quality, usability, and attention to detail.
**What is Being Looked For** 
* Senior\-level experience managing complex B2B products, with clear ownership over product areas or major initiatives.
* Strong product judgment, with the ability to define problems worth solving and make informed tradeoffs in ambiguous environments.
* Proven ability to simplify complexity and translate data, customer insights, and constraints into clear product decisions.
* Deep curiosity and commitment to continuously improving product quality, craft, and outcomes.
* Experience collaborating closely with Engineering, Design, Sales, and Marketing in a cross\-functional environment.
* Comfort operating in evolving problem spaces where priorities may shift and requirements are not always fully defined.
* Passion for building products that engage users, create long\-term value, and turn customers into advocates.
**Bonus** 
* Experience with CRMs and/or Marketing Automation platforms.
* Familiarity with enterprise\-grade SaaS products and data\-rich workflows.
* Experience building or evolving platform capabilities that support multiple customer use cases.
**Values Alignment** 
* Passion for helping customers succeed.
* Desire to innovate while maintaining pragmatic execution.
* Commitment to collaboration, learning, and having fun while doing meaningful work.
**Additional Information** 
*Why you'll love being a part of this team:* 
* Work with an immensely talented global team.
* Work in a business that’s run fairly and transparently.
* Competitive pay based on market rate wherever you live.
* Leading by example—showing industry peers and leaders how to innovate, improve, and grow—while having fun.
*How this team works:* 
* **Freedom and flexibility.** 
 This is a 100% distributed team working from around the world, and it has been fully remote since 2016\. Team members can work from wherever they want in the world, as long as they show up on the weekly all hands meeting on Zoom.
* **Solve interesting problems.** 
 The software landscape has exploded. There are dozens of solutions for each problem. The goal is to be different. Coming up with new angles on existing problems or inventing better solutions to help companies with their sales and marketing. Then turning these ideas into beautiful, smart software.
* **Autonomy and ownership.** 
 Working on a distributed team means there isn’t someone micromanaging or looking over your shoulder to make sure you’re getting things done. It is a team of do\-ers who take full ownership for their results.
* **Be helpful.** 
 The first value as a company is help. Help customers be successful. Help prospects get the right information and make the right decision whether or not it includes the products. Help team members reach their full potential.
**The perks:** 
* Unlimited vacation (and it is meant and taken!)
* Generous health, dental, and vision insurance
* Any equipment/software/tech that is needed to do the job
* Annual professional development stipend of $2,000 USD
* Equity \- all team members receive stock options
* Annual company retreat for a week of bonding and adventure (previous retreat locations include Paris, Morocco, Tulum, Iceland, Ibiza, and India!)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8">
      <c r="A8" t="inlineStr">
        <is>
          <t>li-4353830246</t>
        </is>
      </c>
      <c r="B8" t="inlineStr">
        <is>
          <t>Product Manager</t>
        </is>
      </c>
      <c r="C8" t="inlineStr">
        <is>
          <t>Aosom</t>
        </is>
      </c>
      <c r="D8" t="inlineStr">
        <is>
          <t>linkedin</t>
        </is>
      </c>
      <c r="E8" t="inlineStr"/>
      <c r="F8" t="inlineStr"/>
      <c r="G8" t="inlineStr">
        <is>
          <t>Huntington Beach, CA</t>
        </is>
      </c>
      <c r="H8" t="inlineStr"/>
      <c r="I8" t="inlineStr">
        <is>
          <t>**About Aosom**
 Are you ready for the next phase of your career? Aosom LLC, Newsweek’s Top 500 Online Retailer, is looking for a Product Manager in Huntington Beach, CA. Founded in 2009, Aosom LLC. is a leading provider of high\-quality home, lifestyle, pet, fitness, and toy products delivered through innovative e\-commerce solutions. Our family of brands includes HomCom, Outsunny, Pawhut, and Soozier. Our products are featured on top marketplaces such as Amazon, Walmart, Home Depot, Wayfair, and more. With distribution centers in California, New Jersey, and Georgia, we are committed to offering exceptional customer experiences and competitive pricing. At Aosom LLC., we foster a culture of collaboration, innovation, and continuous improvement.
**Job Summary**
 Responsible for developing and maintaining a profitable collection of products that shoppers love. Advise on the selection of catalog items, product design, product quality, and product regulatory compliance. Deliver careful, informed research, follow\-up action, and outreach to aid the health of the catalog. Interface with Marketing and Supply Chain departments to attain sales goals. Product Development Manager. This position also partners with cross\-functional stakeholders and team members across the organization.
**Essential Functions**
 Drive the execution of all product lifecycle processes for products, including product research, market research, competitive analysis, planning, positioning, and product launch.
 Completes tasks to achieve daily, weekly, monthly and annual company goals through collaboration and direction from the Product Manager. Closely aligns decisions, behavior and strategy to the Mission, Vision and Core Values of the company.
 Ensures optimal customer experience by collecting and analyzing info on shopper preference, consumer demand, and price.
 Validate popular and relevant products by meticulously analyzing market information and researching customer reviews.
 Prepare and present presentations to educate, inform, and identify all product requirements, specifications, and timelines.
 Assess current competitor offerings, seeking opportunities to always elevate the product for improved features, designs and functions.
 Determine product pricing by utilizing market research data, reviewing production and sales costs, finalizing cost structure and margin.
 Define development goals and manage key milestones by taking ownership of your project through creative problem solving and articulation of risks, to ensure the project meets all requirements and remains on track with timelines.
 Collaborate with Aosom overseas office to ensure product development projects are executed within pre\-defined scope and timelines.
 Foster positive working relationships with overseas vendors through effective communications across various platforms of communication. (email, video calls, etc.)
 Analyze market data to draft creative brief plans and provide clear direction for our creative team.
 Manage calendar to ensure all critical milestones are met.
 Collaborate with cross\-functional groups such as Category Management, Sourcing, Vendor Management, Quality Control, Creative, and other departments to ensure successful communication and product launches.
 Lead product meetings to coordinate actions and mitigate project risks.
 Understand requirements for compliance, regulatory, and other standards regarding your product lines.
 Be attuned to the eCommerce community daily to understand product trends, new competitor launches and define key competitors.
 Collaborate daily with your manager to gather input on new product development ideas, ensuring optimal success in new product launches.
 Creates and responds to analyses of product performance impacts, activities, costs, forecast, failures, liabilities, and any such relevant data in timely fashion with relevant managers and action takers.
 Stays abreast of industry trends and technologies. Plans and integrate into department/team’s operations to stay relevant, competitive and improve operational efficiencies.
 Perform other duties as assigned.
**Job Competencies**
 Contributing Self\-Starter
**Business Acumen**
 Communication \&amp; Emotional Intelligence
**Growth \&amp; Development**
 Time/Project Management \&amp; Organizational Skills
 Authoritative Resource in Product Development
**Technical Skills**
 Risk and Regulatory Compliance
**Education And Experience**
 Bachelor’s degree in Product Development, Business, Merchandising, Engineering, or a related field
 2–5\+ years of experience in product development, preferably within ecommerce, consumer goods
 Strong organizational and time management skills
 Excellent written and verbal communication skills
 Ability to manage multiple projects simultaneously
**Preferred**
 Experience working with overseas manufacturers and suppliers
 Familiarity with packaging, materials, and production processes
 Knowledge of consumer product compliance (CPSC, FDA, Prop 65, as applicable)
 Experience with PLM systems and Microsoft Excel
**Work Environment \&amp; Travel**
 Full\-time, exempt position based in Southern California
 On\-site schedule depending on business needs
 Occasional domestic or international travel may be required
**Compensation \&amp; Benefits:** 
**Competitive salary range**
 Comprehensive benefits package including medical, dental, vision, 401(k), and paid time off
**Physical Demands And Working Environment**
 Work in the office is generally sedentary in nature, but may require walking and standing occasionally. Must be able to use the telephone and sit and work at a computer keyboard for extended periods of time. While performing the duties of this job, the employee is occasionally required to stand; walk; sit; use hands to finger, handle, or feel objects, tools or controls; reach with hands and arms; climb stairs; talk or hear. The employee must occasionally lift or move office products and supplies, up to 20 pounds.
 Lighting and temperature are adequate, and there are no hazardous or unpleasant conditions caused by noise, dust, etc. Work is generally performed within an office environment with standard office equipment available.
 While checking on product quality in the warehouse the employee is regularly required to use hands to finger, handle or feel; reach with hands and arms; and talk or hear. The employee frequently is required to stand; walk; and stoop, kneel, crouch or crawl. The employee is occasionally required to sit and climb or balance. The employee must regularly lift and/or move objects up to 10 pounds, frequently lift and/or move objects up to 50 pounds, and occasionally lift and/or move objects that weigh more than 100 pounds. Specific vision abilities required by this job include close vision, distance vision, color vision, peripheral vision, depth perception and ability to adjust focus.
 While working in a warehouse setting, with some outdoor exposure during the workday. This role routinely uses standard office equipment such as computers, phones, photocopiers, filing cabinets and fax machines, and standard warehouse equipment such as hand trucks, box cutters and tape dispensers.
**Job REQUIREMENTS**
 To perform this job successfully, an individual must be able to perform each essential duty satisfactorily. The competencies listed above are representative of the knowledge, skill, and/or ability required and is not intended to be an exhaustive list of all duties, responsibilities or qualifications associated with this job. The physical demands and work environment described here are representative of those that must be met by an employee to successfully perform the essential functions of the job. Duties, responsibilities and activities may change at any time with or without notice. Reasonable accommodations may be made to enable individuals with disabilities to perform the essential functions.
**Equal Opportunity Statement**
 We are an equal opportunity employer and are committed to creating an inclusive environment for all employees. Employment decisions are made without regard to race, color, religion, gender, sexual orientation, national origin, age, disability, or veteran status.</t>
        </is>
      </c>
    </row>
    <row r="9">
      <c r="A9" t="inlineStr">
        <is>
          <t>li-4287226370</t>
        </is>
      </c>
      <c r="B9" t="inlineStr">
        <is>
          <t>Product Manager</t>
        </is>
      </c>
      <c r="C9" t="inlineStr">
        <is>
          <t>Agentio</t>
        </is>
      </c>
      <c r="D9" t="inlineStr">
        <is>
          <t>linkedin</t>
        </is>
      </c>
      <c r="E9" t="inlineStr"/>
      <c r="F9" t="inlineStr"/>
      <c r="G9" t="inlineStr">
        <is>
          <t>New York, NY</t>
        </is>
      </c>
      <c r="H9" t="inlineStr"/>
      <c r="I9" t="inlineStr">
        <is>
          <t>**About Agentio**
 Agentio enables marketers to buy creator led ads as easily and scalably as Meta or Google ads—automating sourcing, pricing, contracting, delivery, and measurement with AI—so work that took months now happens in minutes.
 We’re on a mission to transform a $600B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What you’ll do
* Own a core ad unit (e.g. YouTube long form ads) and drive outcomes and innovation across both sides of the marketplace.
* Define the roadmap with clear problem statements, hypotheses, and success metrics; write crisp PRDs backed by data and customer insights.
* Ship quickly with Engineering, Data, and Design; keep scope tight, quality high, and feedback loops fast.
* Instrument the product (events, dashboards, guardrails) and drive decisions with SQL\-level analysis and experiment design.
* Elevate both sides of the marketplace—streamline brand workflows while improving creator acceptance, reliability, and earnings.
* Integrate with the ecosystem (e.g., YouTube/Google APIs, GA4, Shopify, payments/payouts) to unlock scale and measurement.
* Partner with Go\-to\-Market to position launches, enable customers, and close the loop with real\-world performance.
 You
* Nimble, hungry, humble, and adaptive to change.
* A true problem\-solver and self\-starter with incredible ambition and drive.
* Competitive and highly motivated to exceed expectations.
* Positive, honest, empathetic, and curious teammate.
* Excited to learn and grow in a fast\-paced environment.
* Ready to roll up your sleeves, get things done, and work harder than you’ve likely ever worked before, but for far greater reward
* You understand that Agentio is building in\-person, and is in\-office 5 days/week
 What we’re looking for
* 4\-10\+ years PM experience (or equivalent founder/0→1 operator) building data\-heavy products; marketplace, ads, or ML\-driven ranking experience is a plus.
* Strong analytical chops: comfort with SQL, experimentation, and turning noisy signals into clear product bets.
* Customer obsession with demonstrated ability to distill complex workflows into elegant, high\-leverage product surfaces.
* Execution excellence: you scope outcomes, manage trade\-offs, and ship weekly.
* Communication that scales—from PRDs and analytics write\-ups to customer calls and launch notes.
 Nice to have
* Experience in adtech/martech, auctions \&amp; pricing, recommendations/ranking, or attribution \&amp; incrementality.
* Familiarity with the creator ecosystem and major ads platforms (Google, Meta, TikTok, Snap, etc).
* Background in data science, ML, or engineering.
 How we work
* Small, senior team; high ownership and autonomy.
* Prototypes \+ Docs.
* Tight feedback loops with customers; iterate in production.
* Outcomes \&gt; output: we celebrate measurable impact.
 If you’re energized by building performance\-grade products that put more dollars in creators’ hands—and you’re ready to roll up your sleeves—let’s talk.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3x a week! – We order lunch as a team on Mondays, Wednesdays, and Fridays
* Gym in the building! – Your workout, right downstairs
 The estimated base compensation for this role is between $225,000 \&amp; $350,000\. Individual compensation is determined by skills, qualifications, and experience. In addition, this role is eligible for equity and competitive benefits.
*Agentio is an equal\-opportunity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row>
    <row r="10">
      <c r="A10" t="inlineStr">
        <is>
          <t>li-4353780336</t>
        </is>
      </c>
      <c r="B10" t="inlineStr">
        <is>
          <t>Product Manager</t>
        </is>
      </c>
      <c r="C10" t="inlineStr">
        <is>
          <t>Vertex Recruiting llc</t>
        </is>
      </c>
      <c r="D10" t="inlineStr">
        <is>
          <t>linkedin</t>
        </is>
      </c>
      <c r="E10" t="inlineStr"/>
      <c r="F10" t="inlineStr"/>
      <c r="G10" t="inlineStr"/>
      <c r="H10" t="inlineStr"/>
      <c r="I10" t="inlineStr">
        <is>
          <t>Search for 2 Product Managers for a diversified industrial near Chesterfield, MO for an expanding client. The ideal candidate will have a strong technical perspective with a background in Technical Sales or Applications Engineering dealing with electro\-mechanical equipment; Prior experience working to define Go\-To Market Pricing and what makes the product better as well as an understanding of product lifecycle is highly desired; You will have strong analytical skills and experience with CRM’s like Salesforce, MS Dynamics 365 and Power BI preferred; Travel is regional and up to 30%\+. Prior experience as Technical Product Manager, Sales Engineer or Applications Engineer would be ideal profiles for this role. BA/BS required, technical degree preferred. Some consideration for hybrid support.
* \*\*Must be a US Person \- Client is not sponsoring</t>
        </is>
      </c>
    </row>
    <row r="11">
      <c r="A11" t="inlineStr">
        <is>
          <t>li-4353840252</t>
        </is>
      </c>
      <c r="B11" t="inlineStr">
        <is>
          <t>Product Manager</t>
        </is>
      </c>
      <c r="C11" t="inlineStr">
        <is>
          <t>NetApp</t>
        </is>
      </c>
      <c r="D11" t="inlineStr">
        <is>
          <t>linkedin</t>
        </is>
      </c>
      <c r="E11" t="inlineStr"/>
      <c r="F11" t="inlineStr"/>
      <c r="G11" t="inlineStr">
        <is>
          <t>San Jose, CA</t>
        </is>
      </c>
      <c r="H11" t="inlineStr"/>
      <c r="I1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NetApp is seeking an experienced and results\-driven Senior Product Manager, Monetization to join our dynamic Cloud Storage \&amp; Services Business Unit.
 In this role, you’ll have the unique opportunity to shape impactful monetization strategies that drive business success while maintaining alignment with long\-term strategic objectives. By collaborating effectively with cross\-functional teams, you’ll lead initiatives from inception to execution with a focus on delivering measurable results.
**Responsibilities**
* To be successful in this highly visible role, you should be able to work in a dynamic environment, think big, and be comfortable navigating complexity and ambiguity. You should have strong business and communication skills, be comfortable analyzing data to provide data\-driven recommendations, and be able to partner with stakeholders to help define key business questions and build solutions that answer them.
* Drive the end\-to\-end execution of product initiatives by partnering with cross\-functional teams (engineering, operations, marketing, sales and customer success) to ensure seamless rollout of new models, feature bundles, and market offers
* Develop product enhancements and packaging options that elevate the customer value proposition and resonate with target enterprise segment
**Qualifications**
* 5\+ years leading integrated Hardware \&amp; Software products strategy, including release management, field\-reliability feedback, and compliance/readiness for enterprise customers aligning organizational priorities and the needs of customers.
* 3\+ years driving multi\-year product transformations for technical products (platform modernization, cloud/hyperscaler migrations, or pricing model shifts etc.) with operating\-model design, OKRs \&amp; KPI governance, and executive stakeholder alignment.
* Experience working directly with hyperscalers to leverage co\-marketing strategies and deploy advanced AI/ML solutions.
* Experience applying AI based solutions to conduct user interviews, run experiments, simplify customer experience and define innovative monetization/growth strategy
* 2 years of post\-MBA experience owning the creation and implementation of long\-term product strategies with an engineering background
* Expertise in owning and driving roadmap strategy, definition, and execution.
* Demonstrated ability to lead end\-to\-end product delivery processes effectively
* Experience in the cloud storage and services industry is preferred
* Advanced analytical skills with the ability to dive into product usage data and experiment results. Familiarity with data analysis tools (e.g., Python, Excel) and experience with statistical analysis and A/B testing frameworks is a must
**Education**
 Bachelor's degree in Engineering with a STEM focused MBA preferred.
 Compensation:
 The target salary range for this position is 154,700 \- 231,000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2">
      <c r="A12" t="inlineStr">
        <is>
          <t>li-4359289839</t>
        </is>
      </c>
      <c r="B12" t="inlineStr">
        <is>
          <t>Product Manager - AI Core</t>
        </is>
      </c>
      <c r="C12" t="inlineStr">
        <is>
          <t>Millennium</t>
        </is>
      </c>
      <c r="D12" t="inlineStr">
        <is>
          <t>linkedin</t>
        </is>
      </c>
      <c r="E12" t="inlineStr"/>
      <c r="F12" t="inlineStr"/>
      <c r="G12" t="inlineStr">
        <is>
          <t>New York, NY</t>
        </is>
      </c>
      <c r="H12" t="inlineStr"/>
      <c r="I12" t="inlineStr">
        <is>
          <t>We are seeking a Product Manager to lead the development and implementation of AI solutions for our Core businesses. The ideal candidate will have a strong background in AI and Financial Services, with hands\-on experience building solutions for Portfolio Managers, Operations, Legal, Human Resources, Finance and Risk. This role requires a unique blend of technical expertise and financial acumen to drive innovation and deliver impactful results.
**Key Responsibilities**
* Partner with the Senior Product Manager to execute against the Core AI roadmap across Legal, Technology, Operations, Finance, and other core functions.
* Lead discovery for prioritized use cases by gathering requirements, mapping workflows, and documenting user needs, constraints, and success metrics.
* Write clear product requirements (PRDs), user stories, acceptance criteria, and process documentation to support end\-to\-end delivery.
* Coordinate day\-to\-day delivery with Engineering, Data Science, Design, and business teams, managing backlog readiness, sprint planning inputs, dependencies, and release execution.
* Support production launches by helping define testing plans, rollout approaches, user communications, training materials, and feedback loops to drive adoption.
* Facilitate AI training and education for business to increase awareness of available AI tools, uplift AI literacy, and accelerate adoption.
**Qualifications**
* Bachelor’s degree in Finance, Computer Science or a related field
* 5\+ years of product management experience, with at least 2\+ years focused on financial technology or AI applications in capital markets.
* Demonstrated track record delivering applied AI solutions to production with measurable business impact
* Excellent written and verbal communication skills, with the ability to convey technical concepts to non\-technical stakeholders.
* Strong problem\-solving skills and the ability to translate complex investment challenges into actionable solutions.
* Strong problem\-solving and product judgment, with the ability to translate complex business workflows and control requirements into clear product requirements, user stories, and execution plans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13">
      <c r="A13" t="inlineStr">
        <is>
          <t>li-4360106629</t>
        </is>
      </c>
      <c r="B13" t="inlineStr">
        <is>
          <t>Product Manager</t>
        </is>
      </c>
      <c r="C13" t="inlineStr">
        <is>
          <t>Talent Zone Consultant</t>
        </is>
      </c>
      <c r="D13" t="inlineStr">
        <is>
          <t>linkedin</t>
        </is>
      </c>
      <c r="E13" t="inlineStr"/>
      <c r="F13" t="inlineStr"/>
      <c r="G13" t="inlineStr">
        <is>
          <t>Palo Alto, CA</t>
        </is>
      </c>
      <c r="H13" t="inlineStr"/>
      <c r="I13" t="inlineStr">
        <is>
          <t>Customer Engagement: Work directly with enterprise customers, AI developers, and ecosystem partners to understand workload patterns, pain points, and technical requirements.
 Competitive and Market Analysis: Continuously track and analyze GPU cloud competitors (e.g., CoreWeave, Lambda, RunPod, AWS, Azure, GCP) across performance, cost, scalability, and customer experience.
 Framework Insight: Maintain deep understanding of industry evaluation and certification frameworks (e.g., ClusterMax, Cloud validation) and apply that knowledge to shape our product and differentiation strategy.
 Feedback to Product: Synthesize customer and competitive insights into clear requirements, priorities, and recommendations for the Product and Engineering teams.
 Ecosystem Collaboration: Partner with GPU and AI ecosystem vendors (e.g, AMD) to ensure alignment with performance, interoperability, and validation standards.
 PoC Support: Collaborate with FAEs and Solution Engineers during customer PoCs to gather structured feedback and ensure successful deployment outcomes.
 Thought Leadership: Act as a subject matter expert on AI,GPU cloud market dynamics and communicate insights through internal briefings, product planning sessions, and executive updates.
**Qualifications** 
 5–10 years of experience in solutions engineering, technical product management, competitive analysis, or product strategy, ideally in GPU computing, cloud infrastructure, or AI,ML systems.
 Strong understanding of GPU cloud evaluation frameworks, Cloud validation programs, or similar benchmarking processes used by analysts and hardware partners.
 Proven ability to translate complex customer and market insights into actionable product direction.
 Technical background in Kubernetes, GPU orchestration, AI,ML workloads, or data center infrastructure.
 Excellent communication and presentation skills; able to interface effectively with both engineers and executives.
 Bachelor\`s or higher degree in Computer Science, Physics, Engineering, or related technical discipline.</t>
        </is>
      </c>
    </row>
    <row r="14">
      <c r="A14" t="inlineStr">
        <is>
          <t>li-4364007558</t>
        </is>
      </c>
      <c r="B14" t="inlineStr">
        <is>
          <t>Product Manager, Optimization &amp; Advanced Analytics</t>
        </is>
      </c>
      <c r="C14" t="inlineStr">
        <is>
          <t>KPI Solutions</t>
        </is>
      </c>
      <c r="D14" t="inlineStr">
        <is>
          <t>linkedin</t>
        </is>
      </c>
      <c r="E14" t="inlineStr"/>
      <c r="F14" t="inlineStr"/>
      <c r="G14" t="inlineStr">
        <is>
          <t>Cincinnati, OH</t>
        </is>
      </c>
      <c r="H14" t="inlineStr"/>
      <c r="I14" t="inlineStr">
        <is>
          <t>We are seeking a forward\-thinking Product Manager to lead the strategy, development, and execution of AI\-driven optimization solutions within Warehouse Execution Software (WES). This role focuses on applying artificial intelligence, IoT, and advanced analytics to optimize material flow, improve throughput, reduce downtime, and enhance safety and efficiency across warehouse, logistics, and manufacturing operations.
 The Product Manager will define the product roadmap and work cross\-functionally with engineering, data science, operations, and commercial teams to deliver intelligent, value\-creating applications that power next\-generation warehouse execution systems.
 Key Responsibilities
* Define and own the AI optimization strategy and roadmap for WES, aligning with corporate goals and customer outcomes.
* Lead development of advanced optimization features such as predictive maintenance, fleet performance, task orchestration, intelligent routing, resource allocation, and energy management.
* Partner with software, data science, and hardware teams to design and deploy AI\-powered solutions that integrate seamlessly across automation systems (MHE, AGVs, conveyors, robotics, etc.).
* Conduct market analysis and gather customer feedback to identify unmet needs, emerging trends, and innovation opportunities.
* Create ROI models, pricing strategies, and go\-to\-market plans that demonstrate measurable business value.
* Ensure all AI\-enabled features adhere to safety, data integrity, and regulatory requirements.
* Serve as a subject matter expert and champion for AI optimization within WES, representing the product with customers, partners, and internal stakeholders.
 What We Offer
* Opportunity to shape the future of AI in warehouse and logistics optimization.
* Collaborative and innovative work environment.
* Competitive compensation and benefits package.
* Career growth in a rapidly expanding AI and industrial technology domain.
**Requirements**
* Bachelor’s degree in engineering, Computer Science, Industrial Systems, or related field; MBA preferred.
* 10\+ years of product management experience in warehouse execution, logistics technology, or industrial automation.
* Strong understanding of WES/WMS/WCS architectures and material handling systems (AGVs, AMRs, conveyors, robotics, etc.).
* Proven experience with AI/ML\-based optimization, predictive analytics, and real\-time decision\-making systems.
* Track record of successfully taking products from concept to launch in complex technical environments.
* Excellent communication, analytical, and stakeholder management skills.
 Key Competencies
* Strategic thinker with execution focus.
* Customer\-first mindset with strong problem\-solving abilities.
* Comfortable operating at the intersection of AI technology and industrial applications.
* Collaborative leadership and cross\-functional influence.
**Benefits**
* Medical Insurance
* Dental Insurance
* Vision Insurance
* Health Care Concierge Service
* 401(k) Retirement Plan (Pre\-tax \&amp; Roth)
* Company paid Basic Life Insurance, Short\-Term Disability \&amp; Long\-Term Disability
* Voluntary Life \&amp; AD\&amp;D Insurance
* Voluntary Accident, Critical Illness \&amp; Hospital Indemnity Insurance
* Milk Stork Program
* Wellness Program with gift card redemption and wellness challenges
* Paid Time Off (Vacation, Sick \&amp; 10 Holidays)
* Training \&amp; Development
*KPI Solutions provides equal employment opportunity to all individuals regardless of their race, color, creed, religion, gender, age, sexual orientation, national origin, disability, veteran status, or any other characteristic protected by states, federal, or local law.*</t>
        </is>
      </c>
    </row>
    <row r="15">
      <c r="A15" t="inlineStr">
        <is>
          <t>li-4363797088</t>
        </is>
      </c>
      <c r="B15" t="inlineStr">
        <is>
          <t>Product Manager</t>
        </is>
      </c>
      <c r="C15" t="inlineStr">
        <is>
          <t>McKesson</t>
        </is>
      </c>
      <c r="D15" t="inlineStr">
        <is>
          <t>linkedin</t>
        </is>
      </c>
      <c r="E15" t="inlineStr"/>
      <c r="F15" t="inlineStr"/>
      <c r="G15" t="inlineStr">
        <is>
          <t>Richmond, VA</t>
        </is>
      </c>
      <c r="H15" t="inlineStr"/>
      <c r="I1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The Product Manager will lead product management activities for a suite of products. This includes overseeing all aspects of the product lifecycle including strategy, planning, execution, market launch, and post\-market support. In addition to leading specific projects, this role provides leadership and mentorship to junior team members on the product management team.
**Job Responsibilities:**
 Lead and advocate for product strategy
* Determine and drive product strategy to improve business outcomes and tool adoption through gaining support from business leaders
* Lead team to support strategy through effective prioritization / roadmap for area of responsibility
* Manage stakeholders and influence leaders to drive outcomes
 Drive streamlined business processes and technical solutions to support them
* Understand and document business processes while looking for solutions\- people, process and technology with an eye toward user and customer experience.
* Partner with technology team members to determine the best solution and advocate for those solutions with leadership.
* Prioritize both work the product owner team has as well as on the technology teams plate in order to have the greatest business impact.
 Communicate and support change management efforts
* Present to leadership on productivity and value of existing and upcoming features
* Work closely with training, communication, and change management teams to reach high success/adoption of product and tools
 Organizing and prioritizing
* Support the organization of work as well as portfolio management and prioritization
* Establish and maintain agreements between team members on requirements
**Minimum Requirements:**
* Degree or equivalent and typically requires 4\+ years of relevant experience.
**Critical Skills:**
* Product ownership or product / program management and a record of success in analyzing, designing, and deploying features across products and solutions (1\+ years preferred)
* Experience with Salesforce.com or other CRM / SFA or similar platform (1\+ year)
* Experience working within Agile based methodology
* Strong communication with various levels of leadership
**Additional Knowledge \&amp; Skills:**
* Experience with CPQ systems preferred
* Experience with development tools including Atlassian or JIRA Running pilot programs and A/B
* Demonstrated ability to effectively communicate technical information to both technical and non\-technical audiences
* Proven ability to manage multiple concurrent projects and drive results in a dynamic environment
* Strong analytical skills with attention to detail
* Ability to thrive in a fast\-paced environment while managing competing priorities
* Excellent organizational and problem\-solving skills
* Strong leadership abilities
**Travel**
 Up to 10% travel required (McKesson office\-based)
**Education**
 4\-year degree in related field or equivalent experience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$91,500 \- $152,500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16">
      <c r="A16" t="inlineStr">
        <is>
          <t>li-4360220317</t>
        </is>
      </c>
      <c r="B16" t="inlineStr">
        <is>
          <t>EverHealth - Product Manager: Document Management</t>
        </is>
      </c>
      <c r="C16" t="inlineStr">
        <is>
          <t>RemoteHunter</t>
        </is>
      </c>
      <c r="D16" t="inlineStr">
        <is>
          <t>linkedin</t>
        </is>
      </c>
      <c r="E16" t="inlineStr"/>
      <c r="F16" t="inlineStr"/>
      <c r="G16" t="inlineStr"/>
      <c r="H16" t="inlineStr"/>
      <c r="I16" t="inlineStr">
        <is>
          <t>About the Opportunity:
 Medical practices spend significant uncompensated time managing inbound and outbound documents—reviewing faxes, filing records, routing tasks, and coordinating approvals. This work is essential, fragmented, and largely manual.
 As the Product Manager overseeing Document Management functions, you are responsible for improving how practices ingest, understand, route, and act on documents, reducing unnecessary human steps and cognitive load. Your work supports the organization’s goal of reducing uncompensated time around a visit, currently estimated at about eight minutes per visit.
 This is an individual contributor role with end\-to\-end ownership of the document management product area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Collaborate with design and engineering to deliver solutions that reduce manual document handling; translate requirements into user stories and work within an Agile environment.
 • Apply automation and AI to classify and summarize documents, file them correctly, and trigger downstream workflows such as tasking, routing, and provider sign\-off.
 • Ensure solutions are scalable and extensible across products. Define clear success metrics and be accountable for results.
 Requirements:
 • Five or more years of product management experience.
 • Proven ability to own complex, workflow\-driven product areas and deliver measurable outcomes.
 • Strong product discovery skills and comfort operating in ambiguity.
 • Experience with healthcare workflows or EHRs preferred.
 • Track record of shipping practical solutions adopted by teams and customers.
 • Basic foundational knowledge of AI and LLMs preferred.
 Benefits \&amp; Perks:
 • Flexibility to work in\-office, remote, or hybrid within the country of employment
 • Robust health and wellness benefits, including an annual wellness stipend
 • Professional development investment through Udemy
 • 401k or RRSP with company match
 • Flexible and generous paid time off
 • Employee Stock Purchase Program
 Compensation:
 • The annual base salary range for this position is $110,000 to $125,000 USD per year.
 • Salary range is a general guideline combining distinct labor markets within the US.
 • Compensation decisions consider position scope, candidate experience, location, education, skills, internal equity, market data, and business considerations.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li-4363787400</t>
        </is>
      </c>
      <c r="B17" t="inlineStr">
        <is>
          <t>Principal Product Manager</t>
        </is>
      </c>
      <c r="C17" t="inlineStr">
        <is>
          <t>Microsoft</t>
        </is>
      </c>
      <c r="D17" t="inlineStr">
        <is>
          <t>linkedin</t>
        </is>
      </c>
      <c r="E17" t="inlineStr"/>
      <c r="F17" t="inlineStr"/>
      <c r="G17" t="inlineStr"/>
      <c r="H17" t="inlineStr"/>
      <c r="I17" t="inlineStr">
        <is>
          <t>**Overview**
 We’re building next generation
 **AI\-powered skilling** 
 experiences that help people and organizations learn faster, prove what they know, and keep pace with Ai driven work. As a
 **Principal Product Manager** 
 , you’ll set the vision, shape the roadmap, and lead cross functional teams to deliver delightful, measurable learning outcomes on a global scale. '
 You’ll thrive here if you love turning deep customer insight into bold product bets, partnering closely with Design and Engineering, and shipping high quality experiences that people can’t wait to use. We value
 **clarity, curiosity, and craft** 
 —and we’ll give you the autonomy and support to do your effective work.
 Microsoft’s mission is to empower every person and every organization on the planet to achieve more, and we’re dedicated to this mission across every aspect of our company. Our culture is centered on embracing a growth mindset and encouraging teams and leaders to bring their highly qualified contributions each day. Join us and help shape the future of the world.
**Responsibilities**
**The Principal Product Manager is responsible for the following** 
 :
* Set the North Star – Define the vision and strategy for AI skilling across learner, manager, and enterprise scenarios; translate it into clear success metrics.
* Turn Insight into Product – Use qualitative and quantitative research to uncover unmet needs and convert them into crisp scenarios, roadmaps, and MVPs.
* Lead the Portfolio – Prioritize data informed investments; make tradeoffs across content, platform, telemetry, cost/latency, privacy, and compliance.
* Build AI First Experiences – Partner with Design and Engineering to ship LLM powered features (recommendations, coach, pathways, assessment) that are usable, accessible, and trustworthy.
* Raise the Bar on Quality – Establish measurement for engagement, learning outcomes, credential attainment, reliability, and performance; iterate based on evidence.
* Launch and Grow – Collaborate with Product Marketing and field teams to craft narratives, land launches (e.g., major events), and drive adoption and retention.
* Win with Partners – Work with internal/external partners (e.g., content providers, platform teams) to expand catalog depth, credentials, and enterprise integrations.
* Model Reliable Product Leadership – Create clarity, build energy, and deliver results across multiple squads/epics through inclusive, transparent execution.
**Other**
* Embody our culture and values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in Computer Science, Engineering, Human Computer Interaction, Data/AI, or related technical field or equivalent practical experience AND 12\+ years of product leadership with enterprise SaaS/platform experience
+ OR equivalent experience.
* Advance Degree in (e.g. MS in Computer Science, Engineering, Human Computer Interaction, Data/AI, or MBA ) is a plus.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6\+ years of experience end to end product management experience shipping largescale, cross functional products or platforms.
* 6\+ years of experience leading product teams building consumer products.
* 6\+ years of experience in machine learning and/or AI.
* 4\+ years experience taking a product, feature, or experience to market (e.g., design, addressing product market fit, and launch, internal tool/framework).
* Domain expertise in learning/skilling, credentials/assessment, or workforce development; familiarity with content pipelines and role based learning paths.
* Handson experience bringing generative AI to production (prompting, evaluation, safety \&amp; governance, cost/perf optimization).
* Depth in experimentation and measurement (A/B testing, causal inference, learning outcomes, cohort analysis).
* Demonstrated executive storytelling and external thought leadership (talks, blogs, community).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
      <c r="A18" t="inlineStr">
        <is>
          <t>li-4363787588</t>
        </is>
      </c>
      <c r="B18" t="inlineStr">
        <is>
          <t>Product Manager</t>
        </is>
      </c>
      <c r="C18" t="inlineStr">
        <is>
          <t>BioHorizons</t>
        </is>
      </c>
      <c r="D18" t="inlineStr">
        <is>
          <t>linkedin</t>
        </is>
      </c>
      <c r="E18" t="inlineStr"/>
      <c r="F18" t="inlineStr"/>
      <c r="G18" t="inlineStr">
        <is>
          <t>Birmingham, AL</t>
        </is>
      </c>
      <c r="H18" t="inlineStr"/>
      <c r="I18" t="inlineStr">
        <is>
          <t>The
 **Product Manager** 
 will support the management in the Product Marketing team of the BioHorizons product lines in order to achieve company objectives. Areas of responsibility will include marketing, sales support/training and identification of new market opportunities and products.
**Essential Duties And Responsibilities**
* Manage marketing activities including new idea review and recommendations, concept and design development, technique development, project management and market introduction.
* Work closely with Engineering, Manufacturing, Regulatory and related departments to make sure the company meets customer needs.
* Support the development of product portfolio strategy to ensure the company continues to position existing products and develops new products to be competitive.
* Manage the product portfolio life cycle from initial concept to discontinuation,
* Work with Directors/Vice\-Presidents to ensure the company is in a position of clinical and technical excellence relative to the competition through field visits with key surgeons and Territory Managers, regular review of literature, participation at key meetings and conferences, and development of close professional relationships.
* Support marketing communication initiatives and planning as well as assisting with international marketing communication efforts.
* Develop, maintain and distribute traditional and digital marketing material, adhering to brand standards and corporate compliance regulations.
* Collaborate with the education and ORF teams to ensure production are appropriately positioned at courses and exhibitions.
* Maintain knowledge of product line performance and provide reports to Vice Presidents/Directors to identify trends and opportunities for improvement.
* Conduct periodic research to maintain visibility of market trends and gather feedback from the field.
* Assist with the management of distributed product lines.
* Support the maintenance of online stores and websites.
* Support training on products and techniques to customer care, sales team, distributors, and customers.
**Qualifications**
* 2\-3 years of marketing experience preferable in medical device industry
* Understanding of medical device regulations in relation product marketing
* Experience working with quality management systems
* Excellent organizational skills, ability to multi\-task and strong attention to detail are required.
* Positive, customer service\-oriented attitude and work ethic required.
* Ability to identify, analyze and solve problems with minimal direction.
* Ability to assess and integrate market, technical and clinical requirements.
* Ability to understand complex concepts and products.
* Ability to work effectively in a team environment and build strong working relationships.
* Excellent communications skills, both oral and written.
* High degree of initiative and self\-motivation with a strong sense of accountability.
* Experience with social media and web marketing an asset.
* Intermediate experience with MS Word, Excel and PowerPoint required.
* Ability to travel overnight as needed, including weekends (20\-30%).
**Education/Experience**
* B.S. Marketing or related field of study or equivalent work experience required.
* 2\-3 years of product management experience preferably in medical device industry or a highly regulated industry.
* Dental industry experience an asset
**Benefits**
* 2 comprehensive medical plan options to choose from available the first of each month following your date of hire
* Flexible Spending Account or HSA Account available
* Vision Benefits
* Company paid Dental Insurance for employee and dependents
* Wellness Plan
* 401k with 5% matching
* Generous PTO plan including 11 paid holidays, 2 Floating Holidays and Community Service Hours
* Company paid Short Term Disability
* Long Term Disability
* Company provided Life Insurance
* Paid Parental Leave
* Casual Dress Code
* Social events for employees and family
***Please note that any offer of employment made by BioHorizons is contingent upon the successful completion of a pre\-employment background investigation to include a pre\-employment drug screen.***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t>
        </is>
      </c>
    </row>
    <row r="19">
      <c r="A19" t="inlineStr">
        <is>
          <t>li-4353750239</t>
        </is>
      </c>
      <c r="B19" t="inlineStr">
        <is>
          <t>Sr. Product Manager - Selection, Amazon Now</t>
        </is>
      </c>
      <c r="C19" t="inlineStr">
        <is>
          <t>myGwork - LGBTQ+ Business Community</t>
        </is>
      </c>
      <c r="D19" t="inlineStr">
        <is>
          <t>linkedin</t>
        </is>
      </c>
      <c r="E19" t="inlineStr"/>
      <c r="F19" t="inlineStr"/>
      <c r="G19" t="inlineStr">
        <is>
          <t>Bellevue, WA</t>
        </is>
      </c>
      <c r="H19" t="inlineStr"/>
      <c r="I19" t="inlineStr">
        <is>
          <t>**This job is with Amazon, an inclusive employer and a member of myGwork – the largest global platform for the LGBTQ\+ business community. Please do not contact the recruiter directly.**
**Description**
 If you have a founder's mentality, are a seasoned product \&amp; business person and are looking for an opportunity to impact how we innovate getting products to customers when and how they need them, then this is the team for you.
 The Amazon Now team is a passionate group of mission\-focused leaders working on an exciting new initiative \- deliveries in under 30 minutes. In this role, you will work with a wide range of stakeholders across operational, technical, business, retail, and finance teams to drive overall selection, customer experience, and business performance. The role will focus on the Amazon Now selection strategy, building localized selection, owning vendor promotions and partnerships, improving pricing and in\-stock, and implementing operational process improvements. The successful candidate will leverage their team to build and implement a multi\-year roadmap of initiatives that enhance customer selection and drive the flywheel to accelerate growth.
 Your work will directly to impact the shopping experience of millions of customers globally by operationalizing this exciting new service.
 Please request an informational and don't contact the hiring manager directly.
**Basic Qualifications**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in influencing senior leadership through data driven insights
* Experience working across functional teams and senior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NY, New York \- 152,200\.00 \- 206,000\.00 USD annually
 USA, WA, Bellevue \- 136,000\.00 \- 184,100\.00 USD annually]]\&gt;</t>
        </is>
      </c>
    </row>
    <row r="20">
      <c r="A20" t="inlineStr">
        <is>
          <t>li-4364007107</t>
        </is>
      </c>
      <c r="B20" t="inlineStr">
        <is>
          <t>Product Owner</t>
        </is>
      </c>
      <c r="C20" t="inlineStr">
        <is>
          <t>McKesson</t>
        </is>
      </c>
      <c r="D20" t="inlineStr">
        <is>
          <t>linkedin</t>
        </is>
      </c>
      <c r="E20" t="inlineStr"/>
      <c r="F20" t="inlineStr"/>
      <c r="G20" t="inlineStr">
        <is>
          <t>Cary, NC</t>
        </is>
      </c>
      <c r="H20" t="inlineStr"/>
      <c r="I2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At
 **Biologics by McKesson** 
 , our mission is to simplify access to lifesaving therapies and deliver personalized patient care that drives the best possible outcomes—
 **one patient, one partner, one therapy at a time** 
 .
 The
 **Product Owner** 
 plays a critical role in advancing this mission by ensuring excellence in both the execution of existing systems and the implementation of new solutions for our stakeholders. This role will be pivotal in translating strategic vision into detailed product requirements and ensuring successful execution, ultimately delivering value to our customers and advancing our mission.
* Our ideal candidate will reside in our hub cities of Cary, NC or Forth Worth, TX to support occasional in\-office work. We may consider a well qualified fully remote candidate not located in these areas.
* At this time, we are not able to offer sponsorship for employment visas. This includes individuals currently on F\-1 OPT, STEM OPT, or any other visa status that would require future sponsorship. Candidates must be authorized to work in the United States on a permanent basis without the need for current or future sponsorship.
**Key Responsibilities:**
* Develop a comprehensive understanding of the capabilities, workflows and operational processes within Citus Health (Engagement Manager), Annexus AssistPoint, and other relevant systems to ensure effective utilization and support
* Communicate and execute the product vision, strategy, and roadmap in alignment with Biologics’ overall business goals and market needs.
* Elicit, analyze, and document detailed requirements, use cases, and acceptance criteria from internal and external stakeholders. Prioritize the product backlog based on business value, technical feasibility, and customer impact.
* Work closely with cross\-functional development teams (developers, designers, QA) to ensure a shared understanding of product requirements and to facilitate efficient execution.
* Act as the primary liaison between business stakeholders, customers, and the development team, managing expectations and ensuring clear communication throughout the product lifecycle.
* Lead and participate in release planning, sprint reviews, and retrospective meetings. Ensure timely delivery of high\-quality products and features.
* Conduct market research, competitive analysis, and gather user feedback to identify opportunities for product enhancement and innovation.
* Define and track key performance indicators (KPIs) for products, analyzing data to inform future product decisions and measure success.
* Ensure KPIs and deliverables are consistently socialized across the organization and understood by all functional areas.
* Responsible for activities in JIRA such as, managing tickets, development tracking, sprint planning, and backlog prioritization.
**Minimum Requirements:**
* Bachelor's degree in a relevant field (e.g. Computer Science, Engineering, Biology, Biotechnology, Business Administration) or equivalent experience, and typically requires 4\+ years of relevant experience as a Product Owner, Business Analyst or similar role in an agile development environment (experience in the biotechnology, pharmaceutical or life sciences industry is highly desirable)
**Critical Skills:**
* Experience with JIRA, workflow documentation tools (e.g., Visio), and collaboration platforms such as SmartSheet
* Excellent analytical and problem\-solving skills, with the ability to translate complex business requirements into clear and actionable product specifications
* Exceptional written and verbal communication skills, with the ability to effectively communicate with technical and non\-technical stakeholders at all levels
* Proven ability to lead and influence cross\-functional teams without direct authority
* Solid understanding of product lifecycle management and a passion for developing innovative solutions
* Demonstrated ability to manage multiple initiatives in a fast‑paced environment
* Experience supporting pharmacy solutions, biopharma integrations, or specialty medication workflows is a plus
**Why This Role Matters at Biologics by McKesson:**
 Product Owners at Biologics serve as
 **force multipliers** 
 —ensuring clarity, driving accountability, and enabling operational and technical excellence that directly impacts patient access, provider experience, and pharmaceutical partner success. Your leadership helps ensure therapies reach the patients who need them most.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$86,900 \- $144,900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21">
      <c r="A21" t="inlineStr">
        <is>
          <t>li-4353730390</t>
        </is>
      </c>
      <c r="B21" t="inlineStr">
        <is>
          <t>Sr. Product Manager</t>
        </is>
      </c>
      <c r="C21" t="inlineStr">
        <is>
          <t>NetApp</t>
        </is>
      </c>
      <c r="D21" t="inlineStr">
        <is>
          <t>linkedin</t>
        </is>
      </c>
      <c r="E21" t="inlineStr"/>
      <c r="F21" t="inlineStr"/>
      <c r="G21" t="inlineStr">
        <is>
          <t>San Jose, CA</t>
        </is>
      </c>
      <c r="H21" t="inlineStr"/>
      <c r="I2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Instaclustr is looking for an Product Manager – AI Market Segment to join our dynamic Product Management team as we expand our open\-source\-as\-a\-service platform for agentic AI. This role sits at the intersection of AI innovation and product strategy—perfect for someone who thrives on turning cutting\-edge technology into real\-world impact
 As part of NetApp, Instaclustr empowers companies to run powerful open\-source technologies like Apache Cassandra, Apache Kafka, PostgreSQL, ClickHouse, and OpenSearch—at scale and with confidence. Our platform handles everything from provisioning to production reliability, so our customers can focus on building great applications. By leveraging our proven platform\-based delivery, open source innovation, and NetApp storage, we’re uniquely positioned to lead in hyperscaler\-agnostic application data infrastructure for agentic AI.
**Responsibilities**
 As theProduct Manager – AI Market Segment, you’ll combine deep knowledge of AI market and technologies with strong product management skills to lead product initiatives focused on the the AI application market. You’ll help refine our strategy, ensure alignment with business goals, and champion capabilities targeting agentic AI developers and operators. You’ll be responsible for:
* Understanding the problem space in the AI market segment through market awareness, customer discovery and experimentation.
* Developing and maintaining a segment vision, crafting and evangelizing compelling narratives (“working backwards” stories), that align and inspires product, engineering, GTM and execs around a compelling value proposition for the target segment.
* Being a credible expert in the AI market segment to support and drive GTM efforts including crafting compelling narratives to drive sales plays, sales conversations with high\-value opportunities through to conference presentations.
* Serving as an escalation and resolution point for critical priority calls within the AI market segment, whether that is individual strategic customer issue or broader prioritisation calls.
 Job Requirements
* 8\+ years of experience in product management experience, including experience with developer and focused products.
* Strong understanding of AI\-related customer objectives and problems, market trends and key concepts.
* Excellent capability to facilitate and manage planning in demanding stakeholder environments.
* Excellent communication skills.
* Strong business acume.
**Ideally:**
* Understanding and experience with open source products such as those offered by Instaclustr (Apache Cassandra, Apache Kafka, OpenSearch, Cadence, ClickHouse and PostgreSQL).
* Technical understanding of key cloud architecture concepts.
 Education
 Bachelors Degree or higher is preferred.
 Compensation:
 The target salary range for this position is 183,600 \- 272,800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22">
      <c r="A22" t="inlineStr">
        <is>
          <t>li-4323427871</t>
        </is>
      </c>
      <c r="B22" t="inlineStr">
        <is>
          <t>Correspondence Product Owner</t>
        </is>
      </c>
      <c r="C22" t="inlineStr">
        <is>
          <t>MetLife</t>
        </is>
      </c>
      <c r="D22" t="inlineStr">
        <is>
          <t>linkedin</t>
        </is>
      </c>
      <c r="E22" t="inlineStr"/>
      <c r="F22" t="inlineStr"/>
      <c r="G22" t="inlineStr"/>
      <c r="H22" t="inlineStr"/>
      <c r="I22" t="inlineStr">
        <is>
          <t>**Requirements**
**Description and Requirements**
**Correspondence Product Owner**
 Location: Virtual
 Will be required to be in office 1x a month if considered commutable to a MetLife office
**The Opportunity**
 The Product Owner for the Correspondence role will be responsible for developing and refining features in collaboration with business, IT, Cross DST ARTs, and stakeholders. The Product Owner (PO) is responsible for prioritizing the stories to be developed by the agile team so the team can incrementally develop valuable solutions that maintain conceptual and technical integrity. Individuals in this role are responsible for working in a team of agile teams that contribute to larger solutions. While they collaborate with their agile team members to define stories, the PO has the responsibility for prioritizing the Team Backlog to streamline execution.
**How You'll Help Us Build a More Confident Future:**
* Work with Product Managers to understand customer needs and business objectives that inform features and stories
* Ensure work focuses on those stories with a maximum value, aligned with product strategy, roadmap, and key milestones
* Help define, refine, prioritize, and accept the work delivered by an Agile team to ensure the outcome meets the defined feature acceptance criteria while the team works at a sustainable pace
* Answer questions from the agile team so the team’s work flows without delay.
* Collaborate with POs on other teams to help the ART achieve its shared objectives.
* Make decisions to solve product related problems, trade\-off discussions, to stay on track to committed outcomes. (Acceptance, prioritizing, making trade\-offs, etc.
* Support Production Support for escalated customer issues, timely communication of outcomes to the customer.
* Managing Client Specific email boxes, responding to process/timing inquiries, customer questions, and escalation questions for internal partners within 24 hours
* Completing business check out of custom letters/CSV files/email updates after each release
* Setting up new customers in Catalyst Admin, updating existing changes to email notifications to allow instant changes as requested by the customer
* Managing defects and ambiguities identified before and after testing, ensuring alignment of ambiguities/defects for future releases, and continued communication on status of release with stakeholders
* Suppression of history and takeover notifications, ensuring customers are not notified of perfection of takeover claims
* Writing Change Requirement Documents as required and supporting CRD work during peak times to ensure delivery times
* Mockup the Change Request Document with new verbiage and identify coding needed to support the customer change
**Required to Succeed:**
* 7\+ years of experience in Disability and Absence Insurance
* Advanced experience with Powerpoint and Excel.
* Exhibit strong collaboration and ability to engage with all levels of leadership across the organization.
* Ability to lead, motivate and support initiative team(s).
* Identify risks to project success and recommend course of action to prevent risk from negatively impacting agreed upon work and dates for delivery.
* Experience with an agile methodology.
* Associates or more advanced degree required.
**Preferred:**
* Knowledge of current MetLife business processes, systems and operational areas.
* Knowledge of MetLife business structure, products, and end to end processes and outputs.
* Exposure to SAFE Agilist
 The expected salary range for this position is $91,000 \- $105,000\..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It is unlawful in Massachusetts to require or administer a lie detector test as a condition of employment or continued employment. An employer who violates this law shall be subject to criminal penalties and civil liabilities.
 $91,000 \- $105,000\.</t>
        </is>
      </c>
    </row>
    <row r="23">
      <c r="A23" t="inlineStr">
        <is>
          <t>li-4363897206</t>
        </is>
      </c>
      <c r="B23" t="inlineStr">
        <is>
          <t>Program Manager, Product</t>
        </is>
      </c>
      <c r="C23" t="inlineStr">
        <is>
          <t>Sand Cherry</t>
        </is>
      </c>
      <c r="D23" t="inlineStr">
        <is>
          <t>linkedin</t>
        </is>
      </c>
      <c r="E23" t="inlineStr"/>
      <c r="F23" t="inlineStr"/>
      <c r="G23" t="inlineStr">
        <is>
          <t>Washington, DC</t>
        </is>
      </c>
      <c r="H23" t="inlineStr"/>
      <c r="I23" t="inlineStr">
        <is>
          <t>**Company Profile**
 At Sand Cherry Associates, we excel in the design and delivery of strategic customer\-centric initiatives through digitally native, data\-impowered solutions. Our client’s confidence in us is centered on exceptionally skilled, high\-energy talent working with the support of the full Sand Cherry Team. Finding the right match for this role is a critical aspect of our success.
**Overview**
 We are seeking a highly experienced Program Manager – Product to support and drive execution for our Enterprise Data Products. This role is ideal for a seasoned Program Manager with strong product management experience, or a former Product Manager who excels at cross\-functional program execution, operational readiness, and executive communication. The ideal candidate brings deep experience in cable/telecom environments, demonstrates senior executive presence, and can partner effectively across Product, IT, Billing, Operations, and Commercial teams to successfully launch and scale complex data products. This is a long\-term remote consulting engagement. Qualified candidates must live in the United States and be authorized to work without requiring Visa sponsorship or C2C.
**Responsibilities**
* Partner closely with Product Management to support the full product lifecycle for with a Data Products team, from concept through launch and post\-launch optimization
* Translate product strategy into executable program plans, timelines, and cross\-functional workstreams
* Lead product requirements development in collaboration with Product, Engineering, IT, and Operations teams
* Drive end\-to\-end product launch readiness, coordinating activities across:
* Operations
* IT and Billing systems
* Offers, pricing, and commercial readiness
* Sales enablement and internal communications
 Develop and manage product financial forecasts, including revenue projections, cost considerations, and launch assumptionsIdentify risks, dependencies, and gaps across systems and teams; proactively drive mitigation plansPrepare and deliver high\-quality executive\-level presentations, status updates, and decision materialsAct as a key liaison between Product, Technology, Finance, and Business stakeholders to ensure alignment and execution excellence
**Requirements**
**Requirements**
* Bachelor’s degree in Business, Engineering, or related field
* A minimum of 5\-6 years as a Program Manager with strong Product Management exposure, or experience as a Product Manager with program execution experience
* Prior experience in the cable, telecom industry working with enterprise data products
* Demonstrated success managing complex, cross\-functional product initiatives in large enterprise environments
* Strong experience with
* Product requirements definition
* Product launches involving multiple operational and technical teams
* Financial modeling and product forecasting
* Exceptional PowerPoint (PPT) and executive communication skills are required with the ability to present clearly and succinctly to senior leadership
* Ability to successfully manage at both strategic and tactical levels
* Experience supporting enterprise wide or data products
* Familiarity with IT/Billing systems, pricing/offers, and operational enablement in telecom environments
* Experience working with senior executives and influencing without direct authority
* Collaborative, adaptable, flexible presence and eagerness to deliver
**Compensation**
 For individuals assigned and/or hired to work in Colorado, Sand Cherry Associates is required by law to include a reasonable estimate of the compensation range for this role. This compensation range considers a wide range of factors considered in making compensation decisions including but not limited to skill sets; experience and training; licensure and certifications; and delivery model. This is a long term consulting engagement with an expected annual salary of $115\-130k. Years of experience, level of education, geographic location, unique skills/qualifications for the specific role and potential certifications can be key factors in the final compensation for this role.
**Benefits**
 Our team is unique — we are passionate about what we do. At Sand Cherry, our Consultants know they are impacting and shaping our clients’ industries. We recognize our employees for their contributions. Our culture is one of the most friendly and communicative in the consulting industry. Sand Cherry is not a top\-heavy organization. We offer the opportunity to be part of a digital workforce. Discover the experience that only comes with self\-responsibility in the workplace. Our team members manage their own workloads and are expected to deliver exceptional work for our clients. Professional career growth is one of our main priorities, as we affirm that investing in our Consultants and empowering our people will also deliver the best results and value for our clients.</t>
        </is>
      </c>
    </row>
    <row r="24">
      <c r="A24" t="inlineStr">
        <is>
          <t>li-4363887124</t>
        </is>
      </c>
      <c r="B24" t="inlineStr">
        <is>
          <t>Product Manager, Specialty</t>
        </is>
      </c>
      <c r="C24" t="inlineStr">
        <is>
          <t>BioSpace</t>
        </is>
      </c>
      <c r="D24" t="inlineStr">
        <is>
          <t>linkedin</t>
        </is>
      </c>
      <c r="E24" t="inlineStr"/>
      <c r="F24" t="inlineStr"/>
      <c r="G24" t="inlineStr">
        <is>
          <t>King of Prussia, PA</t>
        </is>
      </c>
      <c r="H24" t="inlineStr"/>
      <c r="I24" t="inlineStr">
        <is>
          <t>The Product Manager for ANDEMBRY will be responsible for supporting various components of the tactical plan, specifically focused on the HCP customers and field relationships. This role will support the ANDEMBRY brand director, and other members on the Brand Team, in creating and implementing key tactical initiatives to promote and differentiate ANDEMBRY to drive the positioning of “Maximum attack protection, simply achieved”. The Product Manager will be involved in driving and measuring ANDEMBRY initiatives, such as Peer to Peer initiative, KOL management, Speaker Bureau management, as well as key point of contact for field materials and communications.
 The ideal candidate will have experience in rare disease, the ability to thrive in a fast\-paced environment, be comfortable with managing multiple changes in direction and not afraid to work among ambiguity in certain situations. This role will need to proactively communicate with various functions across the commercial business. They should be able to work within a team environment as well as individually and be comfortable presenting information to a group of colleagues.
**Main Responsibilities \&amp; Accountabilities**
* Work with the Brand Director and Team, on execution of the promotional mix strategy and plan. Engage external agency partner to deliver brand messaging and selling resources that maximize communication effectiveness.
* Lead development of branded program materials through concept, development, medical/legal/regulatory review, production and dissemination to end user.
* Partner with the Brand Director to collaborate with sales training to ensure optimal rollout and execution of new materials/initiatives for launch.
* Accountable for proactive management of marketing activities they are leading to assure compliance with internal Company and external requirements.
* Responsible for obtaining medical/regulatory/legal guidance as needed in materials or program development process to ensure alignment early in process. Develops and manages effective agency relationships in support of key initiatives and provides clear direction on objectives and deliverables. Responsible for providing strategic direction to agency and outline where/how project fits into plan. Partners with agency to provide updates, mockups, timelines to others as needed.
* Identify and lead sales materials, including recommending modifications or new assets based on market dynamics and field input. Manage STASH inventory and ensure outdated materials are cleared from STASH and Veeva.
* Work with ANDEMBRY team members to lead development of tactics for non\-personal plan for HCPs
**Qualifications**
* Education
* undefined
* BS/BA, MBA preferred
**Experience**
* 5\-7 years' marketing experience with 1\-2 years' experience in pharmaceutical, biotech or medical device industry
 Competencies
* Business Acumen
* Drive for Results
* Strong Communication Skills
* Highly collaborative
* Customer Focus
* Thrive in a fast\-paced environment
**About CSL Behring**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For more information on CSL benefits visit How CSL Supports Your Well\-being \| CSL.
**You Belong at CSL**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CSL is an Equal Opportunity Employer. If you are an individual with a disability and need a reasonable accommodation for any part of the application process, please visit https://www.csl.com/accessibility\-statement.</t>
        </is>
      </c>
    </row>
    <row r="25">
      <c r="A25" t="inlineStr">
        <is>
          <t>li-4353253728</t>
        </is>
      </c>
      <c r="B25" t="inlineStr">
        <is>
          <t>Associate, Product Manager - Credit Technology - PIMCO</t>
        </is>
      </c>
      <c r="C25" t="inlineStr">
        <is>
          <t>Jobs via eFinancialCareers</t>
        </is>
      </c>
      <c r="D25" t="inlineStr">
        <is>
          <t>linkedin</t>
        </is>
      </c>
      <c r="E25" t="inlineStr"/>
      <c r="F25" t="inlineStr"/>
      <c r="G25" t="inlineStr">
        <is>
          <t>Newport Beach, CA</t>
        </is>
      </c>
      <c r="H25" t="inlineStr"/>
      <c r="I25"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**About the Role**
 We are seeking a motivated and detail\-oriented early\-career Product Manager to join our Credit Technology team. This role offers a unique opportunity to contribute to the development and enhancement of platforms that support all aspects of PIMCO's credit business\-including research, analytics, and trading.
 You will work closely with engineers, credit analysts, the credit analytics team, and the trading desk to build tools that improve the efficiency of workflows, enhance data accessibility, and support decision\-making across the credit lifecycle.
**Key Responsibilities**
* Cross\-Functional Collaboration: Partner with engineers, credit analysts, analytics teams, and traders to understand business needs and translate them into technical solutions for the engineering teams.
* Business Requirements Gathering: Engage with stakeholders to collect, document, and refine business requirements and specifications for development initiatives.
* Stakeholder Management: Build strong relationships with business users and ensure ongoing alignment between technology deliverables and strategic objectives.
* Testing \&amp; Validation: Support testing of complex business logic and application features to ensure accuracy and reliability.
* Issue Resolution: Help troubleshoot and resolve technical and functional issues as they arise.
* Documentation: Contribute to user guides, API documentation, and internal knowledge bases to support cross\-functional understanding.
* Dashboards \&amp; Reports: Assist in creating dashboards and reports to monitor application usage, performance, and data quality.
* Development Tasks: Participate in coding tasks using Python or UI technologies, with mentorship from senior developers.
* System Design Participation: Learn and contribute to system architecture discussions and design sessions.
**Qualifications**
* Education: Bachelor's degree in Computer Science, Mathematics, Engineering, Economics, Financial Engineering, Finance, or a related technical/scientific field.
* 1\-4 years of professional experience
* Interest in Finance: Demonstrated interest in financial markets, especially fixed income and credit.
* Technical Skills:
+ Familiarity with SQL and relational databases.
+ Exposure to Python or other object\-oriented programming languages.
+ Experience with Power BI or similar data visualization tools is a plus.
* Communication \&amp; Collaboration: Strong interpersonal skills and a willingness to engage with business users to understand requirements.
* Curiosity \&amp; Growth Mindset: Eagerness to learn new technologies, including AI and apply them to real\-world problems.
**Preferred Experience**
* Internship or academic project experience in financial services, technology, or data analytics.
* Understanding of asset management workflows, including portfolio management, trading, and investment research.
**Benefits**
 PIMCO is committed to offering a comprehensive portfolio of employee benefits designed to support the health and wellbeing of you and your family. Benefits vary by location but may include:
* Medical, dental, and vision coverage
* Life insurance and travel coverage
* 401(k) (defined contribution) retirement savings, retirement plan, pension contribution from your first day of employment
* Work/life programs such as flexible work arrangements, parental leave and support, employee assistance plan, commuter benefits, health club discounts, and educational/CFA certification reimbursement programs
* Community involvement opportunities with The PIMCO Foundation in each PIMCO office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$ 94,000\.00 \- $ 102,000\.00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26">
      <c r="A26" t="inlineStr">
        <is>
          <t>li-4363857857</t>
        </is>
      </c>
      <c r="B26" t="inlineStr">
        <is>
          <t>Product Owner - Cyber</t>
        </is>
      </c>
      <c r="C26" t="inlineStr">
        <is>
          <t>Capgemini</t>
        </is>
      </c>
      <c r="D26" t="inlineStr">
        <is>
          <t>linkedin</t>
        </is>
      </c>
      <c r="E26" t="inlineStr"/>
      <c r="F26" t="inlineStr"/>
      <c r="G26" t="inlineStr">
        <is>
          <t>Chicago, IL</t>
        </is>
      </c>
      <c r="H26" t="inlineStr"/>
      <c r="I2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**The Focus of Your Role**
 As Product Owner – Cyber Security, you will lead the definition and delivery of cybersecurity capabilities across agile squads. You will be responsible for translating business needs into secure, scalable solutions, ensuring alignment with enterprise architecture and compliance standards. This role is critical to embedding security into the product lifecycle and driving innovation in threat mitigation and resilience.
**You Will**
 Own the product backlog for cybersecurity features and services.
 Collaborate with architects, engineers, and business stakeholders to define secure\-by\-design solutions.
 Prioritise epics and user stories based on risk, business value, and technical feasibility.
 Ensure delivery aligns with regulatory and compliance frameworks.
 Champion DevSecOps practices and threat modelling across squads.
**What You’ll Do**
 Define and maintain the cybersecurity product roadmap, ensuring alignment with business goals and technical strategy.
 Lead backlog refinement and sprint planning in collaboration with Scrum Masters and engineering teams.
 Embed security requirements into all stages of the product lifecycle, from ideation to deployment.
 Work closely with enterprise architects to ensure solutions are scalable, secure, and compliant.
 Facilitate stakeholder engagement across business units, including risk, compliance, and IT operations.
 Monitor product performance and security posture, driving continuous improvement.
 Support incident response and vulnerability remediation planning.
 Ensure documentation and audit trails meet internal and external standards.
**What You’ll Bring**
 Proven experience as a Product Owner in cybersecurity or infrastructure domains.
 Strong understanding of threat modelling, secure software development, and DevSecOps.
 Familiarity with frameworks such as NIST, ISO 27001, and CIS Controls.
 Excellent stakeholder management and communication skills.
 Experience working in agile environments and using tools like Jira, Confluence, and ServiceNow.
 Certifications such as CISSP, CISM, or Certified Product Owner are desirable.
**Job Description \- Grade Specific**
 The base compensation range for this role in the posted location is: $132,396\-$259,600\.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7">
      <c r="A27" t="inlineStr">
        <is>
          <t>li-4364047481</t>
        </is>
      </c>
      <c r="B27" t="inlineStr">
        <is>
          <t>Program Manager</t>
        </is>
      </c>
      <c r="C27" t="inlineStr">
        <is>
          <t>Community Boost</t>
        </is>
      </c>
      <c r="D27" t="inlineStr">
        <is>
          <t>linkedin</t>
        </is>
      </c>
      <c r="E27" t="inlineStr"/>
      <c r="F27" t="inlineStr"/>
      <c r="G27" t="inlineStr"/>
      <c r="H27" t="inlineStr"/>
      <c r="I27" t="inlineStr">
        <is>
          <t>Job Title: Program Manager
 Job Summary: The Program Manager oversees campaign workflows for nonprofit clients, managing briefs, deadlines, and creative calendars to ensure smooth delivery. They coordinate closely with SAMs and PLs, owning timelines, reviews, approvals, and QA while keeping projects organized in Deltek and Asana. By safeguarding version control, enforcing scope discipline, and streamlining asset traffic, they protect designers’ time and maintain efficiency across all creative outputs.
 Key Responsibilities:
* Oversee intake, briefs, and deadlines to ensure smooth project flow
* Partner closely with SAMs and PLs to align on priorities and deliverables
* Manage and maintain creative calendars across multiple nonprofit campaigns
* Own timelines, reviews, approvals, and quality assurance processes
* Keep projects organized and on track within Deltek and Asana
* Traffic creative assets to and from Mutiny for seamless collaboration
* Safeguard version control and enforce scope discipline to prevent rework
* Protect designers’ time by minimizing chaos and streamlining workflows
 Minimum Qualifications:
* 7\-8 years of experience in project management, preferably within a large or fast‑paced agency environment Proven ability to manage complex creative workflows across multiple clients or campaigns
* Strong proficiency with project management tools such as Deltek and Asana
* Demonstrated skill in coordinating cross‑functional teams and maintaining version/scope control
* Excellent communication, organizational, and problem‑solving abilities</t>
        </is>
      </c>
    </row>
    <row r="28">
      <c r="A28" t="inlineStr">
        <is>
          <t>li-4338985905</t>
        </is>
      </c>
      <c r="B28" t="inlineStr">
        <is>
          <t>Product Manager, Identity Resolution &amp; Tagging Infrastructure</t>
        </is>
      </c>
      <c r="C28" t="inlineStr">
        <is>
          <t>Best Buy</t>
        </is>
      </c>
      <c r="D28" t="inlineStr">
        <is>
          <t>linkedin</t>
        </is>
      </c>
      <c r="E28" t="inlineStr"/>
      <c r="F28" t="inlineStr"/>
      <c r="G28" t="inlineStr">
        <is>
          <t>Minneapolis, MN</t>
        </is>
      </c>
      <c r="H28" t="inlineStr"/>
      <c r="I28" t="inlineStr">
        <is>
          <t>As the
 **Product Manager of Identity, Privacy \&amp; Tagging Infrastructure** 
 , you will lead the strategy, development, and execution of privacy\-safe identity solutions and robust tagging frameworks across Best Buy’s Retail Media Network, onsite and offsite. This role ensures accurate data capture to enable campaign attribution and audience insights while maintaining compliance, trust, and scalability in a rapidly evolving regulatory and technology landscape.
 You’ll collaborate with engineering, legal, analytics, privacy, engineering and compliance teams to define standards for identity resolution, consent management, and media instrumentation. Your work will enable future\-proof advertising capabilities, accurate measurement, and privacy\-first innovation.
 This role is remote eligible, which means you would work virtually from home or another non\-Best Buy location
**What You’ll Do**
* Be a key contributor to the product roadmap for identity resolution, consent management, and tagging infrastructure.
* Define and implement privacy\-safe tagging and beaconing strategies and solutions to support onsite and offsite signal capture.
* Collaborate with engineering and legal teams to operationalize privacy policies and ensure compliance with regulations (e.g., GDPR, CCPA).
* Ensure data quality and signal integrity through rigorous QA processes and monitoring systems.
* Evaluate and integrate third\-party identity, privacy, and tagging platforms
* Stay informed on regulatory changes and industry standards, contributing to internal documentation and product updates.
* Improve identity resolution by implementing technology to collect and link multiple identifiers and metadata, ensuring accurate data matching across systems.
* Launch data enrichment initiatives that incorporate Best Buy\-specific identifiers and vetted external sources to strengthen identity profiles.
* Define a measurement framework to understand the value of different data signals and data providers and partners.
**Basic Qualifications**
* 5\+ years of product management experience in digital advertising, identity platforms, or tagging infrastructure.
* 2\+ years of experience with privacy regulations (GDPR, CCPA) and their impact on advertising.
* 2 \+ years of experience with tagging technologies (e.g., Google Tag Manager, Tealium, IAS, etc.), beaconing systems, and identity resolution platforms (e.g., LiveRamp, Neustar).
* 2\+ years of experience with ad tech platforms and ecosystem technology including DSPs, SSPs, CDPs, ad servers, and similar.
* 2\+ years of experience in SQL and experience with cloud data platforms (e.g., GCP, AWS, Snowflake).
**Preferred Qualifications**
* Advanced degree in Computer Science, Data Privacy, or related field.
* Certifications in privacy or data protection (e.g., CIPP/US, CIPT).
* Experience supporting incrementality testing and conversion tracking through instrumentation.
* Experience in a closed media ecosystem like Google, Amazon, Meta, or similar
* Familiarity with consent management platforms and privacy\-safe data architecture.
* Proven ability to work cross\-functionally with engineering, legal, and analytics teams.
**What’s In It For You**
 We’re committed to helping our people thrive at work and at home. We offer generous benefits that address your total well\-being and provide support as you need it, especially at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Product Manager (Engineering Department), Location: Minneapolis, MN \- 55423</t>
        </is>
      </c>
    </row>
    <row r="29">
      <c r="A29" t="inlineStr">
        <is>
          <t>li-4354881718</t>
        </is>
      </c>
      <c r="B29" t="inlineStr">
        <is>
          <t>Technical Product Manager</t>
        </is>
      </c>
      <c r="C29" t="inlineStr">
        <is>
          <t>Jobs via Dice</t>
        </is>
      </c>
      <c r="D29" t="inlineStr">
        <is>
          <t>linkedin</t>
        </is>
      </c>
      <c r="E29" t="inlineStr"/>
      <c r="F29" t="inlineStr"/>
      <c r="G29" t="inlineStr">
        <is>
          <t>Columbus, OH</t>
        </is>
      </c>
      <c r="H29" t="inlineStr"/>
      <c r="I29" t="inlineStr">
        <is>
          <t>RESPONSIBILITIES:
 Kforce has a client in Columbus, OH that is seeking a skilled Technical IT Product Manager to support in the education technology industry.
 Summary:
 This role will drive the definition and delivery of complex SaaS and e\-commerce products, with a strong focus on user experience, content development, and cross\-functional collaboration. The ideal candidate thrives in fast\-paced environments, excels at translating complex technical concepts into clear business language, and has a proven track record of launching scalable, high\-usage digital products with zero downtime.
 REQUIREMENTS:
* Bachelor's degree in a relevant field
* 3\+ years of experience in leading Agile\-based, software product development teams and/or leading content development teams, with an emphasis on Pre\-K through Higher Education content development and management; Bonus for experience developing content management systems
* Demonstrated success defining and launching complex SaaS products, especially in educational software, to large, established user bases and with no downtime
* Experience with wireframe and design analysis, business/e\-commerce/SaaS application analysis, use case diagram development, and user story writing
* Demonstrated ability to lead user\-centered design processes, with a strong focus on user experience
* Knowledge of the Web Content Accessibility Guidelines
* Knowledge of instructional design; Experience in scalable production of digital content
* Jira and Confluence experience
* Experience working with remote teams in various time zones; Ability to work Eastern Time Zone hours
* Acute attention to detail, ability to analyze complex systems, and expertise in managing multiple projects concurrently
* Strong ability to understand, write, demonstrate, and transform technical concepts into non\-technical terms that are understandable by business and customer stakeholders and teams
* Scrum Product Owner Certification is desirable
* Knowledge of and experience using Higher Education digital products and platforms is desirable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30">
      <c r="A30" t="inlineStr">
        <is>
          <t>li-4357643073</t>
        </is>
      </c>
      <c r="B30" t="inlineStr">
        <is>
          <t>Product Manager</t>
        </is>
      </c>
      <c r="C30" t="inlineStr">
        <is>
          <t>Jobs via Dice</t>
        </is>
      </c>
      <c r="D30" t="inlineStr">
        <is>
          <t>linkedin</t>
        </is>
      </c>
      <c r="E30" t="inlineStr"/>
      <c r="F30" t="inlineStr"/>
      <c r="G30" t="inlineStr">
        <is>
          <t>Almont, CO</t>
        </is>
      </c>
      <c r="H30" t="inlineStr"/>
      <c r="I30" t="inlineStr">
        <is>
          <t>**Description:**
*Remote*
 The organization seeks a Product Manager to lead the Workday Performance Module initiative, overseeing delivery, optimization, and scalability within Workday using native functionality and Workday Extend. The role supports the HR technology strategy and prepares the platform for critical performance cycles.
*Due to client requirements, applicants must be willing and able to work on a w2 basis. For our w2 consultants, we offer a great benefits package that includes Medical, Dental, and Vision benefits, 401k with company matching, and life insurance.*
 Rate: $75\.00 to $80\.00/hr. w2
**Responsibilities:**
**Responsibilities**
* Drive the vision and roadmap for Workday Performance in alignment with HR objectives.
* Oversee features built using Workday Extend and native Workday modules.
* Gather business requirements and translate them into user stories.
* Facilitate grooming sessions with stakeholders and technical teams.
* Assess data dependencies and impacts across HR systems.
* Ensure compliance and integrity of performance\-related data.
* Validate solutions for business fit and scalability.
* Identify gaps and recommend optimizations.
* Manage post\-pilot feedback and incorporate enhancements.
* Prepare for a February go\-live and monitor the January cycle and July end\-of\-year review.
* Partner with HR, IT, and leadership to promote adoption and manage check\-ins.
* Serve as the primary liaison for performance management processes.
* Evaluate system performance post\-launch and drive continuous improvements.
**Experience Requirements:**
**Experience Requirements**
* Proven experience as a Product Manager in HR technology or enterprise SaaS.
* Expertise in requirements gathering, backlog management, and Agile practices.
* Analytical capability to assess scalability and data impacts.
* Effective communication and stakeholder management skills.
* Calm, confident leadership with ability to navigate complex HR processes.
* Knowledge of Workday Performance and Workday Extend preferred.
* Experience with performance cycles such as January mid\-year and July end\-of\-year preferred.
* Background in HR technology implementations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31">
      <c r="A31" t="inlineStr">
        <is>
          <t>li-4359140815</t>
        </is>
      </c>
      <c r="B31" t="inlineStr">
        <is>
          <t>Analytics Product Manager</t>
        </is>
      </c>
      <c r="C31" t="inlineStr">
        <is>
          <t>Jobs via Dice</t>
        </is>
      </c>
      <c r="D31" t="inlineStr">
        <is>
          <t>linkedin</t>
        </is>
      </c>
      <c r="E31" t="inlineStr"/>
      <c r="F31" t="inlineStr"/>
      <c r="G31" t="inlineStr">
        <is>
          <t>Beaverton, OR</t>
        </is>
      </c>
      <c r="H31" t="inlineStr"/>
      <c r="I31" t="inlineStr">
        <is>
          <t>RESPONSIBILITIES:
 Kforce has a client in Beaverton, OR that is seeking an Analytics Product Manager.
 SummaryL
 We're looking for candidates with a technical background who have experience as a Product Manager with reporting and analytics\-based products. Candidates should enjoy crafting and selling a vision, gathering requirements from customers, creating and managing a roadmap, and working with the Analytics/Engineering team to break down and prioritize the work. We're looking for someone with a proven track record demonstrating measurable business impact, who can understand and influence technology decisions, and someone who can thrive in ambiguous situations while being a true team player. We value a culture that is academic, intellectually curious, fun, open, and diverse.
 Responsibilities:
* Drive the strategy, roadmap, and priorities for our Consumer Product and Innovation Reporting/Analytics team, helping drive performance management metrics and enterprise reporting in areas such as Product Development and Materials Development
* Gather requirements from cross\-functional partners within the company
* Define and prioritize stories that allow us to build world\-class solutions
* Work closely with analytics and engineering teams to deliver on program and sprint objectives and commitments
* Build assets that sell the vision, enable others, and build excitement
 REQUIREMENTS:
* Bachelor's degree (B.S.) in Computer Science, Mathematics, Statistics, Economics, Engineering, or any combination of equivalent education, experience, and training
* 6\+ years of experience in leading reporting and analytics solutions
* Comprehensive understanding of Agile methodologies and principles and how they're applied in workplace culture
* Demonstrated experience in leading teams of data analysts, engineers, and scrum masters in the delivery of analytics products
* Relevant experience in data warehousing, dimensional modeling and the ability to bring standard methodologies with regard to data management, ETL, API integrations, and data governance
* Proven ability to respond to and prioritize changing business demands effectively
* Experience demonstrating interpersonal, presentation, and communication skills in communicating progress on near term and mid\-term plans to users and partners
* Expertise in best design and implementation practices in data visualization tools such as Tableau, IBM Cognos, PowerBI or QlikView
* Solid understanding of various database management systems as well as proficiency in working with large data sets
* Experience with cloud environments such as Microsoft Azure, Google Cloud, and AWS
* In\-depth knowledge of the relationship between business process and data products
* Demonstrated complex critical thinking and ability to creatively solve problems with measurable business impact
* Experience addressing current and future customer needs through innovative solutions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32">
      <c r="A32" t="inlineStr">
        <is>
          <t>li-4357614728</t>
        </is>
      </c>
      <c r="B32" t="inlineStr">
        <is>
          <t>IT Product Owner (Data Integration)</t>
        </is>
      </c>
      <c r="C32" t="inlineStr">
        <is>
          <t>Jobs via Dice</t>
        </is>
      </c>
      <c r="D32" t="inlineStr">
        <is>
          <t>linkedin</t>
        </is>
      </c>
      <c r="E32" t="inlineStr"/>
      <c r="F32" t="inlineStr"/>
      <c r="G32" t="inlineStr">
        <is>
          <t>Eden Prairie, MN</t>
        </is>
      </c>
      <c r="H32" t="inlineStr"/>
      <c r="I32" t="inlineStr">
        <is>
          <t>**Description**
 Position: IT Product Owner (Data Integrations)
 Location: Remote
 Salary: Up to $110,000 base \+ excellent benefits
 \*\*\* For immediate and confidential consideration, please send a message to MEREDITH CARLE on LinkedIn or send an email to me with your resume. My email can be found on my LinkedIn page. \*\*\*
 Are you a Product Owner who thrives at the intersection of vision, strategy, and execution?
 Do you love transforming complex problems into elegant, buildable solutions? Are you motivated by the opportunity to help build brand\-new digital products from the ground up?
 If so, we have an incredible Product Owner role\- playing a critical part in a major digital transformation that is redefining and transforming services.
 This is a rare chance to join a newly built, remote\-first product and engineering team shaping the future of a multi\-industry ecosystem.
**About The Transformation**
 We're building a modern, connected, mobile\-responsive digital platform that unifies dozens of systems into one seamless experience. Think:
 MVP\-first mindset
 Scalable, flexible architecture
 Seamless data flows
 Consumer\-grade UX
 A team empowered to innovate quickly
 And you'll be at the center of it.
 You'll Own...
 Translating data, API, and integration requirements into clear, actionable user stories
 Partnering closely with the Sr Data Integration Engineer to shape data flows, CDP capabilities, and API frameworks
 Prioritizing a data\-heavy backlog that balances business value with technical complexity
 Ensuring delivered work is accurate, secure, and scalable
 You Are...
 A Product Owner who understands how data moves through systems
 Comfortable working with data engineers, APIs, ETL/ELT workflows, and integration frameworks
 A strong communicator who can simplify complex technical concepts for non\-technical audiences
 \*\*\* For immediate and confidential consideration, please send a message to MEREDITH CARLE on LinkedIn or send an email to me with your resume. My email can be found on my LinkedIn page. Also, you may contact me by office: . Or one click apply on our Robert Half website. No third party inquiries please. Our client cannot provide sponsorship and cannot hire C2C. \*\*\*
**Requirements**
 Product Management, Agile Scrum, Backlog Grooming, Atlassian Jira, Bug Tracking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row>
    <row r="33">
      <c r="A33" t="inlineStr">
        <is>
          <t>li-4360180431</t>
        </is>
      </c>
      <c r="B33" t="inlineStr">
        <is>
          <t>EverCommerce - Program Manager</t>
        </is>
      </c>
      <c r="C33" t="inlineStr">
        <is>
          <t>RemoteHunter</t>
        </is>
      </c>
      <c r="D33" t="inlineStr">
        <is>
          <t>linkedin</t>
        </is>
      </c>
      <c r="E33" t="inlineStr"/>
      <c r="F33" t="inlineStr"/>
      <c r="G33" t="inlineStr"/>
      <c r="H33" t="inlineStr"/>
      <c r="I33" t="inlineStr">
        <is>
          <t>About the Opportunity:
 The program focuses on digitally transforming the service economy with comprehensive SaaS solutions that enhance interactions between customers and service professionals across Home \&amp; Field Services, Health Services, and Fitness \&amp; Wellness industries. The Program Manager in the Enterprise PMO will support the planning and execution of strategic transformation programs and projects, working closely with leadership to implement large\-scale changes impacting Configure Price Quote (CPQ), Billing, and Revenue operations.
 Responsibilities:
 • Lead large\-scale technology transformation programs through all phases from discovery to stabilization.
 • Drive lead\-to\-quote and quote\-to\-revenue programs across multiple business units focusing on CPQ, billing, fulfillment/provisioning, and revenue recognition.
 • Design program plans integrating cross\-functional workstreams with focus on collaboration, risk management, communication, and change control.
 • Set program goals aligned with enterprise and business\-unit strategies.
 • Build partnerships with workflow owners, product leads, engineering, systems integrators, business SMEs, and external stakeholders for cohesive delivery.
 • Oversee project and program outputs to ensure successful outcomes in partnership with project managers.
 • Support project managers by removing blockers, facilitating decisions, and addressing upstream/downstream impacts.
 • Collaborate across teams to gather requirements and define success criteria.
 • Identify risks, assist in mitigation strategies, and escalate issues to senior leadership as needed.
 • Maintain program documentation including RAID logs, communication plans, and governance materials.
 • Report progress, risks, and outcomes to executive leadership through structured updates and steering committee materials.
 • Drive change control by evaluating impacts of scope, timeline, or architectural changes and partnering with stakeholders for decisions.
 • Manage contractor delivery and performance ensuring quality and timeliness.
 • Partner with enterprise teams, business units, and consultants to optimize operations and ensure alignment on business rules and downstream accounting impacts.
 • Collaborate with executive leadership and stakeholders through regular check\-ins and structured reporting to maintain alignment.
 • Translate complex technical and architectural tradeoffs into clear decision options for leadership.
 • Drive cross\-functional alignment on critical business processes and ensure documentation and communication of decisions.
 • Communicate expectations, decisions, and next steps clearly, translating technical and financial concepts into accessible information.
 • Partner with Sales/CX, Billing, Accounting, Finance, Product, Engineering, and others to prioritize requirements and sequence work.
 • Use strong communication skills to manage stakeholder expectations, facilitate alignment, and resolve conflicts or ambiguities.
 • Foster transparent communication among project teams, business functions, senior leadership, and external partners.
 Requirements:
 • Bachelor’s degree in Business Administration, Management, Project Management, or related field.
 • Certifications such as PMP, PMI\-ACP, or Prosci are a plus.
 • 6\+ years of experience in project and program management with success leading complex, cross\-functional SaaS or enterprise systems programs.
 • Experience supporting change management initiatives including stakeholder adoption, communication planning, and operational readiness.
 • Experience delivering quote\-to\-revenue or billing technology implementations, including integration design and business process reengineering, is a major plus.
 • Ability to manage and prioritize multiple complex projects and program workstreams.
 • Strong understanding of change management and communication practices in enterprise systems and process transformation.
 • Excellent communication skills with technical and non\-technical stakeholders; ability to translate business needs and system capabilities.
 • Strong problem\-solving and risk management skills.
 • Proficiency in building presentations and writing decision documentation.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4">
      <c r="A34" t="inlineStr">
        <is>
          <t>li-4360170399</t>
        </is>
      </c>
      <c r="B34" t="inlineStr">
        <is>
          <t>Program Manager - Energy Efficiency</t>
        </is>
      </c>
      <c r="C34" t="inlineStr">
        <is>
          <t>RemoteHunter</t>
        </is>
      </c>
      <c r="D34" t="inlineStr">
        <is>
          <t>linkedin</t>
        </is>
      </c>
      <c r="E34" t="inlineStr"/>
      <c r="F34" t="inlineStr"/>
      <c r="G34" t="inlineStr"/>
      <c r="H34" t="inlineStr"/>
      <c r="I34" t="inlineStr">
        <is>
          <t>About the Opportunity:
 This role supports energy efficiency programs in Michigan by building and managing relationships with manufacturers, trades, and community stakeholders aligned with energy efficiency products and services. The Program Manager will monitor and support the successful delivery of program goals across multiple functional areas, including internal operations, client support, and stakeholder management.
 Responsibilities:
 • Build industry relationships and provide insights to ensure efficient and effective program operations
 • Coordinate with clients and portfolio stakeholders to meet program objectives and adjust as necessary
 • Act as liaison with manufacturers, distributors, and trades to stay informed on industry trends and provide guidance to program teams
 • Collaborate with regional and national teams to ensure program cohesiveness and incorporate best practices
 • Establish milestones, monitor program adherence, identify issues, and implement solutions such as resource allocation or contractual changes
 • Manage cross\-functional teams, program budgets, and monthly performance forecasting
 • Support technical and analytics teams on energy savings calculations, best practices, and quality assurance/quality control standards
 • Analyze market trends and technologies to enhance program deployment and advancement
 Requirements:
 • Bachelor’s degree in Energy, Sustainability, Public Policy, Environmental Sciences, Business, or related field (or one year of related experience may substitute for one year of education)
 • Minimum 4 years of project or program management experience in energy efficiency, utility programs, public sector, or related fields
 Preferred Qualifications:
 • Proven success managing complex cross\-functional teams to meet deadlines and deliver quality work
 • Expertise in single family, multifamily, or commercial and industrial sectors
 • Working knowledge of demand side management (DSM) programs
 • Expertise in business management, building construction, energy resources, or energy policy
 • Industry certifications such as BPI, PMP, or CEM
 • Professional affiliations including AESP, MEECA, MEEA, ACEEE, ASHRAE, or AEE
 Benefits \&amp; Perks:
 • Flexible workplace arrangements supporting work\-life balance
 • Donation matching and volunteer opportunities
 • Tuition reimbursement and access to professional development resources
 • 401k matching and Employee Stock Purchase Plan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5">
      <c r="A35" t="inlineStr">
        <is>
          <t>li-4353870180</t>
        </is>
      </c>
      <c r="B35" t="inlineStr">
        <is>
          <t>Program Manager I</t>
        </is>
      </c>
      <c r="C35" t="inlineStr">
        <is>
          <t>Eaton</t>
        </is>
      </c>
      <c r="D35" t="inlineStr">
        <is>
          <t>linkedin</t>
        </is>
      </c>
      <c r="E35" t="inlineStr"/>
      <c r="F35" t="inlineStr"/>
      <c r="G35" t="inlineStr">
        <is>
          <t>Southfield, MI</t>
        </is>
      </c>
      <c r="H35" t="inlineStr"/>
      <c r="I35" t="inlineStr">
        <is>
          <t>Eaton’s IS VEH EMB division is currently seeking a Program Manager I.
 The expected annual salary range for this role is $94000 \- $130,000 a year.
 Please note the salary information shown above is a general guideline only. Salaries are based upon candidate skills, experience, and qualifications, as well as market and business considerations.
* This Hybrid role must work on\-site 3 days a week in Southfield , Michigan or Carol Stream, IL Eaton locations. Relocation is not available for this role. Candiate must currently reside within 50 miles or either location.
**What You’ll Do**
 PRIMARY FUNCTION:
 Responsible for leading projects within our Power Connecters Automotive/ Commercial Division in New Product Introduction (NPI, Prototype phase, etc.) and industrialization (STP\- Standard Transition Process, VA/VE, Engineering changes, capacity upgrades, etc.) that deliver on business case cost and benefit commitments.
 Ensures correct and rigorous application of various Eaton NPI processes/tools (ProLauch, ProPM, etc.) on projects/programs and coaches cross\-functional teams on NPI processes, as applicable.
**Essential Functions**
* Manage the project lifecycle from development through launch while achieving business case financials of the NPI Program(s)/ STP Program(s) and / or VAVE projects.
* Lead cross\-functional teams to drive accountability and performance established for commercial, technical, and manufacturing readiness levels at start of production.
* Develop and execute comprehensive project management plans that deliver on scope, schedule, and financial commitments. Guide teams from project initiation through planning, executing, monitoring, and closure.
* Influence and secure baseline business case expectations with key stakeholders in the areas of scope, benefit, cost, assumptions, risks/opportunities, key milestones, and alternate implementation scenarios. Fully understand and articulate business case financials and content.
* Establish organizational resource management plans that clearly articulate the requirements for core team member, work package approver, and decision gate committee member engagement for the project duration.
* Build effective cross\-functional team dynamics by recognizing individual strengths and weaknesses, providing proactive feedback and coaching, and creating an atmosphere that inspires learning and recognition. Drive a mindset of proactive risk mitigation and methodical problem solving.
* Leverage program management standard work processes, tools, systems, and performance measures to provide an operational cadence, agility and transparency during project execution.
* Establish and execute effective internal and external stakeholder communication strategies that address customer, internal leadership, and core team needs for the duration of a project.
* Effectively tailor messaging and lead project/program reviews with multiple levels of leadership to enable robust decision making and risk mitigation.
* Develop negotiation strategies with functional partners that meet business case commitments for both customer and supplier contract management. Ensure effective change management processes and contract language is designed and applied.
* Engage in new business proposal development by partnering on product strategy and product roadmap initiatives.
* Strengthen skillsets in cross\-functional and operational knowledge areas outside of previous domain expertise (i.e. Engineering, Operations, Supply Chain, and Finance).
**Qualifications**
**Basic Qualifications:**
* Bachelor’s degree in Business Administration or Engineering from an accredited instituition.
* 5\+ years of professional experience in one or more of the following functions \- Program Management, Operations, Engineering, Quality, Manufacturing/SCM, or Product Development.
* Experience in managing and leading projects through complete NPI cycle as a Program Manager.
* Proficient in Program and Project Management methodologies processes and tools.
* Eaton will not consider applicants for employment immigration sponsorship or support for this position. This means that Eaton will not support any CPT, OPT, or STEM OPT plans, F\-1 to H\-1B, H\-1B cap registration, O\-1, E\-3, TN status, I\-485 job portability, etc.
* Legally authorized to work in the United States without company sponsorship now or in the future.
* Candidate must currently reside within 50 miles of either Southfield, MI ..or... Carol Stream, IL. Relocation is not available.
**Preferred Qualifications**
* Master’s degree in Business or Engineering.
* Previos Automotive Project Mangement experience.
* Knowledge of passenger car and commercial vehicle product/markets .
* PMP Certification from Project Management Institute (PMI).
* Experience in Requirements and Risk Management.
* Knowledge of product and project portfolio management principles .
**Skills**
 Position Criteria:
* Demonstrated leadership style that is consistent with Eaton expectations of leaders (ethical, passionate, accountable, efficient, transparent, learner). Capable of leading change in a cross\-functional environment that requires cross\-region, site, and/or global collaboration and span.
* Strategic thinker who is adept at building organizational capability through communicating a vision that both engages and motivates the organization while holding them accountable to achieve stretch results.
* A results oriented and highly adaptable person who can be a supportive team player in corporate environment.
* Strong analytical skills and business acumen.
* A focused, intelligent individual who is a pragmatic motivator with a good decision\-making skills.
* Experience in managing and leading projects through from start through completion.
* Developing to fully demonstrating in Program and Project Management methodologies, processes, and tools.
* Good communication and presentation skills – both verbal and written with ability to make necessary status reports and technical presentations to Eaton management and customer.
* Some experience in Risk Management
* Good analytical, decision\-making skills, and business acumen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36">
      <c r="A36" t="inlineStr">
        <is>
          <t>li-4354404749</t>
        </is>
      </c>
      <c r="B36" t="inlineStr">
        <is>
          <t>ServiceNow HRSD Product Owner</t>
        </is>
      </c>
      <c r="C36" t="inlineStr">
        <is>
          <t>Jobs via Dice</t>
        </is>
      </c>
      <c r="D36" t="inlineStr">
        <is>
          <t>linkedin</t>
        </is>
      </c>
      <c r="E36" t="inlineStr"/>
      <c r="F36" t="inlineStr"/>
      <c r="G36" t="inlineStr"/>
      <c r="H36" t="inlineStr"/>
      <c r="I36" t="inlineStr">
        <is>
          <t>**Our client is hiring a ServiceNow HRSD Product Owner on a long\-term contract basis.**
**Work Model:** 
 Remote
**Summary:** 
 We are seeking an experienced ServiceNow HRSD Product Owner to lead the functional design and implementation of our new HR service management solution. The ideal candidate will have a strong background in both the technical and functional aspects of the ServiceNow platform, with a proven track record of delivering complex HR technology projects. As the Product Owner, you will be responsible for defining the product vision, managing the product backlog, and ensuring that the delivered solution meets the needs of our HR organization and employees.
**Responsibilities:**
 Requirements gathering \&amp; Backlog Management
* Create, maintain, and prioritize the product backlog based on business value and ROI.
* Align HRSD capabilities with business strategy and objectives.
* Develop detailed user stories, acceptance criteria, and process flows.
* Ensure the backlog is visible, transparent, and clear to all.
 Stakeholder Collaboration
* Work closely with HR leaders, process owners, and end\-users to gather requirements and translate these into actionable user stories with acceptance criteria.
 Quality \&amp; Go\-Live
* Ensure the solution is tested and validated against business requirements.
* Develop and execute a plan for user acceptance testing (UAT).
**Required Qualifications:** 
 Core Experience
* ServiceNow Experience: Minimum of 3\-5\+ years of hands\-on experience with the ServiceNow platform.
* HRSD Implementation: Proven experience with at least two full\-cycle implementations of ServiceNow HRSD, including case and knowledge management, and employee service center. Experience with Life Cycle Events preferred.
* Employee Workflows: High level understanding and practical experience in designing and implementing complex employee workflows.
 Specific Job Skills
* Agile \&amp; Scrum: Proficient in Agile methodologies and experience acting as a ServiceNow Business Analyst, Business Process Consultant, or Product Owner in a Scrum or similar framework.
* Business Analysis: Strong ability to translate business needs into technical requirements.
 ServiceNow Certifications:
* Certified System Administrator (CSA) \- preferred
* Certified Implementation Specialist (CIS) \- HRSD \- highly preferred
* Communication: Excellent verbal and written communication skills, with the ability to influence and negotiate with stakeholders at all levels.
* Problem\-Solving: Strong analytical and problem\-solving skills with a high attention to detail.
**Pay Rate:** 
 $110 \- $120
 **Job ID:** 
 84144</t>
        </is>
      </c>
    </row>
    <row r="37">
      <c r="A37" t="inlineStr">
        <is>
          <t>li-4363867760</t>
        </is>
      </c>
      <c r="B37" t="inlineStr">
        <is>
          <t>Program Manager, BSA/AML &amp; Fraud</t>
        </is>
      </c>
      <c r="C37" t="inlineStr">
        <is>
          <t>HomeTrust Bank</t>
        </is>
      </c>
      <c r="D37" t="inlineStr">
        <is>
          <t>linkedin</t>
        </is>
      </c>
      <c r="E37" t="inlineStr"/>
      <c r="F37" t="inlineStr"/>
      <c r="G37" t="inlineStr">
        <is>
          <t>Charlotte, TN</t>
        </is>
      </c>
      <c r="H37" t="inlineStr"/>
      <c r="I37" t="inlineStr">
        <is>
          <t>**Job Summary**
 The Program Manager is responsible for managing the governance, process, and program infrastructure that supports the Bank’s BSA/AML, OFAC, and Fraud compliance programs. This role leads policy and procedure development, annual risk assessments, training and awareness, intake workflow design, and data validation. The Program Manager also manages the Bank’s fraud program infrastructure, including loss reporting and control testing, and partners with business units on new product and technology initiatives to ensure financial crimes risks are identified and mitigated. The Program Manager ensures all program elements remain aligned to the Bank’s enterprise risk appetite and Board/Audit Committee expectations, serves as a primary liaison with regulators and auditors, and may act as Deputy BSA Officer when designated.
**Key Responsibilities / Essential Functions**
 Reasonable accommodations may be made to enable individuals with disabilities to perform the essential functions.
* Develop, maintain, and update policies and procedures related to BSA, AML, OFAC, CIP, and Fraud.
* Design and deliver training and communications, including bank\-wide annual BSA/AML/Fraud training, branch communications, and targeted awareness campaigns.
* Lead annual BSA/AML, OFAC, CIP, and Fraud risk assessments, documenting methodology, findings, and recommendations.
* Manage suspicious activity/fraud intake workflow design, routing logic, and testing to ensure timely and accurate escalation.
* Conduct data validation and testing for monitoring systems and intake processes, ensuring completeness and accuracy of data feeds.
* Manage the Bank’s fraud program infrastructure, including fraud loss reporting, KRI/KPI framework, and prepare dashboards and reporting packages for senior management, Audit Committee, and the Board.
* Track and monitor internal issues and QA findings, audit and exam findings (MRAs/MRIAs), ensuring remediation and accountability.
* Partner with business lines and IT on new product and technology reviews to identify financial crimes risks and ensure adequate controls prior to launch.
* Support audit and exam preparation by providing documentation, governance materials, and responses for assigned program areas.
* Provide surge support during high alert/case volumes by assisting with basic investigative tasks or CTR preparation.
* Provide continuity and succession support by serving as Deputy BSA Officer when designated.
* Maintain confidentiality and security of sensitive information.
* Adhere to all corporate policies and procedures, Federal and State regulations, and laws.
* Complete mandatory annual compliance training.
* Perform other duties and special projects as assigned.
**Education**
**Job Requirements**
* Bachelor’s degree in Accounting, Finance, Business, Criminal Justice, or related field.
**Required**
* 5\+ years of experience in BSA/AML, Fraud, or compliance program management.
* Demonstrated experience developing and maintaining policies, procedures, and training programs.
* Experience conducting enterprise\-wide risk assessments.
* Knowledge of AML, OFAC, CIP, and Fraud regulations.
* Strong project management skills, with ability to lead cross\-functional initiatives.
* Experience with fraud loss reporting, KPI/KRI frameworks, or control testing.
* Proven ability to lead regulatory exams and audits, including issue remediation and examiner engagement.
* Experience developing and presenting program metrics and KRIs/KPIs to senior leadership and/or Boards.
* Strong written and verbal communication skills, including ability to draft policy documents, training content, and management reporting.
* Ability to manage multiple priorities, deadlines, and stakeholders.
* High attention to detail and ability to document program governance requirements.
**Preferred**
* Advanced degree or professional certification (CAMS, CFE, PMP).
* Prior experience with transaction monitoring systems (Verafin preferred).
* Experience working in mid\-size or larger banks ($5–50B\+) in a program management capacity.
* Familiarity with audit, exam, and issue management processes.
* Experience working with technology teams to design or validate data feeds and workflows.
**Core Competencies And Skills**
* Governance \&amp; Documentation: Ability to translate regulatory requirements into practical policies and processes.
* Training \&amp; Awareness: Skilled at developing content and delivering messages across the Bank.
* Project Management: Strong planning and organizational skills to manage multiple deliverables.
* Analytical Thinking: Able to evaluate risk assessments, metrics, and program performance.
* Collaboration: Builds relationships with stakeholders across risk, IT, operations, and business lines.
* Continuous Improvement: Identifies opportunities for efficiency, standardization, and automation.
* Strategic Thinking: Ability to align program initiatives with enterprise risk appetite and regulatory expectations.
* Change Management: Skill in guiding stakeholders through adoption of new policies, workflows, or systems
* Stakeholder Engagement: Ability to collaborate and influence across lines of business, IT, risk, and senior leadership.
* Regulatory Readiness: Ensures program is always exam\-ready, with documentation and evidence available.
* Board/Committee Communication: Prepares and delivers clear reporting packages to executive and governance committees.
**About HomeTrust Bank**
 HomeTrust Bank, founded in 1926, is a North Carolina chartered, community\-focused financial institution committed to providing value\-added community banking through online/mobile channels and multiple locations in Virginia, North Carolina, South Carolina, Tennessee, and Georgia. Learn more at www.htb.com. Apply today to take your first steps towards joining this talented population of employees within a growing organization.
**Work Environment, Physical Requirements**
 The physical demands described here are representative of those that must be met by an associate to successfully perform the essential functions of this job. HomeTrust Bank promotes an equal employment opportunity workplace which includes reasonable accommodation of qualified applicants and employees.
* This job operates in a professional office environment and routinely uses standard office equipment such as computers, phones, photocopiers, and fax machines.
* Specific vision abilities required by this position include close vision, distance vision, and the ability to adjust focus.
* Physical activity requiring reaching, sifting, lifting to 25 lbs., finger dexterity, grasping, feeling, repetitive motions, talking and hearing are required.
* The employee will frequently communicate and must be able to exchange accurate information with others.
* The employee may need to move around their office to attend meetings and to access files, machinery, or other job\-related tools.
 DISCLAIMER: HomeTrust Bank is an evolving company. As such this job description is not necessarily an exhaustive list of all responsibilities, duties, skills, efforts, requirements or working conditions associated with the job. While this is intended to be an accurate reflection of the current job, management reserves the right to revise the job or to require that other or different tasks be performed as assigned.
 HomeTrust Bank values and promotes diversity and inclusion in every aspect of our business and at every level within the company. We recruit, hire, and promote employees based on their individual ability and experience and in accordance with Affirmative Action and Equal Employment Opportunity laws and regulations. Our policy is that we do not discriminate on the basis of race, color, gender, national origin, religion, age, sexual orientation, gender identity, gender expression, genetic information, physical or mental disability, pregnancy, marital status, status as a protected veteran, or any other status protected by federal, state, or local law.</t>
        </is>
      </c>
    </row>
    <row r="38">
      <c r="A38" t="inlineStr">
        <is>
          <t>li-4364027135</t>
        </is>
      </c>
      <c r="B38" t="inlineStr">
        <is>
          <t>Senior Product Manager, Cloud Software Defined Networking (SDN)</t>
        </is>
      </c>
      <c r="C38" t="inlineStr">
        <is>
          <t>Capital One</t>
        </is>
      </c>
      <c r="D38" t="inlineStr">
        <is>
          <t>linkedin</t>
        </is>
      </c>
      <c r="E38" t="inlineStr"/>
      <c r="F38" t="inlineStr"/>
      <c r="G38" t="inlineStr">
        <is>
          <t>McLean, VA</t>
        </is>
      </c>
      <c r="H38" t="inlineStr"/>
      <c r="I3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Cloud Enablement Product team sits at the heart of our Cloud Operations Resilience Engineering (CORE) organization with a mission to help Capital One thrive on and with the public cloud. We are on a journey to ensure data privacy, operational excellence, and strategic growth for a well\-managed and governed cloud. We are driving foundational capabilities that power secure, scalable, and resilient cloud operations. We help Capital One by bringing automation, invention, and customer enablement to how we build software, operate software, and elevate developers.
 In this role, you will lead Cloud Software Defined Network (abstracted network management) to enable secure application connectivity of and around the public cloud for Capital One applications. We are a team that values collaboration over silos, and we back that up with a culture of open communication, inclusive problem solving, and frequent knowledge sharing. We believe work should be both impactful and enjoyable, and we cultivate an environment where curiosity, laughter, and ambitious goals coexist. This is a rare opportunity to lead a multi\-disciplinary team that touches security, delightful developer experience, and platform engineering.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9">
      <c r="A39" t="inlineStr">
        <is>
          <t>li-4351754636</t>
        </is>
      </c>
      <c r="B39" t="inlineStr">
        <is>
          <t>Associate Director, IT Program Manager - S&amp;P Global</t>
        </is>
      </c>
      <c r="C39" t="inlineStr">
        <is>
          <t>Jobs via eFinancialCareers</t>
        </is>
      </c>
      <c r="D39" t="inlineStr">
        <is>
          <t>linkedin</t>
        </is>
      </c>
      <c r="E39" t="inlineStr"/>
      <c r="F39" t="inlineStr"/>
      <c r="G39" t="inlineStr">
        <is>
          <t>Princeton, NJ</t>
        </is>
      </c>
      <c r="H39" t="inlineStr"/>
      <c r="I39" t="inlineStr">
        <is>
          <t>**About the Role:**
**Grade Level (for internal use):**
 12
 **About the Role:**
**The Team:**
 The Mission of the Agile Program Management Organization is to provide an effective division\-wide framework for identifying, prioritizing, and successfully executing the Portfolio of Initiatives and Projects, delivering the highest possible value to our customers, and promoting a culture of continuous learning and relentless improvement.
**Responsibilities and Impact:**
 The Tech Program Manager will be responsible for leading and managing multiple technology projects from initiation through completion. This role requires strong leadership, communication, and organizational skills to ensure the successful delivery of projects and alignment with strategic goals.
* Lead cross\-functional team and conduct end\-to\-end project management for IT and business initiatives , including software implementations, infrastructure upgrades, and system integrations across multiple business units
* Collaborate with cross\-functional teams, including business owners, developers, business analysts, and stakeholders, to define project scope, timelines, and deliverables while ensuring alignment with business objectives
* Manage project budgets, resource allocation, and vendor relationships while maintaining adherence to project management methodologies and governance frameworks, including agile and SAFE
* Drive risk assessment and mitigation strategies, proactively identifying potential roadblocks and implementing contingency plans to ensure successful project delivery
* Facilitate stakeholder communication through regular meetings and status reporting, executive briefings, and change management activities to ensure transparency and buy\-in
* Foster a culture of continuous improvement within the team, Mentor junior project team members and contribute to the continuous improvement of project management processes and best practices across the organization
* Support compliance, governance, and regulatory alignment within Agile delivery workflows
* Analyze current workflows and processes, recommending and implementing improvements. Drive adoption of best practices in project and program management
**Compensation/Benefits Information :** 
 (This section is only applicable to US candidates)
 S\&amp;P Global states that the anticipated base salary range for this position is $125,000 to $160,000\. Final base salary for this role will be based on the individual's geographic location, as well as experience level, skill set, training, licenses and certifications.
 In addition to base compensation, this role is eligible for an annual incentive plan. This role is not eligible for additional compensation such as an annual incentive bonus or sales commission plan .
 This role is eligible to receive additional S\&amp;P Global benefits. For more information on the benefits we provide to our employees, please click here .
**What W e're L ooking F or :**
**Basic Required Qualifications:**
* Bachelor's degree in Computer Science , Information Technology, Engineering, or a related field.
* 8\+ years of experience in program or project management, preferably in a technical environment.
* Demonstrated experience managing cross\-functional or cross\-organizational programs/projects.
* Strong understanding of software development lifecycle (SDLC) , agile methodologies (Scrum, Kanban), and/or SAFE frameworks.
* Familiarity with cloud platforms (e.g., AWS, Azure, GCP) and modern enterprise IT infrastructure.
* Proficiency with project management tools (e.g., ADO, Confluence, MS Office, SharePoint).
* Proven ability to manage multiple complex projects simultaneously, ensuring delivery on time and within budget.
* Experience with risk management , resource allocation, and stakeholder communication.
* Strong analytical and problem\-solving skills.
* Excellent written and verbal communication skills for collaboration with technical and non\-technical stakeholders.
* Demonstrated leadership in driving teams toward successful project outcomes.
* Ability to influence and negotiate across teams and leadership levels.
**Additional Preferred Qualifications:**
* PMP (Project Management Professional) certified
* Certified Scrum Master (CSM) or equivalent agile certification
* Have experience with Agile and SAFE frameworks, worked on projects using agile methods
* Strong organizational skills and attention to detail.
* Ability to adapt to rapidly changing environments and requirements.
* Experience in a global, matrixed organization.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 SWP Priority \- Ratings \- (Strategic Workforce Planning)</t>
        </is>
      </c>
    </row>
    <row r="40">
      <c r="A40" t="inlineStr">
        <is>
          <t>li-4360240205</t>
        </is>
      </c>
      <c r="B40" t="inlineStr">
        <is>
          <t>Telecom Program Manager</t>
        </is>
      </c>
      <c r="C40" t="inlineStr">
        <is>
          <t>Jobs via Dice</t>
        </is>
      </c>
      <c r="D40" t="inlineStr">
        <is>
          <t>linkedin</t>
        </is>
      </c>
      <c r="E40" t="inlineStr"/>
      <c r="F40" t="inlineStr"/>
      <c r="G40" t="inlineStr">
        <is>
          <t>Fishersville, VA</t>
        </is>
      </c>
      <c r="H40" t="inlineStr"/>
      <c r="I40" t="inlineStr">
        <is>
          <t>**Overview**
 A leading turnkey general contractor supporting OSP and ISP construction across the East Coast is seeking an experienced Program Manager to oversee telecommunications infrastructure projects. This role will focus on both commercial (Metro E and SMB) and residential (MDU and SDU) builds, with a 60/40 split between aerial and underground construction in the Fisherville, VA region.
**Key Responsibilities**
* Provide strategic oversight for Cable TV expansion projects for major clients.
* Lead a team of Construction Coordinators and Managers responsible for daily operations and crew supervision.
* Act as the primary client\-facing representative, driving process improvements, vendor management, and internal/external communications.
* Manage all general operations for the region, including:
+ P\&amp;L accountability
+ High\-level fleet management
+ Workforce development
+ Presentations to senior leadership
* Oversee turnkey project execution from planning through closeout, including:
+ Site surveys and walks
+ BOM creation and validation
+ Line item approvals
+ Timeline development and tracking
+ Construction coordination (fiber and directional drilling preferred)
+ Quality control and as\-built validation
+ Budget oversight and cost control
**Required Experience \&amp; Skills**
* 5\+ years of OSP telecommunications project management experience, including aerial and underground construction (experience in utilities or general construction also considered).
* Strong understanding of OSP construction workflows and operations management.
* Proven ability to manage internal and external teams, vendors, budgets, timelines, and quality assurance for turnkey projects.
* Excellent communication, professionalism, and client\-facing skills.
**Additional Qualifications**
* Experience with design, permitting, and construction processes (in\-house permitting team support available).
* Proficiency in Excel for project tracking and reporting.
* Ability to assess project scopes, define deliverables, and manage bill of materials.
* Skilled in converting digital plans to as\-builts.
* Strong initiative and decision\-making skills, with the ability to escalate issues appropriately.
* Collaborative mindset with a focus on vendor performance and team coordination.
* On\-call availability to support outage mitigation and ensure timely crew response.
**Opportunity**
 This is a direct placement opportunity with a stable and expanding organization. The selected candidate will play a key role in scaling operations in the Virginia region and will be empowered to manage the office as if it were their own business.
**Job Type \&amp; Location**
 This is a Permanent position based out of Fishersville, VA.
**Pay And Benefits**
 The pay range for this position is $95000\.00 \- $130000\.00/yr.
 DP, very stable and provides a take home company vehicle, 2 weeks PTO, 1 week sick pay, 401K 100% vested after 1 year, health, dental, vision, etc.
**Workplace Type**
 This is a fully onsite position in Fishersville,VA.
**Application Deadline**
 This position is anticipated to close on Jan 23,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1">
      <c r="A41" t="inlineStr">
        <is>
          <t>li-4353700334</t>
        </is>
      </c>
      <c r="B41" t="inlineStr">
        <is>
          <t>Principal Technical Program Manager, Region Flexibility</t>
        </is>
      </c>
      <c r="C41" t="inlineStr">
        <is>
          <t>myGwork - LGBTQ+ Business Community</t>
        </is>
      </c>
      <c r="D41" t="inlineStr">
        <is>
          <t>linkedin</t>
        </is>
      </c>
      <c r="E41" t="inlineStr"/>
      <c r="F41" t="inlineStr"/>
      <c r="G41" t="inlineStr">
        <is>
          <t>Seattle, WA</t>
        </is>
      </c>
      <c r="H41" t="inlineStr"/>
      <c r="I41" t="inlineStr">
        <is>
          <t>**This job is with Amazon, an inclusive employer and a member of myGwork – the largest global platform for the LGBTQ\+ business community. Please do not contact the recruiter directly.**
**Description**
 As a Principal Technical Program Manager (TPM), Region Flexibility, you will work to enable Amazon businesses to leverage new AWS regions and improve the efficiency and scale of our business. The end\-state architecture will enable services to break region coupling while retaining the ability to keep critical business functions within a region. This architecture will improve customer latency through local affinity to compute resources and reduce the blast radius in case of region failures.
 We are looking for a passionate, deeply technical, and results\-oriented Technical Program Manager (TPM) to define and drive Region Flexibility initiatives, and drive fundamental architectural changes across the whole Amazon software stack.
 You will have a proven track record of planning and delivering complex programs with multi\-year roadmap, using Agile and incremental delivery methods. You will have experience driving architectural change across thousands of teams and handled communication from technical developers to senior VPs.
 Key job responsibilities
* Partner with Project Sponsors and development teams to deliver complex cross\-functional projects
* Create and execute detailed roadmaps, defining user stories and researching technical solutions
* Provide clear communication to management and stakeholders on project status and plans
* Guide software development teams on architecture, design, and priorities
* Build relationships across Amazon to leverage existing technologies and promote team initiatives
* Manage risk assessment, escalations, and trade\-offs between business needs and constraints
* Maintain effective project documentation and stakeholder communications
**About The Team**
 The Regional Flexibility Engineering (RFE) organization supports the rapid global expansion of Amazon's infrastructure. Our projects support Amazon businesses like Stores, Alexa, Kindle, and Prime Video. We work closely with AWS teams to improve AWS public offerings. Our organization focuses on robust and scalable solutions, simple to use, and delivered with engineering best practices. We leverage and build foundational infrastructure capabilities, tools, and datasets that enable Amazon teams to delight our customers. With millions of people using Amazon's products every day, we appreciate the importance of making our solutions "just work".
**Basic Qualifications**
* 10\+ years of technical product or program management experience
* 5\+ years of working directly with engineering teams experience
* 5\+ years of software development experience
* Experience managing programs across cross functional teams, building processes and coordinating release schedules
**Preferred Qualifications**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WA, Seattle \- 177,000\.00 \- 239,400\.00 USD annually]]\&gt;</t>
        </is>
      </c>
    </row>
    <row r="42">
      <c r="A42" t="inlineStr">
        <is>
          <t>li-4363787350</t>
        </is>
      </c>
      <c r="B42" t="inlineStr">
        <is>
          <t>Senior Product Manager, Cloud Software Defined Networking (SDN)</t>
        </is>
      </c>
      <c r="C42" t="inlineStr">
        <is>
          <t>Capital One</t>
        </is>
      </c>
      <c r="D42" t="inlineStr">
        <is>
          <t>linkedin</t>
        </is>
      </c>
      <c r="E42" t="inlineStr"/>
      <c r="F42" t="inlineStr"/>
      <c r="G42" t="inlineStr">
        <is>
          <t>Richmond, VA</t>
        </is>
      </c>
      <c r="H42" t="inlineStr"/>
      <c r="I42"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The Cloud Enablement Product team sits at the heart of our Cloud Operations Resilience Engineering (CORE) organization with a mission to help Capital One thrive on and with the public cloud. We are on a journey to ensure data privacy, operational excellence, and strategic growth for a well\-managed and governed cloud. We are driving foundational capabilities that power secure, scalable, and resilient cloud operations. We help Capital One by bringing automation, invention, and customer enablement to how we build software, operate software, and elevate developers.
 In this role, you will lead Cloud Software Defined Network (abstracted network management) to enable secure application connectivity of and around the public cloud for Capital One applications. We are a team that values collaboration over silos, and we back that up with a culture of open communication, inclusive problem solving, and frequent knowledge sharing. We believe work should be both impactful and enjoyable, and we cultivate an environment where curiosity, laughter, and ambitious goals coexist. This is a rare opportunity to lead a multi\-disciplinary team that touches security, delightful developer experience, and platform engineering.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Plano, TX: $182,500 \- $208,300 for Sr. Mgr, Product Management
 Richmond, VA: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3">
      <c r="A43" t="inlineStr">
        <is>
          <t>li-4355021630</t>
        </is>
      </c>
      <c r="B43" t="inlineStr">
        <is>
          <t>Sr. Technical Program Manager</t>
        </is>
      </c>
      <c r="C43" t="inlineStr">
        <is>
          <t>Jobs via Dice</t>
        </is>
      </c>
      <c r="D43" t="inlineStr">
        <is>
          <t>linkedin</t>
        </is>
      </c>
      <c r="E43" t="inlineStr"/>
      <c r="F43" t="inlineStr"/>
      <c r="G43" t="inlineStr">
        <is>
          <t>Fort Meade, MD</t>
        </is>
      </c>
      <c r="H43" t="inlineStr"/>
      <c r="I43" t="inlineStr">
        <is>
          <t>**Overview**
 GovCIO is currently hiring for a Sr. Technical Program Manager to lead the execution of a fast paced IOC . This position will be located in Fort Meade, MD and will be an onsite position.
**Responsibilities**
 The Senior Technical Program Manager leads execution of a fast\-paced Initial Operational Capability (IOC) enablement effort supporting autonomous cyber assessment and AI training data readiness for USCYBERCOMMAND. This role integrates architecture design, cloud infrastructure provisioning, cybersecurity, data strategy, and deployment planning into a cohesive execution plan within a compressed 3\.5\-month timeline. The TPM serves as the primary interface with Government stakeholders, manages dependencies and risk across multiple technical disciplines, and ensures all work products are structured to support seamless transition into IOC implementation and scaled execution during the subsequent option year beginning in May. Directs all phases of programs from inception through completion. Responsible for the cost, schedule and technical performance of company programs or subsystems of major programs.
* Lead integrated planning and execution across technical, data, and security workstreams
* Manage schedule, milestones, risks, and deliverables for IOC enablement
* Coordinate Government engagements and ensure compliance with tasking authority
* Oversee development of deployment and implementation plans for follow\-on IOC execution
**Qualifications**
 High School with 12\+ years (or commensurate experience)
 Clearance Required: TS/SCI CI Poly
**Required Skills And Experience**
* 10\+ years of experience in technical program or project management
* Experience managing cloud, cybersecurity, data, or AI\-adjacent programs
* Strong understanding of phased IOC and capability delivery models
* PMP, DoD 8570\.01\-M IAT Level II (Sec\+CE, SSCP, CND, CCNA Security, etc)
 \#NSS
 \#AR
 \#TM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$190,000\.00 \- USD $226,000\.00 /Yr.</t>
        </is>
      </c>
    </row>
    <row r="44">
      <c r="A44" t="inlineStr">
        <is>
          <t>li-4363887565</t>
        </is>
      </c>
      <c r="B44" t="inlineStr">
        <is>
          <t>Technical Sourcing Program Manager</t>
        </is>
      </c>
      <c r="C44" t="inlineStr">
        <is>
          <t>Medtronic</t>
        </is>
      </c>
      <c r="D44" t="inlineStr">
        <is>
          <t>linkedin</t>
        </is>
      </c>
      <c r="E44" t="inlineStr"/>
      <c r="F44" t="inlineStr"/>
      <c r="G44" t="inlineStr">
        <is>
          <t>Memphis, TN</t>
        </is>
      </c>
      <c r="H44" t="inlineStr"/>
      <c r="I44" t="inlineStr">
        <is>
          <t>We anticipate the application window for this opening will close on \- 26 Jan 2026
 At Medtronic you can begin a life\-long career of exploration and innovation, while helping champion healthcare access and equity for all. You’ll lead with purpose, breaking down barriers to innovation in a more connected, compassionate world.
**A Day in the Life**
 Job Specific Summary
 At Medtronic, we celebrate what makes you unique. Join a company that thinks differently to solve problems, make progress, and deliver meaningful innovations.
 A career at Medtronic is unlike any other. We’re purposeful, committed, and driven by our mission to alleviate pain, restore health, and extend the lives of millions of people worldwide. Join our Global Technical Sourcing team as the Technical Sourcing Program Manager, where you will support the Spine and Biologics team and drive groundbreaking therapies. Be a part of revolutionizing medical technologies that transform lives worldwide!
 Global Technical Sourcing (GTS) bridges Global Supply Management (GSM) with Technology and New Product Development (NPD) Project Teams, aligning Medtronic Product and Supplier Technology Roadmaps. GTS accelerates innovation through suppliers to create a sustainable competitive advantage.
 As part of the GSM Project Management function, the Technical Sourcing Program Manager will lead the reduction of overall supply risk and drive the adoption of capable technologies and sources in New Product Development, ensuring predictable supply and competitiveness through full Product Launch. Technical Sourcing is responsible for the timely execution of all project deliverables in the Product Development Process (PDP).
 As the Technical Sourcing Program Manager, you will be the primary liaison between the product development team and suppliers, ensuring supplier capabilities align with project needs to meet NPD milestones and timelines.
 You will:
* Partner with cross\-functional team members and suppliers to identify and plan GTS deliverables needed to support all phases of the NPD program through commercial launch.
* Lead Phase Gate and Transfer to Operations Reviews with stakeholders for each NPD phase.
* Lead the identification, evaluation, and selection of suppliers aligned to program objectives and sourcing strategies.
* Optimize supply chain flow to drive cost savings and cycle time efficiency.
* Ensure material costs and program budgets align with targets through supplier negotiations while influencing design and manufacturing strategies.
* Oversee supplier DRM activities and drive early engagement with suppliers on NUDs (New, Unique, Difficult components).
* Partner with Category Management and Legal to identify and create applicable legal agreements with suppliers.
* Identify and own mitigation plans to burn down supplier and supply\-related BOM risks.
* Act as the liaison between suppliers and the project team to drive oversight and resolve supplier\-caused issues.
* Manage product orders to ensure accurate quantities and configurations arrive on time for all program development stages.
* Manage inventories in alignment with NPD inventory policies, program build needs, and commercial launch plans.
* Partner with Supplier Quality Engineering to drive PPAP qualification activities at the supplier.
* Develop and oversee supplier capacity plans to ensure product availability after commercial launch.
* Identify and capture future supplier cost\-down opportunities.
* Partner with Category Management to ensure supplier pricing agreements are in place.
* Oversee and support inventory and ERP production release activities.
* Provide hyper\-care support after commercial launch.
**Must\-Have:**
* Bachelor’s degree required.
* Minimum of 5 years of relevant technical and/or sourcing experience or advanced degree with a minimum of 3 years of relevant technical and/or sourcing experience.
**Nice to Have:**
* Bachelor’s degree in an engineering discipline.
* Experience working with suppliers across a broad range of manufacturing technologies with a preferred focus on machined tight tolerance component/assembly suppliers, OEMs, and contract manufacturers.
* Proven communication, leadership, and exceptional interpersonal and team\-building skills, fostering effective collaboration within global teams.
* Extensive experience in project management, including developing and launching medical devices; PMI\-certified professional.
* Proficient in supplier management, negotiation, and overall supply chain processes.
* Skilled in Lean and Six Sigma methodologies with expertise in Design for Reliability and Manufacturability.
* Strong business understanding and the ability to influence objectives in a matrix organization.
* Broad experience in manufacturing processes and material/component replacement initiatives.
* Knowledgeable in design, production, and supplier\-related efforts for medical device development.
* Ability to travel: 10\-25%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(USD):$115,200\.00 \- $172,800\.00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45">
      <c r="A45" t="inlineStr">
        <is>
          <t>li-4363838536</t>
        </is>
      </c>
      <c r="B45" t="inlineStr">
        <is>
          <t>Product Manager</t>
        </is>
      </c>
      <c r="C45" t="inlineStr">
        <is>
          <t>Goodie AI</t>
        </is>
      </c>
      <c r="D45" t="inlineStr">
        <is>
          <t>linkedin</t>
        </is>
      </c>
      <c r="E45">
        <f>HYPERLINK("https://www.linkedin.com/jobs/view/4363838536", "https://www.linkedin.com/jobs/view/4363838536")</f>
        <v/>
      </c>
      <c r="F45">
        <f>HYPERLINK("https://goodie-6c9218.webflow.io/careers?ashby_jid=f1eccd25-b926-45ee-abcc-e7b0c7b3a4aa&amp;utm_source=xXWYLO6aVk&amp;urlHash=jM1P", "https://goodie-6c9218.webflow.io/careers?ashby_jid=f1eccd25-b926-45ee-abcc-e7b0c7b3a4aa&amp;utm_source=xXWYLO6aVk&amp;urlHash=jM1P")</f>
        <v/>
      </c>
      <c r="G45" t="inlineStr">
        <is>
          <t>New York, NY</t>
        </is>
      </c>
      <c r="H45" t="inlineStr"/>
      <c r="I45" t="inlineStr">
        <is>
          <t>We are:
 Goodie helps leading brands win AI search. As billions of people use ChatGPT, Perplexity, Gemini, and other AI systems to discover products and make buying decisions, brands need a way to understand and influence how they’re represented.
 Goodie gives teams a full AI control plane: real\-time visibility into how AI models speak about their brand and products, how competitors show up, and an optimization engine to improve visibility and performance. This category didn’t exist two years ago \- we were early, and we’re defining it.
 We’re backed by strong investors, trusted by category\-leading customers, and scaling fast. We’re hiring curious, ambitious builders to help shape the future of AI search.
 We are looking for:
 As a Product Manager for the Goodie AI, you will drive development and launch of AI products focused on marketing use cases. You will work closely with our Engineering and Design teams to solve some of the most interesting problems in the world of marketing and build scalable, industry\-leading observability platform.
 You'll do:
* Lead and drive the product development lifecycle from ideation to launch, ensuring alignment with product vision, customer needs. .
* Manage project timelines, resources, and deliverables to ensure velocity in deployment and successful on\-time product launches.
* Utilize product analytics tools to gather insights, measure product performance, and inform data\-driven decisions.
* Define and prioritize product features, creating clear roadmaps and communicating them effectively to stakeholders.
* Drive the development of marketing collateral, including landing pages, guides, and presentations, to effectively communicate product value.
* Work closely with sales and marketing teams to support go\-to\-market strategies and product positioning.
* Continuously assess market trends and customer feedback to refine and improve products.
* Ensure that all products meet high standards of quality, usability, and performance.
* Foster a culture of continuous learning and improvement within the AI Lab.
 You have:
* 4\+ years of experience in product management, preferably with B2B SaaS products focused on marketing use cases and persona.
* Strong knowledge and passion for AI, with experience in Generative AI product development being a plus.
* A degree in Product Management, Computer Science, Data Analytics, Marketing, or a related field is a plus.
* Experience working with consumer to mid\-market B2B SaaS products.
* Proficiency in product analytics tools like Mixpanel, Amplitude or Aha!
* A proven track record of coordinating between design and engineering teams to achieve sprint goals on time.
* Excellent project management skills and the ability to manage multiple priorities effectively.
* Strong communication skills with the ability to convey product value through landing pages, guides, and presentations.
* An analytical mindset with the ability to drive product decisions based on data and users feedback.
* A collaborative approach, working seamlessly with cross\-functional teams to deliver results.
 Benefits \&amp; Perks Of Becoming a Goodie:
* Earn More, Together: Base Pay \+ Profit Sharing \&amp; Commissions Opportunities
* Health First: Premium Medical, Dental \&amp; Vision Coverage
* Flex Work Environment: Hybrid at HQ and Remote Globally
* Set Up Shop: Home Office Stipend
* Recharge Anytime: Unlimited PTO Plan
* Family First: Paid Parental Leave Plan
* Secure Your Future: 401(k) Plan with Employer Matching
* Level Up: Mentorship \&amp; Career Growth Support
* Always Be Learning: Access to Top\-tier Resources \&amp; Industry Experts
* Work Hard, Play Harder: Quarterly Team Trips (Onsite and Offsite)
* Mind \&amp; Body Wellness: Gym, Wellness, and Access to Mental Health Plans
* Fuel Your Day: Free Lunch, Snacks, Cold Brew, \&amp; Happy Hours
* Grow With Us: Endless Opportunities to Lead \&amp; Succeed
* Keep on Shining: Ongoing Employee Development Programs
**EEO \&amp; Compensation Transparency Statement:**
 Goodie AI is committed to pay transparency and equity among all employees and provide employees an environment where pay transparency and dialogue on compensation are allowed. Goodie AI complies with federal, state, and local laws on compensation, pay transparency, and pay equity. We take factors including geographic location, education, training, skillset, market rates, certifications, and more into consideration when constructing pay ranges for new and existing roles within our organization. The compensation range for this position is $120,000\-$150,000\.
 At Goodie AI, we understand that diversity in the workplace is vital to a company’s success and growth. We strive to make sure that our team members are included and have a sense of belonging that makes us a great company to work with and a great company to work for. To that end, Goodie AI is committed to Equal Opportunity Employment and comply with all Equal Opportunity Employment laws. We will consider all qualified applicants without regard to race, religion, color, national origin, sex, gender identity, gender expression, sexual orientation, age, marital status, veteran status, or disability status. We will work to make reasonable accommodations available in the job application and interview process, to perform essential duties of the job function, and to retrieve other benefits and privileges of employment with our organization.
 BEWARE OF FRAUD! Please be aware of potentially fraudulent job postings or suspicious activity by persons that are posing as Goodie team members, recruiters, and HR employees. Our team will contact you regarding job opportunities from email addresses ending in @nogood.io or @higoodie.com. Additionally, we do utilize our ATS\- Ashby\- to help us schedule initial screening calls. Job seeking is hard\- we’re sorry that scammers have added this element to your search for something new. Stay vigilant out there!
 Compensation Range: $120K \- $150K</t>
        </is>
      </c>
    </row>
    <row r="46">
      <c r="A46" t="inlineStr">
        <is>
          <t>li-4363858264</t>
        </is>
      </c>
      <c r="B46" t="inlineStr">
        <is>
          <t>Associate Product Manager</t>
        </is>
      </c>
      <c r="C46" t="inlineStr">
        <is>
          <t>Lensa</t>
        </is>
      </c>
      <c r="D46" t="inlineStr">
        <is>
          <t>linkedin</t>
        </is>
      </c>
      <c r="E46">
        <f>HYPERLINK("https://www.linkedin.com/jobs/view/4363858264", "https://www.linkedin.com/jobs/view/4363858264")</f>
        <v/>
      </c>
      <c r="F46" t="inlineStr"/>
      <c r="G46" t="inlineStr">
        <is>
          <t>Torrance, CA</t>
        </is>
      </c>
      <c r="H46" t="inlineStr"/>
      <c r="I4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Howmet Aerospace. Clicking "Apply Now" or "Read more" on Lensa redirects you to the job board/employer site. Any information collected there is subject to their terms and privacy notice.
* In coordination with sr. product management, sales and operations, develop product strategies and communicate with sakes and operations as applicable
* Support the development of LTA strategies in conjunction with sales and operations
* Supports the development of the annual facility bookings, forecast, for applicable product line(s) in coordination with sales and operations
* Create and keep current monthly and annual growth\-related reporting in support of meeting site objectives
* Meet or exceed the budgeted facility bookings, booking margin, and backlog margin objectives
* Assists in the creation of maintaining of system price curves and where applicable discount structures. Documents and communicates modifications made to the pricing structure
* Responsible for maximizing facility margins while meeting the serve market share objectives
* Ensure that daily quotes as well as LTAâs are completed on a timely manner
* Initiate the development of unsolicited LTAâs to capture targeted businesses
* Capture, documents, and maintain all the facility LTAâs. Use the LTA database as a tool to proactively secure additional profitable business
* Capture, documents, and maintain all facility LTA proposals that are \[presently being worked and follow up on those that have been submitted but have not yet been awarded
* Have quote sign off authority for spot buys and package at limits as established by the Sr. Product Manager or Product Manager
* Supports the sale of E \&amp; O and dormant inventory
* Supports the daily, monthly, and annual reporting requirements and associated activities in order to achieve the facility booking margin objectives. Reports include Daily booking/margin report, Daily Tracker, monthly business review reports, staff meeting reports
* Assist in keeping current business objects product structure and contract data base
* Supports the transition of reporting to using business objects
* Perform market analysis as deemed necessary or that is requested to aid in decision making relating to the entering and/or exiting of markets, identifying market opportunities, product transfers, pricing decisions, lead time evaluations, etc.
* Develop and help maintain product entrance, exit, and transfer strategies
* Responsible for performing necessary research to determine product market share
* Initiate the consolidation, capture and documentation of competitive information used to assist in making strategic decisions
* Help draft and provide weekly bullets relating to significant accomplishments, bookings, and related market activity
* Help coordinate customer facility visits, in conjunction with sales and operations, and participate as applicable
**Basic Qualifications**
* Bachelor's Degree from a 4 year university
* Minimum 5 years of experience in a product management, business development and/or engineering function in the aerospace industry
* Employees must be legally authorized to work in the United States. Verification of employment eligibility will be required at the time of hire. Visa sponsorship is not available for this position
* This position entails access to export\-controlled items and employment offers are conditioned upon an applicantâs ability to lawfully obtain access to such items
**Benefits/Salary**
* The position includes competitive wages and a comprehensive benefits package, including health insurance (medical, dental, vision), excellent 401k matching program, paid holidays and vacation. Howmet Aerospace curates a strong working environment through opportunities for career progression, community engagement activities, and flexible schedules contingent upon role and location. The salary range for this position is $93,000\.00\-$140,000\.00\.
 ï»¿Howmet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customersâ success and making a positive impact on the world. To learn more about the way Howmet Aerospace Inc. is advancing the sustainability of our customers, markets, and communities where we operate, review the 2024 Environmental Social and Governance report at www.howmet.com/esg\-report. Follow: LinkedIn (https://www.linkedin.com/company/howmet\-aerospace) , Twitter (https://twitter.com/howmetaerospace) , Instagram (https://www.instagram.com/howmetaerospace/) , Facebook (https://www.facebook.com/Howmetaerospace/) , and YouTube (https://www.youtube.com/howmetaerospace)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
 If you have questions about this posting, please contact support@lensa.com</t>
        </is>
      </c>
    </row>
    <row r="47">
      <c r="A47" t="inlineStr">
        <is>
          <t>li-4363868224</t>
        </is>
      </c>
      <c r="B47" t="inlineStr">
        <is>
          <t>Product Owner - Remote</t>
        </is>
      </c>
      <c r="C47" t="inlineStr">
        <is>
          <t>Lensa</t>
        </is>
      </c>
      <c r="D47" t="inlineStr">
        <is>
          <t>linkedin</t>
        </is>
      </c>
      <c r="E47">
        <f>HYPERLINK("https://www.linkedin.com/jobs/view/4363868224", "https://www.linkedin.com/jobs/view/4363868224")</f>
        <v/>
      </c>
      <c r="F47">
        <f>HYPERLINK("https://lensa.com/cgw/39b535f2a8424973b7d18cac31d3f9dbtjo1?jpsi=directemployers_no_redirect&amp;publisher_preference=easier_apply&amp;utm_campaign=Computer%20Occupations&amp;utm_medium=slot&amp;utm_source=linkedin&amp;utm_term=jse&amp;urlHash=j678", "https://lensa.com/cgw/39b535f2a8424973b7d18cac31d3f9dbtjo1?jpsi=directemployers_no_redirect&amp;publisher_preference=easier_apply&amp;utm_campaign=Computer%20Occupations&amp;utm_medium=slot&amp;utm_source=linkedin&amp;utm_term=jse&amp;urlHash=j678")</f>
        <v/>
      </c>
      <c r="G47" t="inlineStr">
        <is>
          <t>Hartford, CT</t>
        </is>
      </c>
      <c r="H47" t="inlineStr"/>
      <c r="I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Our Healthcare Insurance client is looking for a Product Owner for a remote work from home 1 year contract. We are looking for a Product Owner that has a strong background working with Web and Mobile Development Teams, identity \&amp; access management, Multi\-Factor Authentication for a external customer facing web and mobile. This team supports the non\-member (brokers, employers, providers, Medicaid, supplemental insurance, etc.) population of a large insurance companies flagship member portal.
 As a Product Owner you will work in a fast\-paced environment and will carry the responsibility to manage an important part of a digital services and data platform. This role focuses on identity and access management. These are largely API\-based services, so a technical background is highly desired.
 You will be guiding scrum teams with representation from architecture, engineering, product management and others. This role affords you the opportunity to expand your skills by working alongside talented and passionate teammates from diverse backgrounds. You will be contributing to building identity capabilities that are a critical part of our health care platform.
**Key Responsibilities**
* Understand customer needs to define product direction and articulate user stories and features
* Decompose high\-level requirements into user stories and tasks, manage and prioritize the product backlog, participate in scrums and meta\-scrums, and validate delivered solution designs
* Lead quarterly Product Increment planning for your scrum team(s)
* Understand, assess and critique the defined architecture and ensure that the scrum team delivery is aligned to that architecture
* Partner with engineering team to define, track and test user stories in an agile software development life cycle
* Provide product subject matter expertise and leadership
* Work with program management to track schedule against the roadmap and escalate risks and issues
**Background/Experience**
* 3\+ years of professional work experience with a least a couple years working with back\-end systems and APIs
* 1\+ year experience working with identity and access management products
* Technical aptitude and preferably experience managing or using API\-based products
* Demonstrated collaborative style, with ability to lead and influence diverse teams
* Demonstrated experience driving agile product development
* Passion for health and wellness
 Skills/Competencies
* Outstanding verbal and written communication skills
* Ability to thrive in a SAFe Agile development environment
* Experience using Rally to manage user requirements
 EDUCATION Bachelor's degree or equivalent experience.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3\+ years as a Product Owner
 Experience working with Web and Mobile Development Teams
 Experience working in Healthcare Insurance companies
 SAFe Agile
 Multi\-Factor Authentication
 Identity \&amp; Access Management
 experience working on an external member portal (web \&amp; mobile)
 If you have questions about this posting, please contact support@lensa.com</t>
        </is>
      </c>
    </row>
    <row r="48">
      <c r="A48" t="inlineStr">
        <is>
          <t>li-4364027954</t>
        </is>
      </c>
      <c r="B48" t="inlineStr">
        <is>
          <t>Product Manager</t>
        </is>
      </c>
      <c r="C48" t="inlineStr">
        <is>
          <t>Lensa</t>
        </is>
      </c>
      <c r="D48" t="inlineStr">
        <is>
          <t>linkedin</t>
        </is>
      </c>
      <c r="E48">
        <f>HYPERLINK("https://www.linkedin.com/jobs/view/4364027954", "https://www.linkedin.com/jobs/view/4364027954")</f>
        <v/>
      </c>
      <c r="F48">
        <f>HYPERLINK("https://lensa.com/cgw/a3fec167c3ec4f1a8fea846ef9c721cbtjo1?jpsi=directemployers&amp;publisher_preference=easier_apply&amp;utm_campaign=Other%20Management%20Occupations&amp;utm_medium=slot&amp;utm_source=linkedin&amp;utm_term=jse&amp;urlHash=NAcY", "https://lensa.com/cgw/a3fec167c3ec4f1a8fea846ef9c721cbtjo1?jpsi=directemployers&amp;publisher_preference=easier_apply&amp;utm_campaign=Other%20Management%20Occupations&amp;utm_medium=slot&amp;utm_source=linkedin&amp;utm_term=jse&amp;urlHash=NAcY")</f>
        <v/>
      </c>
      <c r="G48" t="inlineStr">
        <is>
          <t>Universal City, CA</t>
        </is>
      </c>
      <c r="H48" t="inlineStr"/>
      <c r="I4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NBCUniversal. Clicking "Apply Now" or "Read more" on Lensa redirects you to the job board/employer site. Any information collected there is subject to their terms and privacy notice.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The Product Manager will be part of the Film \&amp; TV Studios Technical Solutions. This role willleadthe product strategy, development, and delivery of technical solutions that advance the Universal Film group’sdata and analyticsinitiatives.The Product Manager will partner with stakeholdersworkingacrossbusiness areasto define requirements, prioritize features, and deliver products that improve data accessibility, insight generation, and operational efficiency.
 In addition to supporting the NBCU business units on data and analytics, this role will partner withTechnicalOperations andEnterprise Engineering teams to support enterprise initiatives for the advancement and growth of data and analytics as a key strategy across our business.
**Responsibilities**
* Define and manage the product vision, strategy and roadmap for analytics\-related solutions supportingtheUniversal Filmgroup
* Collaborate with business stakeholders to gather requirements, translate analytics needs into technical product features
* Write clear, actionable user stories and acceptance criteria to guide engineering teams and ensure alignment with business objectives
* Partner with Enterprise Engineering teams to deliver scalable, secure,and high performing analytics products
* Lead cross\-functional planning and prioritization to align development efforts with business priorities and enterprise goals
* Manage the end\-to\-end product lifecycle
* Identifyopportunities to improve data quality, standards,governanceand accessibility across our analytics platforms
* Support change management,adoptionand enablement efforts to drive effective use of analytics tools and data insights
* Promote a data\-driven culture, encouraging innovation and the use of analytics to support decision making acrosstheUniversal Filmgroup
* Maintain up\-to\-date knowledge of Google analytics and data products
* Bachelor’s degree in Computer Science, Marketing Technology or Business Analytics or equivalent experience
* 5\+years of experience in product management, analytics, or data engineering related solution delivery roles
* Demonstrated success managing data and analytics focused products from concept through launch
* Strong understanding of data platforms, integrations and analytics architecture including API’s, datapipelinesand data modeling
* Ability to translate business requirements into technical specifications and collaborate closely with data engineers and developers
* Experience working with Cloud solutions (GCP, AWS or Azure) and modern technologies such asBigQuery, Snowflake or Databricks
* Strong SQLproficiencywith the ability to write,optimize, andvalidatequeries to support data analysis, productdevelopmentand troubleshooting
* Experience working in cross\-functional teams involving data engineers and business stakeholders
* Strong ability to perform analysis of small to medium complex business, workflow, and technology issues to support decision\-making
* Strong analytical and problem\-solving skills with ability toutilizetechnology to create innovative solutions
* Strong stakeholder management and communications skills, including experience engaging senior leaders
**Preferred Qualifications**
* Experience in Global Media \&amp; Entertainment industry
* Familiarity with the Film,TVand Streaming ecosystem, including the digital landscape and consumer behavior drivers
* Experience managing large\-scale BI and analytics projects
* Proficiencywith datavisualization toolssuch asMicrostrategy, LookerStudio, TableauandPower BI
* Experience in the following data platforms and technologies:BigQuery, Snowflake, Vertex AI, Cloud Composer,BigQueryML,AutoMLAWS, S3, Python \&amp; SQL
* Understanding of data science and machine learning
* Stays informed on Google product offerings and industry trends, applying emerging capabilities to enhance analytics and data solutions
**Additional Requirements**
 Fully Remote:This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$145,000\.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
 If you have questions about this posting, please contact support@lensa.com</t>
        </is>
      </c>
    </row>
    <row r="49">
      <c r="A49" t="inlineStr">
        <is>
          <t>li-4363868278</t>
        </is>
      </c>
      <c r="B49" t="inlineStr">
        <is>
          <t>Product Manager</t>
        </is>
      </c>
      <c r="C49" t="inlineStr">
        <is>
          <t>Lensa</t>
        </is>
      </c>
      <c r="D49" t="inlineStr">
        <is>
          <t>linkedin</t>
        </is>
      </c>
      <c r="E49">
        <f>HYPERLINK("https://www.linkedin.com/jobs/view/4363868278", "https://www.linkedin.com/jobs/view/4363868278")</f>
        <v/>
      </c>
      <c r="F49">
        <f>HYPERLINK("https://lensa.com/cgw/0dff8d4206304072a4d347104eb81ac0tjo1?jpsi=directemployers&amp;publisher_preference=easier_apply&amp;utm_campaign=Other%20Management%20Occupations&amp;utm_medium=slot&amp;utm_source=linkedin&amp;utm_term=jse&amp;urlHash=VOft", "https://lensa.com/cgw/0dff8d4206304072a4d347104eb81ac0tjo1?jpsi=directemployers&amp;publisher_preference=easier_apply&amp;utm_campaign=Other%20Management%20Occupations&amp;utm_medium=slot&amp;utm_source=linkedin&amp;utm_term=jse&amp;urlHash=VOft")</f>
        <v/>
      </c>
      <c r="G49" t="inlineStr">
        <is>
          <t>Nashville, TN</t>
        </is>
      </c>
      <c r="H49" t="inlineStr"/>
      <c r="I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Highmark Health. Clicking "Apply Now" or "Read more" on Lensa redirects you to the job board/employer site. Any information collected there is subject to their terms and privacy notice.
****Company :****
 Highmark Health
****Job Description :****
**JOB SUMMARY**
 This job defines the product’s fundamental value proposition, outlines vision and execution plan, gains alignment and support from key strategic partners and stakeholders, and oversees execution of that vision. This incumbent will attend spring/milestone reviews with the Delivery team.
****ESSENTIAL RESPONSIBILITIES****
* Understand the department's and the company's strategic roadmap and competitive position, and develops a holistic product vision and the corresponding product strategy to drive maximum value. Clearly set and communicate roadmaps, priorities, experiments, and decisions across audiences, from product team to executive levels.
* Actively anticipates future needs and utilizes metrics and qualitative input to identify asset improvement opportunities.
* Represent the product in all governance meetings.
* Clearly sets and communicates roadmaps, priorities, experiments, and decisions across audiences, from product team to executive levels.
* Serve as accountable owner for the sets of products/tools within the designated portfolio.
* Identify and drives both cross\-product and cross\-customer value and shared learnings.
* Guides Agile developments in the role of Product Owner.
* Own the product backlog and uses input from internal and partner teams to frequently refresh and re\-prioritize the backlog.
* Other duties as assigned.
**EDUCATION**
**Required**
* Bachelor's Degree in science, technology, mathematics or related field OR relevant experience and/or education as determined by the company in lieu of bachelor’s degree
**Preferred**
* None
****EXPERIENCE****
 Required
* 3 years of Product experience
**To Include:**
* 3 years with the Software Lifecycle
* 1 year of Advanced domain experience
**Preferred**
* 1 year with the Agile process
**LICENSES or CERTIFICATIONS**
**Required**
* None
****SKILLS****
* Business Acumen for P\&amp;Ls
* Communication
* Conflict Management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Req ID: J271588
 If you have questions about this posting, please contact support@lensa.com</t>
        </is>
      </c>
    </row>
    <row r="50">
      <c r="A50" t="inlineStr">
        <is>
          <t>li-4363828046</t>
        </is>
      </c>
      <c r="B50" t="inlineStr">
        <is>
          <t>Product Manager</t>
        </is>
      </c>
      <c r="C50" t="inlineStr">
        <is>
          <t>Lensa</t>
        </is>
      </c>
      <c r="D50" t="inlineStr">
        <is>
          <t>linkedin</t>
        </is>
      </c>
      <c r="E50">
        <f>HYPERLINK("https://www.linkedin.com/jobs/view/4363828046", "https://www.linkedin.com/jobs/view/4363828046")</f>
        <v/>
      </c>
      <c r="F50">
        <f>HYPERLINK("https://lensa.com/cgw/49945fda1a6e44b98c057b23e6bd1791tjo1?jpsi=directemployers_no_redirect&amp;publisher_preference=easier_apply&amp;utm_campaign=Other%20Management%20Occupations&amp;utm_medium=slot&amp;utm_source=linkedin&amp;utm_term=jse&amp;urlHash=vwKF", "https://lensa.com/cgw/49945fda1a6e44b98c057b23e6bd1791tjo1?jpsi=directemployers_no_redirect&amp;publisher_preference=easier_apply&amp;utm_campaign=Other%20Management%20Occupations&amp;utm_medium=slot&amp;utm_source=linkedin&amp;utm_term=jse&amp;urlHash=vwKF")</f>
        <v/>
      </c>
      <c r="G50" t="inlineStr">
        <is>
          <t>San Francisco, CA</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**Required Skills**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Preferred Qualifications:
* Experience building 0\-1 products, platform/ecosystem products, or marketplaces
* Experience in a consumer focused technology company
**Public Compensation**
 $205,000/year to $277,000/year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51">
      <c r="A51" t="inlineStr">
        <is>
          <t>li-4363808058</t>
        </is>
      </c>
      <c r="B51" t="inlineStr">
        <is>
          <t>Product Manager</t>
        </is>
      </c>
      <c r="C51" t="inlineStr">
        <is>
          <t>Lensa</t>
        </is>
      </c>
      <c r="D51" t="inlineStr">
        <is>
          <t>linkedin</t>
        </is>
      </c>
      <c r="E51">
        <f>HYPERLINK("https://www.linkedin.com/jobs/view/4363808058", "https://www.linkedin.com/jobs/view/4363808058")</f>
        <v/>
      </c>
      <c r="F51" t="inlineStr"/>
      <c r="G51" t="inlineStr">
        <is>
          <t>Durham, NC</t>
        </is>
      </c>
      <c r="H51" t="inlineStr"/>
      <c r="I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Broadcom Corporation. Clicking "Apply Now" or "Read more" on Lensa redirects you to the job board/employer site. Any information collected there is subject to their terms and privacy notice.
**Please Note**
* If you are a first time user, please create your candidate login account before you apply for a job. (Click Sign In \&gt; Create Account)
* If you already have a Candidate Account, please Sign\-In before you apply.
**Job Description**
**Job Description:** 
**\#Broadcomsoftware**
 We are seeking a highly motivated, self\-driven, experienced Product Manager to lead multiple products in the Foundational and Open Solutions value stream of Broadcom's mainframe software division. These products ( Easytrieve, AION, Telon, Panvalet, Librarian, etc..) deliver operational, financial, and regulatory reporting needs for several key customers. Many of the world's largest banks, retailers and financial institutions depend on these products and services for the success of their business.
**About The Job**
 The Product Manager is directly responsible for the success of Easytrieve, Panvalet, Librarian, AION, Telon products by a strong collaboration and partnership with Engineering, UX, Marketing, and Sales, to deliver relevant industry leading features in alignment with our MSD business strategy. Success in this job requires identifying market driven use cases for product development, maintaining excellent customer relationships, leading to customer adoption and retention. This role requires good understanding of Enterprise reporting solutions on mainframes and skills to develop healthy relationships with key enterprise customers and partners.
**Key Responsibilities**
* a vital role in assisting the development of the vision, strategy, roadmap and releases of new features or migration plans for this product set.
* as intermediary between market/business requirements and R\&amp;D to advocate for the product internally.
* Prioritize product features by analyzing customer needs and breaking them down into functional stories working closely with the Product Owner roles.
* (and remove) roadblocks across teams to meet quality standards, project deadlines, and business objectives.
* Partner with Architecture teams solutioning new features and capabilities, including but not limited to exploring applicability of Artificial Intelligence, Machine Learning technologies
* lead sales initiatives (necessary) for customer adoption of new product features in the existing market
* measure customer adoption and retention based on the GTM plan and tactics deployed
**Required Education, Experience, And Skills**
* Bachelor's Degree AND 8\+ years experience in product/service/project/program management or software development
* Expertise in managing complex cross\-functional, cross\-business, cross\-disciplinary projects
* Working with business stakeholders in partnership to achieve goals and objectives
* Basic understanding of software licensing and product delivery in a B2B business model
* Excellent written and verbal communication skills
* Strong stakeholder management and effective communication skills
* Experience working with product and engineering teams in a collaborative software development environment and defining Go\-To\-Market plan.
* Understanding of managing and triaging customer requests
* Leadership, organization, and time management skills.
* Knowledge of mainframe software industry, transformation trends, and insights preferred
* Must have legal authorization to work in the US.
**Additional Job Description**
**Compensation and Benefits**
 The annual base salary range for this position is $104,100 \- $166,500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
 Welcome! Thank you for your interest in Broadcom!
 We are a global technology leader that designs, develops and supplies a broad range of semiconductor and infrastructure software solutions.
 For more information please visit our video library (http://www.broadcom.com/videos) and check out our Connected by Broadcom (https://www.broadcom.com/support/resources/video\-webinar\-library?channel\=5c9658f7c1d34eca91c6cc16178e5b1b\&amp;video\=7d72b04ea50046a394e682fab640ce20\) series.
 Follow us on Linked In Broadcom Inc (https://www.linkedin.com/company/broadcom) .
 If you have questions about this posting, please contact support@lensa.com</t>
        </is>
      </c>
    </row>
    <row r="52">
      <c r="A52" t="inlineStr">
        <is>
          <t>li-4363738266</t>
        </is>
      </c>
      <c r="B52" t="inlineStr">
        <is>
          <t>Product Manager</t>
        </is>
      </c>
      <c r="C52" t="inlineStr">
        <is>
          <t>Lensa</t>
        </is>
      </c>
      <c r="D52" t="inlineStr">
        <is>
          <t>linkedin</t>
        </is>
      </c>
      <c r="E52">
        <f>HYPERLINK("https://www.linkedin.com/jobs/view/4363738266", "https://www.linkedin.com/jobs/view/4363738266")</f>
        <v/>
      </c>
      <c r="F52" t="inlineStr"/>
      <c r="G52" t="inlineStr">
        <is>
          <t>Bellevue, WA</t>
        </is>
      </c>
      <c r="H52" t="inlineStr"/>
      <c r="I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**Required Skills**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Preferred Qualifications:
* Experience building 0\-1 products, platform/ecosystem products, or marketplaces
* Experience in a consumer focused technology company
**Public Compensation**
 $205,000/year to $277,000/year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53">
      <c r="A53" t="inlineStr">
        <is>
          <t>li-4363778249</t>
        </is>
      </c>
      <c r="B53" t="inlineStr">
        <is>
          <t>Product Manager</t>
        </is>
      </c>
      <c r="C53" t="inlineStr">
        <is>
          <t>Lensa</t>
        </is>
      </c>
      <c r="D53" t="inlineStr">
        <is>
          <t>linkedin</t>
        </is>
      </c>
      <c r="E53">
        <f>HYPERLINK("https://www.linkedin.com/jobs/view/4363778249", "https://www.linkedin.com/jobs/view/4363778249")</f>
        <v/>
      </c>
      <c r="F53" t="inlineStr"/>
      <c r="G53" t="inlineStr">
        <is>
          <t>Sunnyvale, CA</t>
        </is>
      </c>
      <c r="H53" t="inlineStr"/>
      <c r="I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**Required Skills**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Preferred Qualifications:
* Experience building 0\-1 products, platform/ecosystem products, or marketplaces
* Experience in a consumer focused technology company
**Public Compensation**
 $205,000/year to $277,000/year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54">
      <c r="A54" t="inlineStr">
        <is>
          <t>li-4363808016</t>
        </is>
      </c>
      <c r="B54" t="inlineStr">
        <is>
          <t>Product Manager</t>
        </is>
      </c>
      <c r="C54" t="inlineStr">
        <is>
          <t>Lensa</t>
        </is>
      </c>
      <c r="D54" t="inlineStr">
        <is>
          <t>linkedin</t>
        </is>
      </c>
      <c r="E54">
        <f>HYPERLINK("https://www.linkedin.com/jobs/view/4363808016", "https://www.linkedin.com/jobs/view/4363808016")</f>
        <v/>
      </c>
      <c r="F54" t="inlineStr"/>
      <c r="G54" t="inlineStr">
        <is>
          <t>Northbrook, IL</t>
        </is>
      </c>
      <c r="H54" t="inlineStr"/>
      <c r="I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UL. Clicking "Apply Now" or "Read more" on Lensa redirects you to the job board/employer site. Any information collected there is subject to their terms and privacy notice.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 University Degree (Equivalent to Bachelor's degree) in Computer Science, Business, or a related discipline
* 5 years or more of related discipline experience or demonstrated competency
* Knowledge of how Conformity Assessment schemes influence and affect product go\-to\-market
* Significant knowledge of Conformity Assessment testing practices and processes
* Understanding of Global Market Access processes and practices
* Experience working with remote and globally distributed teams is highly preferred
* Project and/or Product management certification is a plus
* Ability to lead small to medium groups of internal and external stakeholders towards desired outcomes in order to meet business objectives
* Ability to conduct discovery sessions with clients. prospects and stakeholders in order to diagnose business opportunities, elicit requirements and conduct other types of research
* Strong and demonstrable communication and presentation skills
* Product management tools – product design (e.g. Invision, Zeplin), development task management (e.g. Jira, Azure DevOps), documentation and knowledge (e.g. Confluence, SharePoint), collaboration (e.g. Microsoft Teams, Slack), roadmap and portfolio management (e.g. Aha!, Daptiv), AI tools
* Formal training and/or certification in Product Management is a plus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Offer**
 We understand compensation is an important factor as you consider the next step in your career. The estimated salary range for this position is $120,000\. \- $150,000\.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6/2/2026\.
* 3
 UL LLC Has Been And Will Continue To Be An Equal Opportunity Employer. To Assure Full Implementation Of This Equal Employment Policy, We Will Take Steps To Assure That
 Persons are recruited, hired, assigned and promoted without regard to race, color, age, sex or gender, sexual orientation, gender identity, gender expression, transgender status, religion, creed, national origin, ethnicity, citizenship, ancestry, disability, genetic information, military or veteran status, pregnancy, marital or familial status, or any other protected category under applicable law.
 If you have questions about this posting, please contact support@lensa.com</t>
        </is>
      </c>
    </row>
    <row r="55">
      <c r="A55" t="inlineStr">
        <is>
          <t>li-4360131753</t>
        </is>
      </c>
      <c r="B55" t="inlineStr">
        <is>
          <t>TikTok Shop - Product Manager, Pre-Purchase Product</t>
        </is>
      </c>
      <c r="C55" t="inlineStr">
        <is>
          <t>TikTok</t>
        </is>
      </c>
      <c r="D55" t="inlineStr">
        <is>
          <t>linkedin</t>
        </is>
      </c>
      <c r="E55">
        <f>HYPERLINK("https://www.linkedin.com/jobs/view/4360131753", "https://www.linkedin.com/jobs/view/4360131753")</f>
        <v/>
      </c>
      <c r="F55" t="inlineStr"/>
      <c r="G55" t="inlineStr">
        <is>
          <t>Seattle, WA</t>
        </is>
      </c>
      <c r="H55" t="inlineStr"/>
      <c r="I55" t="inlineStr">
        <is>
          <t>**Responsibilities**
 About the Team
 As the Pre\-Purchase Team, our mission is to provide our customers with an efficient ordering experience in TikTok. We are looking for a Product Manager to join our team, responsible for defining the intersection of Pre\-Purchase experience.
 Responsibilities:
 \- Responsible for TikTok Shop product browsing and ordering flow, responsible for conversion rate and user experience.
 \- Based on various methods such as data analysis, industry research, user research, find optimization directions, and design and implement product solutions.
 \- Continuously improve user penetration, conversion efficiency, and repurchase retention in the domain through product planning and collaborative operation.
**Qualifications**
 Minimum Qualifications
 • Excellent communication skills, data driven ability, and be able to flexibly adjust strategies in complex situations.
 • Collaborate with cross function teams to define business strategy and product roadmap; provide localized shopping experience.
 Preferred Qualifications:
 • Bachelor’s degree or above;
 • 2 years of product experience, e\-commerce, trading product experience is preferred.
 • Have good user empathy, business logic, and be able to fully understand the project background and evaluate project results.
 • Possess good product planning and solution perspective, be able to break down product methods from business problems, proactively formulate short, medium, and long\-term product plans, and gradually implement them.
 • Strong data analysis, ability to discover product problems through data, and independently propose product solutions.
 • Strong cross\-team collaboration skills, ability to identify problems and promote upstream and downstream teams, coordinate relevant resources and make reasonable use of them; good interpersonal relationship management skills.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$141588 \- $234080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6">
      <c r="A56" t="inlineStr">
        <is>
          <t>li-4363858325</t>
        </is>
      </c>
      <c r="B56" t="inlineStr">
        <is>
          <t>Product Manager</t>
        </is>
      </c>
      <c r="C56" t="inlineStr">
        <is>
          <t>Lensa</t>
        </is>
      </c>
      <c r="D56" t="inlineStr">
        <is>
          <t>linkedin</t>
        </is>
      </c>
      <c r="E56">
        <f>HYPERLINK("https://www.linkedin.com/jobs/view/4363858325", "https://www.linkedin.com/jobs/view/4363858325")</f>
        <v/>
      </c>
      <c r="F56" t="inlineStr"/>
      <c r="G56" t="inlineStr">
        <is>
          <t>Washington, DC</t>
        </is>
      </c>
      <c r="H56" t="inlineStr"/>
      <c r="I5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Eliassen Group. Clicking "Apply Now" or "Read more" on Lensa redirects you to the job board/employer site. Any information collected there is subject to their terms and privacy notice.
**Product Manager**
**Anywhere**
**Type:** 
 Contract
**Category:** 
 Product Management
**Industry:** 
 Technology
**Workplace Type:** 
 Remote
**Reference ID:** 
 JN \-112025\-104468
**Date Posted:** 
 12/18/2025
**Shortcut:** 
 http://careers.eliassen.com/V4uXik
* Description
* Recommended Jobs
**Description**
*Remote*
 The organization seeks a Product Manager to lead the Workday Performance Module initiative, overseeing delivery, optimization, and scalability within Workday using native functionality and Workday Extend. The role supports the HR technology strategy and prepares the platform for critical performance cycles.
*Due to client requirements, applicants must be willing and able to work on a w2 basis. For our w2 consultants, we offer a great benefits package that includes Medical, Dental, and Vision benefits, 401k with company matching, and life insurance.*
 Rate: $75\.00 to $80\.00/hr. w2
**Responsibilities**
**Responsibilities**
* Drive the vision and roadmap for Workday Performance in alignment with HR objectives.
* Oversee features built using Workday Extend and native Workday modules.
* Gather business requirements and translate them into user stories.
* Facilitate grooming sessions with stakeholders and technical teams.
* Assess data dependencies and impacts across HR systems.
* Ensure compliance and integrity of performance\-related data.
* Validate solutions for business fit and scalability.
* Identify gaps and recommend optimizations.
* Manage post\-pilot feedback and incorporate enhancements.
* Prepare for a February go\-live and monitor the January cycle and July end\-of\-year review.
* Partner with HR, IT, and leadership to promote adoption and manage check\-ins.
* Serve as the primary liaison for performance management processes.
* Evaluate system performance post\-launch and drive continuous improvements.
**Experience Requirements**
**Experience Requirements**
* Proven experience as a Product Manager in HR technology or enterprise SaaS.
* Expertise in requirements gathering, backlog management, and Agile practices.
* Analytical capability to assess scalability and data impacts.
* Effective communication and stakeholder management skills.
* Calm, confident leadership with ability to navigate complex HR processes.
* Knowledge of Workday Performance and Workday Extend preferred.
* Experience with performance cycles such as January mid\-year and July end\-of\-year preferred.
* Background in HR technology implementations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***noreply@eliassen.com***
*, 781\-808\-2924\)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If you have questions about this posting, please contact support@lensa.com</t>
        </is>
      </c>
    </row>
    <row r="57">
      <c r="A57" t="inlineStr">
        <is>
          <t>li-4364018215</t>
        </is>
      </c>
      <c r="B57" t="inlineStr">
        <is>
          <t>Product Manager</t>
        </is>
      </c>
      <c r="C57" t="inlineStr">
        <is>
          <t>Lensa</t>
        </is>
      </c>
      <c r="D57" t="inlineStr">
        <is>
          <t>linkedin</t>
        </is>
      </c>
      <c r="E57">
        <f>HYPERLINK("https://www.linkedin.com/jobs/view/4364018215", "https://www.linkedin.com/jobs/view/4364018215")</f>
        <v/>
      </c>
      <c r="F57">
        <f>HYPERLINK("https://lensa.com/cgw/381146bcfcbc48a3a79159dc6bb7a5f8tjo1?jpsi=directemployers_no_redirect&amp;publisher_preference=easier_apply&amp;utm_campaign=Other%20Management%20Occupations&amp;utm_medium=slot&amp;utm_source=linkedin&amp;utm_term=jse&amp;urlHash=ol3W", "https://lensa.com/cgw/381146bcfcbc48a3a79159dc6bb7a5f8tjo1?jpsi=directemployers_no_redirect&amp;publisher_preference=easier_apply&amp;utm_campaign=Other%20Management%20Occupations&amp;utm_medium=slot&amp;utm_source=linkedin&amp;utm_term=jse&amp;urlHash=ol3W")</f>
        <v/>
      </c>
      <c r="G57" t="inlineStr">
        <is>
          <t>Arlington, VA</t>
        </is>
      </c>
      <c r="H57" t="inlineStr"/>
      <c r="I5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TekSynap. Clicking "Apply Now" or "Read more" on Lensa redirects you to the job board/employer site. Any information collected there is subject to their terms and privacy notice.
**Responsibilities \&amp; Qualifications**
 TekSynap is seeking a
 **Product Manager** 
**(** 
 Agile leader)who manages backlogs, prioritizes government requirements, and ensures cloud services deliver value aligned to F\-35 programgoals..
**Responsibilities**
* Manage agile backlogs, sprint planning, and prioritization with GPO.
* Oversee cloud cost management andDevSecOpstool adoption.
* Track program KPIs and ensure alignment to F\-35 JPO objectives.
* Facilitate collaboration across multi\-contractorDevSecOpsteams.
**Required Qualifications**
* Bachelor's degree in Business, IT Management, or related.
* 7\+ years Agile/SAFeproduct management; 3\+ years DoD program management.
* Experience managing cloud cost optimization and backlog prioritization.
* Familiarity with Lean Portfolio Management metrics.
* Clearance: Secret.
* 8570certification: Not applicable.
**COMPETENCIES**
* Agile \&amp;SAFeprogram management
* Backlog grooming \&amp; sprint planning
* Cloud cost management / FinOps
* Stakeholder engagement \&amp; reporting
* Value stream management
**Overview**
 We are seeking aProduct Managerto join ourteamattheF\-35 Joint Program Office (JPO).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:Arlington, VAorWPAFB, OH
* Type of environment :Office
* Noise level :Low
* Work schedule :On\-site
* Amount of Travel :Minimal travelrequired(5%)for quarterly Program Increment (PI) planning events, stakeholder engagement sessions, and government\-led reviews.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employeeis regularly required touse hands tohandle, feel, touch; reach with hands and arms; talkandhear. The employeeis regularly required tostand;walk;sit;climb or balance; and stoop, kneel, crouch, or crawl. The employeeis regularly required tolift upto 10 pounds. The employee isfrequentlyrequired tolift upto 25 pounds; and up to 50 pounds. The vision requirements include close vision, distance vision, peripheral vision, depth perception, and ability to adjust focus.
**WORK AUTHORIZATION/SECURITY CLEARANCE**
 USCitizenship
**Clearance requirement** 
 :Active
 **Secret clearance** 
 (Top Secret/SAP preferred).)
**Other Duties**
 Please note this job description is not designed to cover orcontaina comprehensive listing of activities, duties or responsibilities that arerequired ofthe employee for this job.Duties,responsibilitiesand activities may change at any time with or without notice.
**EQUAL EMPLOYMENT OPPORTUNITY**
 In order toprovide equal employment and advancement opportunities to all individuals, employment decisions will be based on merit, qualifications, and abilities. TekSynap does not discriminate against any person because of race, color, creed, religion, sex, national origin, disability, age, geneticinformationor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**Job Locations** 
*US\-VA\-Arlington*
**ID** 
*2025\-8495*
**Category** 
*Information Technology*
**Type** 
*Regular Full\-Time*
 If you have questions about this posting, please contact support@lensa.com</t>
        </is>
      </c>
    </row>
    <row r="58">
      <c r="A58" t="inlineStr">
        <is>
          <t>li-4364018217</t>
        </is>
      </c>
      <c r="B58" t="inlineStr">
        <is>
          <t>Product Owner</t>
        </is>
      </c>
      <c r="C58" t="inlineStr">
        <is>
          <t>Lensa</t>
        </is>
      </c>
      <c r="D58" t="inlineStr">
        <is>
          <t>linkedin</t>
        </is>
      </c>
      <c r="E58">
        <f>HYPERLINK("https://www.linkedin.com/jobs/view/4364018217", "https://www.linkedin.com/jobs/view/4364018217")</f>
        <v/>
      </c>
      <c r="F58" t="inlineStr"/>
      <c r="G58" t="inlineStr">
        <is>
          <t>Chicago, IL</t>
        </is>
      </c>
      <c r="H58" t="inlineStr"/>
      <c r="I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Enverus. Clicking "Apply Now" or "Read more" on Lensa redirects you to the job board/employer site. Any information collected there is subject to their terms and privacy notice.
 Product Owner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We are currently seeking a highly driven Product Owner to join our Power \&amp; Renewables Product team in the US, Canada, or Czechia. This role offers the opportunity to join a rapidly growing company delivering industry\-leading solutions to customers in the world’s most dynamic and fastest\-growing sector. The Product Owner is responsible for managing and monitoring the product development process for a product line. Their duties include roadmap maintenance, delivery date tracking, and interfacing with the development team on behalf of the Product Manager. The position reports to the Product Manager with an opportunity to advance in your career at a rapid rate.
 Performance Objectives
* Support the Company strategy by articulating the vision and mission of the product roadmap, including implementation and prioritization;
* Manage execution for specific products, from product definition and planning through production, release, and end of life;
* Work in an agile process to develop user stories and requirements while evaluating their potential and practicality by analyzing market and user needs;
* Act as a user champion when coordinating product development with business stakeholders and align all development activity with business goals and priorities;
* Manage the product backlog (grooming, prioritization, and refinement), working day\-to\-day with the scrum team(s) to clarify requirements, balance business needs with technical requirements and recommend alternative technical approaches to meet design requirements when needed;
* Collaborate when required with marketing and sales on the development of product positioning, demo design, training courses, sales collateral, etc. to ensure that business objectives are achieved.
* Work with the Sales and Customer Success teams to answer client questions and create support collateral.
 Competitive Candidate Profile
* Experience in a market\-facing software and enterprise solutions product management role is a plus;
* Minimum 1 year of product management experience with a background in product owner roles;
* Ability to communicate effectively with development teams to accomplish project goals;
* Proven capability of managing multiple stakeholders on the best course of action for the product;
* Excellent oral and written communication skills.
**Enverus Offers Comprehensive Benefits To Our Employees To Include**
* Medical
* Dental
* Vision
* Income Protection (disability, life/AD\&amp;D, critical illness, accident)
* Employee Assistance Program (EAP)
* Healthcare Spending Account (HSA), Commuter
* Lifestyle \&amp; Wellbeing Program
* Pet Insurance
 Enverus is proud to be an Equal Employment Opportunity and Affirmative Action employer and all qualified applicants will receive consideration for employment without regard to race, color, religion, sex, sexual orientation, gender identity, national origin, disability status, protected veteran, or any other characteristic protected by law.
 The Company provides equal employment and affirmative action opportunities to applicants and employees without regard to race, color, religion, sex, sexual orientation, gender identity, national origin, protected veteran status, or disability
 If you have questions about this posting, please contact support@lensa.com</t>
        </is>
      </c>
    </row>
    <row r="59">
      <c r="A59" t="inlineStr">
        <is>
          <t>li-4364038230</t>
        </is>
      </c>
      <c r="B59" t="inlineStr">
        <is>
          <t>Product Manager</t>
        </is>
      </c>
      <c r="C59" t="inlineStr">
        <is>
          <t>Lensa</t>
        </is>
      </c>
      <c r="D59" t="inlineStr">
        <is>
          <t>linkedin</t>
        </is>
      </c>
      <c r="E59">
        <f>HYPERLINK("https://www.linkedin.com/jobs/view/4364038230", "https://www.linkedin.com/jobs/view/4364038230")</f>
        <v/>
      </c>
      <c r="F59">
        <f>HYPERLINK("https://lensa.com/cgw/e100c0357aab40e49f4b9573ed83ab1btjo1?jpsi=directemployers&amp;publisher_preference=easier_apply&amp;utm_campaign=Other%20Management%20Occupations&amp;utm_medium=slot&amp;utm_source=linkedin&amp;utm_term=jse&amp;urlHash=t0r9", "https://lensa.com/cgw/e100c0357aab40e49f4b9573ed83ab1btjo1?jpsi=directemployers&amp;publisher_preference=easier_apply&amp;utm_campaign=Other%20Management%20Occupations&amp;utm_medium=slot&amp;utm_source=linkedin&amp;utm_term=jse&amp;urlHash=t0r9")</f>
        <v/>
      </c>
      <c r="G59" t="inlineStr">
        <is>
          <t>Morton Grove, IL</t>
        </is>
      </c>
      <c r="H59" t="inlineStr"/>
      <c r="I5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Xylem. Clicking "Apply Now" or "Read more" on Lensa redirects you to the job board/employer site. Any information collected there is subject to their terms and privacy notice.
 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**Core Responsibilities**
 Product Management
* Be the strategic owner of the product category and be responsible for defining the strategy in collaboration with Product line manager, understanding the customer needs and be able to drive product development from concept to launch.
* Customer \&amp; market insights: Be able to gather and analyze customer feedback through Voice of the customer initiatives. Identify pain points and unmet needs. Translate insights into product opportunities.
* Create and maintain a product road map.
* Be able to analyze financial data and draw conclusions and make recommendations.
* Supports the regional sales teams, provides constant customer touch points, defines the pricing strategy, obtains market and competitive intelligence.
* Collaborate with finance, sales and operations to ensure highly accurate revenue and margin forecast numbers. (SIOP)
* Establish/maintain liaison with finance / build solid processes and procedures related to financials of products.
* Successfully implement and execute 80/20 initiatives within the responsible product portfolios.
* Drive continuous improvement to identify top areas in need of improvement and standardization of processes in the product management function.
* Build strong liaison with Engineering, R\&amp;D, Sales, Business Development and Marketing functions to build new product funnel, breakthrough ideas.
* Be a customer champion to roll out new products on time and establish strong collaboration with regional marketing and sales teams to commercialize new products.
 Develop Product Strategy and New Product Development (NPD)
* Develops strategic and tactical initiatives related to new product and solution introductions and drives initiatives through the Stage Gate process
* Develops and manages VOC business requirements and use cases in a requirements management tool, collaborates with R\&amp;D on the associated technical requirements development, and assures requirements are being met through system test and beta test programs
* Collects market feedback on existing products and services and prioritizes changes across releases
* Works directly with customers, sales, marketing and support organizations to ensure needs are being met and are driven back into the development process via Stage Gate
* Coordinates with engineering, planning, procurement, sales and finance to assure cost targets, solution availability and profitability meet business objectives
* Develops and coordinates activities associated with the creation of technical, sales and marketing literature
* Responsible for the New Product vitality index and product strategy/growth.
 Data Analysis and Market Research
* Conduct in\-depth analysis of market trends and competitor strategies
* Utilize data to identify new product opportunities and inform product development decisions
* Track and report on product performance and make recommendations for improvement
 Cross Functional Collaboration
* Work closely with engineering, design, sales, and marketing teams to ensure product success
* Serve as a liaison between different departments to align product goals and strategies
* Facilitate communication and collaboration between teams to ensure timely and effective product delivery.
**Minimum Qualifications**
* A bachelor’s degree in Business, Marketing, Engineering or a related field with at least 5 years’ experience.
* Strong interpersonal, teamwork and problem\-solving skills to effectively work with customers, business partners, vendors, staff and management from a variety of skill levels and different authority levels.
* Demonstrated experience working in fast paced environment and in a matrix organization.
* Able to resolve difficult technical and business issues.
* Self\-starter with high motivation to achieve goals.
* Strong analytical and critical thinking skills with the ability to interpret complex data.
* Proficiency in product management tools and software
* Excellent written and verbal communication skills.
* Proven ability to influence cross functional teams.
* Strong project management skills with the ability to manage multiple projects simultaneously.
* Experience in developing and executing new product development (NPD) and implementing product strategies.
* Knowledge of market research and competitive analysis techniques.
**High Impact Behaviors**
* Continuous Professional Development: Professionals should be committed to lifelong learning, seeking out opportunities for self\-improvement, and staying abreast of industry trends and best practices.
* Collaboration and Teamwork: Effective professionals understand the value of collaboration. They work well with others, contribute to team goals, and understand that diverse perspectives can lead to better solutions.
* Results Driven Performance: High performing professionals focus on delivering results. They set high standards for their own performance and are committed to achieving objectives efficiently and effectively.
 The estimated salary range for this position is $80,000 to $112,000 plus bonus. Starting pay is dependent on multiple factors, such as skills, experience, and work location, and is not typically at the top of the range. At Xylem, we offer a competitive compensation package with a generous benefit package, including Medical, Dental, and Vision plans, 401(k) with company contribution, paid time off, paid parental leave, and tuition reimbursement.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
 At Xylem, you'll not only contribute to solving water issues but also have the chance to make a difference through our paid Volunteer Program, Xylem Watermark. We prioritize our employees' well\-being through inclusion and belonging as well as our Employee Resource Groups (ERG). Proud to be an Equal Employment Opportunity (including disability and veterans) and Affirmative Action workplace, Xylem fosters an inclusive environment free from discrimination or harassment.
 Please note that the information in this job description outlines the general nature of the position and is not an exhaustive list of duties. Xylem is dedicated to providing reasonable accommodations to enable all employees to perform their essential job functions. We reserve the right to modify this job description and assign additional duties as needed. Embrace the opportunity to be part of Xylem's transformative journey in shaping the future of water technology! \#XylemCareers \#GlobalImpact \#WaterInnovation
 If you have questions about this posting, please contact support@lensa.com</t>
        </is>
      </c>
    </row>
    <row r="60">
      <c r="A60" t="inlineStr">
        <is>
          <t>li-4364038214</t>
        </is>
      </c>
      <c r="B60" t="inlineStr">
        <is>
          <t>Entry Level Product Manager 2026</t>
        </is>
      </c>
      <c r="C60" t="inlineStr">
        <is>
          <t>Lensa</t>
        </is>
      </c>
      <c r="D60" t="inlineStr">
        <is>
          <t>linkedin</t>
        </is>
      </c>
      <c r="E60">
        <f>HYPERLINK("https://www.linkedin.com/jobs/view/4364038214", "https://www.linkedin.com/jobs/view/4364038214")</f>
        <v/>
      </c>
      <c r="F60" t="inlineStr"/>
      <c r="G60" t="inlineStr">
        <is>
          <t>Durham, NC</t>
        </is>
      </c>
      <c r="H60" t="inlineStr"/>
      <c r="I6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Ready to re\-imagine the management role? At IBM, as an Offering Manager, you are responsible for the full lifecycle of an offering: from validating need to determining the business model and defining the solution requirements. Going beyond the traditional focus of timetables and budgets, you use your keen insights into what customers want in their own business plan \- and work across disciplines to build the best solutions to a problem. If being the CEO of your offering excites you, consider an offering management career at IBM
**Your Role And Responsibilities**
 IBM Product Managers deliver business results by bringing high\-quality products to market by defining the strategy and execution plans while continuously innovating to achieve market leadership. Product Managers are experts at market and business analysis, product definition, product roadmap, pricing, ecosystem, channel strategy, strategic planning, competitive analysis, innovation, and leading cross\-functional teams. They manage the product lifecycle from inception through growth, maturity, and end of life stages and define partnership and ecosystem strategy for product execution. Product Managers maximize internal and external relationships interfacing with design, product marketing, ecosystem partners, analysts, engineering, sales, and services teams to deliver a successful product with defined routes to market. They are experts in the field and are recognized as a credible voice in the market.
 We look for emerging leaders who are entrepreneurial, adaptable, analytical, creative problem solvers, persuasive, empathetic and tenacious. We also look for those who have been exposed to, and are well versed in, technology concepts.
 Our Product Managers operate in a demanding role at the epicenter of multidisciplinary teams which include design, engineering, sales, marketing, finance and legal. Our clients rank among the world's largest, most influential companies and governments, and our product teams serve their needs under constantly changing priorities. We are passionate about using technology to solve these problems.
**Responsibilities**
* Support Senior Product Managers in the day\-to\-day and strategic management of a product
* Help define and execute product strategy
* Support sales and marketing initiatives to drive revenue growth
* Collaborate with cross\-functional teams to develop and execute a comprehensive product roadmap
* Track product performance and metrics
* Stay up\-to\-date on industry trends and best practices
**Required Technical And Professional Expertise**
* Familiarity with cloud computing and cloud services
* Exposure to product lifecycles, roadmaps, release cadence and support
* Exposure to customer\-driven usability and hypothesis\-driven experimentation
* Demonstrated ability to communicate verbally and in writing
**Preferred Technical And Professional Experience**
 Bachelor's Degree in IT/Computer Science/Engineering
 Passion and desire to make the best products in the industry hands\-down
 Engaged Team player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61">
      <c r="A61" t="inlineStr">
        <is>
          <t>li-4364027933</t>
        </is>
      </c>
      <c r="B61" t="inlineStr">
        <is>
          <t>Senior Product Manager - Equities</t>
        </is>
      </c>
      <c r="C61" t="inlineStr">
        <is>
          <t>Lensa</t>
        </is>
      </c>
      <c r="D61" t="inlineStr">
        <is>
          <t>linkedin</t>
        </is>
      </c>
      <c r="E61">
        <f>HYPERLINK("https://www.linkedin.com/jobs/view/4364027933", "https://www.linkedin.com/jobs/view/4364027933")</f>
        <v/>
      </c>
      <c r="F61">
        <f>HYPERLINK("https://lensa.com/cgw/7278717b0c874550976b17c866c28db6tjo1?jpsi=directemployers_no_redirect&amp;publisher_preference=easier_apply&amp;utm_campaign=Other%20Management%20Occupations&amp;utm_medium=slot&amp;utm_source=linkedin&amp;utm_term=jse&amp;urlHash=U-Ee", "https://lensa.com/cgw/7278717b0c874550976b17c866c28db6tjo1?jpsi=directemployers_no_redirect&amp;publisher_preference=easier_apply&amp;utm_campaign=Other%20Management%20Occupations&amp;utm_medium=slot&amp;utm_source=linkedin&amp;utm_term=jse&amp;urlHash=U-Ee")</f>
        <v/>
      </c>
      <c r="G61" t="inlineStr">
        <is>
          <t>Boston, MA</t>
        </is>
      </c>
      <c r="H61" t="inlineStr"/>
      <c r="I6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Coinbase. Clicking "Apply Now" or "Read more" on Lensa redirects you to the job board/employer site. Any information collected there is subject to their terms and privacy notice.
 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https://www.coinbase.com/mission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As a Product Manager on the Coinbase Trading team, you will play a pivotal role in enhancing the trading experience for our users. You will lead the ideation, development, and execution of features aimed at improving critical user journeys and driving trading efficiency. Additionally, you will leverage your understanding of trading behaviors to provide buy, sell, and convert functionality to customers on our flagship application and/or to enable advanced trading strategies for our highest volume users.
*What you'll be doing*
* Build 0\&gt;1 trading products for stock options and margin
* Build a Roadmap: Understand trading behaviors and market trends to conceptualize and implement a roadmap that enables traders to unlock new strategies on web and mobile (iOS/Android)
* Data\-Driven Decision Making: Define metrics and run experiments to evaluate CUJ efficiency and trading execution. Leverage data to continuously optimize product features
* Own product development from conception to launch, iterating along the way until you create the world's best products for leverage and hedging
* Scale and grow usage, ensuring users have access to the products when needed
* Collaborate cross\-functionally with engineering, design, data, marketing and cross\-functional teams to develop and steer product roadmap
* Define and analyze metrics to guide product development
* Align teams on a shared vision and steer execution on that vision
*What we look for in you*
* 7\+ years of product management experience, including experience working on consumer products
* Strong expertise in equities, with a deep understanding of options and margin products.
* Expertise in trading and a strong grasp of financial concepts (i.e. markets, derivative instruments, trading strategies)
* Experience building 0 to 1 products with high ambiguity and creatively solving problems given any constraint without giving up
* Strong design sense about product decisions and an understanding of how to create delightful experiences
* Ability to influence and shape strategic decisions/discussions
* Experience working with and balancing the needs of a wide variety of stakeholders including users, design, and UXR using both qualitative and quantitative data
* An entrepreneurial mindset with the ability to succeed in a fast\-paced environment
* Aptitude for learning and ability to ramp quickly on new and potentially complicated domains
* Demonstrated passion for cryptocurrency, financial markets, and the Coinbase mission
*Nice to haves*
* Consumer\-facing trading experience
 Job\# GCPM06US
*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benefits (including medical, dental, vision and 401(k)).
**Pay Range**
 $207,485\-$244,100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https://static\-assets.coinbase.com/e\-verify.pdf in certain locations, as required by law.
 Coinbase is also committed to providing reasonable accommodations to individuals with disabilities. If you need a reasonable accommodation because of a disability for any part of the employment process, please contact us at accommodationshttp://www.chromevox.com/tutorial/.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https://www.coinbase.com/legal/applicant\_privacy\_notice.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
 If you have questions about this posting, please contact support@lensa.com</t>
        </is>
      </c>
    </row>
    <row r="62">
      <c r="A62" t="inlineStr">
        <is>
          <t>li-4363878204</t>
        </is>
      </c>
      <c r="B62" t="inlineStr">
        <is>
          <t>Group Product Manager, Mobile Core</t>
        </is>
      </c>
      <c r="C62" t="inlineStr">
        <is>
          <t>Lensa</t>
        </is>
      </c>
      <c r="D62" t="inlineStr">
        <is>
          <t>linkedin</t>
        </is>
      </c>
      <c r="E62">
        <f>HYPERLINK("https://www.linkedin.com/jobs/view/4363878204", "https://www.linkedin.com/jobs/view/4363878204")</f>
        <v/>
      </c>
      <c r="F62" t="inlineStr"/>
      <c r="G62" t="inlineStr">
        <is>
          <t>Mountain View, CA</t>
        </is>
      </c>
      <c r="H62" t="inlineStr"/>
      <c r="I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**Work Arrangement:**
**Hybrid:** 
 This role is categorized as hybrid. This means the successful candidate is expected to report to the Technical/Innovation Center in Warren (MI), Austin (TX) or Mountain View (CA) three times per week, at minimum. This position can be located at either of these 3 locations.
**The Role**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Group Product Manager, Mobile Core leads the strategy and execution of the foundational capabilities that power the mobile app ecosystem. This team owns the platform, infrastructure, and shared services that enable product teams to build high\-quality customer experiences at scale.
 This role is responsible for defining the product vision for core mobile capabilities, aligning closely with engineering, design, security, and data partners to ensure the mobile platform is secure, scalable, reliable, and developer friendly.
 This role reports to the Director, Product Management – Mobile and will lead a team of direct reports.
**What You’ll Do (Responsibilities)**
* Define the product vision, strategy, and roadmap for the Mobile Core domain based on customer needs, market trends, and competitive analysis.
* Recruit, hire, manage, and develop a team of Product Managers to drive the definition and execution of that vision, strategy, and roadmap.
* Collaborate with cross\-functional teams, including business, design, engineering, and program, to ensure product goals and priorities are well defined, understood, and executed.
* Leverage a deep understanding of product management to manage priorities and execution across products and teams.
* Create and maintain product backlogs and prioritize features and enhancements based on business value, customer needs, and technical feasibility.
* Develop and manage product requirements, including definition of the customer journey, functional specifications, and acceptance criteria.
* Work closely with design to develop intuitive and compelling user interfaces.
* Define and track key metrics using OKRs and KPIs to measure product success and inform future decisions.
* Communicate product progress, updates, and next steps to leaders, partners, and stakeholders across the organization.
* Manage product launches, including developing go\-to\-market strategies and coordinating cross\-functional teams to ensure successful releases.
* Conduct post\-launch analysis to evaluate product performance and identify and prioritize areas for improvement.
* Continuously iterate and improve products based on user feedback, business performance, and market and competitive developments.
* Manage and execute on multiple products in parallel, balancing the needs and timelines of each simultaneously.
* Manage partner relationships (internal and external) through communication, collaboration, and partnership.
* Ultimately own the digital product and be responsible for the delivery of that product and associated projects on time, on budget, on strategy, and with a superior level of quality and performance.
**Yours Skills \&amp; Abilities (Required Qualifications)**
* Minimum 7 years of experience working in digital product management, with at least 4 years in a leadership role.
* Extensive knowledge and experience in the development of web and mobile app products, with a proven history of successfully delivering consumer\-centric digital solutions to market.
* Extensive experience managing technical, user, and business issues in a fast\-moving digital organization.
* Demonstrated ability to identify, understand, and drive resolution of complex, mission\-critical product issues.
* Experience with Agile software development methodologies and practices.
* Exceptional verbal and written communication and project leadership skills, including an ability to communicate effectively at an executive level.
* Ability to distill research and data to identify business opportunities and develop corresponding business cases.
* Ability to think strategically and drive ideas into action, with a positive outlook and willingness to take personal initiative.
* Ability to provide overall leadership across multiple disciplines and teams, while working collaboratively to deliver with quality, on time, and on budget.
* Proven ability to collaborate with and achieve actionable results through others, build strong and sustainable relationships, and interact at all levels of the organization.
* Flexibility and proficiency in managing ambiguity and leading teams through changes in strategic direction and/or priorities.
* Bachelor’s degree required with an MBA preferred.
**What Can Give You a Competitive Edge (Preferred Qualifications)**
* Experience in automotive highly desired.
* Education and/or experience in a technical discipline (computer science, software engineering, AI/ML) a plus.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$172,800 to $266,100\.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The position is subject to export control restrictions and requires the successful candidate to be either a U.S. Person (U.S. citizen, U.S. permanent resident, asylee or refugee) or a non\-U.S. Person who is eligible to obtain any required export control authorization.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63">
      <c r="A63" t="inlineStr">
        <is>
          <t>li-4363898103</t>
        </is>
      </c>
      <c r="B63" t="inlineStr">
        <is>
          <t>Sr. Product Manager, Automotive - Remote</t>
        </is>
      </c>
      <c r="C63" t="inlineStr">
        <is>
          <t>Jobgether</t>
        </is>
      </c>
      <c r="D63" t="inlineStr">
        <is>
          <t>linkedin</t>
        </is>
      </c>
      <c r="E63">
        <f>HYPERLINK("https://www.linkedin.com/jobs/view/4363898103", "https://www.linkedin.com/jobs/view/4363898103")</f>
        <v/>
      </c>
      <c r="F63" t="inlineStr"/>
      <c r="G63" t="inlineStr">
        <is>
          <t>California, United States</t>
        </is>
      </c>
      <c r="H63" t="inlineStr"/>
      <c r="I63" t="inlineStr">
        <is>
          <t>This position is posted by Jobgether on behalf of a partner company. We are currently looking for a Product Manager, Automotive Vertical. This role is crucial as it requires overseeing product strategy, discovery, and execution specifically for the Automotive industry. The ideal candidate will possess deep expertise in automotive processes, aiding in the translation of customer insights into actionable product direction. You'll be responsible for ensuring that the products align with customer needs and market demands, fostering collaboration across various teams. The impact of your work will enhance product outcomes and drive success in the Automotive vertical.
**Accountabilities**
* Own product strategy, roadmap, and prioritization for the Automotive vertical
* Lead customer discovery through direct conversations, market research, and insights
* Translate automotive\-specific workflows and customer needs into clear product requirements
* Partner closely with Engineering to deliver high\-quality solutions aligned with vertical priorities
* Collaborate with Sales and Customer Success to ensure product decisions reflect customer needs
* Drive prioritization decisions based on business impact, feasibility, and customer value
* Support go\-to\-market readiness and ongoing iteration for Automotive\-focused capabilities
* Represent the Automotive vertical in cross\-functional planning discussions
**Requirements**
* 5–8\+ years of Product Management experience in SaaS or technology\-driven environments
* Strong automotive industry experience (e.g., OEM, dealer technology, automotive SaaS)
* Proven ability to lead complex, cross\-functional initiatives from discovery through delivery
* Strong customer discovery and problem\-framing skills
* Comfort operating in fast\-moving, ambiguous environments
* Strong communication, prioritization, and stakeholder management skills
* Baseline technical fluency to effectively partner with Engineering and technical teams
**Benefits**
* Comprehensive benefits package including medical, dental, and vision coverage
* Paid time off and holidays
* 401(k) plan
* Equity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4">
      <c r="A64" t="inlineStr">
        <is>
          <t>li-4363878168</t>
        </is>
      </c>
      <c r="B64" t="inlineStr">
        <is>
          <t>Product Owner, GRE</t>
        </is>
      </c>
      <c r="C64" t="inlineStr">
        <is>
          <t>Lensa</t>
        </is>
      </c>
      <c r="D64" t="inlineStr">
        <is>
          <t>linkedin</t>
        </is>
      </c>
      <c r="E64">
        <f>HYPERLINK("https://www.linkedin.com/jobs/view/4363878168", "https://www.linkedin.com/jobs/view/4363878168")</f>
        <v/>
      </c>
      <c r="F64">
        <f>HYPERLINK("https://lensa.com/cgw/6201ada3231f446d8ac5732587abdf76tjo1?jpsi=directemployers&amp;publisher_preference=easier_apply&amp;utm_campaign=Computer%20Occupations&amp;utm_medium=slot&amp;utm_source=linkedin&amp;utm_term=jse&amp;urlHash=vaw7", "https://lensa.com/cgw/6201ada3231f446d8ac5732587abdf76tjo1?jpsi=directemployers&amp;publisher_preference=easier_apply&amp;utm_campaign=Computer%20Occupations&amp;utm_medium=slot&amp;utm_source=linkedin&amp;utm_term=jse&amp;urlHash=vaw7")</f>
        <v/>
      </c>
      <c r="G64" t="inlineStr">
        <is>
          <t>Washington, DC</t>
        </is>
      </c>
      <c r="H64" t="inlineStr"/>
      <c r="I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Educational Testing Service. Clicking "Apply Now" or "Read more" on Lensa redirects you to the job board/employer site. Any information collected there is subject to their terms and privacy notice.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**Growth\-Focused Product Manager – GRE Portfolio**
 At ETS, we believe in the transformative power of education. As a global leader in assessment and learning solutions, our mission is to advance quality and equity in education for learners worldwide. We are driven by innovation, integrity, and a commitment to helping individuals demonstrate their potential.
**Role Overview**
 We’re seeking a strategic and hands\-on Growth\-focused Functional Product Manager to lead the business growth of our GRE product portfolio. This role is ideal for a data\-driven innovator who thrives in a mission\-driven environment and is passionate about expanding access to graduate education.
 This role is based in NJ and we are open to candidates in NYC or candidates commutable to Princeton NJ.
 You’ll own the end\-to\-end strategy for scaling GRE products, from vision to execution, collaborating across teams to enhance performance, elevate the customer experience, and launch new offerings that reflect ETS’s commitment to educational excellence.
**Key Responsibilities**
* Lead Growth Strategy: Own and drive the business strategy for GRE products, focusing on market expansion and revenue growth.
* Optimize Product Experience: Continuously improve product features, user journeys, and customer touchpoints to maximize engagement.
* Identify New Opportunities: Proactively explore new markets, partnerships, and innovations to extend GRE’s reach.
* Conversion \&amp; Engagement: Lead site optimization and redesign pricing/packaging to boost conversion and customer value.
* Data\-Driven Decisions: Use analytics to inform strategy, measure impact, and iterate on growth initiatives.
* Marketing Collaboration: Partner with marketing to revamp email nurture campaigns and improve retention.
* Launch Excellence: Plan and execute rebrands and new product launches with compelling positioning and go\-to\-market strategies.
* Cross\-Functional Leadership: Work closely with design, engineering, marketing, and sales to deliver high\-impact initiatives.
* Performance Tracking: Monitor product metrics and identify areas for continuous improvement.
**Qualifications**
* Bachelor’s degree in a quantitative or STEM field (or equivalent experience).
* 5\+ years of experience in product management, growth strategy, or business ownership.
* Proven track record of scaling products and driving measurable growth.
* Strong analytical, communication, and leadership skills.
* Passion for education and alignment with ETS’s values of quality , fairness , integrity , and social responsibility .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In support of this ETS offers multiple Business Resource Groups (BRG) for you to learn and advance your career growth!
* As a not\-for\-profit organization we will encourage you to lean in to your passion for volunteering. At ETS you may qualify for up to an additional 8 hours of PTO for volunteer work on causes that are important to you!
*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
 If you have questions about this posting, please contact support@lensa.com</t>
        </is>
      </c>
    </row>
    <row r="65">
      <c r="A65" t="inlineStr">
        <is>
          <t>li-4364008078</t>
        </is>
      </c>
      <c r="B65" t="inlineStr">
        <is>
          <t>Principal Product Manager, Healthcare AI</t>
        </is>
      </c>
      <c r="C65" t="inlineStr">
        <is>
          <t>Lensa</t>
        </is>
      </c>
      <c r="D65" t="inlineStr">
        <is>
          <t>linkedin</t>
        </is>
      </c>
      <c r="E65">
        <f>HYPERLINK("https://www.linkedin.com/jobs/view/4364008078", "https://www.linkedin.com/jobs/view/4364008078")</f>
        <v/>
      </c>
      <c r="F65" t="inlineStr"/>
      <c r="G65" t="inlineStr">
        <is>
          <t>Boston, MA</t>
        </is>
      </c>
      <c r="H65" t="inlineStr"/>
      <c r="I6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Oracle Clinical Al Agent team's mission is to deliver an Al platform that serves as the foundation for Oracle's health applications. By embedding generative and conversational Al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Principal Product Manager to drive the expansion and ecosystem enablement of Semantic Agent Builder. Semantic Agent Builder empowers teams to create high\-value Al agents on our semantic data platform for use with the Oracle Health EHR. You will own the strategy and delivery of building an agent ecosystem, working with the semantic data platform and collaborating with teams including data science, engineering, and UX.
**Responsibilities**
 Responsibilities
* \&amp;\#65279;\&amp;\#65279;Define the vision, roadmap, and end\-to\-end user enablement for Al\-based agent development.
* \&amp;\#65279;Design and deliver a simple, guided agent creation path from concept to production, removing friction from the agent development process.
* \&amp;\#65279;\&amp;\#65279;Translate abstract ideas and unmet needs into structured product concepts, defining the problem space, success criteria, and technical feasibility.
* \&amp;\#65279;\&amp;\#65279;Partner closely with data science, engineering, and UX teams to shape agent behavior, training strategies, and user experience.
* \&amp;\#65279;Drive the creation and curation of high\-quality datasets required for training and validating agent models, including annotation guidelines and domain coverage.
* \&amp;\#65279;\&amp;\#65279;Develop validation protocols to test agent performance, usability, and clinical safety in real\-world\-like environments prior to release.
* \&amp;\#65279;\&amp;\#65279;Collaborate on release planning, documentation, and internal enablement to support the smooth launch of new agent capabilities.
* \&amp;\#65279;\&amp;\#65279;Ensure that Clinical Al Agents developed with Semantic Agent Builder meet healthcare industry standards for data privacy, transparency, and reliability.
* \&amp;\#65279;\&amp;\#65279;Identify lead customers, cultivate design partnerships, and incorporate direct user feedback to validate assumptions, guide product evolution, and ensure clinical needs remain at the forefront of innovation.
* \&amp;\#65279;\&amp;\#65279;Run design partner program to validate usability and lifecycle UX, synthesize feedback into a clear backlog, and quickly iterate product development.
* \&amp;\#65279;\&amp;\#65279;Establish adoption and quality signals for the experience and use these to drive the backlog.
* \&amp;\#65279;\&amp;\#65279;Communicate plans and trade\-offs with clarity; maintain a crisp decision log; influence cross\-functional stakeholders toward focused outcomes.
**Minimum Qualifications (required)**
* \&amp;\#65279;\&amp;\#65279;7\+ years of product management experience building ecosystems around AI platforms with measurable adoption outcomes.
* \&amp;\#65279;\&amp;\#65279;3\+ years' experience driving O\-to\-1 platform experience in low\-code/agentic products or developer ecosystems (e.g., pattern libraries, assembly flows, validation/publish lifecycles).
* \&amp;\#65279;\&amp;\#65279;Experience owning end\-to\-end user journeys preferably in a pattern\-based or composable product.
* \&amp;\#65279;\&amp;\#65279;Familiarity with clinical workflows, informatics, patient safety and clinical and administrative operations.
* \&amp;\#65279;\&amp;\#65279;Strong understanding of semantic data layers and knowledge graphs (conceptual and practical), and the ability to translate them into simple, safe user experiences.
* \&amp;\#65279;\&amp;\#65279;Exceptional written and verbal communication; track record of aligning cross\-functional teams and telling a clear product story to leadership and customers.
**Preferred Qualifications**
* \&amp;\#65279;\&amp;\#65279;Experience with EHR platforms, clinical integration patterns, and healthcare data standards (e.g., FHIR) as a product owner.
* \&amp;\#65279;\&amp;\#65279;Demonstrated ability to run and/or design partner programs, convert feedback to shipping increments, and operationalize metrics that move product adoption and quality.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66">
      <c r="A66" t="inlineStr">
        <is>
          <t>li-4360210442</t>
        </is>
      </c>
      <c r="B66" t="inlineStr">
        <is>
          <t>Monetization Integrity Lead Product Manager</t>
        </is>
      </c>
      <c r="C66" t="inlineStr">
        <is>
          <t>TikTok</t>
        </is>
      </c>
      <c r="D66" t="inlineStr">
        <is>
          <t>linkedin</t>
        </is>
      </c>
      <c r="E66">
        <f>HYPERLINK("https://www.linkedin.com/jobs/view/4360210442", "https://www.linkedin.com/jobs/view/4360210442")</f>
        <v/>
      </c>
      <c r="F66" t="inlineStr"/>
      <c r="G66" t="inlineStr">
        <is>
          <t>San Jose, CA</t>
        </is>
      </c>
      <c r="H66" t="inlineStr"/>
      <c r="I66" t="inlineStr">
        <is>
          <t>**Responsibilities**
 Our team belongs to the Global Monetization Product and Technology\-Business Integrity organization. The team's goal is to enhance the user experience on the TikTok platform, thereby improving the conversion efficiency of commercial content, by governing risks and addressing experience issues related to ad content and the after\-conversion experience.
 About the Role
 We are seeking an experienced and data\-driven Product Manager to lead the strategy and execution for After Conversion Experience (ACE) Governance within our Ads platform. This critical role sits within the Monetization Business Integrity organization, focusing on identifying, mitigating, and proactively governing risks associated with the user journey after they complete an ads conversion (e.g., app install, form submission, or purchase) on the advertiser’s site.
 The ideal candidate possesses a strong background in Risk Management/Integrity and has specific experience in ACE Governance, Ads Integrity that focuses on brand protection and user harm beyond the initial click.
 Key Responsibilities
 \- ACE Governance Strategy: Define the vision, strategy, and roadmap for governing and improving the quality and safety of the after\-conversion experience to protect user trust and platform integrity
 \- Risk Identification \&amp; Mitigation: Proactively identify, prioritize, and build automated defenses against high\-impact integrity risks, particularly within key conversion channels
 \- Product Development \&amp; Execution: Partner with Engineering, Data Science, and Operations teams to build scalable, automated detection and enforcement systems, leveraging machine learning and large\-scale data analysis to monitor post\-conversion compliance
 \- Measurement: Define key metrics to measure the effectiveness of ACE governance efforts and drive continuous product iteration based on data
 \- Stakeholder Collaboration: Work closely with cross\-functional teams to ensure integrity features are integrated seamlessly and achieve business goals
**Qualifications**
 Minimum Qualifications
 \- Significant years of experience in Product Management, specifically focused on Risk Management, Trust \&amp; Safety, Integrity, or Anti\-Fraud within an internet or platform company
 \- Fluency in Chinese is needed to manage stakeholders in the Greater China markets/China market
 Preferred Qualifications:
 \- Demonstrated ability to operate independently and drive significant product initiatives from ideation to launch
 \- Experience of AI application products and large\-scale advertising systems and understanding the lifecycle of an ad from submission to conversion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7">
      <c r="A67" t="inlineStr">
        <is>
          <t>li-4364038201</t>
        </is>
      </c>
      <c r="B67" t="inlineStr">
        <is>
          <t>Associate Product Manager (Insurance)</t>
        </is>
      </c>
      <c r="C67" t="inlineStr">
        <is>
          <t>Lensa</t>
        </is>
      </c>
      <c r="D67" t="inlineStr">
        <is>
          <t>linkedin</t>
        </is>
      </c>
      <c r="E67">
        <f>HYPERLINK("https://www.linkedin.com/jobs/view/4364038201", "https://www.linkedin.com/jobs/view/4364038201")</f>
        <v/>
      </c>
      <c r="F67">
        <f>HYPERLINK("https://lensa.com/cgw/6d806d74690547afac31a2129b00fa43tjo1?jpsi=directemployers&amp;publisher_preference=easier_apply&amp;utm_campaign=Other%20Management%20Occupations&amp;utm_medium=slot&amp;utm_source=linkedin&amp;utm_term=jse&amp;urlHash=iM8Q", "https://lensa.com/cgw/6d806d74690547afac31a2129b00fa43tjo1?jpsi=directemployers&amp;publisher_preference=easier_apply&amp;utm_campaign=Other%20Management%20Occupations&amp;utm_medium=slot&amp;utm_source=linkedin&amp;utm_term=jse&amp;urlHash=iM8Q")</f>
        <v/>
      </c>
      <c r="G67" t="inlineStr">
        <is>
          <t>Alpharetta, GA</t>
        </is>
      </c>
      <c r="H67" t="inlineStr"/>
      <c r="I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Kemper. Clicking "Apply Now" or "Read more" on Lensa redirects you to the job board/employer site. Any information collected there is subject to their terms and privacy notice.
 Location(s)
 Alpharetta, Georgia, Boston, Massachusetts, Columbus, Georgia, Columbus, Mississippi, Columbus, Ohio, Remote\-CT
**Details**
*Kemper is one of the nation’s leading specialized insurers. Our success is a direct reflection of the talented and diverse people who make a positive difference in the lives of our customers every day. We believe a high\-performing culture, valuable opportunities for personal development and professional challenge, and a healthy work\-life balance can be highly motivating and productive. Kemper’s products and services are making a real difference to our customers, who have unique and evolving needs. By joining our team, you are helping to provide an experience to our stakeholders that delivers on our promises.*
**Position Summary**
 Kemper Auto is seeking an Associate Product Manager. As a member of the Product team, you will be working to drive profit and growth by implementing business and pricing strategies for Kemper’s non\-standard auto line of business. Provide State Management with the detailed analysis required to profitably grow the personal lines auto insurance products and meet the needs of our customers.
**Position Responsibilities**
* Ability to work on complex problems / projects where analysis of situations or data requires an in\-depth evaluation of multiple factors.
* Works with team members to research, conduct high\-quality analyses, report, and communicate key product performance metrics.
* Research key business data using statistical analysis and data mining to understand historical patterns that can be utilized to improve business performance.
* Recognizes potential system opportunities or issues during data analysis and collaborates with Business Technology partners as appropriate.
* Inclination to take ownership of assigned projects and independently drive for results.
* Executes the development, analysis, maintenance and reporting of performance scorecards.
* Develops the programming of scalable and flexible data reporting and analysis solutions to fulfill the needs of the team.
* Documents programs, queries, and dashboards for reliable future use; automates useful reports and solutions.
* Serves as subject matter expert for Kemper Auto Product on key data that informs management\`s decisions.
* Partner with Product Managers to develop and maintain a prioritized list of these analyses.
* Identifies opportunities and determines key gaps.
**Position Qualifications**
* 3\+ years of product analyst experience.
* Auto insurance product experience preferred.
* State Management product experience.
* Experience in statistical and business analysis.
* Education equivalent to a college degree in mathematics, statistics risk management or actuarial or related field, or the equivalent in related work experience.
* Advanced Excel skills and familiarity with database querying required.
* Experience with SAS, Tableau, PowerBI or similar is desired.
* Experience with Snowflake, SQL, and SQL Server is desired.
* Excellent communication skills and the ability to interface at all levels of the organization.
* Superb relationship\-building and interpersonal skills.
* The selected candidate will work a hybrid work schedule which will require weekly reporting to our Alpharetta, GA, Connecticut, Chicago, Downers Grove, IL, Jacksonville, FL or Birmingham, AL office locations. This position can be worked remotely for a non\-local candidate.
* Sponsorship is not accepted for this position.
 The range for this position is $99,000 to $164,800\. When determining candidate offers, we consider experience, skills, education, certifications, and geographic location among other factors. This job is eligible for an annual discretionary bonus and Kemper benefits (Medical, Dental, Vision, PTO, 401k, etc.)
*Kemper is proud to be an equal opportunity employer. All applicants will be considered for employment without attention to race, color, religion, sex, sexual orientation, gender identity, national origin, veteran, disability status or any other status protected by the laws or regulations in the locations where we operate. We are committed to supporting diversity and equality across our organization and we work diligently to maintain a workplace free from discrimination. Kemper is focused on expanding our Diversity, Equity and Inclusion efforts to align with our vision, mission, and guiding principles. Kemper does not accept unsolicited resumes through or from search firms or staffing agencies. All unsolicited resumes will be considered the property of Kemper and Kemper will not be obligated to pay a placement fee.*
*Kemper will never request personal information, such as your social security number or banking information, via text or email. If you receive such a message, delete it.*
**Kemper at a Glance**
 The Kemper family of companies is one of the nation’s leading specialized insurers. With approximately $12 billion in assets, Kemper is improving the world of insurance by providing affordable and easy\-to\-use personalized solutions to individuals, families and businesses through its Kemper Auto and Kemper Life brands. Kemper serves over 4\.6 million policies, is represented by approximately 24,200 agents and brokers, and has approximately 7,500 associates dedicated to meeting the ever\-changing needs of its customers.
* Alliance United Insurance Company is not rated.
*We value diversity and strive to be an employer of choice. An Equal Opportunity Employer, M/F/D/V*
**Our Employees Enjoy Great Benefits**
* Qualify for your choice of health and dental plans within your first month.
* Save for your future with robust 401(k) match, Health Spending Accounts and various retirement plans.
* Learn and Grow with our Tuition Assistance Program, paid certifications and continuing education programs.
* Contribute to your community through United Way and volunteer programs.
* Balance your life with generous paid time off and business casual dress.
* Get employee discounts for shopping, dining and travel through Kemper Perks.
 If you have questions about this posting, please contact support@lensa.com</t>
        </is>
      </c>
    </row>
    <row r="68">
      <c r="A68" t="inlineStr">
        <is>
          <t>li-4353711727</t>
        </is>
      </c>
      <c r="B68" t="inlineStr">
        <is>
          <t>155016 Digital Product Owner</t>
        </is>
      </c>
      <c r="C68" t="inlineStr">
        <is>
          <t>JSM Consulting</t>
        </is>
      </c>
      <c r="D68" t="inlineStr">
        <is>
          <t>linkedin</t>
        </is>
      </c>
      <c r="E68">
        <f>HYPERLINK("https://www.linkedin.com/jobs/view/4353711727", "https://www.linkedin.com/jobs/view/4353711727")</f>
        <v/>
      </c>
      <c r="F68">
        <f>HYPERLINK("https://www.resume-library.com/feed/click/551/235870363?dpj=yes&amp;urlHash=eHSI", "https://www.resume-library.com/feed/click/551/235870363?dpj=yes&amp;urlHash=eHSI")</f>
        <v/>
      </c>
      <c r="G68" t="inlineStr">
        <is>
          <t>Colorado Springs, CO</t>
        </is>
      </c>
      <c r="H68" t="inlineStr"/>
      <c r="I68" t="inlineStr">
        <is>
          <t>Job Description
 **Digital Product Owner (DPO) – AI \&amp; Contact Center Automation**
**Location:** 
 Remote (Associated with Colorado Springs Campus)
 **Type:** 
 Contract
 **Schedule:** 
 40 Hours/Week
**Role Overview**
 This role functions as a
 **Digital Product Owner (DPO)** 
 within the Omni Enablement business unit. You will serve as the primary liaison between business stakeholders and IT delivery teams, acting as the "Voice of the Contact Center". The primary focus of this position is the
 **strategic development and deployment of AI\-enabled capabilities** 
 to modernize contact center operations.
**Key Responsibilities**
* Backlog Management: Own and prioritize the product backlog, including new features, technical defects, and automation requirements.
* AI \&amp; Automation Leadership: Identify and prioritize automation opportunities specifically tailored for contact center environments.
* Strategic Liaison: Represent business stakeholders to elicit, analyze, and document complex business needs for technical execution.
* Decision Making: Serve as the day\-to\-day decision maker for the execution team, providing continual guidance to ensure alignment with executive strategies.
* Product Validation: Review and accept/decline development output based on predefined acceptance criteria and customer perspective.
* Risk Mitigation: Partner with IT and business teams to identify and mitigate operational risks while ensuring compliance with Enterprise controls.
**Required Skills \&amp; Expertise**
* Backlog Management: Expert\-level proficiency in managing Agile backlogs and product roadmaps.
* Contact Center Operations: Deep understanding of contact center environments, metrics, and workflows.
* AI \&amp; Automation: Critical experience in deploying AI technologies and automation solutions.
* Agile Framework: Strong experience working in iterative Agile development environments.
* Data\-Driven Decision Making: Ability to perform cost\-benefit analysis and utilize validating metrics to drive investment and business value.
**Technology Toolset**
* Jira: Primary tool for backlog management, task prioritization, and development tracking.
* Figma: Used for collaborating with designers and user experience (UX) partners to visualize product solutions.
**Candidate Success Criteria**
 The ideal candidate is a strategic thinker who can navigate both Agile and Waterfall methodologies. High priority will be given to candidates who demonstrate
 **Technical Problem Solving** 
 skills and a proven track record of managing
 **AI\-enabled product releases** 
 .</t>
        </is>
      </c>
    </row>
    <row r="69">
      <c r="A69" t="inlineStr">
        <is>
          <t>li-4363768232</t>
        </is>
      </c>
      <c r="B69" t="inlineStr">
        <is>
          <t>Product Manager, Automotive Vertical - REMOTE</t>
        </is>
      </c>
      <c r="C69" t="inlineStr">
        <is>
          <t>Jobgether</t>
        </is>
      </c>
      <c r="D69" t="inlineStr">
        <is>
          <t>linkedin</t>
        </is>
      </c>
      <c r="E69">
        <f>HYPERLINK("https://www.linkedin.com/jobs/view/4363768232", "https://www.linkedin.com/jobs/view/4363768232")</f>
        <v/>
      </c>
      <c r="F69" t="inlineStr"/>
      <c r="G69" t="inlineStr">
        <is>
          <t>Arizona, United States</t>
        </is>
      </c>
      <c r="H69" t="inlineStr"/>
      <c r="I69" t="inlineStr">
        <is>
          <t>This position is posted by Jobgether on behalf of a partner company. We are currently looking for a Product Manager, Automotive Vertical. This role is crucial as it requires overseeing product strategy, discovery, and execution specifically for the Automotive industry. The ideal candidate will possess deep expertise in automotive processes, aiding in the translation of customer insights into actionable product direction. You'll be responsible for ensuring that the products align with customer needs and market demands, fostering collaboration across various teams. The impact of your work will enhance product outcomes and drive success in the Automotive vertical.
**Accountabilities**
* Own product strategy, roadmap, and prioritization for the Automotive vertical
* Lead customer discovery through direct conversations, market research, and insights
* Translate automotive\-specific workflows and customer needs into clear product requirements
* Partner closely with Engineering to deliver high\-quality solutions aligned with vertical priorities
* Collaborate with Sales and Customer Success to ensure product decisions reflect customer needs
* Drive prioritization decisions based on business impact, feasibility, and customer value
* Support go\-to\-market readiness and ongoing iteration for Automotive\-focused capabilities
* Represent the Automotive vertical in cross\-functional planning discussions
**Requirements**
* 5–8\+ years of Product Management experience in SaaS or technology\-driven environments
* Strong automotive industry experience (e.g., OEM, dealer technology, automotive SaaS)
* Proven ability to lead complex, cross\-functional initiatives from discovery through delivery
* Strong customer discovery and problem\-framing skills
* Comfort operating in fast\-moving, ambiguous environments
* Strong communication, prioritization, and stakeholder management skills
* Baseline technical fluency to effectively partner with Engineering and technical teams
**Benefits**
* Comprehensive benefits package including medical, dental, and vision coverage
* Paid time off and holidays
* 401(k) plan
* Equity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0">
      <c r="A70" t="inlineStr">
        <is>
          <t>li-4364008311</t>
        </is>
      </c>
      <c r="B70" t="inlineStr">
        <is>
          <t>Sr. Automotive Product Manager - Remote</t>
        </is>
      </c>
      <c r="C70" t="inlineStr">
        <is>
          <t>Jobgether</t>
        </is>
      </c>
      <c r="D70" t="inlineStr">
        <is>
          <t>linkedin</t>
        </is>
      </c>
      <c r="E70">
        <f>HYPERLINK("https://www.linkedin.com/jobs/view/4364008311", "https://www.linkedin.com/jobs/view/4364008311")</f>
        <v/>
      </c>
      <c r="F70">
        <f>HYPERLINK("https://jobs.lever.co/jobgether/28b906b2-3878-46e6-9538-87e0a1a9a4ed/apply?source=LinkedIn&amp;urlHash=aLly", "https://jobs.lever.co/jobgether/28b906b2-3878-46e6-9538-87e0a1a9a4ed/apply?source=LinkedIn&amp;urlHash=aLly")</f>
        <v/>
      </c>
      <c r="G70" t="inlineStr">
        <is>
          <t>Texas, United States</t>
        </is>
      </c>
      <c r="H70" t="inlineStr"/>
      <c r="I70" t="inlineStr">
        <is>
          <t>This position is posted by Jobgether on behalf of a partner company. We are currently looking for a Product Manager, Automotive Vertical. This role is crucial as it requires overseeing product strategy, discovery, and execution specifically for the Automotive industry. The ideal candidate will possess deep expertise in automotive processes, aiding in the translation of customer insights into actionable product direction. You'll be responsible for ensuring that the products align with customer needs and market demands, fostering collaboration across various teams. The impact of your work will enhance product outcomes and drive success in the Automotive vertical.
**Accountabilities**
* Own product strategy, roadmap, and prioritization for the Automotive vertical
* Lead customer discovery through direct conversations, market research, and insights
* Translate automotive\-specific workflows and customer needs into clear product requirements
* Partner closely with Engineering to deliver high\-quality solutions aligned with vertical priorities
* Collaborate with Sales and Customer Success to ensure product decisions reflect customer needs
* Drive prioritization decisions based on business impact, feasibility, and customer value
* Support go\-to\-market readiness and ongoing iteration for Automotive\-focused capabilities
* Represent the Automotive vertical in cross\-functional planning discussions
**Requirements**
* 5–8\+ years of Product Management experience in SaaS or technology\-driven environments
* Strong automotive industry experience (e.g., OEM, dealer technology, automotive SaaS)
* Proven ability to lead complex, cross\-functional initiatives from discovery through delivery
* Strong customer discovery and problem\-framing skills
* Comfort operating in fast\-moving, ambiguous environments
* Strong communication, prioritization, and stakeholder management skills
* Baseline technical fluency to effectively partner with Engineering and technical teams
**Benefits**
* Comprehensive benefits package including medical, dental, and vision coverage
* Paid time off and holidays
* 401(k) plan
* Equity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1">
      <c r="A71" t="inlineStr">
        <is>
          <t>li-4363798042</t>
        </is>
      </c>
      <c r="B71" t="inlineStr">
        <is>
          <t>Sr. Technical Program Manager , Prime Video Sports Linear and News</t>
        </is>
      </c>
      <c r="C71" t="inlineStr">
        <is>
          <t>Lensa</t>
        </is>
      </c>
      <c r="D71" t="inlineStr">
        <is>
          <t>linkedin</t>
        </is>
      </c>
      <c r="E71">
        <f>HYPERLINK("https://www.linkedin.com/jobs/view/4363798042", "https://www.linkedin.com/jobs/view/4363798042")</f>
        <v/>
      </c>
      <c r="F71">
        <f>HYPERLINK("https://lensa.com/cgw/02230862be86441e9c1ae75acd68ab59tjo1?jpsi=directemployers&amp;publisher_preference=easier_apply&amp;utm_campaign=Top%20Executives&amp;utm_medium=slot&amp;utm_source=linkedin&amp;utm_term=jse&amp;urlHash=lpMY", "https://lensa.com/cgw/02230862be86441e9c1ae75acd68ab59tjo1?jpsi=directemployers&amp;publisher_preference=easier_apply&amp;utm_campaign=Top%20Executives&amp;utm_medium=slot&amp;utm_source=linkedin&amp;utm_term=jse&amp;urlHash=lpMY")</f>
        <v/>
      </c>
      <c r="G71" t="inlineStr">
        <is>
          <t>Seattle, WA</t>
        </is>
      </c>
      <c r="H71" t="inlineStr"/>
      <c r="I7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 Define, design, and implement multi\-tier distributed services and customer experiences
* Be involved in designing, implementing, and testing of major features
* Estimate engineering effort, plan implementation, and rollout system changes that meet requirements for functionality, performance, scalability, reliability, and adherence to development goals and principles.
*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WA, Seattle \- 148,700\.00 \- 201,200\.00 USD annually
 If you have questions about this posting, please contact support@lensa.com</t>
        </is>
      </c>
    </row>
    <row r="72">
      <c r="A72" t="inlineStr">
        <is>
          <t>li-4364018122</t>
        </is>
      </c>
      <c r="B72" t="inlineStr">
        <is>
          <t>Customer Program Manager</t>
        </is>
      </c>
      <c r="C72" t="inlineStr">
        <is>
          <t>Lensa</t>
        </is>
      </c>
      <c r="D72" t="inlineStr">
        <is>
          <t>linkedin</t>
        </is>
      </c>
      <c r="E72">
        <f>HYPERLINK("https://www.linkedin.com/jobs/view/4364018122", "https://www.linkedin.com/jobs/view/4364018122")</f>
        <v/>
      </c>
      <c r="F72">
        <f>HYPERLINK("https://lensa.com/cgw/b40372876ad64808ac2f0fee90792b7etjo1?jpsi=directemployers&amp;publisher_preference=easier_apply&amp;utm_campaign=Sales%20Representatives%2C%20Services&amp;utm_medium=slot&amp;utm_source=linkedin&amp;utm_term=jse&amp;urlHash=Pss2", "https://lensa.com/cgw/b40372876ad64808ac2f0fee90792b7etjo1?jpsi=directemployers&amp;publisher_preference=easier_apply&amp;utm_campaign=Sales%20Representatives%2C%20Services&amp;utm_medium=slot&amp;utm_source=linkedin&amp;utm_term=jse&amp;urlHash=Pss2")</f>
        <v/>
      </c>
      <c r="G72" t="inlineStr">
        <is>
          <t>Phoenix, AZ</t>
        </is>
      </c>
      <c r="H72" t="inlineStr"/>
      <c r="I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Honeywell. Clicking "Apply Now" or "Read more" on Lensa redirects you to the job board/employer site. Any information collected there is subject to their terms and privacy notice.
 As a
 **Customer Program Manager** 
 here at Honeywell, you will play a crucial role in leading and overseeing the successful execution of customer programs, specifically requiring experience with the Department of Defense. You will be responsible for managing and delivering customer programs, ensuring alignment with strategic objectives, and driving program performance.
 You will report directly to our
 **Program Director** 
 and you’ll work out of our
 **Phoenix, Clearwater, or Torrance** 
 location on a
 **Hybrid** 
 work schedule.
 In this role, your impact will be comprehensive, encompassing strategic direction, alignment, execution, performance monitoring, risk management, stakeholder engagement, decision support, innovation, communication, budget management, cross\-functional collaboration, long\-term sustainability, performance improvement, employee development, and competitive advantage. You play a critical role in ensuring that strategic plans are not only formulated but effectively implemented to drive the organization's success and long\-term growth.
**Key Responsibilities**
* Lead and oversee the execution of customer programs.
* Manage and deliver customer programs within scope, schedule, and budget.
* Ensure alignment of customer programs with strategic objectives.
* Identify and mitigate program risks and issues.
* Collaborate with cross\-functional teams and customers to ensure program success.
* Provide leadership and guidance to program teams.
* Monitor and report program performance metrics.
* Ensure customer experience in Aerospace \&amp; Defense customers – Primes and/or other Suppliers as customers.
**YOU MUST HAVE**
* Minimum of 6 years of experience in program management or related roles.
* Strong leadership and team management skills.
* Excellent strategic thinking and problem\-solving skills.
* Strong understanding of program management principles and methodologies.
* Experience managing customer programs with multiple stakeholders.
* Program Management experience in production and/or sustainment programs.
* Program Management experience owning DoD contracts (FAR15\).
* Customer experience in Aerospace \&amp; Defense customers – Primes and/or other Suppliers as customers.
* Understanding of FAR12 vs FAR15 contracts.
* Must have lead Program Management experience – not in a support role.
* Experience in Hardware Development (HD) related to aerospace systems.
* Department of Defense experience is required.
**WE VALUE**
* Bachelor's degree in Engineering, Business, or a related field.
* Minimum of 6 years of experience in program management or related roles.
* Experience in a global organization.
* Strong negotiation and influencing skills.
* Ability to adapt to a fast\-paced and changing environment.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(https://www.honeywell.com/us/en)
**THE BUSINESS UNIT**
 Honeywell's Defense \&amp; Space (D\&amp;S) business unit is a leader in providing advanced technologies and solutions for defense and aerospace applications. We focus on delivering innovative products and services that enhance mission success for our customers. Our offerings include avionics, navigation systems, and advanced communication technologies, all designed to meet the rigorous demands of the defense and aerospace industries. With a commitment to excellence and a strong focus on customer needs, we strive to create solutions that ensure safety, efficiency, and effectiveness in every mission. To learn more, please visit click here (https://aerospace.honeywell.com/) .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
 The application period for the job is estimated to be 40 days from the job posting date; however, this may be shortened or extended depending on business needs and the availability of qualified candidates.
 The annual base salary range for this position in California and New York (excluding most major metropolitan areas), Colorado, Connecticut, and Hawaii is $147,000 \- $170,000\. For Washington and most major metropolitan areas in New York \&amp; California, the annual base salary range is $168,000 \- $200,000\.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**Due to compliance with U.S. export control laws and regulations, candidate must be a U.S. citizen, U.S. permanent resident, or have asylum or refugee status in the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If you have questions about this posting, please contact support@lensa.com</t>
        </is>
      </c>
    </row>
    <row r="73">
      <c r="A73" t="inlineStr">
        <is>
          <t>li-4360200484</t>
        </is>
      </c>
      <c r="B73" t="inlineStr">
        <is>
          <t>Senior Technical Program Manager</t>
        </is>
      </c>
      <c r="C73" t="inlineStr">
        <is>
          <t>Crunchyroll</t>
        </is>
      </c>
      <c r="D73" t="inlineStr">
        <is>
          <t>linkedin</t>
        </is>
      </c>
      <c r="E73">
        <f>HYPERLINK("https://www.linkedin.com/jobs/view/4360200484", "https://www.linkedin.com/jobs/view/4360200484")</f>
        <v/>
      </c>
      <c r="F73">
        <f>HYPERLINK("https://boards.greenhouse.io/crunchyroll/jobs/7485832?gh_jid=7485832&amp;gh_src=16d404cd1us&amp;urlHash=2dit", "https://boards.greenhouse.io/crunchyroll/jobs/7485832?gh_jid=7485832&amp;gh_src=16d404cd1us&amp;urlHash=2dit")</f>
        <v/>
      </c>
      <c r="G73" t="inlineStr">
        <is>
          <t>Los Angeles, CA</t>
        </is>
      </c>
      <c r="H73" t="inlineStr"/>
      <c r="I73"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**Who We Are**
 We’re a cast of characters working to shine a spotlight on anime. Crunchyroll, a Sony PIctures Entertainment subsidiary with employees across the globe, is an international business focused on creating both online and offline experiences for fans through content (licensed, co\-produced, originals, distribution), merchandise, events, gaming, news, and more. Visit our About Us pages for more information.
**About The Team**
 The Technology Solutions Business Operations organization is a distributed team responsible for coordinating initiatives for the Crunchyroll IT and Security teams. We work to standardize Agile methodologies for the organization, evangelize process improvements, and lead cross\-team communications. By joining the Technology Solutions team, you’ll be a part of our Global Team of IT professionals, helping deliver the tools, services, and technical solutions that enable our internal teams to deliver a world\-class anime experience to fans each and every day.
* This is a full\-time, on\-site position based in Dallas, TX; or Los Angeles, CA
* Standard business hours with occasional travel for vendor meetings or project support as needed.
* Collaborative, cross\-functional team environment with exposure to enterprise\-level IT operations.
 Join our team, and help us shape the future of anime!
**About The Role**
 We are seeking an experienced, detail\-oriented Senior Program Manager with a passion for leading teams, coordinating information, and solving problems across the IT organization.
 This role will be based on\-site at least 3 days per week in one of our office locations—Dallas, TX; or Los Angeles, CA—and will play a critical role in managing IT initiatives. (Candidates must be able to work onsite at one of these locations)
 The ideal candidate brings a strong program management background, has demonstrated the ability to deliver against company strategic goals, and drives value through efficient process and data\-driven insights.
 This position will report into the Senior Director of Program Management for the Technology Solutions group and will work closely with various teams across the business to support pivotal initiatives.
**Core Areas of Responsibility**
* Organize, plan and track ongoing projects and strategic initiatives for the Technology Solutions teams
* Oversee the day\-to\-day progress of projects and initiatives with regard to schedule, scope, and process \- and organizes information so it’s digestible for a globally distributed team
* Effectively lead meetings, track next actions, and proactively follow up on action items
* Build and leverage effective partnerships across technical and business communities
* Serve as a key liaison with relevant business groups to facilitate planning and collaboration between teams, align on goals, identify dependencies, mitigate risks, and effectively communicate regular updates to all stakeholders
* Demonstrate an understanding of the business and its structure, processes, and tools, and how initiatives positively impact the overall business
* Establish and maintain best practices and repeatable processes to increase efficiency for teams in conjunction with the larger Technology Solutions group
**About You:**
 We get excited about candidates like you because you have:
* 5\+ years experience as project or program manager
* BS degree or equivalent experience required, MS degree preferred
* Experience working with globally distributed teams
* Working knowledge and understanding of key concepts and best practices for program management
* Excellent written and verbal communication skills at all levels, including Senior and C\-level stakeholders
* Must be self\-motivating, self\-sufficient and have the strong ability to work effectively as an individual or as part of a team
* Accuracy, acute attention to detail, and ability to work with minimal direct supervision
* Ideal candidate is inquisitive, organized, meticulous and has a desire for continued self\-improvement and development of new skills
* Ability to demonstrate a calm and cool demeanor when managing multiple projects and deliverables
* Outstanding time management skills to balance multiple, changing priorities
* Experience with both agile and waterfall methodologies, and knowing when to apply each, preferred
* Experience with tools such as JIRA, Confluence, Smartsheet and Google Suite, a plus
 Nice to haves:
* Prior experience in or managing projects related to technology or streaming, a plus
* Professional certification such as PMP, CSM
* Experience working within an IT team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 you to take the time you need to be your whole self.
* Generous medical, dental, vision, STD, LTD, and life insurance
* Health Savings Account HSA program
* Health care and dependent care FSA
* 401(k) plan, with employer match
* Employer\-paid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Los Angeles, CA
 $105,248—$131,560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74">
      <c r="A74" t="inlineStr">
        <is>
          <t>li-4363788311</t>
        </is>
      </c>
      <c r="B74" t="inlineStr">
        <is>
          <t>Senior Technical Program Manager</t>
        </is>
      </c>
      <c r="C74" t="inlineStr">
        <is>
          <t>Lensa</t>
        </is>
      </c>
      <c r="D74" t="inlineStr">
        <is>
          <t>linkedin</t>
        </is>
      </c>
      <c r="E74">
        <f>HYPERLINK("https://www.linkedin.com/jobs/view/4363788311", "https://www.linkedin.com/jobs/view/4363788311")</f>
        <v/>
      </c>
      <c r="F74">
        <f>HYPERLINK("https://lensa.com/cgw/d833d648d3b14b0482cdcb34eaf3386atjo1?jpsi=directemployers_no_redirect&amp;publisher_preference=easier_apply&amp;utm_campaign=Top%20Executives&amp;utm_medium=slot&amp;utm_source=linkedin&amp;utm_term=jse&amp;urlHash=AWoU", "https://lensa.com/cgw/d833d648d3b14b0482cdcb34eaf3386atjo1?jpsi=directemployers_no_redirect&amp;publisher_preference=easier_apply&amp;utm_campaign=Top%20Executives&amp;utm_medium=slot&amp;utm_source=linkedin&amp;utm_term=jse&amp;urlHash=AWoU")</f>
        <v/>
      </c>
      <c r="G74" t="inlineStr">
        <is>
          <t>Long Beach, CA</t>
        </is>
      </c>
      <c r="H74" t="inlineStr"/>
      <c r="I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Ford Motor Company. Clicking "Apply Now" or "Read more" on Lensa redirects you to the job board/employer site. Any information collected there is subject to their terms and privacy notice.
 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As a Senior Technical Program Manager \- you will sit at the intersection of strategy and execution for Ford's electric vehicle future. You will own the delivery of critical transformation initiatives, driving roadmap creation, prioritization, and follow through. Your expertise will be crucial in bridging the gap between EVDD innovation and legacy system stability, leading cross\-functional teams to build the scalable capabilities necessary for Ford's next generation of mobility.
 What you'll do...
* Act as the coordination lead for assigned workstream portfolio, ensuring alignment across internal ADVEV Digital Transformation (ADT) team and dependencies with the broader organization
* Define quarterly roadmap, milestones, and dependencies
* Run operating cadences and drive timely decisions with clear escalations
* Maintain workstream risk register and use it to lead mitigation
* Define KPIs and build dashboards tracking ADT team delivery
* Configure project planning tools and ensure data hygiene within the ADT team
* Align expectations and resolve conflicts with our stakeholders alongside the Business Architect and Organizational Change Management team
* Define and maintain prioritization frameworks tied to vehicle milestones and business requirements, using this structure to set and justify execution priorities
* Keep lead TPM informed of progress, key updates, and emerging risks across your portfolio
* Be a team player\-identify gaps and either jump in yourself or champion for the right resources to fill them
* Support the team's overall success, not just your individual work streams
 You'll have...
* Bachelor's Degree or equivalent combination of relevant education and experience
* Proven experience in digital transformation or business transformation projects
* Proven experience as a Technical Program Manager
* Strong technical program management and planning skills, overseeing multiple projects at the same time
* Strong collaboration skills to integrate cross\-functional teams
* Strong communication and leadership skills
* Experience with Jira as a team planning tool
 Even better, you may have....
* Accountability, consistency, \&amp; follow\-through
* Attention to detail
* Critical thinking capacity
* Continuous improvement mindset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https://fordcareers.co/GSRSP3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**Requisition ID** 
 : 56600
 If you have questions about this posting, please contact support@lensa.com</t>
        </is>
      </c>
    </row>
    <row r="75">
      <c r="A75" t="inlineStr">
        <is>
          <t>li-4347630865</t>
        </is>
      </c>
      <c r="B75" t="inlineStr">
        <is>
          <t>EU MDR Program Manager</t>
        </is>
      </c>
      <c r="C75" t="inlineStr">
        <is>
          <t>Avanos Medical</t>
        </is>
      </c>
      <c r="D75" t="inlineStr">
        <is>
          <t>linkedin</t>
        </is>
      </c>
      <c r="E75">
        <f>HYPERLINK("https://www.linkedin.com/jobs/view/4347630865", "https://www.linkedin.com/jobs/view/4347630865")</f>
        <v/>
      </c>
      <c r="F75">
        <f>HYPERLINK("https://careers.avanos.com/job/EU-MDR-Program-Manager/6818-en_US&amp;urlHash=cF39", "https://careers.avanos.com/job/EU-MDR-Program-Manager/6818-en_US&amp;urlHash=cF39")</f>
        <v/>
      </c>
      <c r="G75" t="inlineStr"/>
      <c r="H75" t="inlineStr"/>
      <c r="I75" t="inlineStr">
        <is>
          <t>**Requisition ID: 6818**
**Job Title: EU MDR Program Manager**
**Job Country: United States (US)**
 Here at Avanos Medical, we passionately believe in three things:
* Making a difference in our products, services and offers, never ceasing to fight for groundbreaking solutions in everything we do;
* Making a difference in how we work and collaborate, constantly nurturing our nimble culture of innovation;
*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Avanos Medical is traded on the New York Stock Exchange under the ticker symbol AVNS. For more information, visit www.avanos.com .
**The role**
 You will be a member of the Enterprise PMO team that supports the planning and execution of transformation programs within Avanos The role will serve as the program leader for high\-profile, business\-critical projects/programs including, but not limited to, EU MDR Program. In this role, you will work closely with cross functional teams, including regulatory, quality, clinical, R\&amp;D and manufacturing to ensure timely and effective program compliance.
 This role is hybrid requiring 2\-3 days/week in the Alpharetta office.
**Responsibilities**
**Essential Duties and Responsibilities:**
* Drive and execute complex projects/programs with excellence through all project stages (Initiation, Planning, Executing, Monitoring and Controlling, and Closing).
* Provide overarching leadership of programs that may contain several project workstreams.
* Monitor and report on program progress, identifying and mitigating risks
* Manage stakeholder and project communication regarding program decisions, direction, and issues (includes updates to leadership, stakeholder alignment on project scope and milestones, and escalation of issues and risks).
* Must have the ability to communicate effectively at the C\-Suite Level.
* Coordinate internal and external resources, ensuring project deliverables remain within scope, schedule, and within defined budgets, in collaboration with project staff from various functional departments including marketing, quality, clinical, regulatory, design, human factors, packaging, process development, procurement, etc.
* Ability to deep dive into program issues to provide resolution alongside Subject Matter Experts.
**Your Qualifications**
**Required:**
* Experience in medical device program management or similar role, successfully managing EU MDR implementation or related programs
* Education: BS or advanced degree in engineering, or other related technical discipline
* Experience: 3 to 5 years’ experience in the medical device industry and quality management systems experience; 3\+ years of industry experience in project management; regulated medical device experience highly preferred.
* Certification(s) / License(s): Project Management Certification or equivalent preferred
* Strong and broad skills using the tools and technique of project management (WBS, risk register, issues log, budget forecasting, etc.).
* Understanding of the total product lifecycle, with emphasis on the regulated design process
* Ability to lead in the face of ambiguity.
* Ability to lead large cross\-functional teams and drive execution and accountability to ensure on time delivery of key project milestones.
* Outstanding communication and presentation skills (written and verbal) to all levels of an organization.
* Must be adept at planning, interpersonal skills, conflict resolution, and organizing teamwork.
* Domestic and/or International travel as needed (approximately 20%)
 The statements above are intended to describe the general nature and level of work performed by employees assigned to this classification. Statements are not intended to be construed as an exhaustive list of all duties, responsibilities and skills required for this position.
 Avanos Medical is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**IMPORTANT: If you are a current employee of Avanos or a current Avanos Contractor, please apply here .**
**Join us at Avanos**
 Join us and you can make a difference in our products, solutions and our culture. Most of all, you can make a difference in the lives, people, and communities around the world.
**Make your career count**
 Our commitment to improving the health and wellbeing of others begins with our employees – through a comprehensive and competitive range of benefits. We provide more than just a salary – our Total Rewards package encompasses everything you receive as an employee; your pay, health care benefits, retirement plans and work/life benefits.
 Avanos offers a generous 401(k) employer match of 100% of each pretax dollar you contribute on the first 4% and 50% of the next 2% of pay contributed with immediate vesting.
**Avanos Also Offers The Following**
 benefits on day 1
 free onsite gym
 onsite cafeteria
 HQ region voted 'best place to live' by USA Today
 uncapped sales commissions</t>
        </is>
      </c>
    </row>
    <row r="76">
      <c r="A76" t="inlineStr">
        <is>
          <t>li-4363798043</t>
        </is>
      </c>
      <c r="B76" t="inlineStr">
        <is>
          <t>Senior Strategy Program Manager</t>
        </is>
      </c>
      <c r="C76" t="inlineStr">
        <is>
          <t>Lensa</t>
        </is>
      </c>
      <c r="D76" t="inlineStr">
        <is>
          <t>linkedin</t>
        </is>
      </c>
      <c r="E76">
        <f>HYPERLINK("https://www.linkedin.com/jobs/view/4363798043", "https://www.linkedin.com/jobs/view/4363798043")</f>
        <v/>
      </c>
      <c r="F76" t="inlineStr"/>
      <c r="G76" t="inlineStr">
        <is>
          <t>Redmond, WA</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Microsoft’s Cloud Operations \&amp; Innovation (CO\+I) team is seeking a
 **Senior Strategy Program Manager** 
 to support Strategic Affairs for global land acquisition and development. This role contributes to shaping and advancing strategic frameworks, partnerships, and governance models that enable Microsoft to scale its physical infrastructure with speed, predictability, and resilience \- powering the next generation of cloud services and AI innovation.
 CO\+I manages the full lifecycle of Microsoft’s cloud infrastructure, from site selection and land development to operational readiness. Our global footprint spans datacenters in 34 countries and thousands of megawatts of capacity, forming the backbone of Microsoft Azure and supporting billions of customers worldwide.
 As Senior Strategy Program Manager, you will join an exceptional team responsible for designing and implementing strategic initiatives that remove systemic barriers and optimize delivery pathways for global infrastructure expansion.
 This role operates at the intersection of policy, strategy, and execution, partnering closely with government affairs, legal, energy, and engineering teams to create conditions that accelerate development while maintaining compliance and sustainability commitments.
 You will work in close collaboration with senior strategy leaders to support global decision\-making, contribute to policy\-related initiatives, and help develop scalable processes that align with Microsoft’s long\-term growth objectives.
**Responsibilities**
* Support Strategic Enablement Initiatives: Support the development and advancement of strategies to inform permitting, regulatory compliance, and land development processes globally, aligning with business objectives and regional regulatory environments.
* Policy \&amp; Advocacy: Partner with Government Affairs to support engagement with regulatory policy makers in the environmental, land use, and construction sectors, including accelerated permitting processes and designated projects of economic interest.
* Cross\-Functional Leadership: Partner across land acquisition, energy, network, legal, environmental, and engineering teams to align priorities, clarify interdependencies, and support integrated delivery planning.
* Risk Mitigation: Identify and assess systemic risks impacting infrastructure timelines and contribute to proactive mitigation strategies through strategic analysis and cross\-functional coordination.
* Stakeholder Engagement: Establish and maintain trusted relationships with internal executives and external partners to drive consensus on strategic priorities.
* Data\-Driven Insights: Contribute to metrics, reporting, and analytical frameworks that measure impact, track progress across a portfolio of initiatives, and inform executive and senior leadership decision\-making.
* Thought Leadership: Support Microsoft’s participation in industry forums and regulatory discussions to advance cloud infrastructure policy.
**Qualifications**
 Required Qualifications:
* Bachelor's Degree in Business Management, Real Estate, Project Management, or related field AND 5\+ years relevant experience OR 7\+ years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Business Management, Real Estate, Project Management, or related field AND 7\+ years Portfolio Management, Real Estate, or Office management experience OR 10\+ years equivalent experience.
* 7\+ years of experience in strategic affairs, regulatory policy, or infrastructure development within technology or industrial sectors.
* Demonstrated experience influencing policy and driving systemic improvements in complex, global environments.
* Demonstrated experience supporting land acquisition, permitting, and regulatory frameworks for large\-scale infrastructure projects.
* Demonstrated experience influencing and working with regulatory policy makers in the environmental, land use and construction sectors.
* Demonstrated experience in the permitting of projects via accelerated permitting processes (designated projects of economic interest, etc.).
* Demonstrated experience managing a portfolio of projects and associated budgets and schedules.
* Demonstrated ability to establish and maintain cross\-functional working relationships with internal and external teams including environmental consultants, engineering firms, attorneys, contractors, and regulatory agencies.
* Demonstrated written and verbal communication skills, attention to detail and high standards for quality of deliverables.
* Exceptional leadership skills with experience managing global, cross\-functional teams.
* Demonstrated analytical and negotiation capabilities; ability to simplify complexity and drive clarity.
 \#COICareers \| \#EPCCareers \| \#DCDCareers
 Real Estate Portfolio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77">
      <c r="A77" t="inlineStr">
        <is>
          <t>li-4363767967</t>
        </is>
      </c>
      <c r="B77" t="inlineStr">
        <is>
          <t>Program Manager, PMO - Marketplace Portfolio Oversight - Remote</t>
        </is>
      </c>
      <c r="C77" t="inlineStr">
        <is>
          <t>Lensa</t>
        </is>
      </c>
      <c r="D77" t="inlineStr">
        <is>
          <t>linkedin</t>
        </is>
      </c>
      <c r="E77">
        <f>HYPERLINK("https://www.linkedin.com/jobs/view/4363767967", "https://www.linkedin.com/jobs/view/4363767967")</f>
        <v/>
      </c>
      <c r="F77" t="inlineStr"/>
      <c r="G77" t="inlineStr">
        <is>
          <t>Chandler, AZ</t>
        </is>
      </c>
      <c r="H77" t="inlineStr"/>
      <c r="I7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Molina Healthcare. Clicking "Apply Now" or "Read more" on Lensa redirects you to the job board/employer site. Any information collected there is subject to their terms and privacy notice.
**Job Description**
**Job Summary**
 Focuses on process improvement, organizational change management, project management and other processes relative to the business. Project management includes estimating, scheduling, costing, planning, and issue/risk management.
**Knowledge/Skills/Abilities**
* Ability to manage multiple complexes, challenging projects simultaneously. Deep understanding of multiple projects and relationships between projects.
* Expert knowledge of methods and techniques involved in project management initiatives.
* Complete mastery of standard applications and project specific software. Able to learn new software with little to no instruction within a short timeframe and instruct others on its functionality.
* Proactively assesses projects for potential problem areas. Investigates, develops, and evaluates solutions to a wide range of very complex problems spanning across multiple projects.
* Establishes processes, procedures, and tools to increase efficiency. Effectively manages and resolves very complex project issues and proactively plans to prevent such issues. Projects may have extensive cross functional impact and team organization.
**Job Qualifications**
**Required Education**
 Bachelor's degree or equivalent combination of education and experience and at least 1 PM course required
**Required Experience**
 4\-7 years of relevant work experience in business, engineering, or a related field in lieu of degree acceptable.
**Preferred Education**
 Additional formal training in PM preferred.
**Preferred License, Certification, Association**
 PMP or Six Sigma Green Belt Certification desired.
 To all current Molina employees: If you are interested in applying for this position, please apply through the intranet job listing.
 Molina Healthcare offers a competitive benefits and compensation package. Molina Healthcare is an Equal Opportunity Employer (EOE) M/F/D/V.
 Pay Range: $80,412 \- $188,164 / ANNUAL
* Actual compensation may vary from posting based on geographic location, work experience, education and/or skill level.
 If you have questions about this posting, please contact support@lensa.com</t>
        </is>
      </c>
    </row>
    <row r="78">
      <c r="A78" t="inlineStr">
        <is>
          <t>li-4363818202</t>
        </is>
      </c>
      <c r="B78" t="inlineStr">
        <is>
          <t>IT Program Manager</t>
        </is>
      </c>
      <c r="C78" t="inlineStr">
        <is>
          <t>Lensa</t>
        </is>
      </c>
      <c r="D78" t="inlineStr">
        <is>
          <t>linkedin</t>
        </is>
      </c>
      <c r="E78">
        <f>HYPERLINK("https://www.linkedin.com/jobs/view/4363818202", "https://www.linkedin.com/jobs/view/4363818202")</f>
        <v/>
      </c>
      <c r="F78">
        <f>HYPERLINK("https://lensa.com/cgw/576d4cc05a5242ffb1d4bf64efd4cd22tjo1?jpsi=directemployers_no_redirect&amp;publisher_preference=easier_apply&amp;utm_campaign=Computer%20Occupations&amp;utm_medium=slot&amp;utm_source=linkedin&amp;utm_term=jse&amp;urlHash=qICy", "https://lensa.com/cgw/576d4cc05a5242ffb1d4bf64efd4cd22tjo1?jpsi=directemployers_no_redirect&amp;publisher_preference=easier_apply&amp;utm_campaign=Computer%20Occupations&amp;utm_medium=slot&amp;utm_source=linkedin&amp;utm_term=jse&amp;urlHash=qICy")</f>
        <v/>
      </c>
      <c r="G78" t="inlineStr">
        <is>
          <t>Washington, DC</t>
        </is>
      </c>
      <c r="H78" t="inlineStr"/>
      <c r="I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TekSynap. Clicking "Apply Now" or "Read more" on Lensa redirects you to the job board/employer site. Any information collected there is subject to their terms and privacy notice.
**Responsibilities**
**Responsibilities \&amp; Qualifications**
* Direct all facets of contractor support in alignment with the Performance Work Statement (PWS), to include planning, staffing, coordination, integration, and oversight to achieve schedule and performance goals.
* Oversee daily operations, ensuring smooth execution of administrative tasks and project\-related activities.
* Monitor and address project risks, validate assumptions, and resolve team or interpersonal challenges to maintain productivity.
* Provide leadership to ensure program and project objectives are met, guiding the team across all assigned responsibilities.
* Participate in strategic decision\-making, offering insights and collaboration to drive successful project outcomes.
**Required Qualifications**
* Minimum of 10 years of experience in IT or logistics project/program management with demonstrated supervisory responsibilities.
* Experience in Department of Defense (DoD) logistics functions, including but not limited to finance, supply, contract administration, transportation, and project management.
* Proficient in the use of Microsoft Project for project planning and tracking.
* Clearance \-Secret
**Overview**
 We are seeking a IT Program Manager to join our TekSynap Defense team.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Locations: Hybrid/Remote with intermit travel to Washington D.C. area
* Type of environment: Hybrid/Remote
* Noise level: Medium
* Work schedule: Schedule is day shift Monday \- Friday. May be requested to work evenings and weekends to meet program and contract needs.
*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
 Secret clearance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
**Job Locations** 
*US\-DC\-Washington*
**ID** 
*2025\-8351*
**Category** 
*Information Technology*
**Type** 
*Regular Full\-Time*
 If you have questions about this posting, please contact support@lensa.com</t>
        </is>
      </c>
    </row>
    <row r="79">
      <c r="A79" t="inlineStr">
        <is>
          <t>li-4363888092</t>
        </is>
      </c>
      <c r="B79" t="inlineStr">
        <is>
          <t>Program Manager, PMO - Marketplace Portfolio Oversight - Remote</t>
        </is>
      </c>
      <c r="C79" t="inlineStr">
        <is>
          <t>Lensa</t>
        </is>
      </c>
      <c r="D79" t="inlineStr">
        <is>
          <t>linkedin</t>
        </is>
      </c>
      <c r="E79">
        <f>HYPERLINK("https://www.linkedin.com/jobs/view/4363888092", "https://www.linkedin.com/jobs/view/4363888092")</f>
        <v/>
      </c>
      <c r="F79">
        <f>HYPERLINK("https://lensa.com/cgw/dec60fd530364678966596c157672730tjo1?jpsi=directemployers_no_redirect&amp;publisher_preference=easier_apply&amp;utm_campaign=Other%20Management%20Occupations&amp;utm_medium=slot&amp;utm_source=linkedin&amp;utm_term=jse&amp;urlHash=9wy2", "https://lensa.com/cgw/dec60fd530364678966596c157672730tjo1?jpsi=directemployers_no_redirect&amp;publisher_preference=easier_apply&amp;utm_campaign=Other%20Management%20Occupations&amp;utm_medium=slot&amp;utm_source=linkedin&amp;utm_term=jse&amp;urlHash=9wy2")</f>
        <v/>
      </c>
      <c r="G79" t="inlineStr">
        <is>
          <t>Miami, FL</t>
        </is>
      </c>
      <c r="H79" t="inlineStr"/>
      <c r="I7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Molina Healthcare. Clicking "Apply Now" or "Read more" on Lensa redirects you to the job board/employer site. Any information collected there is subject to their terms and privacy notice.
**Job Description**
**Job Summary**
 Focuses on process improvement, organizational change management, project management and other processes relative to the business. Project management includes estimating, scheduling, costing, planning, and issue/risk management.
**Knowledge/Skills/Abilities**
* Ability to manage multiple complexes, challenging projects simultaneously. Deep understanding of multiple projects and relationships between projects.
* Expert knowledge of methods and techniques involved in project management initiatives.
* Complete mastery of standard applications and project specific software. Able to learn new software with little to no instruction within a short timeframe and instruct others on its functionality.
* Proactively assesses projects for potential problem areas. Investigates, develops, and evaluates solutions to a wide range of very complex problems spanning across multiple projects.
* Establishes processes, procedures, and tools to increase efficiency. Effectively manages and resolves very complex project issues and proactively plans to prevent such issues. Projects may have extensive cross functional impact and team organization.
**Job Qualifications**
**Required Education**
 Bachelor's degree or equivalent combination of education and experience and at least 1 PM course required
**Required Experience**
 4\-7 years of relevant work experience in business, engineering, or a related field in lieu of degree acceptable.
**Preferred Education**
 Additional formal training in PM preferred.
**Preferred License, Certification, Association**
 PMP or Six Sigma Green Belt Certification desired.
 To all current Molina employees: If you are interested in applying for this position, please apply through the intranet job listing.
 Molina Healthcare offers a competitive benefits and compensation package. Molina Healthcare is an Equal Opportunity Employer (EOE) M/F/D/V.
 Pay Range: $80,412 \- $188,164 / ANNUAL
* Actual compensation may vary from posting based on geographic location, work experience, education and/or skill level.
 If you have questions about this posting, please contact support@lensa.com</t>
        </is>
      </c>
    </row>
    <row r="80">
      <c r="A80" t="inlineStr">
        <is>
          <t>li-4363798064</t>
        </is>
      </c>
      <c r="B80" t="inlineStr">
        <is>
          <t>Program Manager, PMO - Marketplace Portfolio Oversight - Remote</t>
        </is>
      </c>
      <c r="C80" t="inlineStr">
        <is>
          <t>Lensa</t>
        </is>
      </c>
      <c r="D80" t="inlineStr">
        <is>
          <t>linkedin</t>
        </is>
      </c>
      <c r="E80">
        <f>HYPERLINK("https://www.linkedin.com/jobs/view/4363798064", "https://www.linkedin.com/jobs/view/4363798064")</f>
        <v/>
      </c>
      <c r="F80" t="inlineStr"/>
      <c r="G80" t="inlineStr">
        <is>
          <t>Houston, TX</t>
        </is>
      </c>
      <c r="H80" t="inlineStr"/>
      <c r="I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Molina Healthcare. Clicking "Apply Now" or "Read more" on Lensa redirects you to the job board/employer site. Any information collected there is subject to their terms and privacy notice.
**Job Description**
**Job Summary**
 Focuses on process improvement, organizational change management, project management and other processes relative to the business. Project management includes estimating, scheduling, costing, planning, and issue/risk management.
**Knowledge/Skills/Abilities**
* Ability to manage multiple complexes, challenging projects simultaneously. Deep understanding of multiple projects and relationships between projects.
* Expert knowledge of methods and techniques involved in project management initiatives.
* Complete mastery of standard applications and project specific software. Able to learn new software with little to no instruction within a short timeframe and instruct others on its functionality.
* Proactively assesses projects for potential problem areas. Investigates, develops, and evaluates solutions to a wide range of very complex problems spanning across multiple projects.
* Establishes processes, procedures, and tools to increase efficiency. Effectively manages and resolves very complex project issues and proactively plans to prevent such issues. Projects may have extensive cross functional impact and team organization.
**Job Qualifications**
**Required Education**
 Bachelor's degree or equivalent combination of education and experience and at least 1 PM course required
**Required Experience**
 4\-7 years of relevant work experience in business, engineering, or a related field in lieu of degree acceptable.
**Preferred Education**
 Additional formal training in PM preferred.
**Preferred License, Certification, Association**
 PMP or Six Sigma Green Belt Certification desired.
 To all current Molina employees: If you are interested in applying for this position, please apply through the intranet job listing.
 Molina Healthcare offers a competitive benefits and compensation package. Molina Healthcare is an Equal Opportunity Employer (EOE) M/F/D/V.
 Pay Range: $80,412 \- $188,164 / ANNUAL
* Actual compensation may vary from posting based on geographic location, work experience, education and/or skill level.
 If you have questions about this posting, please contact support@lensa.com</t>
        </is>
      </c>
    </row>
    <row r="81">
      <c r="A81" t="inlineStr">
        <is>
          <t>li-4363788259</t>
        </is>
      </c>
      <c r="B81" t="inlineStr">
        <is>
          <t>Program Manager, PMO - Marketplace Portfolio Oversight - Remote</t>
        </is>
      </c>
      <c r="C81" t="inlineStr">
        <is>
          <t>Lensa</t>
        </is>
      </c>
      <c r="D81" t="inlineStr">
        <is>
          <t>linkedin</t>
        </is>
      </c>
      <c r="E81">
        <f>HYPERLINK("https://www.linkedin.com/jobs/view/4363788259", "https://www.linkedin.com/jobs/view/4363788259")</f>
        <v/>
      </c>
      <c r="F81">
        <f>HYPERLINK("https://lensa.com/cgw/182ee7cd62ef453cb3699d00bb7ddbc1tjo1?jpsi=directemployers_no_redirect&amp;publisher_preference=easier_apply&amp;utm_campaign=Other%20Management%20Occupations&amp;utm_medium=slot&amp;utm_source=linkedin&amp;utm_term=jse&amp;urlHash=mLFM", "https://lensa.com/cgw/182ee7cd62ef453cb3699d00bb7ddbc1tjo1?jpsi=directemployers_no_redirect&amp;publisher_preference=easier_apply&amp;utm_campaign=Other%20Management%20Occupations&amp;utm_medium=slot&amp;utm_source=linkedin&amp;utm_term=jse&amp;urlHash=mLFM")</f>
        <v/>
      </c>
      <c r="G81" t="inlineStr">
        <is>
          <t>Nampa, ID</t>
        </is>
      </c>
      <c r="H81" t="inlineStr"/>
      <c r="I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Molina Healthcare. Clicking "Apply Now" or "Read more" on Lensa redirects you to the job board/employer site. Any information collected there is subject to their terms and privacy notice.
**Job Description**
**Job Summary**
 Focuses on process improvement, organizational change management, project management and other processes relative to the business. Project management includes estimating, scheduling, costing, planning, and issue/risk management.
**Knowledge/Skills/Abilities**
* Ability to manage multiple complexes, challenging projects simultaneously. Deep understanding of multiple projects and relationships between projects.
* Expert knowledge of methods and techniques involved in project management initiatives.
* Complete mastery of standard applications and project specific software. Able to learn new software with little to no instruction within a short timeframe and instruct others on its functionality.
* Proactively assesses projects for potential problem areas. Investigates, develops, and evaluates solutions to a wide range of very complex problems spanning across multiple projects.
* Establishes processes, procedures, and tools to increase efficiency. Effectively manages and resolves very complex project issues and proactively plans to prevent such issues. Projects may have extensive cross functional impact and team organization.
**Job Qualifications**
**Required Education**
 Bachelor's degree or equivalent combination of education and experience and at least 1 PM course required
**Required Experience**
 4\-7 years of relevant work experience in business, engineering, or a related field in lieu of degree acceptable.
**Preferred Education**
 Additional formal training in PM preferred.
**Preferred License, Certification, Association**
 PMP or Six Sigma Green Belt Certification desired.
 To all current Molina employees: If you are interested in applying for this position, please apply through the intranet job listing.
 Molina Healthcare offers a competitive benefits and compensation package. Molina Healthcare is an Equal Opportunity Employer (EOE) M/F/D/V.
 Pay Range: $80,412 \- $188,164 / ANNUAL
* Actual compensation may vary from posting based on geographic location, work experience, education and/or skill level.
 If you have questions about this posting, please contact support@lensa.com</t>
        </is>
      </c>
    </row>
    <row r="82">
      <c r="A82" t="inlineStr">
        <is>
          <t>li-4364018212</t>
        </is>
      </c>
      <c r="B82" t="inlineStr">
        <is>
          <t>Program Manager, Risk Operations &amp; Resilience- CST or EST</t>
        </is>
      </c>
      <c r="C82" t="inlineStr">
        <is>
          <t>Lensa</t>
        </is>
      </c>
      <c r="D82" t="inlineStr">
        <is>
          <t>linkedin</t>
        </is>
      </c>
      <c r="E82">
        <f>HYPERLINK("https://www.linkedin.com/jobs/view/4364018212", "https://www.linkedin.com/jobs/view/4364018212")</f>
        <v/>
      </c>
      <c r="F82" t="inlineStr"/>
      <c r="G82" t="inlineStr">
        <is>
          <t>Austin, TX</t>
        </is>
      </c>
      <c r="H82" t="inlineStr"/>
      <c r="I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CBRE. Clicking "Apply Now" or "Read more" on Lensa redirects you to the job board/employer site. Any information collected there is subject to their terms and privacy notice.
 Program Manager, Risk Operations \&amp; Resilience\- CST or EST
 Job ID
 256229
 Posted
 14\-Jan\-2026
 Service line
 GWS Segment
 Role type
 Full\-time
 Areas of Interest
 Administrative, Data \&amp; Analytics, Project Management
 Location(s)
 Remote \- US \- Remote \- US \- United States of America
**Program Manager, Risk Operations \&amp; Resilience**
**About The Role**
 CBRE is seeking a Program Manager to lead process optimization and scaling initiatives for a client's global facility audit program, which evaluates hundreds of facilities annually and aims to proactively reduce facility risk. Though the facility risk mitigation program spans global regions, the primary focus of the role is to support program execution Globally. A US\-based role is preferred.This role directly supports risk mitigation across a portfolio of hundreds of global facilities, making processes more efficient and scalable.
 The Program Manager will partner with the client's customers and stakeholders to verify and track business needs, build program processes, drive collaboration, manage program reporting through written updates, establish and track metrics, and mitigate program risks.The successful candidate will be a natural self\-starter and invent and simplify where needed (such as improving reporting and tracking mechanisms or optimizing workflows and other program resources). The role requires an individual adept at navigating ambiguity and conflicting priorities who can earn trust with global teams and maintain a high level of integrity.
 The ideal candidate will haveexperience managing projects that span technical teams such as engineers, architects, or property insurance underwriters, and non\-technical teams, maintaining schedule and milestone trackers, and providing weekly, data\-driven status updates to all levels of technical acumen and leadership.
 The role may require supervision of a small CBRE program management team, and an individual with management experience is preferred.
**What You'll Do**
* Design and implement scalable facility audit processes and workflows
* Partner with facility leaders and internal subject matter experts (engineers, architects, asset managers, transactions, maintenance personnel, etc.) to resolve risk findings efficiently
* Manage large datasets and dashboards, and develop automation strategies with technical teams
* Drive program schedule, metrics, reporting, and continuous improvement initiatives
* Anticipate program risks and develop mitigation plans
* Coordinate vendor management and deliverable quality standards
* Lead cross\-functional collaboration across global regions
* Facilitate weekly alignment meetings on program\-specific updates
* Support additional global facility risk management initiatives as needed
 Role may include supervision of a small CBRE program management team; management experience preferred
**What You'll Need**
* Bachelor's degree in engineering, architecture, risk management, business, or related field
* 5\-7 years program management experience, strong data management experience, and experience with global teams
* Ability to work independently in a fast\-paced and rapidly changing environment
* Superior written and verbal communication skills including proven ability to effectively manage, influence, negotiate, and communicate with external business partners and internal teams
* Proficient in project management software (e.g., Asana, Smartsheet, etc.) and Microsoft Office
**Preferred Qualifications**
* MBA, master's degree, or other advanced degree in Architecture, Engineering, Risk Management, or related field
* Fulfillment/distribution network design, planning, or execution experience
* Familiarity with compliance, facility audit programs, or property insurance or builder's risk management processes
* Familiarity with basic real estate or design and construction workflows
* Proficient in dashboarding and visualization tools (QuickSuite, Tableau)
 Applicants must be currently authorized to work in the United States without the need for visa sponsorship now or in the future.
 CBRE carefully considers multiple factors to determine compensation, including a candidate's education, training, and experience. The minimum salary for the position is $115,000 annually and the maximum salary for the position is $125,000 annually. The compensation that is offered to a successful candidate will depend on the candidate's skills, qualifications, and experience.
 Successful candidates will also be eligible for a discretionary bonus based on CBRE's applicable benefit program.
 The application window is anticipated to close on December 6, 2025 and may be extended as needed. To express interest in similar roles, visit CBRE.com/careers.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
 Find out more (https://www.cbre.com/real\-estate\-services/directory/global\-workplace\-solutions)
 CBRE, Inc. is an Equal Opportunity and Affirmative Action Employer (Women/Minorities/Persons with Disabilities/US Veterans)
 If you have questions about this posting, please contact support@lensa.com</t>
        </is>
      </c>
    </row>
    <row r="83">
      <c r="A83" t="inlineStr">
        <is>
          <t>li-4364058029</t>
        </is>
      </c>
      <c r="B83" t="inlineStr">
        <is>
          <t>Program Manager, PMO - Marketplace Portfolio Oversight - Remote</t>
        </is>
      </c>
      <c r="C83" t="inlineStr">
        <is>
          <t>Lensa</t>
        </is>
      </c>
      <c r="D83" t="inlineStr">
        <is>
          <t>linkedin</t>
        </is>
      </c>
      <c r="E83">
        <f>HYPERLINK("https://www.linkedin.com/jobs/view/4364058029", "https://www.linkedin.com/jobs/view/4364058029")</f>
        <v/>
      </c>
      <c r="F83">
        <f>HYPERLINK("https://lensa.com/cgw/6fdb75cddde541a8b18287f1b9ddfd4etjo1?jpsi=directemployers_no_redirect&amp;publisher_preference=easier_apply&amp;utm_campaign=Other%20Management%20Occupations&amp;utm_medium=slot&amp;utm_source=linkedin&amp;utm_term=jse&amp;urlHash=635y", "https://lensa.com/cgw/6fdb75cddde541a8b18287f1b9ddfd4etjo1?jpsi=directemployers_no_redirect&amp;publisher_preference=easier_apply&amp;utm_campaign=Other%20Management%20Occupations&amp;utm_medium=slot&amp;utm_source=linkedin&amp;utm_term=jse&amp;urlHash=635y")</f>
        <v/>
      </c>
      <c r="G83" t="inlineStr">
        <is>
          <t>Yonkers, NY</t>
        </is>
      </c>
      <c r="H83" t="inlineStr"/>
      <c r="I8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Molina Healthcare. Clicking "Apply Now" or "Read more" on Lensa redirects you to the job board/employer site. Any information collected there is subject to their terms and privacy notice.
**Job Description**
**Job Summary**
 Focuses on process improvement, organizational change management, project management and other processes relative to the business. Project management includes estimating, scheduling, costing, planning, and issue/risk management.
**Knowledge/Skills/Abilities**
* Ability to manage multiple complexes, challenging projects simultaneously. Deep understanding of multiple projects and relationships between projects.
* Expert knowledge of methods and techniques involved in project management initiatives.
* Complete mastery of standard applications and project specific software. Able to learn new software with little to no instruction within a short timeframe and instruct others on its functionality.
* Proactively assesses projects for potential problem areas. Investigates, develops, and evaluates solutions to a wide range of very complex problems spanning across multiple projects.
* Establishes processes, procedures, and tools to increase efficiency. Effectively manages and resolves very complex project issues and proactively plans to prevent such issues. Projects may have extensive cross functional impact and team organization.
**Job Qualifications**
**Required Education**
 Bachelor's degree or equivalent combination of education and experience and at least 1 PM course required
**Required Experience**
 4\-7 years of relevant work experience in business, engineering, or a related field in lieu of degree acceptable.
**Preferred Education**
 Additional formal training in PM preferred.
**Preferred License, Certification, Association**
 PMP or Six Sigma Green Belt Certification desired.
 To all current Molina employees: If you are interested in applying for this position, please apply through the intranet job listing.
 Molina Healthcare offers a competitive benefits and compensation package. Molina Healthcare is an Equal Opportunity Employer (EOE) M/F/D/V.
 Pay Range: $80,412 \- $188,164 / ANNUAL
* Actual compensation may vary from posting based on geographic location, work experience, education and/or skill level.
 If you have questions about this posting, please contact support@lensa.com</t>
        </is>
      </c>
    </row>
    <row r="84">
      <c r="A84" t="inlineStr">
        <is>
          <t>li-4363828123</t>
        </is>
      </c>
      <c r="B84" t="inlineStr">
        <is>
          <t>Technical Program Manager - Rack Level Protection</t>
        </is>
      </c>
      <c r="C84" t="inlineStr">
        <is>
          <t>Lensa</t>
        </is>
      </c>
      <c r="D84" t="inlineStr">
        <is>
          <t>linkedin</t>
        </is>
      </c>
      <c r="E84">
        <f>HYPERLINK("https://www.linkedin.com/jobs/view/4363828123", "https://www.linkedin.com/jobs/view/4363828123")</f>
        <v/>
      </c>
      <c r="F84" t="inlineStr"/>
      <c r="G84" t="inlineStr">
        <is>
          <t>Sacramento, CA</t>
        </is>
      </c>
      <c r="H84" t="inlineStr"/>
      <c r="I8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Oracle's Global Physical Security (GPS) Systems Team is responsible for securing the corporation's global datacenter and facility footprint through advanced Physical Access and Identity Management (PIAM) technologies. We are seeking a seasoned Technical Program Manager \- Rack Level Protection.
 Oracle's Global Physical Security (GPS) Systems Team is dedicated to protecting critical corporate and cloud infrastructure across the globe. We are seeking a skilled Technical Program Manager to lead the end\-to\-end strategy, development, and evolution of Oracle's Rack Level Protection platforms, vital to safeguarding the physical and logical assets housed within Oracle's data centers. The ideal candidate has extensive experience coordinating the design, deployment, and lifecycle management of rack\-level security systems in high\-availability, hyperscale environments, as well as a passion for innovating through automation and improving operational efficiency.
 As platform owner, you will direct the global roadmap for rack\-level access controls and sensors, oversee secure integration with monitoring and alarm systems, and ensure continual compliance with both Oracle's and external regulatory requirements. You will collaborate with data center engineering teams, vendors, compliance managers, and security operations to deliver seamless, reliable, and auditable rack\-level protection across Oracle's rapidly evolving global estate.
**Responsibilities**
**SCOPE OF RESPONSIBILITY, IMPACT OF DECISIONS, AND DEGREE OF SUPERVISION:**
 Serving as the global functional and technical authority for rack\-level security, you will set and execute strategy, develop roadmaps, and manage the end\-to\-end product lifecycle with considerable autonomy. Your decisions will directly impact Oracle's security posture, regulatory compliance, and operational resilience across all critical data center sites worldwide.
* Set standards and drive adoption for all rack\-level security devices and workflows.
* Make policy recommendations and strategic decisions for scalable deployment, monitoring, and support models.
* Provide executive\-level visibility and escalation support for risk, incidents, and compliance matters.
* Collaborate cross\-functionally with GPS, data center, engineering, compliance, and operations leaders.
**Key Responsibilities**
* Develop, communicate, and maintain the global strategy and technical roadmap for rack\-level protection systems in Oracle data centers.
* Lead the integration of rack\-level security devices with physical access management, environmental monitoring, and SOC/SIEM solutions, leveraging automation/APIs to streamline reporting and alerting.
* Oversee global deployments\-partnering with regional teams and vendors to ensure standardized implementation, maintenance, and support, as well as continuous improvement.
* Implement and manage automated monitoring, audit, and alerting tools to maintain high reliability and rapid response to faults or incidents.
* Ensure rack\-level security systems, protocols, and processes meet or exceed corporate policy, regulatory, and audit requirements.
* Analyze incident and system health data to drive root cause analysis, risk mitigation, and operational improvements.
* Own vendor relationships: manage contracts, evaluate new products, and pilot innovations that enhance security or automate processes.
* Produce and maintain technical and procedural documentation\-covering device standards, installation and escalation playbooks, audit records, and compliance artifacts.
* Measure and report key performance indicators such as system uptime, incident response times, compliance gaps, and continuous improvement initiatives to leadership.
**Key Skills And Qualifications**
* Bachelor's degree (or equivalent experience) in Engineering, Security, Information Systems, or related technical field. Advanced degree preferred.
* Minimum of 5 years' experience in program or product management for critical infrastructure or physical security systems, with specific depth in rack\-level protection, access control, or data center hardware.
* Hands\-on expertise deploying, configuring, and maintaining rack\-level security technologies (e.g., DRCC, Butterfly, smart locks, audit sensors, or similar) and integrating with enterprise PIAM, BMS, or SOC/SIEM solutions.
* Networking skills must be strong.
* Certification: CCNP (Cisco Certified Network Professional) or equivalent is required.
* Strong understanding of regulatory and compliance mandates affecting physical and logical data center security (SOC 2, ISO 27001, PCI DSS, GDPR, etc.).
* Extensive vendor management experience, including contract negotiation, SLA enforcement, and performance oversight.
* Experience with security and operational analytics platforms, developing dashboards, reports, and automated alerting.
* Familiarity with cloud\-based infrastructure services, remote management protocols (REST APIs, SNMP), and device hardening practices.
* Superior communication, documentation, and leadership skills to influence stakeholders at all organizational levels.
* Demonstrated ability to drive process improvement, reduce manual effort, and deliver measurable increases in system reliability and efficiency.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2026-01-18T03:03:24Z</dcterms:created>
  <dcterms:modified xsi:type="dcterms:W3CDTF">2026-01-18T03:03:24Z</dcterms:modified>
</cp:coreProperties>
</file>